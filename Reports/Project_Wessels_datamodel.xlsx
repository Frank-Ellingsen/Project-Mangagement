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queryTables/queryTable4.xml" ContentType="application/vnd.openxmlformats-officedocument.spreadsheetml.query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queryTables/queryTable6.xml" ContentType="application/vnd.openxmlformats-officedocument.spreadsheetml.queryTable+xml"/>
  <Override PartName="/xl/tables/table12.xml" ContentType="application/vnd.openxmlformats-officedocument.spreadsheetml.table+xml"/>
  <Override PartName="/xl/queryTables/queryTable7.xml" ContentType="application/vnd.openxmlformats-officedocument.spreadsheetml.queryTable+xml"/>
  <Override PartName="/xl/tables/table13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Project Mng\Reports\"/>
    </mc:Choice>
  </mc:AlternateContent>
  <xr:revisionPtr revIDLastSave="0" documentId="13_ncr:1_{70C0BFAC-1973-4555-9A57-F59B1F64185F}" xr6:coauthVersionLast="47" xr6:coauthVersionMax="47" xr10:uidLastSave="{00000000-0000-0000-0000-000000000000}"/>
  <bookViews>
    <workbookView xWindow="-120" yWindow="-16320" windowWidth="29040" windowHeight="15720" firstSheet="1" activeTab="1" xr2:uid="{3567F5EA-4EDF-42E8-B36E-0970A1278C2E}"/>
  </bookViews>
  <sheets>
    <sheet name="Cover" sheetId="11" r:id="rId1"/>
    <sheet name="Dashboard" sheetId="12" r:id="rId2"/>
    <sheet name="Portfolio Metrics" sheetId="10" r:id="rId3"/>
    <sheet name="Data Model" sheetId="1" r:id="rId4"/>
    <sheet name="projects" sheetId="4" r:id="rId5"/>
    <sheet name="resources" sheetId="7" r:id="rId6"/>
    <sheet name="wbs_elements" sheetId="9" r:id="rId7"/>
    <sheet name="resource_assignments" sheetId="6" r:id="rId8"/>
    <sheet name="material_costs" sheetId="2" r:id="rId9"/>
    <sheet name="timesheets" sheetId="8" r:id="rId10"/>
    <sheet name="physical_progress" sheetId="3" r:id="rId11"/>
    <sheet name="raid_log" sheetId="5" r:id="rId12"/>
  </sheets>
  <definedNames>
    <definedName name="ExternalData_1" localSheetId="8" hidden="1">material_costs!$A$1:$G$15</definedName>
    <definedName name="ExternalData_2" localSheetId="10" hidden="1">physical_progress!$A$1:$E$58</definedName>
    <definedName name="ExternalData_3" localSheetId="4" hidden="1">projects!$A$1:$G$7</definedName>
    <definedName name="ExternalData_4" localSheetId="11" hidden="1">'raid_log'!$A$1:$H$6</definedName>
    <definedName name="ExternalData_5" localSheetId="7" hidden="1">'resource_assignments'!$A$1:$D$18</definedName>
    <definedName name="ExternalData_6" localSheetId="5" hidden="1">'resources'!$A$1:$D$6</definedName>
    <definedName name="ExternalData_7" localSheetId="9" hidden="1">timesheets!$A$1:$F$300</definedName>
    <definedName name="ExternalData_8" localSheetId="6" hidden="1">wbs_elements!$A$1:$F$15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aterial_costs_ec605b8e-336a-4ccc-8d15-a4b03f802221" name="material_costs" connection="Query - material_costs"/>
          <x15:modelTable id="physical_progress_e9da6350-3665-4a1f-9b6d-8b8197008323" name="physical_progress" connection="Query - physical_progress"/>
          <x15:modelTable id="projects_1312009f-5107-4b58-b341-45994595d96c" name="projects" connection="Query - projects"/>
          <x15:modelTable id="raid_log_cd9806f3-5f39-497b-9719-a054aa2d74a0" name="raid_log" connection="Query - raid_log"/>
          <x15:modelTable id="resource_assignments_a7403c58-5ec3-43e5-95e1-5ff0e7627d83" name="resource_assignments" connection="Query - resource_assignments"/>
          <x15:modelTable id="resources_057eef5d-5b50-4cd9-a7f5-6c1a514b46b6" name="resources" connection="Query - resources"/>
          <x15:modelTable id="timesheets_7e2515da-1a37-44a6-b8eb-a7d0de322d1f" name="timesheets" connection="Query - timesheets"/>
          <x15:modelTable id="wbs_elements_9fc9e745-1112-422a-941c-ce8209e172dc" name="wbs_elements" connection="Query - wbs_elements"/>
        </x15:modelTables>
        <x15:modelRelationships>
          <x15:modelRelationship fromTable="material_costs" fromColumn="WBS_ID" toTable="wbs_elements" toColumn="WBS_ID"/>
          <x15:modelRelationship fromTable="physical_progress" fromColumn="WBS_ID" toTable="wbs_elements" toColumn="WBS_ID"/>
          <x15:modelRelationship fromTable="projects" fromColumn="ProjectID" toTable="physical_progress" toColumn="ProgressID"/>
          <x15:modelRelationship fromTable="resource_assignments" fromColumn="WBS_ID" toTable="wbs_elements" toColumn="WBS_ID"/>
          <x15:modelRelationship fromTable="resource_assignments" fromColumn="ResourceID" toTable="resources" toColumn="ResourceID"/>
          <x15:modelRelationship fromTable="timesheets" fromColumn="WBS_ID" toTable="wbs_elements" toColumn="WBS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" i="12" l="1"/>
  <c r="H47" i="12"/>
  <c r="I47" i="12"/>
  <c r="J47" i="12"/>
  <c r="K47" i="12"/>
  <c r="H48" i="12"/>
  <c r="I48" i="12"/>
  <c r="J48" i="12"/>
  <c r="K48" i="12"/>
  <c r="H49" i="12"/>
  <c r="I49" i="12"/>
  <c r="J49" i="12"/>
  <c r="K49" i="12"/>
  <c r="A40" i="12"/>
  <c r="B40" i="12"/>
  <c r="C40" i="12"/>
  <c r="D40" i="12"/>
  <c r="E40" i="12"/>
  <c r="F40" i="12"/>
  <c r="G40" i="12"/>
  <c r="H40" i="12"/>
  <c r="A39" i="12"/>
  <c r="B39" i="12"/>
  <c r="C39" i="12"/>
  <c r="D39" i="12"/>
  <c r="E39" i="12"/>
  <c r="F39" i="12"/>
  <c r="G39" i="12"/>
  <c r="H39" i="12"/>
  <c r="A38" i="12"/>
  <c r="B38" i="12"/>
  <c r="C38" i="12"/>
  <c r="D38" i="12"/>
  <c r="E38" i="12"/>
  <c r="F38" i="12"/>
  <c r="G38" i="12"/>
  <c r="H38" i="12"/>
  <c r="A37" i="12"/>
  <c r="B37" i="12"/>
  <c r="C37" i="12"/>
  <c r="D37" i="12"/>
  <c r="E37" i="12"/>
  <c r="F37" i="12"/>
  <c r="G37" i="12"/>
  <c r="H37" i="12"/>
  <c r="A36" i="12"/>
  <c r="B36" i="12"/>
  <c r="C36" i="12"/>
  <c r="D36" i="12"/>
  <c r="E36" i="12"/>
  <c r="F36" i="12"/>
  <c r="G36" i="12"/>
  <c r="H36" i="12"/>
  <c r="A35" i="12"/>
  <c r="B35" i="12"/>
  <c r="C35" i="12"/>
  <c r="D35" i="12"/>
  <c r="E35" i="12"/>
  <c r="F35" i="12"/>
  <c r="G35" i="12"/>
  <c r="H35" i="12"/>
  <c r="A9" i="12"/>
  <c r="J5" i="12"/>
  <c r="G5" i="12"/>
  <c r="D5" i="12"/>
  <c r="A5" i="12"/>
  <c r="B33" i="10"/>
  <c r="B34" i="10"/>
  <c r="B36" i="10" s="1"/>
  <c r="B35" i="10"/>
  <c r="B38" i="10"/>
  <c r="B39" i="10"/>
  <c r="B40" i="10"/>
  <c r="B41" i="10"/>
  <c r="B42" i="10"/>
  <c r="AJ2" i="10"/>
  <c r="AK2" i="10"/>
  <c r="AJ3" i="10"/>
  <c r="AK3" i="10"/>
  <c r="AJ4" i="10"/>
  <c r="AK4" i="10"/>
  <c r="AJ5" i="10"/>
  <c r="AK5" i="10"/>
  <c r="AJ6" i="10"/>
  <c r="AK6" i="10"/>
  <c r="AJ7" i="10"/>
  <c r="AK7" i="10"/>
  <c r="AJ8" i="10"/>
  <c r="AF2" i="10"/>
  <c r="AG2" i="10"/>
  <c r="AF3" i="10"/>
  <c r="AG3" i="10"/>
  <c r="AF4" i="10"/>
  <c r="AG4" i="10"/>
  <c r="AF5" i="10"/>
  <c r="AG5" i="10"/>
  <c r="AF6" i="10"/>
  <c r="AG6" i="10"/>
  <c r="AF7" i="10"/>
  <c r="AG7" i="10"/>
  <c r="AC2" i="10"/>
  <c r="AC3" i="10"/>
  <c r="AC4" i="10"/>
  <c r="AC5" i="10"/>
  <c r="AC6" i="10"/>
  <c r="AC7" i="10"/>
  <c r="X2" i="10"/>
  <c r="Y2" i="10"/>
  <c r="Z2" i="10"/>
  <c r="X3" i="10"/>
  <c r="Y3" i="10"/>
  <c r="Z3" i="10"/>
  <c r="X4" i="10"/>
  <c r="Y4" i="10"/>
  <c r="Z4" i="10"/>
  <c r="X5" i="10"/>
  <c r="Y5" i="10"/>
  <c r="Z5" i="10"/>
  <c r="X6" i="10"/>
  <c r="Y6" i="10"/>
  <c r="Z6" i="10"/>
  <c r="X7" i="10"/>
  <c r="Y7" i="10"/>
  <c r="Z7" i="10"/>
  <c r="B24" i="10"/>
  <c r="C24" i="10"/>
  <c r="D24" i="10"/>
  <c r="E24" i="10"/>
  <c r="F24" i="10"/>
  <c r="G24" i="10"/>
  <c r="I24" i="10"/>
  <c r="J24" i="10"/>
  <c r="Q24" i="10" s="1"/>
  <c r="K24" i="10"/>
  <c r="M24" i="10" s="1"/>
  <c r="L24" i="10"/>
  <c r="U24" i="10"/>
  <c r="B25" i="10"/>
  <c r="C25" i="10"/>
  <c r="D25" i="10"/>
  <c r="E25" i="10"/>
  <c r="H25" i="10" s="1"/>
  <c r="F25" i="10"/>
  <c r="G25" i="10"/>
  <c r="I25" i="10"/>
  <c r="K25" i="10"/>
  <c r="L25" i="10"/>
  <c r="M25" i="10"/>
  <c r="P25" i="10" s="1"/>
  <c r="N25" i="10"/>
  <c r="T25" i="10"/>
  <c r="U25" i="10"/>
  <c r="B26" i="10"/>
  <c r="C26" i="10"/>
  <c r="D26" i="10"/>
  <c r="E26" i="10"/>
  <c r="F26" i="10"/>
  <c r="G26" i="10"/>
  <c r="I26" i="10"/>
  <c r="J26" i="10"/>
  <c r="K26" i="10"/>
  <c r="M26" i="10" s="1"/>
  <c r="L26" i="10"/>
  <c r="U26" i="10"/>
  <c r="B27" i="10"/>
  <c r="C27" i="10"/>
  <c r="D27" i="10"/>
  <c r="E27" i="10"/>
  <c r="H27" i="10" s="1"/>
  <c r="F27" i="10"/>
  <c r="G27" i="10"/>
  <c r="I27" i="10"/>
  <c r="K27" i="10"/>
  <c r="L27" i="10"/>
  <c r="M27" i="10"/>
  <c r="P27" i="10" s="1"/>
  <c r="T27" i="10" s="1"/>
  <c r="N27" i="10"/>
  <c r="U27" i="10"/>
  <c r="B28" i="10"/>
  <c r="C28" i="10"/>
  <c r="D28" i="10"/>
  <c r="E28" i="10"/>
  <c r="F28" i="10"/>
  <c r="G28" i="10"/>
  <c r="I28" i="10"/>
  <c r="O28" i="10" s="1"/>
  <c r="J28" i="10"/>
  <c r="K28" i="10"/>
  <c r="M28" i="10" s="1"/>
  <c r="L28" i="10"/>
  <c r="U28" i="10"/>
  <c r="B29" i="10"/>
  <c r="C29" i="10"/>
  <c r="D29" i="10"/>
  <c r="E29" i="10"/>
  <c r="J29" i="10" s="1"/>
  <c r="F29" i="10"/>
  <c r="G29" i="10"/>
  <c r="H29" i="10"/>
  <c r="I29" i="10"/>
  <c r="K29" i="10"/>
  <c r="L29" i="10"/>
  <c r="M29" i="10"/>
  <c r="N29" i="10"/>
  <c r="P29" i="10"/>
  <c r="T29" i="10" s="1"/>
  <c r="U29" i="10"/>
  <c r="B7" i="10"/>
  <c r="C7" i="10"/>
  <c r="D7" i="10"/>
  <c r="E7" i="10"/>
  <c r="H7" i="10" s="1"/>
  <c r="F7" i="10"/>
  <c r="G7" i="10"/>
  <c r="I7" i="10" a="1"/>
  <c r="I7" i="10" s="1"/>
  <c r="K7" i="10" s="1"/>
  <c r="J7" i="10"/>
  <c r="B8" i="10"/>
  <c r="C8" i="10"/>
  <c r="D8" i="10"/>
  <c r="E8" i="10"/>
  <c r="H8" i="10" s="1"/>
  <c r="F8" i="10"/>
  <c r="G8" i="10"/>
  <c r="I8" i="10" a="1"/>
  <c r="I8" i="10"/>
  <c r="K8" i="10" s="1"/>
  <c r="J8" i="10"/>
  <c r="B9" i="10"/>
  <c r="C9" i="10"/>
  <c r="D9" i="10"/>
  <c r="E9" i="10"/>
  <c r="H9" i="10" s="1"/>
  <c r="F9" i="10"/>
  <c r="G9" i="10"/>
  <c r="I9" i="10" a="1"/>
  <c r="I9" i="10" s="1"/>
  <c r="K9" i="10" s="1"/>
  <c r="J9" i="10"/>
  <c r="B10" i="10"/>
  <c r="C10" i="10"/>
  <c r="D10" i="10"/>
  <c r="E10" i="10"/>
  <c r="F10" i="10"/>
  <c r="G10" i="10"/>
  <c r="H10" i="10"/>
  <c r="I10" i="10" a="1"/>
  <c r="I10" i="10" s="1"/>
  <c r="K10" i="10" s="1"/>
  <c r="J10" i="10"/>
  <c r="B11" i="10"/>
  <c r="C11" i="10"/>
  <c r="D11" i="10"/>
  <c r="E11" i="10"/>
  <c r="F11" i="10"/>
  <c r="G11" i="10"/>
  <c r="H11" i="10" s="1"/>
  <c r="I11" i="10" a="1"/>
  <c r="I11" i="10" s="1"/>
  <c r="K11" i="10" s="1"/>
  <c r="J11" i="10"/>
  <c r="B12" i="10"/>
  <c r="C12" i="10"/>
  <c r="D12" i="10"/>
  <c r="E12" i="10"/>
  <c r="H12" i="10" s="1"/>
  <c r="F12" i="10"/>
  <c r="G12" i="10"/>
  <c r="I12" i="10" a="1"/>
  <c r="I12" i="10"/>
  <c r="K12" i="10" s="1"/>
  <c r="J12" i="10"/>
  <c r="B13" i="10"/>
  <c r="C13" i="10"/>
  <c r="D13" i="10"/>
  <c r="E13" i="10"/>
  <c r="H13" i="10" s="1"/>
  <c r="F13" i="10"/>
  <c r="G13" i="10"/>
  <c r="I13" i="10" a="1"/>
  <c r="I13" i="10" s="1"/>
  <c r="K13" i="10" s="1"/>
  <c r="J13" i="10"/>
  <c r="B14" i="10"/>
  <c r="C14" i="10"/>
  <c r="D14" i="10"/>
  <c r="E14" i="10"/>
  <c r="H14" i="10" s="1"/>
  <c r="F14" i="10"/>
  <c r="G14" i="10"/>
  <c r="I14" i="10" a="1"/>
  <c r="I14" i="10" s="1"/>
  <c r="K14" i="10" s="1"/>
  <c r="J14" i="10"/>
  <c r="B15" i="10"/>
  <c r="C15" i="10"/>
  <c r="D15" i="10"/>
  <c r="E15" i="10"/>
  <c r="F15" i="10"/>
  <c r="G15" i="10"/>
  <c r="H15" i="10" s="1"/>
  <c r="I15" i="10" a="1"/>
  <c r="I15" i="10"/>
  <c r="J15" i="10"/>
  <c r="K15" i="10" s="1"/>
  <c r="B16" i="10"/>
  <c r="C16" i="10"/>
  <c r="D16" i="10"/>
  <c r="E16" i="10"/>
  <c r="F16" i="10"/>
  <c r="G16" i="10"/>
  <c r="H16" i="10" s="1"/>
  <c r="I16" i="10" a="1"/>
  <c r="I16" i="10"/>
  <c r="K16" i="10" s="1"/>
  <c r="J16" i="10"/>
  <c r="B17" i="10"/>
  <c r="C17" i="10"/>
  <c r="D17" i="10"/>
  <c r="E17" i="10"/>
  <c r="H17" i="10" s="1"/>
  <c r="F17" i="10"/>
  <c r="G17" i="10"/>
  <c r="I17" i="10" a="1"/>
  <c r="I17" i="10" s="1"/>
  <c r="K17" i="10" s="1"/>
  <c r="J17" i="10"/>
  <c r="B18" i="10"/>
  <c r="C18" i="10"/>
  <c r="D18" i="10"/>
  <c r="E18" i="10"/>
  <c r="F18" i="10"/>
  <c r="G18" i="10"/>
  <c r="H18" i="10"/>
  <c r="I18" i="10" a="1"/>
  <c r="I18" i="10" s="1"/>
  <c r="K18" i="10" s="1"/>
  <c r="J18" i="10"/>
  <c r="B19" i="10"/>
  <c r="C19" i="10"/>
  <c r="D19" i="10"/>
  <c r="E19" i="10"/>
  <c r="F19" i="10"/>
  <c r="G19" i="10"/>
  <c r="H19" i="10" s="1"/>
  <c r="I19" i="10" a="1"/>
  <c r="I19" i="10" s="1"/>
  <c r="K19" i="10" s="1"/>
  <c r="J19" i="10"/>
  <c r="B20" i="10"/>
  <c r="C20" i="10"/>
  <c r="D20" i="10"/>
  <c r="E20" i="10"/>
  <c r="H20" i="10" s="1"/>
  <c r="F20" i="10"/>
  <c r="G20" i="10"/>
  <c r="I20" i="10" a="1"/>
  <c r="I20" i="10" s="1"/>
  <c r="K20" i="10" s="1"/>
  <c r="J20" i="10"/>
  <c r="A14" i="1"/>
  <c r="H26" i="1"/>
  <c r="G26" i="1" a="1"/>
  <c r="G26" i="1" s="1"/>
  <c r="F26" i="1"/>
  <c r="H25" i="1"/>
  <c r="G25" i="1" a="1"/>
  <c r="G25" i="1" s="1"/>
  <c r="F25" i="1"/>
  <c r="H24" i="1"/>
  <c r="G24" i="1" a="1"/>
  <c r="G24" i="1" s="1"/>
  <c r="F24" i="1"/>
  <c r="H23" i="1"/>
  <c r="G23" i="1" a="1"/>
  <c r="G23" i="1" s="1"/>
  <c r="F23" i="1"/>
  <c r="H22" i="1"/>
  <c r="G22" i="1" a="1"/>
  <c r="G22" i="1" s="1"/>
  <c r="F22" i="1"/>
  <c r="H21" i="1"/>
  <c r="G21" i="1" a="1"/>
  <c r="G21" i="1" s="1"/>
  <c r="F21" i="1"/>
  <c r="H20" i="1"/>
  <c r="G20" i="1" a="1"/>
  <c r="G20" i="1" s="1"/>
  <c r="F20" i="1"/>
  <c r="H19" i="1"/>
  <c r="G19" i="1" a="1"/>
  <c r="G19" i="1" s="1"/>
  <c r="F19" i="1"/>
  <c r="H18" i="1"/>
  <c r="G18" i="1" a="1"/>
  <c r="G18" i="1" s="1"/>
  <c r="F18" i="1"/>
  <c r="B37" i="10" l="1"/>
  <c r="N26" i="10"/>
  <c r="N24" i="10"/>
  <c r="O29" i="10"/>
  <c r="Q29" i="10"/>
  <c r="Q28" i="10"/>
  <c r="Q26" i="10"/>
  <c r="P28" i="10"/>
  <c r="H28" i="10"/>
  <c r="P26" i="10"/>
  <c r="H26" i="10"/>
  <c r="P24" i="10"/>
  <c r="H24" i="10"/>
  <c r="O24" i="10"/>
  <c r="S29" i="10"/>
  <c r="O26" i="10"/>
  <c r="R29" i="10"/>
  <c r="N28" i="10"/>
  <c r="R27" i="10"/>
  <c r="J27" i="10"/>
  <c r="R25" i="10"/>
  <c r="S25" i="10" s="1"/>
  <c r="J25" i="10"/>
  <c r="S27" i="10"/>
  <c r="L15" i="10"/>
  <c r="M15" i="10"/>
  <c r="M11" i="10"/>
  <c r="L11" i="10"/>
  <c r="L10" i="10"/>
  <c r="L14" i="10"/>
  <c r="M14" i="10"/>
  <c r="L13" i="10"/>
  <c r="M13" i="10"/>
  <c r="L12" i="10"/>
  <c r="M12" i="10"/>
  <c r="L9" i="10"/>
  <c r="M9" i="10"/>
  <c r="L17" i="10"/>
  <c r="M17" i="10"/>
  <c r="M19" i="10"/>
  <c r="L19" i="10"/>
  <c r="L18" i="10"/>
  <c r="L8" i="10"/>
  <c r="M8" i="10"/>
  <c r="L7" i="10"/>
  <c r="M7" i="10"/>
  <c r="L20" i="10"/>
  <c r="M20" i="10"/>
  <c r="L16" i="10"/>
  <c r="M16" i="10"/>
  <c r="M18" i="10"/>
  <c r="M10" i="10"/>
  <c r="T28" i="10" l="1"/>
  <c r="R28" i="10"/>
  <c r="S28" i="10" s="1"/>
  <c r="O25" i="10"/>
  <c r="Q25" i="10"/>
  <c r="O27" i="10"/>
  <c r="Q27" i="10"/>
  <c r="T24" i="10"/>
  <c r="R24" i="10"/>
  <c r="S24" i="10" s="1"/>
  <c r="T26" i="10"/>
  <c r="R26" i="10"/>
  <c r="S26" i="1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621FE3-557D-4A02-907F-39054B15ABC3}" keepAlive="1" name="ModelConnection_ExternalData_1" description="Data Model" type="5" refreshedVersion="8" minRefreshableVersion="5" saveData="1">
    <dbPr connection="Data Model Connection" command="material_cos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6A47D7EC-6BBB-4A1C-915A-458E5EA94450}" keepAlive="1" name="ModelConnection_ExternalData_2" description="Data Model" type="5" refreshedVersion="8" minRefreshableVersion="5" saveData="1">
    <dbPr connection="Data Model Connection" command="physical_progres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BFDED546-7EC2-495A-87A9-4DCA77A2D735}" keepAlive="1" name="ModelConnection_ExternalData_3" description="Data Model" type="5" refreshedVersion="8" minRefreshableVersion="5" saveData="1">
    <dbPr connection="Data Model Connection" command="project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F4AD675C-DC5A-486A-B1C9-2C875AD12C96}" keepAlive="1" name="ModelConnection_ExternalData_4" description="Data Model" type="5" refreshedVersion="8" minRefreshableVersion="5" saveData="1">
    <dbPr connection="Data Model Connection" command="raid_log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9315FC6F-C034-4DF7-9A00-A105AD5BC167}" keepAlive="1" name="ModelConnection_ExternalData_5" description="Data Model" type="5" refreshedVersion="8" minRefreshableVersion="5" saveData="1">
    <dbPr connection="Data Model Connection" command="resource_assignments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4F2C14E5-4B20-42B8-AA79-DF500ADE7A3F}" keepAlive="1" name="ModelConnection_ExternalData_6" description="Data Model" type="5" refreshedVersion="8" minRefreshableVersion="5" saveData="1">
    <dbPr connection="Data Model Connection" command="resource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E136D542-D724-4D6B-B5AD-2B75F70B2C22}" keepAlive="1" name="ModelConnection_ExternalData_7" description="Data Model" type="5" refreshedVersion="8" minRefreshableVersion="5" saveData="1">
    <dbPr connection="Data Model Connection" command="timesheet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E234BF28-6C5C-4297-A547-FECDFE5BB10D}" keepAlive="1" name="ModelConnection_ExternalData_8" description="Data Model" type="5" refreshedVersion="8" minRefreshableVersion="5" saveData="1">
    <dbPr connection="Data Model Connection" command="wbs_elements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ADBD5247-9622-4ED0-86DC-5860D7BE748E}" name="Query - material_costs" description="Connection to the 'material_costs' query in the workbook." type="100" refreshedVersion="8" minRefreshableVersion="5">
    <extLst>
      <ext xmlns:x15="http://schemas.microsoft.com/office/spreadsheetml/2010/11/main" uri="{DE250136-89BD-433C-8126-D09CA5730AF9}">
        <x15:connection id="0e1c11a5-562d-438d-87f1-41df584e89b9"/>
      </ext>
    </extLst>
  </connection>
  <connection id="10" xr16:uid="{F3FD1D24-74CE-4695-96F0-DA1004197744}" name="Query - physical_progress" description="Connection to the 'physical_progress' query in the workbook." type="100" refreshedVersion="8" minRefreshableVersion="5">
    <extLst>
      <ext xmlns:x15="http://schemas.microsoft.com/office/spreadsheetml/2010/11/main" uri="{DE250136-89BD-433C-8126-D09CA5730AF9}">
        <x15:connection id="514be8ef-6b23-4f4e-ba5c-dfa1d4bb2d7f"/>
      </ext>
    </extLst>
  </connection>
  <connection id="11" xr16:uid="{E995747E-1A18-4CFC-8E72-C72E6013853B}" name="Query - projects" description="Connection to the 'projects' query in the workbook." type="100" refreshedVersion="8" minRefreshableVersion="5">
    <extLst>
      <ext xmlns:x15="http://schemas.microsoft.com/office/spreadsheetml/2010/11/main" uri="{DE250136-89BD-433C-8126-D09CA5730AF9}">
        <x15:connection id="35e1d18a-716f-4710-b784-a93efb3c99ae"/>
      </ext>
    </extLst>
  </connection>
  <connection id="12" xr16:uid="{252EBBFA-5B3E-48D6-BE61-385835AA2B42}" name="Query - raid_log" description="Connection to the 'raid_log' query in the workbook." type="100" refreshedVersion="8" minRefreshableVersion="5">
    <extLst>
      <ext xmlns:x15="http://schemas.microsoft.com/office/spreadsheetml/2010/11/main" uri="{DE250136-89BD-433C-8126-D09CA5730AF9}">
        <x15:connection id="4841599e-aaf3-4dd8-a29c-978f9c45cf1c"/>
      </ext>
    </extLst>
  </connection>
  <connection id="13" xr16:uid="{89433DDB-13D1-4BA0-A582-269279DF191D}" name="Query - resource_assignments" description="Connection to the 'resource_assignments' query in the workbook." type="100" refreshedVersion="8" minRefreshableVersion="5">
    <extLst>
      <ext xmlns:x15="http://schemas.microsoft.com/office/spreadsheetml/2010/11/main" uri="{DE250136-89BD-433C-8126-D09CA5730AF9}">
        <x15:connection id="ed686f14-84b5-414e-b2fd-6cf5394ca77e"/>
      </ext>
    </extLst>
  </connection>
  <connection id="14" xr16:uid="{B7D933C3-6C7B-4356-994C-5C0D87807392}" name="Query - resources" description="Connection to the 'resources' query in the workbook." type="100" refreshedVersion="8" minRefreshableVersion="5">
    <extLst>
      <ext xmlns:x15="http://schemas.microsoft.com/office/spreadsheetml/2010/11/main" uri="{DE250136-89BD-433C-8126-D09CA5730AF9}">
        <x15:connection id="112975ae-f5b9-46b5-8a1f-9a7f208e78a4"/>
      </ext>
    </extLst>
  </connection>
  <connection id="15" xr16:uid="{F5BBD40C-2898-47B4-9352-406DBA922810}" name="Query - timesheets" description="Connection to the 'timesheets' query in the workbook." type="100" refreshedVersion="8" minRefreshableVersion="5">
    <extLst>
      <ext xmlns:x15="http://schemas.microsoft.com/office/spreadsheetml/2010/11/main" uri="{DE250136-89BD-433C-8126-D09CA5730AF9}">
        <x15:connection id="a5799cb7-85d7-476d-adec-4f37bc163da5"/>
      </ext>
    </extLst>
  </connection>
  <connection id="16" xr16:uid="{2FDC95A9-A1E7-4C43-A470-35D042E8BEFC}" name="Query - wbs_elements" description="Connection to the 'wbs_elements' query in the workbook." type="100" refreshedVersion="8" minRefreshableVersion="5">
    <extLst>
      <ext xmlns:x15="http://schemas.microsoft.com/office/spreadsheetml/2010/11/main" uri="{DE250136-89BD-433C-8126-D09CA5730AF9}">
        <x15:connection id="6798f4de-493b-426c-b58b-4d7b0a147373"/>
      </ext>
    </extLst>
  </connection>
  <connection id="17" xr16:uid="{5B29C6CA-CF68-4A7E-97CE-D5AA7737CD9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<sst xmlns="http://schemas.openxmlformats.org/spreadsheetml/2006/main" count="2081" uniqueCount="708">
  <si>
    <t>PurchaseID</t>
  </si>
  <si>
    <t>WBS_ID</t>
  </si>
  <si>
    <t>PurchaseDate</t>
  </si>
  <si>
    <t>Description</t>
  </si>
  <si>
    <t>Quantity</t>
  </si>
  <si>
    <t>UnitPrice</t>
  </si>
  <si>
    <t>TotalActualCost</t>
  </si>
  <si>
    <t>INV-001</t>
  </si>
  <si>
    <t>WBS-002</t>
  </si>
  <si>
    <t>Structural Composite Carbon Sheets</t>
  </si>
  <si>
    <t>INV-002</t>
  </si>
  <si>
    <t>Epoxy Resin Infusion Kit</t>
  </si>
  <si>
    <t>INV-003</t>
  </si>
  <si>
    <t>Steel Support Beam Frames</t>
  </si>
  <si>
    <t>INV-004</t>
  </si>
  <si>
    <t>Additional Epoxies (Overrun material)</t>
  </si>
  <si>
    <t>INV-005</t>
  </si>
  <si>
    <t>WBS-003</t>
  </si>
  <si>
    <t>Marine Cabin Electrical Wiring</t>
  </si>
  <si>
    <t>INV-006</t>
  </si>
  <si>
    <t>Simrad Integrated Marine Dashboard</t>
  </si>
  <si>
    <t>INV-007</t>
  </si>
  <si>
    <t>Twin Electric Inboard Engines</t>
  </si>
  <si>
    <t>INV-008</t>
  </si>
  <si>
    <t>Battery Storage Bank Lithium 10kWh</t>
  </si>
  <si>
    <t>INV-009</t>
  </si>
  <si>
    <t>WBS-004</t>
  </si>
  <si>
    <t>DNV Safety &amp; Compliance Certification</t>
  </si>
  <si>
    <t>INV-010</t>
  </si>
  <si>
    <t>Test Trial Bio-Fuel &amp; Supplies</t>
  </si>
  <si>
    <t>MAT-3001</t>
  </si>
  <si>
    <t>WBS-008</t>
  </si>
  <si>
    <t>Steel Frame Pre-payment Deposit</t>
  </si>
  <si>
    <t>MAT-4001</t>
  </si>
  <si>
    <t>WBS-010</t>
  </si>
  <si>
    <t>Consumables &amp; Steel Plates</t>
  </si>
  <si>
    <t>MAT-5001</t>
  </si>
  <si>
    <t>WBS-012</t>
  </si>
  <si>
    <t>Paint &amp; Marine Alloy Plates</t>
  </si>
  <si>
    <t>MAT-6001</t>
  </si>
  <si>
    <t>WBS-014</t>
  </si>
  <si>
    <t>Composite Cutting Fiber</t>
  </si>
  <si>
    <t>ProgressID</t>
  </si>
  <si>
    <t>RecordDate</t>
  </si>
  <si>
    <t>PercentComplete</t>
  </si>
  <si>
    <t>ReportedBy</t>
  </si>
  <si>
    <t>PRG-0001</t>
  </si>
  <si>
    <t>WBS-001</t>
  </si>
  <si>
    <t>Frank Ellingsen</t>
  </si>
  <si>
    <t>PRG-0002</t>
  </si>
  <si>
    <t>PRG-0003</t>
  </si>
  <si>
    <t>PRG-0004</t>
  </si>
  <si>
    <t>PRG-0005</t>
  </si>
  <si>
    <t>PRG-0006</t>
  </si>
  <si>
    <t>PRG-0007</t>
  </si>
  <si>
    <t>PRG-0008</t>
  </si>
  <si>
    <t>PRG-0009</t>
  </si>
  <si>
    <t>PRG-0010</t>
  </si>
  <si>
    <t>PRG-0011</t>
  </si>
  <si>
    <t>PRG-0012</t>
  </si>
  <si>
    <t>PRG-0013</t>
  </si>
  <si>
    <t>PRG-0014</t>
  </si>
  <si>
    <t>PRG-0015</t>
  </si>
  <si>
    <t>PRG-0016</t>
  </si>
  <si>
    <t>PRG-0017</t>
  </si>
  <si>
    <t>PRG-0018</t>
  </si>
  <si>
    <t>PRG-0019</t>
  </si>
  <si>
    <t>PRG-0020</t>
  </si>
  <si>
    <t>PRG-0021</t>
  </si>
  <si>
    <t>PRG-0022</t>
  </si>
  <si>
    <t>PRG-0023</t>
  </si>
  <si>
    <t>PRG-0024</t>
  </si>
  <si>
    <t>PRG-0025</t>
  </si>
  <si>
    <t>PRG-0026</t>
  </si>
  <si>
    <t>PRG-0027</t>
  </si>
  <si>
    <t>PRG-0028</t>
  </si>
  <si>
    <t>PRG-0029</t>
  </si>
  <si>
    <t>PRG-0030</t>
  </si>
  <si>
    <t>PRG-0031</t>
  </si>
  <si>
    <t>PRG-0032</t>
  </si>
  <si>
    <t>PRG-0033</t>
  </si>
  <si>
    <t>PRG-0034</t>
  </si>
  <si>
    <t>PRG-0035</t>
  </si>
  <si>
    <t>PRG-0036</t>
  </si>
  <si>
    <t>PRG-0037</t>
  </si>
  <si>
    <t>PRG-0038</t>
  </si>
  <si>
    <t>PRG-0039</t>
  </si>
  <si>
    <t>PRG-0040</t>
  </si>
  <si>
    <t>PRG-0041</t>
  </si>
  <si>
    <t>PRG-0042</t>
  </si>
  <si>
    <t>PRG-0043</t>
  </si>
  <si>
    <t>PRG-0044</t>
  </si>
  <si>
    <t>PRG-0045</t>
  </si>
  <si>
    <t>PRG-0046</t>
  </si>
  <si>
    <t>PRG-0047</t>
  </si>
  <si>
    <t>PRG-2001</t>
  </si>
  <si>
    <t>WBS-005</t>
  </si>
  <si>
    <t>PRG-2002</t>
  </si>
  <si>
    <t>WBS-006</t>
  </si>
  <si>
    <t>PRG-3001</t>
  </si>
  <si>
    <t>WBS-007</t>
  </si>
  <si>
    <t>PRG-3002</t>
  </si>
  <si>
    <t>PRG-4001</t>
  </si>
  <si>
    <t>WBS-009</t>
  </si>
  <si>
    <t>PRG-4002</t>
  </si>
  <si>
    <t>PRG-5001</t>
  </si>
  <si>
    <t>WBS-011</t>
  </si>
  <si>
    <t>PRG-5002</t>
  </si>
  <si>
    <t>PRG-6001</t>
  </si>
  <si>
    <t>WBS-013</t>
  </si>
  <si>
    <t>PRG-6002</t>
  </si>
  <si>
    <t>ProjectID</t>
  </si>
  <si>
    <t>ProjectName</t>
  </si>
  <si>
    <t>ProjectManager</t>
  </si>
  <si>
    <t>BudgetAtCompletion_BAC</t>
  </si>
  <si>
    <t>StartDate</t>
  </si>
  <si>
    <t>EndDate</t>
  </si>
  <si>
    <t>Status</t>
  </si>
  <si>
    <t>PRJ-001</t>
  </si>
  <si>
    <t>Composite Maritime Vessel Construction</t>
  </si>
  <si>
    <t>Morten Hansen</t>
  </si>
  <si>
    <t>Completed</t>
  </si>
  <si>
    <t>PRJ-002</t>
  </si>
  <si>
    <t>PRJ-002: Patrol Vessel Carbon Mold Design</t>
  </si>
  <si>
    <t>Planned</t>
  </si>
  <si>
    <t>PRJ-003</t>
  </si>
  <si>
    <t>PRJ-003: Subsea Cable Installation Frame</t>
  </si>
  <si>
    <t>Erik Johansen</t>
  </si>
  <si>
    <t>Active</t>
  </si>
  <si>
    <t>PRJ-004</t>
  </si>
  <si>
    <t>PRJ-004: Autonomous Workboat Hull Weldments</t>
  </si>
  <si>
    <t>Astrid Nilsen</t>
  </si>
  <si>
    <t>PRJ-005</t>
  </si>
  <si>
    <t>PRJ-005: Defense Logistics Pontoon Build</t>
  </si>
  <si>
    <t>PRJ-006</t>
  </si>
  <si>
    <t>PRJ-006: Lightweight Composite Cargo Hatch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</si>
  <si>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</si>
  <si>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</si>
  <si>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</si>
  <si>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</si>
  <si>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</si>
  <si>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</si>
  <si>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</si>
  <si>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</si>
  <si>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RiskID</t>
  </si>
  <si>
    <t>Type</t>
  </si>
  <si>
    <t>Impact</t>
  </si>
  <si>
    <t>Probability</t>
  </si>
  <si>
    <t>MitigationStrategy</t>
  </si>
  <si>
    <t>Owner</t>
  </si>
  <si>
    <t>R-001</t>
  </si>
  <si>
    <t>Risk</t>
  </si>
  <si>
    <t>Delay in composite carbon sheet deliveries from overseas supplier</t>
  </si>
  <si>
    <t>High</t>
  </si>
  <si>
    <t>Medium</t>
  </si>
  <si>
    <t>Pre-order early or source alternative local supplier</t>
  </si>
  <si>
    <t>A-001</t>
  </si>
  <si>
    <t>Assumption</t>
  </si>
  <si>
    <t>Subcontractor electrician rates remain fixed under contract</t>
  </si>
  <si>
    <t>Low</t>
  </si>
  <si>
    <t>Keep signed SLA agreements as references</t>
  </si>
  <si>
    <t>Closed</t>
  </si>
  <si>
    <t>I-001</t>
  </si>
  <si>
    <t>Issue</t>
  </si>
  <si>
    <t>Astrid Nilsen welder overtime limit breached due to recovery fabrication schedule</t>
  </si>
  <si>
    <t>Allocate junior welder to assist with low-priority tasks</t>
  </si>
  <si>
    <t>D-001</t>
  </si>
  <si>
    <t>Dependency</t>
  </si>
  <si>
    <t>Sea trials (WBS 4.0) depend on DNV safety and compliance certification approval</t>
  </si>
  <si>
    <t>Submit compliance paperwork 2 weeks in advance of handover date</t>
  </si>
  <si>
    <t>AssignmentID</t>
  </si>
  <si>
    <t>ResourceID</t>
  </si>
  <si>
    <t>AllocatedHours</t>
  </si>
  <si>
    <t>ASG-001</t>
  </si>
  <si>
    <t>RES-001</t>
  </si>
  <si>
    <t>ASG-002</t>
  </si>
  <si>
    <t>RES-002</t>
  </si>
  <si>
    <t>ASG-003</t>
  </si>
  <si>
    <t>RES-003</t>
  </si>
  <si>
    <t>ASG-004</t>
  </si>
  <si>
    <t>RES-004</t>
  </si>
  <si>
    <t>ASG-005</t>
  </si>
  <si>
    <t>ASG-006</t>
  </si>
  <si>
    <t>RES-005</t>
  </si>
  <si>
    <t>ASG-007</t>
  </si>
  <si>
    <t>ASG-008</t>
  </si>
  <si>
    <t>ASG-009</t>
  </si>
  <si>
    <t>ASG-010</t>
  </si>
  <si>
    <t>ASG-011</t>
  </si>
  <si>
    <t>ASG-012</t>
  </si>
  <si>
    <t>ASG-013</t>
  </si>
  <si>
    <t>ASG-014</t>
  </si>
  <si>
    <t>ASG-015</t>
  </si>
  <si>
    <t>ASG-016</t>
  </si>
  <si>
    <t>ASG-017</t>
  </si>
  <si>
    <t>ResourceName</t>
  </si>
  <si>
    <t>Role</t>
  </si>
  <si>
    <t>HourlyRate</t>
  </si>
  <si>
    <t>Project Controller</t>
  </si>
  <si>
    <t>Project Manager</t>
  </si>
  <si>
    <t>Senior Design Engineer</t>
  </si>
  <si>
    <t>Structural Welder</t>
  </si>
  <si>
    <t>Lars Olsen</t>
  </si>
  <si>
    <t>Marine Electrician</t>
  </si>
  <si>
    <t>TimesheetID</t>
  </si>
  <si>
    <t>WorkDate</t>
  </si>
  <si>
    <t>HoursWorked</t>
  </si>
  <si>
    <t>ApprovalStatus</t>
  </si>
  <si>
    <t>TS-0001</t>
  </si>
  <si>
    <t>Approved</t>
  </si>
  <si>
    <t>TS-0002</t>
  </si>
  <si>
    <t>TS-0003</t>
  </si>
  <si>
    <t>TS-0004</t>
  </si>
  <si>
    <t>TS-0005</t>
  </si>
  <si>
    <t>TS-0006</t>
  </si>
  <si>
    <t>TS-0007</t>
  </si>
  <si>
    <t>TS-0008</t>
  </si>
  <si>
    <t>TS-0009</t>
  </si>
  <si>
    <t>TS-0010</t>
  </si>
  <si>
    <t>TS-0011</t>
  </si>
  <si>
    <t>TS-0012</t>
  </si>
  <si>
    <t>TS-0013</t>
  </si>
  <si>
    <t>TS-0014</t>
  </si>
  <si>
    <t>TS-0015</t>
  </si>
  <si>
    <t>TS-0016</t>
  </si>
  <si>
    <t>TS-0017</t>
  </si>
  <si>
    <t>TS-0018</t>
  </si>
  <si>
    <t>TS-0019</t>
  </si>
  <si>
    <t>TS-0020</t>
  </si>
  <si>
    <t>TS-0021</t>
  </si>
  <si>
    <t>TS-0022</t>
  </si>
  <si>
    <t>TS-0023</t>
  </si>
  <si>
    <t>TS-0024</t>
  </si>
  <si>
    <t>TS-0025</t>
  </si>
  <si>
    <t>TS-0026</t>
  </si>
  <si>
    <t>TS-0027</t>
  </si>
  <si>
    <t>TS-0028</t>
  </si>
  <si>
    <t>TS-0029</t>
  </si>
  <si>
    <t>TS-0030</t>
  </si>
  <si>
    <t>TS-0031</t>
  </si>
  <si>
    <t>TS-0032</t>
  </si>
  <si>
    <t>TS-0033</t>
  </si>
  <si>
    <t>TS-0034</t>
  </si>
  <si>
    <t>TS-0035</t>
  </si>
  <si>
    <t>TS-0036</t>
  </si>
  <si>
    <t>TS-0037</t>
  </si>
  <si>
    <t>TS-0038</t>
  </si>
  <si>
    <t>TS-0039</t>
  </si>
  <si>
    <t>TS-0040</t>
  </si>
  <si>
    <t>TS-0041</t>
  </si>
  <si>
    <t>TS-0042</t>
  </si>
  <si>
    <t>TS-0043</t>
  </si>
  <si>
    <t>TS-0044</t>
  </si>
  <si>
    <t>TS-0045</t>
  </si>
  <si>
    <t>TS-0046</t>
  </si>
  <si>
    <t>TS-0047</t>
  </si>
  <si>
    <t>TS-0048</t>
  </si>
  <si>
    <t>TS-0049</t>
  </si>
  <si>
    <t>TS-0050</t>
  </si>
  <si>
    <t>TS-0051</t>
  </si>
  <si>
    <t>TS-0052</t>
  </si>
  <si>
    <t>TS-0053</t>
  </si>
  <si>
    <t>TS-0054</t>
  </si>
  <si>
    <t>TS-0055</t>
  </si>
  <si>
    <t>TS-0056</t>
  </si>
  <si>
    <t>TS-0057</t>
  </si>
  <si>
    <t>TS-0058</t>
  </si>
  <si>
    <t>TS-0059</t>
  </si>
  <si>
    <t>TS-0060</t>
  </si>
  <si>
    <t>TS-0061</t>
  </si>
  <si>
    <t>TS-0062</t>
  </si>
  <si>
    <t>TS-0063</t>
  </si>
  <si>
    <t>TS-0064</t>
  </si>
  <si>
    <t>TS-0065</t>
  </si>
  <si>
    <t>TS-0066</t>
  </si>
  <si>
    <t>TS-0067</t>
  </si>
  <si>
    <t>TS-0068</t>
  </si>
  <si>
    <t>TS-0069</t>
  </si>
  <si>
    <t>TS-0070</t>
  </si>
  <si>
    <t>TS-0071</t>
  </si>
  <si>
    <t>TS-0072</t>
  </si>
  <si>
    <t>TS-0073</t>
  </si>
  <si>
    <t>TS-0074</t>
  </si>
  <si>
    <t>TS-0075</t>
  </si>
  <si>
    <t>TS-0076</t>
  </si>
  <si>
    <t>TS-0077</t>
  </si>
  <si>
    <t>TS-0078</t>
  </si>
  <si>
    <t>TS-0079</t>
  </si>
  <si>
    <t>TS-0080</t>
  </si>
  <si>
    <t>TS-0081</t>
  </si>
  <si>
    <t>TS-0082</t>
  </si>
  <si>
    <t>TS-0083</t>
  </si>
  <si>
    <t>TS-0084</t>
  </si>
  <si>
    <t>TS-0085</t>
  </si>
  <si>
    <t>TS-0086</t>
  </si>
  <si>
    <t>TS-0087</t>
  </si>
  <si>
    <t>TS-0088</t>
  </si>
  <si>
    <t>TS-0089</t>
  </si>
  <si>
    <t>TS-0090</t>
  </si>
  <si>
    <t>TS-0091</t>
  </si>
  <si>
    <t>TS-0092</t>
  </si>
  <si>
    <t>TS-0093</t>
  </si>
  <si>
    <t>TS-0094</t>
  </si>
  <si>
    <t>TS-0095</t>
  </si>
  <si>
    <t>TS-0096</t>
  </si>
  <si>
    <t>TS-0097</t>
  </si>
  <si>
    <t>TS-0098</t>
  </si>
  <si>
    <t>TS-0099</t>
  </si>
  <si>
    <t>TS-0100</t>
  </si>
  <si>
    <t>TS-0101</t>
  </si>
  <si>
    <t>TS-0102</t>
  </si>
  <si>
    <t>TS-0103</t>
  </si>
  <si>
    <t>TS-0104</t>
  </si>
  <si>
    <t>TS-0105</t>
  </si>
  <si>
    <t>TS-0106</t>
  </si>
  <si>
    <t>TS-0107</t>
  </si>
  <si>
    <t>TS-0108</t>
  </si>
  <si>
    <t>TS-0109</t>
  </si>
  <si>
    <t>TS-0110</t>
  </si>
  <si>
    <t>TS-0111</t>
  </si>
  <si>
    <t>TS-0112</t>
  </si>
  <si>
    <t>TS-0113</t>
  </si>
  <si>
    <t>TS-0114</t>
  </si>
  <si>
    <t>TS-0115</t>
  </si>
  <si>
    <t>TS-0116</t>
  </si>
  <si>
    <t>TS-0117</t>
  </si>
  <si>
    <t>TS-0118</t>
  </si>
  <si>
    <t>TS-0119</t>
  </si>
  <si>
    <t>TS-0120</t>
  </si>
  <si>
    <t>TS-0121</t>
  </si>
  <si>
    <t>TS-0122</t>
  </si>
  <si>
    <t>TS-0123</t>
  </si>
  <si>
    <t>TS-0124</t>
  </si>
  <si>
    <t>TS-0125</t>
  </si>
  <si>
    <t>TS-0126</t>
  </si>
  <si>
    <t>TS-0127</t>
  </si>
  <si>
    <t>TS-0128</t>
  </si>
  <si>
    <t>TS-0129</t>
  </si>
  <si>
    <t>TS-0130</t>
  </si>
  <si>
    <t>TS-0131</t>
  </si>
  <si>
    <t>TS-0132</t>
  </si>
  <si>
    <t>TS-0133</t>
  </si>
  <si>
    <t>TS-0134</t>
  </si>
  <si>
    <t>TS-0135</t>
  </si>
  <si>
    <t>TS-0136</t>
  </si>
  <si>
    <t>TS-0137</t>
  </si>
  <si>
    <t>TS-0138</t>
  </si>
  <si>
    <t>TS-0139</t>
  </si>
  <si>
    <t>TS-0140</t>
  </si>
  <si>
    <t>TS-0141</t>
  </si>
  <si>
    <t>TS-0142</t>
  </si>
  <si>
    <t>TS-0143</t>
  </si>
  <si>
    <t>TS-0144</t>
  </si>
  <si>
    <t>TS-0145</t>
  </si>
  <si>
    <t>TS-0146</t>
  </si>
  <si>
    <t>TS-0147</t>
  </si>
  <si>
    <t>TS-0148</t>
  </si>
  <si>
    <t>TS-0149</t>
  </si>
  <si>
    <t>TS-0150</t>
  </si>
  <si>
    <t>TS-0151</t>
  </si>
  <si>
    <t>TS-0152</t>
  </si>
  <si>
    <t>TS-0153</t>
  </si>
  <si>
    <t>TS-0154</t>
  </si>
  <si>
    <t>TS-0155</t>
  </si>
  <si>
    <t>TS-0156</t>
  </si>
  <si>
    <t>TS-0157</t>
  </si>
  <si>
    <t>TS-0158</t>
  </si>
  <si>
    <t>TS-0159</t>
  </si>
  <si>
    <t>TS-0160</t>
  </si>
  <si>
    <t>TS-0161</t>
  </si>
  <si>
    <t>TS-0162</t>
  </si>
  <si>
    <t>TS-0163</t>
  </si>
  <si>
    <t>TS-0164</t>
  </si>
  <si>
    <t>TS-0165</t>
  </si>
  <si>
    <t>TS-0166</t>
  </si>
  <si>
    <t>TS-0167</t>
  </si>
  <si>
    <t>TS-0168</t>
  </si>
  <si>
    <t>TS-0169</t>
  </si>
  <si>
    <t>TS-0170</t>
  </si>
  <si>
    <t>TS-0171</t>
  </si>
  <si>
    <t>TS-0172</t>
  </si>
  <si>
    <t>TS-0173</t>
  </si>
  <si>
    <t>TS-0174</t>
  </si>
  <si>
    <t>TS-0175</t>
  </si>
  <si>
    <t>TS-0176</t>
  </si>
  <si>
    <t>TS-0177</t>
  </si>
  <si>
    <t>TS-0178</t>
  </si>
  <si>
    <t>TS-0179</t>
  </si>
  <si>
    <t>TS-0180</t>
  </si>
  <si>
    <t>TS-0181</t>
  </si>
  <si>
    <t>TS-0182</t>
  </si>
  <si>
    <t>TS-0183</t>
  </si>
  <si>
    <t>TS-0184</t>
  </si>
  <si>
    <t>TS-0185</t>
  </si>
  <si>
    <t>TS-0186</t>
  </si>
  <si>
    <t>TS-0187</t>
  </si>
  <si>
    <t>TS-0188</t>
  </si>
  <si>
    <t>TS-0189</t>
  </si>
  <si>
    <t>TS-0190</t>
  </si>
  <si>
    <t>TS-0191</t>
  </si>
  <si>
    <t>TS-0192</t>
  </si>
  <si>
    <t>TS-0193</t>
  </si>
  <si>
    <t>TS-0194</t>
  </si>
  <si>
    <t>TS-0195</t>
  </si>
  <si>
    <t>TS-0196</t>
  </si>
  <si>
    <t>TS-0197</t>
  </si>
  <si>
    <t>TS-0198</t>
  </si>
  <si>
    <t>TS-0199</t>
  </si>
  <si>
    <t>TS-0200</t>
  </si>
  <si>
    <t>TS-0201</t>
  </si>
  <si>
    <t>TS-0202</t>
  </si>
  <si>
    <t>TS-0203</t>
  </si>
  <si>
    <t>TS-0204</t>
  </si>
  <si>
    <t>TS-0205</t>
  </si>
  <si>
    <t>TS-0206</t>
  </si>
  <si>
    <t>TS-0207</t>
  </si>
  <si>
    <t>TS-0208</t>
  </si>
  <si>
    <t>TS-0209</t>
  </si>
  <si>
    <t>TS-0210</t>
  </si>
  <si>
    <t>TS-0211</t>
  </si>
  <si>
    <t>TS-0212</t>
  </si>
  <si>
    <t>TS-0213</t>
  </si>
  <si>
    <t>TS-0214</t>
  </si>
  <si>
    <t>TS-0215</t>
  </si>
  <si>
    <t>TS-0216</t>
  </si>
  <si>
    <t>TS-0217</t>
  </si>
  <si>
    <t>TS-0218</t>
  </si>
  <si>
    <t>TS-0219</t>
  </si>
  <si>
    <t>TS-0220</t>
  </si>
  <si>
    <t>TS-0221</t>
  </si>
  <si>
    <t>TS-0222</t>
  </si>
  <si>
    <t>TS-0223</t>
  </si>
  <si>
    <t>TS-0224</t>
  </si>
  <si>
    <t>TS-0225</t>
  </si>
  <si>
    <t>TS-0226</t>
  </si>
  <si>
    <t>TS-0227</t>
  </si>
  <si>
    <t>TS-0228</t>
  </si>
  <si>
    <t>TS-0229</t>
  </si>
  <si>
    <t>TS-0230</t>
  </si>
  <si>
    <t>TS-0231</t>
  </si>
  <si>
    <t>TS-0232</t>
  </si>
  <si>
    <t>TS-0233</t>
  </si>
  <si>
    <t>TS-0234</t>
  </si>
  <si>
    <t>TS-0235</t>
  </si>
  <si>
    <t>TS-0236</t>
  </si>
  <si>
    <t>TS-0237</t>
  </si>
  <si>
    <t>TS-0238</t>
  </si>
  <si>
    <t>TS-0239</t>
  </si>
  <si>
    <t>TS-0240</t>
  </si>
  <si>
    <t>TS-0241</t>
  </si>
  <si>
    <t>TS-0242</t>
  </si>
  <si>
    <t>TS-0243</t>
  </si>
  <si>
    <t>TS-0244</t>
  </si>
  <si>
    <t>TS-0245</t>
  </si>
  <si>
    <t>TS-0246</t>
  </si>
  <si>
    <t>TS-0247</t>
  </si>
  <si>
    <t>TS-0248</t>
  </si>
  <si>
    <t>TS-0249</t>
  </si>
  <si>
    <t>TS-0250</t>
  </si>
  <si>
    <t>TS-0251</t>
  </si>
  <si>
    <t>TS-0252</t>
  </si>
  <si>
    <t>TS-0253</t>
  </si>
  <si>
    <t>TS-0254</t>
  </si>
  <si>
    <t>TS-0255</t>
  </si>
  <si>
    <t>TS-0256</t>
  </si>
  <si>
    <t>TS-0257</t>
  </si>
  <si>
    <t>TS-0258</t>
  </si>
  <si>
    <t>TS-0259</t>
  </si>
  <si>
    <t>TS-0260</t>
  </si>
  <si>
    <t>TS-0261</t>
  </si>
  <si>
    <t>TS-0262</t>
  </si>
  <si>
    <t>TS-0263</t>
  </si>
  <si>
    <t>TS-0264</t>
  </si>
  <si>
    <t>TS-0265</t>
  </si>
  <si>
    <t>TS-0266</t>
  </si>
  <si>
    <t>TS-0267</t>
  </si>
  <si>
    <t>TS-0268</t>
  </si>
  <si>
    <t>TS-0269</t>
  </si>
  <si>
    <t>TS-0270</t>
  </si>
  <si>
    <t>TS-0271</t>
  </si>
  <si>
    <t>TS-0272</t>
  </si>
  <si>
    <t>TS-0273</t>
  </si>
  <si>
    <t>TS-0274</t>
  </si>
  <si>
    <t>TS-0275</t>
  </si>
  <si>
    <t>TS-0276</t>
  </si>
  <si>
    <t>TS-0277</t>
  </si>
  <si>
    <t>TS-0278</t>
  </si>
  <si>
    <t>TS-0279</t>
  </si>
  <si>
    <t>TS-0280</t>
  </si>
  <si>
    <t>TS-0281</t>
  </si>
  <si>
    <t>TS-0282</t>
  </si>
  <si>
    <t>TS-0283</t>
  </si>
  <si>
    <t>TS-0284</t>
  </si>
  <si>
    <t>TS-0285</t>
  </si>
  <si>
    <t>TS-0286</t>
  </si>
  <si>
    <t>TS-0287</t>
  </si>
  <si>
    <t>TS-0288</t>
  </si>
  <si>
    <t>TS-0289</t>
  </si>
  <si>
    <t>TS-0290</t>
  </si>
  <si>
    <t>TS-0291</t>
  </si>
  <si>
    <t>TS-0292</t>
  </si>
  <si>
    <t>TS-3001</t>
  </si>
  <si>
    <t>TS-4001</t>
  </si>
  <si>
    <t>TS-4002</t>
  </si>
  <si>
    <t>TS-5001</t>
  </si>
  <si>
    <t>TS-5002</t>
  </si>
  <si>
    <t>TS-6001</t>
  </si>
  <si>
    <t>TS-6002</t>
  </si>
  <si>
    <t>WBS_Code</t>
  </si>
  <si>
    <t>ElementName</t>
  </si>
  <si>
    <t>PlannedCost</t>
  </si>
  <si>
    <t>PlannedHours</t>
  </si>
  <si>
    <t>Project Management &amp; Engineering</t>
  </si>
  <si>
    <t>Hull Fabrication &amp; Assembly</t>
  </si>
  <si>
    <t>Outfitting &amp; Integration</t>
  </si>
  <si>
    <t>Sea Trials &amp; Handover</t>
  </si>
  <si>
    <t>Design &amp; CFD Analysis</t>
  </si>
  <si>
    <t>Material Procurement</t>
  </si>
  <si>
    <t>Structural Frame Engineering</t>
  </si>
  <si>
    <t>Steel Fabrication</t>
  </si>
  <si>
    <t>Engineering Drawings &amp; Class Approval</t>
  </si>
  <si>
    <t>Hull Welding &amp; Assembly</t>
  </si>
  <si>
    <t>Project Control &amp; PM</t>
  </si>
  <si>
    <t>Pontoon Assembly &amp; Painting</t>
  </si>
  <si>
    <t>Hatch Engineering &amp; FEA</t>
  </si>
  <si>
    <t>Molding &amp; Testing</t>
  </si>
  <si>
    <t>Project Portfolio Data Model</t>
  </si>
  <si>
    <t>Relational map inferred from the 8 workbook tables. Native Power Pivot model creation is not exposed here, so this sheet documents the model and keeps integrity checks live with workbook formulas.</t>
  </si>
  <si>
    <t>Story in brief: Projects and resources are the two master dimensions. WBS elements are the central bridge connecting planned work, labor actuals, material actuals, and physical progress. All tested foreign-key relationships currently resolve with no unmatched keys; raid_log should be normalized before it is joined into reporting.</t>
  </si>
  <si>
    <t>Table</t>
  </si>
  <si>
    <t>Primary key</t>
  </si>
  <si>
    <t>Grain</t>
  </si>
  <si>
    <t>Rows</t>
  </si>
  <si>
    <t>Purpose</t>
  </si>
  <si>
    <t>Notes</t>
  </si>
  <si>
    <t>projects</t>
  </si>
  <si>
    <t>1 row per project</t>
  </si>
  <si>
    <t>Portfolio project master: dates, owner, BAC, status</t>
  </si>
  <si>
    <t>Parent for WBS; project manager can map to resources by name</t>
  </si>
  <si>
    <t>resources</t>
  </si>
  <si>
    <t>1 row per person/resource</t>
  </si>
  <si>
    <t>Labor resource master with role and hourly rate</t>
  </si>
  <si>
    <t>Parent for timesheets and assignments</t>
  </si>
  <si>
    <t>wbs_elements</t>
  </si>
  <si>
    <t>1 row per WBS element</t>
  </si>
  <si>
    <t>Work breakdown structure under each project</t>
  </si>
  <si>
    <t>Central bridge between projects, labor, materials, and progress</t>
  </si>
  <si>
    <t>resource_assignments</t>
  </si>
  <si>
    <t>1 row per planned resource allocation to WBS</t>
  </si>
  <si>
    <t>Planned hours by resource and WBS</t>
  </si>
  <si>
    <t>Fact table for planned labor allocation</t>
  </si>
  <si>
    <t>material_costs</t>
  </si>
  <si>
    <t>1 row per material purchase</t>
  </si>
  <si>
    <t>Actual material purchases and cost by WBS</t>
  </si>
  <si>
    <t>Fact table for material actuals</t>
  </si>
  <si>
    <t>timesheets</t>
  </si>
  <si>
    <t>1 row per resource/WBS work entry</t>
  </si>
  <si>
    <t>Actual labor hours by date, resource, and WBS</t>
  </si>
  <si>
    <t>Fact table for labor actuals</t>
  </si>
  <si>
    <t>physical_progress</t>
  </si>
  <si>
    <t>1 row per progress update</t>
  </si>
  <si>
    <t>Reported percent complete by WBS and date</t>
  </si>
  <si>
    <t>Fact table for earned progress</t>
  </si>
  <si>
    <t>raid_log</t>
  </si>
  <si>
    <t>RiskID*</t>
  </si>
  <si>
    <t>From table</t>
  </si>
  <si>
    <t>From key</t>
  </si>
  <si>
    <t>To table</t>
  </si>
  <si>
    <t>To key</t>
  </si>
  <si>
    <t>Cardinality</t>
  </si>
  <si>
    <t>Rows tested</t>
  </si>
  <si>
    <t>Unmatched FK</t>
  </si>
  <si>
    <t>Many-to-one by name</t>
  </si>
  <si>
    <t>Many-to-one</t>
  </si>
  <si>
    <t>Field</t>
  </si>
  <si>
    <t>Project identifier</t>
  </si>
  <si>
    <t>Attribute</t>
  </si>
  <si>
    <t>Project display name</t>
  </si>
  <si>
    <t>Foreign key by name</t>
  </si>
  <si>
    <t>Maps to resources[ResourceName]</t>
  </si>
  <si>
    <t>Measure base</t>
  </si>
  <si>
    <t>Approved baseline budget</t>
  </si>
  <si>
    <t>Date</t>
  </si>
  <si>
    <t>Planned/actual start</t>
  </si>
  <si>
    <t>Planned/actual finish</t>
  </si>
  <si>
    <t>Project lifecycle status</t>
  </si>
  <si>
    <t>Resource identifier</t>
  </si>
  <si>
    <t>Alternate key</t>
  </si>
  <si>
    <t>Person/resource name</t>
  </si>
  <si>
    <t>Resource role</t>
  </si>
  <si>
    <t>Cost rate per hour</t>
  </si>
  <si>
    <t>WBS identifier</t>
  </si>
  <si>
    <t>Foreign key</t>
  </si>
  <si>
    <t>Maps to projects[ProjectID]</t>
  </si>
  <si>
    <t>WBS numeric/code</t>
  </si>
  <si>
    <t>WBS element name</t>
  </si>
  <si>
    <t>Planned cost for element</t>
  </si>
  <si>
    <t>Planned hours for element</t>
  </si>
  <si>
    <t>Assignment identifier</t>
  </si>
  <si>
    <t>Maps to wbs_elements[WBS_ID]</t>
  </si>
  <si>
    <t>Maps to resources[ResourceID]</t>
  </si>
  <si>
    <t>Planned allocation hours</t>
  </si>
  <si>
    <t>Purchase/invoice identifier</t>
  </si>
  <si>
    <t>Purchase date</t>
  </si>
  <si>
    <t>Material description</t>
  </si>
  <si>
    <t>Purchased quantity</t>
  </si>
  <si>
    <t>Price per unit</t>
  </si>
  <si>
    <t>Material actual cost</t>
  </si>
  <si>
    <t>Timesheet line identifier</t>
  </si>
  <si>
    <t>Work date</t>
  </si>
  <si>
    <t>Actual hours worked</t>
  </si>
  <si>
    <t>Approval state</t>
  </si>
  <si>
    <t>Progress record identifier</t>
  </si>
  <si>
    <t>Progress record date</t>
  </si>
  <si>
    <t>Reported completion percentage</t>
  </si>
  <si>
    <t>Primary key after normalization</t>
  </si>
  <si>
    <t>Currently stored in Column1 after embedded header row</t>
  </si>
  <si>
    <t>Type*</t>
  </si>
  <si>
    <t>Risk/assumption/issue/dependency</t>
  </si>
  <si>
    <t>Description*</t>
  </si>
  <si>
    <t>RAID description</t>
  </si>
  <si>
    <t>Impact*</t>
  </si>
  <si>
    <t>Impact level</t>
  </si>
  <si>
    <t>Probability*</t>
  </si>
  <si>
    <t>Probability level</t>
  </si>
  <si>
    <t>MitigationStrategy*</t>
  </si>
  <si>
    <t>Mitigation plan</t>
  </si>
  <si>
    <t>Owner*</t>
  </si>
  <si>
    <t>Can map to resources[ResourceName] after normalization</t>
  </si>
  <si>
    <t>Status*</t>
  </si>
  <si>
    <t>RAID status</t>
  </si>
  <si>
    <t>Portfolio Metrics Engine</t>
  </si>
  <si>
    <t>Live EVM calculations supporting the executive dashboard. Formulas follow EV = BAC × progress, CV = EV − AC, CPI = EV / AC, SPI = EV / PV, and EAC = BAC / CPI.</t>
  </si>
  <si>
    <t>Report Date</t>
  </si>
  <si>
    <t>WBS Code</t>
  </si>
  <si>
    <t>Element Name</t>
  </si>
  <si>
    <t>Planned Cost</t>
  </si>
  <si>
    <t>Planned Hours</t>
  </si>
  <si>
    <t>Latest Progress</t>
  </si>
  <si>
    <t>EV</t>
  </si>
  <si>
    <t>Labor AC</t>
  </si>
  <si>
    <t>Material AC</t>
  </si>
  <si>
    <t>AC</t>
  </si>
  <si>
    <t>CV</t>
  </si>
  <si>
    <t>CPI</t>
  </si>
  <si>
    <t>Project Name</t>
  </si>
  <si>
    <t>Manager</t>
  </si>
  <si>
    <t>BAC</t>
  </si>
  <si>
    <t>Start</t>
  </si>
  <si>
    <t>End</t>
  </si>
  <si>
    <t>Progress</t>
  </si>
  <si>
    <t>PV</t>
  </si>
  <si>
    <t>SV</t>
  </si>
  <si>
    <t>SPI</t>
  </si>
  <si>
    <t>EAC</t>
  </si>
  <si>
    <t>Forecast Variance</t>
  </si>
  <si>
    <t>Alert</t>
  </si>
  <si>
    <t>Recommended Action</t>
  </si>
  <si>
    <t>Metric</t>
  </si>
  <si>
    <t>Value</t>
  </si>
  <si>
    <t>Portfolio BAC</t>
  </si>
  <si>
    <t>Earned Value</t>
  </si>
  <si>
    <t>Actual Cost</t>
  </si>
  <si>
    <t>Cost Variance</t>
  </si>
  <si>
    <t>Portfolio CPI</t>
  </si>
  <si>
    <t>Portfolio EAC</t>
  </si>
  <si>
    <t>Active Projects</t>
  </si>
  <si>
    <t>Completed Projects</t>
  </si>
  <si>
    <t>Planned Projects</t>
  </si>
  <si>
    <t>Critical Projects</t>
  </si>
  <si>
    <t>Project</t>
  </si>
  <si>
    <t>Start Offset</t>
  </si>
  <si>
    <t>Duration</t>
  </si>
  <si>
    <t>Carbon sheet delivery delay from supplier</t>
  </si>
  <si>
    <t>Welder overtime limits exceeded in fabrication</t>
  </si>
  <si>
    <t>Sea trials depend on DNV class approval</t>
  </si>
  <si>
    <t>No.</t>
  </si>
  <si>
    <t>Recommendation</t>
  </si>
  <si>
    <t>Renegotiate outfitting contractor rates (WBS 1 &amp; 3)</t>
  </si>
  <si>
    <t>Shift composite fabricators to outfitting to optimize</t>
  </si>
  <si>
    <t>Enforce double-shift schedules to recover sea trials</t>
  </si>
  <si>
    <t>Integrate DuckDB tracking into future estimations</t>
  </si>
  <si>
    <t>Q2 2026 Project Portfolio Executive Review</t>
  </si>
  <si>
    <t>Six projects. One portfolio view. Clear decisions on cost, schedule, and risk — modeled after Project_Portfolio_Review.pptx and driven by live workbook tables.</t>
  </si>
  <si>
    <t>PORTFOLIO CPI</t>
  </si>
  <si>
    <t>Target: &gt; 1.00</t>
  </si>
  <si>
    <t>COST VARIANCE</t>
  </si>
  <si>
    <t>EV minus AC</t>
  </si>
  <si>
    <t>PROJECT MIX</t>
  </si>
  <si>
    <t>2 completed · 1 planned</t>
  </si>
  <si>
    <t>PORTFOLIO EAC</t>
  </si>
  <si>
    <t>Typical variance forecast</t>
  </si>
  <si>
    <t>PORTFOLIO HEALTH</t>
  </si>
  <si>
    <t>PROJECT CPI WATCHLIST</t>
  </si>
  <si>
    <t>EXECUTIVE PROJECT TABLE</t>
  </si>
  <si>
    <t>RAID &amp; RECOMMENDATIONS</t>
  </si>
  <si>
    <t>Variance</t>
  </si>
  <si>
    <t>Action</t>
  </si>
  <si>
    <t>Constraint</t>
  </si>
  <si>
    <t>RECOMMENDED ACTIONS</t>
  </si>
  <si>
    <t>RAG Legend</t>
  </si>
  <si>
    <t>Red</t>
  </si>
  <si>
    <t>Amber</t>
  </si>
  <si>
    <t>Green</t>
  </si>
  <si>
    <t>Rules</t>
  </si>
  <si>
    <t>CPI &lt; 0.95 / negative CV</t>
  </si>
  <si>
    <t>CPI 0.95–&lt;1.00, planned/watch, or zero CV</t>
  </si>
  <si>
    <t>CPI ≥ 1.00 / positive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</si>
</sst>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&quot;$&quot;#,##0"/>
    <numFmt numFmtId="166" formatCode="0.0%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i/>
      <sz val="11"/>
      <color rgb="FF486581"/>
      <name val="Aptos Narrow"/>
      <family val="2"/>
      <scheme val="minor"/>
    </font>
    <font>
      <sz val="11"/>
      <color rgb="FF102A43"/>
      <name val="Aptos Narrow"/>
      <family val="2"/>
      <scheme val="minor"/>
    </font>
    <font>
      <b/>
      <sz val="11"/>
      <color rgb="FF102A43"/>
      <name val="Aptos Narrow"/>
      <family val="2"/>
      <scheme val="minor"/>
    </font>
    <font>
      <b/>
      <sz val="11"/>
      <color rgb="FF48658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1"/>
      <color rgb="FF486581"/>
      <name val="Aptos Narrow"/>
      <family val="2"/>
      <scheme val="minor"/>
    </font>
    <font>
      <b/>
      <sz val="11"/>
      <color rgb="FFA80000"/>
      <name val="Aptos Narrow"/>
      <family val="2"/>
      <scheme val="minor"/>
    </font>
    <font>
      <b/>
      <sz val="11"/>
      <color rgb="FF8A5A00"/>
      <name val="Aptos Narrow"/>
      <family val="2"/>
      <scheme val="minor"/>
    </font>
    <font>
      <b/>
      <sz val="11"/>
      <color rgb="FF107C1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DDEFF2"/>
        <bgColor indexed="64"/>
      </patternFill>
    </fill>
    <fill>
      <patternFill patternType="solid">
        <fgColor rgb="FFF7C948"/>
        <bgColor indexed="64"/>
      </patternFill>
    </fill>
    <fill>
      <patternFill patternType="solid">
        <fgColor rgb="FF0B7A75"/>
        <bgColor indexed="64"/>
      </patternFill>
    </fill>
    <fill>
      <patternFill patternType="solid">
        <fgColor rgb="FFDFF6DD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0F6F8"/>
        <bgColor indexed="64"/>
      </patternFill>
    </fill>
    <fill>
      <patternFill patternType="solid">
        <fgColor rgb="FF486581"/>
        <bgColor indexed="64"/>
      </patternFill>
    </fill>
    <fill>
      <patternFill patternType="solid">
        <fgColor rgb="FFFDE7E9"/>
        <bgColor indexed="64"/>
      </patternFill>
    </fill>
    <fill>
      <patternFill patternType="solid">
        <fgColor rgb="FFFFF4CE"/>
        <bgColor indexed="64"/>
      </patternFill>
    </fill>
  </fills>
  <borders count="30">
    <border>
      <left/>
      <right/>
      <top/>
      <bottom/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 style="thin">
        <color rgb="FFD9E2EC"/>
      </right>
      <top/>
      <bottom style="thin">
        <color rgb="FFD9E2EC"/>
      </bottom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 style="thin">
        <color rgb="FFD9E2EC"/>
      </top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auto="1"/>
      </bottom>
      <diagonal/>
    </border>
    <border>
      <left/>
      <right style="thin">
        <color rgb="FFD9E2EC"/>
      </right>
      <top style="thin">
        <color auto="1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auto="1"/>
      </top>
      <bottom style="thin">
        <color rgb="FFD9E2E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D9E2EC"/>
      </right>
      <top style="thin">
        <color rgb="FFD9E2EC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2EC"/>
      </left>
      <right style="thin">
        <color auto="1"/>
      </right>
      <top style="thin">
        <color auto="1"/>
      </top>
      <bottom style="thin">
        <color rgb="FFD9E2EC"/>
      </bottom>
      <diagonal/>
    </border>
    <border>
      <left style="thin">
        <color rgb="FFD9E2EC"/>
      </left>
      <right style="thin">
        <color auto="1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auto="1"/>
      </right>
      <top style="thin">
        <color rgb="FFD9E2EC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0" fontId="4" fillId="0" borderId="0" xfId="0" applyFont="1" applyAlignment="1">
      <alignment wrapText="1"/>
    </xf>
    <xf numFmtId="0" fontId="5" fillId="3" borderId="0" xfId="0" applyFont="1" applyFill="1" applyAlignment="1">
      <alignment wrapText="1"/>
    </xf>
    <xf numFmtId="0" fontId="2" fillId="5" borderId="1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5" fillId="0" borderId="5" xfId="0" applyFont="1" applyBorder="1"/>
    <xf numFmtId="3" fontId="5" fillId="0" borderId="5" xfId="0" applyNumberFormat="1" applyFont="1" applyBorder="1"/>
    <xf numFmtId="0" fontId="5" fillId="0" borderId="0" xfId="0" applyFont="1"/>
    <xf numFmtId="0" fontId="5" fillId="0" borderId="14" xfId="0" applyFont="1" applyBorder="1"/>
    <xf numFmtId="0" fontId="5" fillId="0" borderId="10" xfId="0" applyFont="1" applyBorder="1"/>
    <xf numFmtId="0" fontId="5" fillId="0" borderId="18" xfId="0" applyFont="1" applyBorder="1"/>
    <xf numFmtId="0" fontId="5" fillId="0" borderId="17" xfId="0" applyFont="1" applyBorder="1" applyAlignment="1">
      <alignment wrapText="1"/>
    </xf>
    <xf numFmtId="0" fontId="6" fillId="4" borderId="5" xfId="0" applyFont="1" applyFill="1" applyBorder="1" applyAlignment="1">
      <alignment wrapText="1"/>
    </xf>
    <xf numFmtId="3" fontId="6" fillId="4" borderId="5" xfId="0" applyNumberFormat="1" applyFont="1" applyFill="1" applyBorder="1" applyAlignment="1">
      <alignment wrapText="1"/>
    </xf>
    <xf numFmtId="0" fontId="6" fillId="4" borderId="17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5" fillId="0" borderId="4" xfId="0" applyFont="1" applyBorder="1"/>
    <xf numFmtId="0" fontId="6" fillId="4" borderId="4" xfId="0" applyFont="1" applyFill="1" applyBorder="1" applyAlignment="1">
      <alignment wrapText="1"/>
    </xf>
    <xf numFmtId="0" fontId="5" fillId="0" borderId="6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3" fontId="5" fillId="0" borderId="8" xfId="0" applyNumberFormat="1" applyFont="1" applyBorder="1"/>
    <xf numFmtId="0" fontId="5" fillId="0" borderId="9" xfId="0" applyFont="1" applyBorder="1" applyAlignment="1">
      <alignment horizontal="center"/>
    </xf>
    <xf numFmtId="0" fontId="5" fillId="0" borderId="6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0" fillId="0" borderId="21" xfId="0" applyBorder="1"/>
    <xf numFmtId="164" fontId="0" fillId="0" borderId="0" xfId="0" applyNumberFormat="1"/>
    <xf numFmtId="0" fontId="0" fillId="0" borderId="24" xfId="0" applyFont="1" applyBorder="1"/>
    <xf numFmtId="0" fontId="0" fillId="7" borderId="25" xfId="0" applyFont="1" applyFill="1" applyBorder="1"/>
    <xf numFmtId="0" fontId="0" fillId="0" borderId="25" xfId="0" applyFont="1" applyBorder="1"/>
    <xf numFmtId="0" fontId="2" fillId="5" borderId="25" xfId="0" applyFont="1" applyFill="1" applyBorder="1"/>
    <xf numFmtId="0" fontId="2" fillId="5" borderId="26" xfId="0" applyFont="1" applyFill="1" applyBorder="1"/>
    <xf numFmtId="165" fontId="0" fillId="7" borderId="26" xfId="0" applyNumberFormat="1" applyFont="1" applyFill="1" applyBorder="1"/>
    <xf numFmtId="165" fontId="0" fillId="0" borderId="26" xfId="0" applyNumberFormat="1" applyFont="1" applyBorder="1"/>
    <xf numFmtId="2" fontId="0" fillId="7" borderId="26" xfId="0" applyNumberFormat="1" applyFont="1" applyFill="1" applyBorder="1"/>
    <xf numFmtId="3" fontId="0" fillId="7" borderId="26" xfId="0" applyNumberFormat="1" applyFont="1" applyFill="1" applyBorder="1"/>
    <xf numFmtId="3" fontId="0" fillId="0" borderId="26" xfId="0" applyNumberFormat="1" applyFont="1" applyBorder="1"/>
    <xf numFmtId="3" fontId="0" fillId="0" borderId="19" xfId="0" applyNumberFormat="1" applyFont="1" applyBorder="1"/>
    <xf numFmtId="0" fontId="0" fillId="8" borderId="0" xfId="0" applyFill="1"/>
    <xf numFmtId="0" fontId="7" fillId="8" borderId="0" xfId="0" applyFont="1" applyFill="1"/>
    <xf numFmtId="0" fontId="8" fillId="8" borderId="0" xfId="0" applyFont="1" applyFill="1"/>
    <xf numFmtId="0" fontId="9" fillId="8" borderId="0" xfId="0" applyFont="1" applyFill="1"/>
    <xf numFmtId="2" fontId="8" fillId="8" borderId="0" xfId="0" applyNumberFormat="1" applyFont="1" applyFill="1"/>
    <xf numFmtId="0" fontId="2" fillId="5" borderId="0" xfId="0" applyFont="1" applyFill="1"/>
    <xf numFmtId="0" fontId="0" fillId="0" borderId="0" xfId="0" applyAlignment="1">
      <alignment wrapText="1"/>
    </xf>
    <xf numFmtId="0" fontId="2" fillId="9" borderId="20" xfId="0" applyFont="1" applyFill="1" applyBorder="1"/>
    <xf numFmtId="0" fontId="2" fillId="9" borderId="27" xfId="0" applyFont="1" applyFill="1" applyBorder="1"/>
    <xf numFmtId="0" fontId="2" fillId="9" borderId="22" xfId="0" applyFont="1" applyFill="1" applyBorder="1"/>
    <xf numFmtId="0" fontId="0" fillId="0" borderId="28" xfId="0" applyBorder="1"/>
    <xf numFmtId="0" fontId="0" fillId="0" borderId="15" xfId="0" applyBorder="1"/>
    <xf numFmtId="166" fontId="0" fillId="0" borderId="15" xfId="0" applyNumberFormat="1" applyBorder="1"/>
    <xf numFmtId="165" fontId="0" fillId="0" borderId="15" xfId="0" applyNumberFormat="1" applyBorder="1"/>
    <xf numFmtId="2" fontId="0" fillId="0" borderId="15" xfId="0" applyNumberFormat="1" applyBorder="1"/>
    <xf numFmtId="0" fontId="0" fillId="0" borderId="13" xfId="0" applyBorder="1" applyAlignment="1">
      <alignment wrapText="1"/>
    </xf>
    <xf numFmtId="0" fontId="0" fillId="0" borderId="29" xfId="0" applyBorder="1"/>
    <xf numFmtId="166" fontId="0" fillId="0" borderId="29" xfId="0" applyNumberFormat="1" applyBorder="1"/>
    <xf numFmtId="165" fontId="0" fillId="0" borderId="29" xfId="0" applyNumberFormat="1" applyBorder="1"/>
    <xf numFmtId="2" fontId="0" fillId="0" borderId="29" xfId="0" applyNumberFormat="1" applyBorder="1"/>
    <xf numFmtId="0" fontId="0" fillId="0" borderId="23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/>
    <xf numFmtId="0" fontId="2" fillId="5" borderId="28" xfId="0" applyFont="1" applyFill="1" applyBorder="1"/>
    <xf numFmtId="0" fontId="2" fillId="5" borderId="15" xfId="0" applyFont="1" applyFill="1" applyBorder="1"/>
    <xf numFmtId="0" fontId="2" fillId="5" borderId="13" xfId="0" applyFont="1" applyFill="1" applyBorder="1"/>
    <xf numFmtId="0" fontId="0" fillId="0" borderId="28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23" xfId="0" applyBorder="1" applyAlignment="1">
      <alignment wrapText="1"/>
    </xf>
    <xf numFmtId="0" fontId="10" fillId="10" borderId="0" xfId="0" applyFont="1" applyFill="1"/>
    <xf numFmtId="0" fontId="11" fillId="11" borderId="0" xfId="0" applyFont="1" applyFill="1"/>
    <xf numFmtId="0" fontId="12" fillId="6" borderId="0" xfId="0" applyFont="1" applyFill="1"/>
    <xf numFmtId="0" fontId="1" fillId="0" borderId="0" xfId="0" applyFont="1"/>
    <xf numFmtId="0" fontId="9" fillId="0" borderId="0" xfId="0" applyFont="1" applyAlignment="1">
      <alignment wrapText="1"/>
    </xf>
  </cellXfs>
  <cellStyles count="1">
    <cellStyle name="Normal" xfId="0" builtinId="0"/>
  </cellStyles>
  <dxfs count="105"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/>
        <i val="0"/>
        <color rgb="FF107C10"/>
      </font>
      <fill>
        <patternFill patternType="solid">
          <fgColor indexed="64"/>
          <bgColor rgb="FFDFF6DD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8A5A00"/>
      </font>
      <fill>
        <patternFill patternType="solid">
          <fgColor indexed="64"/>
          <bgColor rgb="FFFFF4CE"/>
        </patternFill>
      </fill>
    </dxf>
    <dxf>
      <font>
        <b/>
        <i val="0"/>
        <color rgb="FFA80000"/>
      </font>
      <fill>
        <patternFill patternType="solid">
          <fgColor indexed="64"/>
          <bgColor rgb="FFFDE7E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D9E2EC"/>
        </left>
        <right/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D9E2EC"/>
        </left>
        <right style="thin">
          <color auto="1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fill>
        <patternFill patternType="solid">
          <fgColor indexed="64"/>
          <bgColor rgb="FF0B7A7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E2EC"/>
        </left>
        <right style="thin">
          <color rgb="FFD9E2E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/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border outline="0">
        <top style="thin">
          <color rgb="FFD9E2EC"/>
        </top>
      </border>
    </dxf>
    <dxf>
      <border outline="0">
        <bottom style="thin">
          <color rgb="FFD9E2EC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fill>
        <patternFill patternType="solid">
          <fgColor indexed="64"/>
          <bgColor rgb="FF0B7A7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E2EC"/>
        </left>
        <right style="thin">
          <color rgb="FFD9E2E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D9E2EC"/>
        </left>
        <right/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numFmt numFmtId="3" formatCode="#,##0"/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numFmt numFmtId="3" formatCode="#,##0"/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/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border outline="0">
        <top style="thin">
          <color rgb="FFD9E2EC"/>
        </top>
      </border>
    </dxf>
    <dxf>
      <border outline="0">
        <bottom style="thin">
          <color rgb="FFD9E2EC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numFmt numFmtId="3" formatCode="#,##0"/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 style="thin">
          <color rgb="FFD9E2EC"/>
        </left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02A43"/>
        <name val="Aptos Narrow"/>
        <family val="2"/>
        <scheme val="minor"/>
      </font>
      <border diagonalUp="0" diagonalDown="0">
        <left/>
        <right style="thin">
          <color rgb="FFD9E2EC"/>
        </right>
        <top style="thin">
          <color rgb="FFD9E2EC"/>
        </top>
        <bottom style="thin">
          <color rgb="FFD9E2EC"/>
        </bottom>
        <vertical/>
        <horizontal/>
      </border>
    </dxf>
    <dxf>
      <border outline="0">
        <left style="thin">
          <color auto="1"/>
        </left>
      </border>
    </dxf>
    <dxf>
      <font>
        <color rgb="FF107C10"/>
      </font>
      <fill>
        <patternFill patternType="solid">
          <fgColor indexed="64"/>
          <bgColor rgb="FFDFF6DD"/>
        </patternFill>
      </fill>
    </dxf>
    <dxf>
      <font>
        <color rgb="FFA80000"/>
      </font>
      <fill>
        <patternFill patternType="solid">
          <fgColor indexed="64"/>
          <bgColor rgb="FFFDE7E9"/>
        </patternFill>
      </fill>
    </dxf>
    <dxf>
      <font>
        <color rgb="FF107C10"/>
      </font>
      <fill>
        <patternFill patternType="solid">
          <fgColor indexed="64"/>
          <bgColor rgb="FFDFF6D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6.xml"/><Relationship Id="rId39" Type="http://schemas.openxmlformats.org/officeDocument/2006/relationships/customXml" Target="../customXml/item19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41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37" Type="http://schemas.openxmlformats.org/officeDocument/2006/relationships/customXml" Target="../customXml/item17.xml"/><Relationship Id="rId40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38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Earned Value, Actual Cost, and Baseline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Metrics'!$X$1</c:f>
              <c:strCache>
                <c:ptCount val="1"/>
                <c:pt idx="0">
                  <c:v>BAC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'Portfolio Metrics'!$W$2:$W$7</c:f>
              <c:strCache>
                <c:ptCount val="6"/>
                <c:pt idx="0">
                  <c:v>PRJ-001</c:v>
                </c:pt>
                <c:pt idx="1">
                  <c:v>PRJ-002</c:v>
                </c:pt>
                <c:pt idx="2">
                  <c:v>PRJ-003</c:v>
                </c:pt>
                <c:pt idx="3">
                  <c:v>PRJ-004</c:v>
                </c:pt>
                <c:pt idx="4">
                  <c:v>PRJ-005</c:v>
                </c:pt>
                <c:pt idx="5">
                  <c:v>PRJ-006</c:v>
                </c:pt>
              </c:strCache>
            </c:strRef>
          </c:cat>
          <c:val>
            <c:numRef>
              <c:f>'Portfolio Metrics'!$X$2:$X$7</c:f>
              <c:numCache>
                <c:formatCode>General</c:formatCode>
                <c:ptCount val="6"/>
                <c:pt idx="0">
                  <c:v>1500000</c:v>
                </c:pt>
                <c:pt idx="1">
                  <c:v>800000</c:v>
                </c:pt>
                <c:pt idx="2">
                  <c:v>1200000</c:v>
                </c:pt>
                <c:pt idx="3">
                  <c:v>2000000</c:v>
                </c:pt>
                <c:pt idx="4">
                  <c:v>1000000</c:v>
                </c:pt>
                <c:pt idx="5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2-4DF6-A231-C02B0714940F}"/>
            </c:ext>
          </c:extLst>
        </c:ser>
        <c:ser>
          <c:idx val="1"/>
          <c:order val="1"/>
          <c:tx>
            <c:strRef>
              <c:f>'Portfolio Metrics'!$Y$1</c:f>
              <c:strCache>
                <c:ptCount val="1"/>
                <c:pt idx="0">
                  <c:v>EV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'Portfolio Metrics'!$W$2:$W$7</c:f>
              <c:strCache>
                <c:ptCount val="6"/>
                <c:pt idx="0">
                  <c:v>PRJ-001</c:v>
                </c:pt>
                <c:pt idx="1">
                  <c:v>PRJ-002</c:v>
                </c:pt>
                <c:pt idx="2">
                  <c:v>PRJ-003</c:v>
                </c:pt>
                <c:pt idx="3">
                  <c:v>PRJ-004</c:v>
                </c:pt>
                <c:pt idx="4">
                  <c:v>PRJ-005</c:v>
                </c:pt>
                <c:pt idx="5">
                  <c:v>PRJ-006</c:v>
                </c:pt>
              </c:strCache>
            </c:strRef>
          </c:cat>
          <c:val>
            <c:numRef>
              <c:f>'Portfolio Metrics'!$Y$2:$Y$7</c:f>
              <c:numCache>
                <c:formatCode>General</c:formatCode>
                <c:ptCount val="6"/>
                <c:pt idx="0">
                  <c:v>1492500</c:v>
                </c:pt>
                <c:pt idx="1">
                  <c:v>0</c:v>
                </c:pt>
                <c:pt idx="2">
                  <c:v>360000</c:v>
                </c:pt>
                <c:pt idx="3">
                  <c:v>1400000</c:v>
                </c:pt>
                <c:pt idx="4">
                  <c:v>900000</c:v>
                </c:pt>
                <c:pt idx="5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2-4DF6-A231-C02B0714940F}"/>
            </c:ext>
          </c:extLst>
        </c:ser>
        <c:ser>
          <c:idx val="2"/>
          <c:order val="2"/>
          <c:tx>
            <c:strRef>
              <c:f>'Portfolio Metrics'!$Z$1</c:f>
              <c:strCache>
                <c:ptCount val="1"/>
                <c:pt idx="0">
                  <c:v>AC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'Portfolio Metrics'!$W$2:$W$7</c:f>
              <c:strCache>
                <c:ptCount val="6"/>
                <c:pt idx="0">
                  <c:v>PRJ-001</c:v>
                </c:pt>
                <c:pt idx="1">
                  <c:v>PRJ-002</c:v>
                </c:pt>
                <c:pt idx="2">
                  <c:v>PRJ-003</c:v>
                </c:pt>
                <c:pt idx="3">
                  <c:v>PRJ-004</c:v>
                </c:pt>
                <c:pt idx="4">
                  <c:v>PRJ-005</c:v>
                </c:pt>
                <c:pt idx="5">
                  <c:v>PRJ-006</c:v>
                </c:pt>
              </c:strCache>
            </c:strRef>
          </c:cat>
          <c:val>
            <c:numRef>
              <c:f>'Portfolio Metrics'!$Z$2:$Z$7</c:f>
              <c:numCache>
                <c:formatCode>General</c:formatCode>
                <c:ptCount val="6"/>
                <c:pt idx="0">
                  <c:v>1848810</c:v>
                </c:pt>
                <c:pt idx="1">
                  <c:v>0</c:v>
                </c:pt>
                <c:pt idx="2">
                  <c:v>382500</c:v>
                </c:pt>
                <c:pt idx="3">
                  <c:v>1476000</c:v>
                </c:pt>
                <c:pt idx="4">
                  <c:v>927000</c:v>
                </c:pt>
                <c:pt idx="5">
                  <c:v>586500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2-4DF6-A231-C02B07149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1600528"/>
        <c:axId val="1798548480"/>
      </c:barChart>
      <c:catAx>
        <c:axId val="461600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798548480"/>
        <c:crosses val="autoZero"/>
        <c:auto val="1"/>
        <c:lblAlgn val="ctr"/>
        <c:lblOffset val="100"/>
        <c:noMultiLvlLbl val="0"/>
      </c:catAx>
      <c:valAx>
        <c:axId val="179854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USD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461600528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Performance Index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'Portfolio Metrics'!$AC$1:$AC$3</c:f>
              <c:strCache>
                <c:ptCount val="3"/>
                <c:pt idx="0">
                  <c:v>CPI</c:v>
                </c:pt>
                <c:pt idx="1">
                  <c:v>0.807276032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Metrics'!$AB$2:$AB$7</c:f>
              <c:strCache>
                <c:ptCount val="6"/>
                <c:pt idx="0">
                  <c:v>PRJ-001</c:v>
                </c:pt>
                <c:pt idx="1">
                  <c:v>PRJ-002</c:v>
                </c:pt>
                <c:pt idx="2">
                  <c:v>PRJ-003</c:v>
                </c:pt>
                <c:pt idx="3">
                  <c:v>PRJ-004</c:v>
                </c:pt>
                <c:pt idx="4">
                  <c:v>PRJ-005</c:v>
                </c:pt>
                <c:pt idx="5">
                  <c:v>PRJ-006</c:v>
                </c:pt>
              </c:strCache>
            </c:strRef>
          </c:cat>
          <c:val>
            <c:numRef>
              <c:f>'Portfolio Metrics'!$AC$4:$AC$7</c:f>
              <c:numCache>
                <c:formatCode>General</c:formatCode>
                <c:ptCount val="4"/>
                <c:pt idx="0">
                  <c:v>0.94117647058823528</c:v>
                </c:pt>
                <c:pt idx="1">
                  <c:v>0.948509485094851</c:v>
                </c:pt>
                <c:pt idx="2">
                  <c:v>0.970873786407767</c:v>
                </c:pt>
                <c:pt idx="3">
                  <c:v>1.0230179028132993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E-4A10-9ED2-31908F3F8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171888"/>
        <c:axId val="160748032"/>
      </c:barChart>
      <c:catAx>
        <c:axId val="169171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0748032"/>
        <c:crosses val="autoZero"/>
        <c:auto val="1"/>
        <c:lblAlgn val="ctr"/>
        <c:lblOffset val="100"/>
        <c:noMultiLvlLbl val="0"/>
      </c:catAx>
      <c:valAx>
        <c:axId val="160748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CPI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17188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Cost Breakdown: Labor vs Materials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'Portfolio Metrics'!$AF$1</c:f>
              <c:strCache>
                <c:ptCount val="1"/>
                <c:pt idx="0">
                  <c:v>Labor AC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'Portfolio Metrics'!$AE$2:$AE$7</c:f>
              <c:strCache>
                <c:ptCount val="6"/>
                <c:pt idx="0">
                  <c:v>PRJ-001</c:v>
                </c:pt>
                <c:pt idx="1">
                  <c:v>PRJ-002</c:v>
                </c:pt>
                <c:pt idx="2">
                  <c:v>PRJ-003</c:v>
                </c:pt>
                <c:pt idx="3">
                  <c:v>PRJ-004</c:v>
                </c:pt>
                <c:pt idx="4">
                  <c:v>PRJ-005</c:v>
                </c:pt>
                <c:pt idx="5">
                  <c:v>PRJ-006</c:v>
                </c:pt>
              </c:strCache>
            </c:strRef>
          </c:cat>
          <c:val>
            <c:numRef>
              <c:f>'Portfolio Metrics'!$AF$2:$AF$7</c:f>
              <c:numCache>
                <c:formatCode>General</c:formatCode>
                <c:ptCount val="6"/>
                <c:pt idx="0">
                  <c:v>1326810</c:v>
                </c:pt>
                <c:pt idx="1">
                  <c:v>0</c:v>
                </c:pt>
                <c:pt idx="2">
                  <c:v>332500</c:v>
                </c:pt>
                <c:pt idx="3">
                  <c:v>1226000</c:v>
                </c:pt>
                <c:pt idx="4">
                  <c:v>747000</c:v>
                </c:pt>
                <c:pt idx="5">
                  <c:v>516500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6-43B3-96D6-4E8B85BBD701}"/>
            </c:ext>
          </c:extLst>
        </c:ser>
        <c:ser>
          <c:idx val="1"/>
          <c:order val="1"/>
          <c:tx>
            <c:strRef>
              <c:f>'Portfolio Metrics'!$AG$1</c:f>
              <c:strCache>
                <c:ptCount val="1"/>
                <c:pt idx="0">
                  <c:v>Material AC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'Portfolio Metrics'!$AE$2:$AE$7</c:f>
              <c:strCache>
                <c:ptCount val="6"/>
                <c:pt idx="0">
                  <c:v>PRJ-001</c:v>
                </c:pt>
                <c:pt idx="1">
                  <c:v>PRJ-002</c:v>
                </c:pt>
                <c:pt idx="2">
                  <c:v>PRJ-003</c:v>
                </c:pt>
                <c:pt idx="3">
                  <c:v>PRJ-004</c:v>
                </c:pt>
                <c:pt idx="4">
                  <c:v>PRJ-005</c:v>
                </c:pt>
                <c:pt idx="5">
                  <c:v>PRJ-006</c:v>
                </c:pt>
              </c:strCache>
            </c:strRef>
          </c:cat>
          <c:val>
            <c:numRef>
              <c:f>'Portfolio Metrics'!$AG$2:$AG$7</c:f>
              <c:numCache>
                <c:formatCode>General</c:formatCode>
                <c:ptCount val="6"/>
                <c:pt idx="0">
                  <c:v>522000</c:v>
                </c:pt>
                <c:pt idx="1">
                  <c:v>0</c:v>
                </c:pt>
                <c:pt idx="2">
                  <c:v>50000</c:v>
                </c:pt>
                <c:pt idx="3">
                  <c:v>250000</c:v>
                </c:pt>
                <c:pt idx="4">
                  <c:v>180000</c:v>
                </c:pt>
                <c:pt idx="5">
                  <c:v>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6-43B3-96D6-4E8B85BBD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310272"/>
        <c:axId val="160739840"/>
      </c:barChart>
      <c:catAx>
        <c:axId val="169310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0739840"/>
        <c:crosses val="autoZero"/>
        <c:auto val="1"/>
        <c:lblAlgn val="ctr"/>
        <c:lblOffset val="100"/>
        <c:noMultiLvlLbl val="0"/>
      </c:catAx>
      <c:valAx>
        <c:axId val="16073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USD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31027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nb-N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Schedule Window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'Portfolio Metrics'!$AJ$1</c:f>
              <c:strCache>
                <c:ptCount val="1"/>
                <c:pt idx="0">
                  <c:v>Start Offset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'Portfolio Metrics'!$AI$2:$AI$7</c:f>
              <c:strCache>
                <c:ptCount val="6"/>
                <c:pt idx="0">
                  <c:v>PRJ-006</c:v>
                </c:pt>
                <c:pt idx="1">
                  <c:v>PRJ-005</c:v>
                </c:pt>
                <c:pt idx="2">
                  <c:v>PRJ-004</c:v>
                </c:pt>
                <c:pt idx="3">
                  <c:v>PRJ-003</c:v>
                </c:pt>
                <c:pt idx="4">
                  <c:v>PRJ-002</c:v>
                </c:pt>
                <c:pt idx="5">
                  <c:v>PRJ-001</c:v>
                </c:pt>
              </c:strCache>
            </c:strRef>
          </c:cat>
          <c:val>
            <c:numRef>
              <c:f>'Portfolio Metrics'!$AJ$2:$AJ$7</c:f>
              <c:numCache>
                <c:formatCode>General</c:formatCode>
                <c:ptCount val="6"/>
                <c:pt idx="0">
                  <c:v>0</c:v>
                </c:pt>
                <c:pt idx="1">
                  <c:v>123</c:v>
                </c:pt>
                <c:pt idx="2">
                  <c:v>151</c:v>
                </c:pt>
                <c:pt idx="3">
                  <c:v>212</c:v>
                </c:pt>
                <c:pt idx="4">
                  <c:v>304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F-40FF-BBC5-0F3130A78C90}"/>
            </c:ext>
          </c:extLst>
        </c:ser>
        <c:ser>
          <c:idx val="1"/>
          <c:order val="1"/>
          <c:tx>
            <c:strRef>
              <c:f>'Portfolio Metrics'!$AK$1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'Portfolio Metrics'!$AI$2:$AI$7</c:f>
              <c:strCache>
                <c:ptCount val="6"/>
                <c:pt idx="0">
                  <c:v>PRJ-006</c:v>
                </c:pt>
                <c:pt idx="1">
                  <c:v>PRJ-005</c:v>
                </c:pt>
                <c:pt idx="2">
                  <c:v>PRJ-004</c:v>
                </c:pt>
                <c:pt idx="3">
                  <c:v>PRJ-003</c:v>
                </c:pt>
                <c:pt idx="4">
                  <c:v>PRJ-002</c:v>
                </c:pt>
                <c:pt idx="5">
                  <c:v>PRJ-001</c:v>
                </c:pt>
              </c:strCache>
            </c:strRef>
          </c:cat>
          <c:val>
            <c:numRef>
              <c:f>'Portfolio Metrics'!$AK$2:$AK$7</c:f>
              <c:numCache>
                <c:formatCode>General</c:formatCode>
                <c:ptCount val="6"/>
                <c:pt idx="0">
                  <c:v>181</c:v>
                </c:pt>
                <c:pt idx="1">
                  <c:v>180</c:v>
                </c:pt>
                <c:pt idx="2">
                  <c:v>183</c:v>
                </c:pt>
                <c:pt idx="3">
                  <c:v>183</c:v>
                </c:pt>
                <c:pt idx="4">
                  <c:v>152</c:v>
                </c:pt>
                <c:pt idx="5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FF-40FF-BBC5-0F3130A7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9171392"/>
        <c:axId val="1906143231"/>
      </c:barChart>
      <c:catAx>
        <c:axId val="169171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906143231"/>
        <c:crosses val="autoZero"/>
        <c:auto val="1"/>
        <c:lblAlgn val="ctr"/>
        <c:lblOffset val="100"/>
        <c:noMultiLvlLbl val="0"/>
      </c:catAx>
      <c:valAx>
        <c:axId val="1906143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b-NO"/>
                  <a:t>Days from portfolio start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b-N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6917139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34925</xdr:rowOff>
    </xdr:from>
    <xdr:to>
      <xdr:col>5</xdr:col>
      <xdr:colOff>1152525</xdr:colOff>
      <xdr:row>31</xdr:row>
      <xdr:rowOff>85725</xdr:rowOff>
    </xdr:to>
    <xdr:graphicFrame macro="">
      <xdr:nvGraphicFramePr>
        <xdr:cNvPr id="2" name="Portfolio Health Chart">
          <a:extLst>
            <a:ext uri="{FF2B5EF4-FFF2-40B4-BE49-F238E27FC236}">
              <a16:creationId xmlns:a16="http://schemas.microsoft.com/office/drawing/2014/main" id="{F66AE139-ED40-FA2F-AF59-FD1FF112E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1152525</xdr:colOff>
      <xdr:row>14</xdr:row>
      <xdr:rowOff>34925</xdr:rowOff>
    </xdr:from>
    <xdr:to>
      <xdr:col>10</xdr:col>
      <xdr:colOff>930275</xdr:colOff>
      <xdr:row>31</xdr:row>
      <xdr:rowOff>85725</xdr:rowOff>
    </xdr:to>
    <xdr:graphicFrame macro="">
      <xdr:nvGraphicFramePr>
        <xdr:cNvPr id="3" name="Project CPI Watchlist">
          <a:extLst>
            <a:ext uri="{FF2B5EF4-FFF2-40B4-BE49-F238E27FC236}">
              <a16:creationId xmlns:a16="http://schemas.microsoft.com/office/drawing/2014/main" id="{3FBDF810-36B3-B81E-DCBC-5DA2A8C42D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114300</xdr:rowOff>
    </xdr:from>
    <xdr:to>
      <xdr:col>5</xdr:col>
      <xdr:colOff>1152525</xdr:colOff>
      <xdr:row>61</xdr:row>
      <xdr:rowOff>158750</xdr:rowOff>
    </xdr:to>
    <xdr:graphicFrame macro="">
      <xdr:nvGraphicFramePr>
        <xdr:cNvPr id="4" name="Cost Breakdown Chart">
          <a:extLst>
            <a:ext uri="{FF2B5EF4-FFF2-40B4-BE49-F238E27FC236}">
              <a16:creationId xmlns:a16="http://schemas.microsoft.com/office/drawing/2014/main" id="{0FDBCE5E-4E73-8BCE-CBEF-D000C1458B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1152525</xdr:colOff>
      <xdr:row>57</xdr:row>
      <xdr:rowOff>149225</xdr:rowOff>
    </xdr:from>
    <xdr:to>
      <xdr:col>10</xdr:col>
      <xdr:colOff>930275</xdr:colOff>
      <xdr:row>75</xdr:row>
      <xdr:rowOff>25400</xdr:rowOff>
    </xdr:to>
    <xdr:graphicFrame macro="">
      <xdr:nvGraphicFramePr>
        <xdr:cNvPr id="5" name="Portfolio Schedule Chart">
          <a:extLst>
            <a:ext uri="{FF2B5EF4-FFF2-40B4-BE49-F238E27FC236}">
              <a16:creationId xmlns:a16="http://schemas.microsoft.com/office/drawing/2014/main" id="{F6D987F3-34BB-1F40-74FD-F929AE106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14CC01DF-A9F1-4FC0-8C9E-72E1C3994119}" autoFormatId="16" applyNumberFormats="0" applyBorderFormats="0" applyFontFormats="0" applyPatternFormats="0" applyAlignmentFormats="0" applyWidthHeightFormats="0">
  <queryTableRefresh nextId="8">
    <queryTableFields count="7">
      <queryTableField id="1" name="ProjectID" tableColumnId="1"/>
      <queryTableField id="2" name="ProjectName" tableColumnId="2"/>
      <queryTableField id="3" name="ProjectManager" tableColumnId="3"/>
      <queryTableField id="4" name="BudgetAtCompletion_BAC" tableColumnId="4"/>
      <queryTableField id="5" name="StartDate" tableColumnId="5"/>
      <queryTableField id="6" name="EndDate" tableColumnId="6"/>
      <queryTableField id="7" name="Status" tableColumnId="7"/>
    </queryTableFields>
  </queryTableRefresh>
  <extLst>
    <ext xmlns:x15="http://schemas.microsoft.com/office/spreadsheetml/2010/11/main" uri="{883FBD77-0823-4a55-B5E3-86C4891E6966}">
      <x15:queryTable sourceDataName="Query - project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6" xr16:uid="{0C943D95-5EB4-4352-941D-0E06A0278A2F}" autoFormatId="16" applyNumberFormats="0" applyBorderFormats="0" applyFontFormats="0" applyPatternFormats="0" applyAlignmentFormats="0" applyWidthHeightFormats="0">
  <queryTableRefresh nextId="5">
    <queryTableFields count="4">
      <queryTableField id="1" name="ResourceID" tableColumnId="1"/>
      <queryTableField id="2" name="ResourceName" tableColumnId="2"/>
      <queryTableField id="3" name="Role" tableColumnId="3"/>
      <queryTableField id="4" name="HourlyRate" tableColumnId="4"/>
    </queryTableFields>
  </queryTableRefresh>
  <extLst>
    <ext xmlns:x15="http://schemas.microsoft.com/office/spreadsheetml/2010/11/main" uri="{883FBD77-0823-4a55-B5E3-86C4891E6966}">
      <x15:queryTable sourceDataName="Query - resource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8" xr16:uid="{27C8F8F5-5064-4806-AA8D-2D702B6D4B37}" autoFormatId="16" applyNumberFormats="0" applyBorderFormats="0" applyFontFormats="0" applyPatternFormats="0" applyAlignmentFormats="0" applyWidthHeightFormats="0">
  <queryTableRefresh nextId="7">
    <queryTableFields count="6">
      <queryTableField id="1" name="WBS_ID" tableColumnId="1"/>
      <queryTableField id="2" name="ProjectID" tableColumnId="2"/>
      <queryTableField id="3" name="WBS_Code" tableColumnId="3"/>
      <queryTableField id="4" name="ElementName" tableColumnId="4"/>
      <queryTableField id="5" name="PlannedCost" tableColumnId="5"/>
      <queryTableField id="6" name="PlannedHours" tableColumnId="6"/>
    </queryTableFields>
  </queryTableRefresh>
  <extLst>
    <ext xmlns:x15="http://schemas.microsoft.com/office/spreadsheetml/2010/11/main" uri="{883FBD77-0823-4a55-B5E3-86C4891E6966}">
      <x15:queryTable sourceDataName="Query - wbs_element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5" xr16:uid="{A721B05F-056D-49D5-9E61-0F1F06B57DF7}" autoFormatId="16" applyNumberFormats="0" applyBorderFormats="0" applyFontFormats="0" applyPatternFormats="0" applyAlignmentFormats="0" applyWidthHeightFormats="0">
  <queryTableRefresh nextId="5">
    <queryTableFields count="4">
      <queryTableField id="1" name="AssignmentID" tableColumnId="1"/>
      <queryTableField id="2" name="WBS_ID" tableColumnId="2"/>
      <queryTableField id="3" name="ResourceID" tableColumnId="3"/>
      <queryTableField id="4" name="AllocatedHours" tableColumnId="4"/>
    </queryTableFields>
  </queryTableRefresh>
  <extLst>
    <ext xmlns:x15="http://schemas.microsoft.com/office/spreadsheetml/2010/11/main" uri="{883FBD77-0823-4a55-B5E3-86C4891E6966}">
      <x15:queryTable sourceDataName="Query - resource_assignment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FF144DA-798E-40E6-ACD8-AF35AB90C0E9}" autoFormatId="16" applyNumberFormats="0" applyBorderFormats="0" applyFontFormats="0" applyPatternFormats="0" applyAlignmentFormats="0" applyWidthHeightFormats="0">
  <queryTableRefresh nextId="8">
    <queryTableFields count="7">
      <queryTableField id="1" name="PurchaseID" tableColumnId="1"/>
      <queryTableField id="2" name="WBS_ID" tableColumnId="2"/>
      <queryTableField id="3" name="PurchaseDate" tableColumnId="3"/>
      <queryTableField id="4" name="Description" tableColumnId="4"/>
      <queryTableField id="5" name="Quantity" tableColumnId="5"/>
      <queryTableField id="6" name="UnitPrice" tableColumnId="6"/>
      <queryTableField id="7" name="TotalActualCost" tableColumnId="7"/>
    </queryTableFields>
  </queryTableRefresh>
  <extLst>
    <ext xmlns:x15="http://schemas.microsoft.com/office/spreadsheetml/2010/11/main" uri="{883FBD77-0823-4a55-B5E3-86C4891E6966}">
      <x15:queryTable sourceDataName="Query - material_costs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7" xr16:uid="{F2DEB7ED-940A-46DE-A79D-33A3632A0CDA}" autoFormatId="16" applyNumberFormats="0" applyBorderFormats="0" applyFontFormats="0" applyPatternFormats="0" applyAlignmentFormats="0" applyWidthHeightFormats="0">
  <queryTableRefresh nextId="7">
    <queryTableFields count="6">
      <queryTableField id="1" name="TimesheetID" tableColumnId="1"/>
      <queryTableField id="2" name="ResourceID" tableColumnId="2"/>
      <queryTableField id="3" name="WBS_ID" tableColumnId="3"/>
      <queryTableField id="4" name="WorkDate" tableColumnId="4"/>
      <queryTableField id="5" name="HoursWorked" tableColumnId="5"/>
      <queryTableField id="6" name="ApprovalStatus" tableColumnId="6"/>
    </queryTableFields>
  </queryTableRefresh>
  <extLst>
    <ext xmlns:x15="http://schemas.microsoft.com/office/spreadsheetml/2010/11/main" uri="{883FBD77-0823-4a55-B5E3-86C4891E6966}">
      <x15:queryTable sourceDataName="Query - timesheets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8D281EFC-9D11-4D8A-808D-06D5D56FB2D9}" autoFormatId="16" applyNumberFormats="0" applyBorderFormats="0" applyFontFormats="0" applyPatternFormats="0" applyAlignmentFormats="0" applyWidthHeightFormats="0">
  <queryTableRefresh nextId="6">
    <queryTableFields count="5">
      <queryTableField id="1" name="ProgressID" tableColumnId="1"/>
      <queryTableField id="2" name="WBS_ID" tableColumnId="2"/>
      <queryTableField id="3" name="RecordDate" tableColumnId="3"/>
      <queryTableField id="4" name="PercentComplete" tableColumnId="4"/>
      <queryTableField id="5" name="ReportedBy" tableColumnId="5"/>
    </queryTableFields>
  </queryTableRefresh>
  <extLst>
    <ext xmlns:x15="http://schemas.microsoft.com/office/spreadsheetml/2010/11/main" uri="{883FBD77-0823-4a55-B5E3-86C4891E6966}">
      <x15:queryTable sourceDataName="Query - physical_progress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E9B42DE0-5A4D-41E2-BE44-DBE889E8046C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raid_log"/>
    </ext>
  </extLst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D9DFEECB-DD61-45C6-8E8D-C81A90A3902D}" name="WBS_Metrics" displayName="WBS_Metrics" ref="A6:M20" totalsRowShown="0">
  <autoFilter ref="A6:M20" xr:uid="{D9DFEECB-DD61-45C6-8E8D-C81A90A3902D}"/>
  <tableColumns count="13">
    <tableColumn id="1" xr3:uid="{8686065E-4B27-41B2-9B87-64A254BB0E9A}" name="WBS_ID"/>
    <tableColumn id="2" xr3:uid="{D457F7BE-AF8F-4F33-90DC-3B26D4F3B91C}" name="ProjectID">
      <calculatedColumnFormula>_xlfn.XLOOKUP($A7,wbs_elements[WBS_ID],wbs_elements[ProjectID])</calculatedColumnFormula>
    </tableColumn>
    <tableColumn id="3" xr3:uid="{918C816D-D0A0-439B-B0ED-9F36563B2B3D}" name="WBS Code">
      <calculatedColumnFormula>_xlfn.XLOOKUP($A7,wbs_elements[WBS_ID],wbs_elements[WBS_Code])</calculatedColumnFormula>
    </tableColumn>
    <tableColumn id="4" xr3:uid="{2BA58BA6-0986-467A-97CE-4A9980752DA4}" name="Element Name">
      <calculatedColumnFormula>_xlfn.XLOOKUP($A7,wbs_elements[WBS_ID],wbs_elements[ElementName])</calculatedColumnFormula>
    </tableColumn>
    <tableColumn id="5" xr3:uid="{843FBFE1-6CE7-4E4A-8BD0-60CD3EC6FBB6}" name="Planned Cost">
      <calculatedColumnFormula>_xlfn.XLOOKUP($A7,wbs_elements[WBS_ID],wbs_elements[PlannedCost])</calculatedColumnFormula>
    </tableColumn>
    <tableColumn id="6" xr3:uid="{37C6B841-AB4A-4056-A27D-0C48C23B2A78}" name="Planned Hours">
      <calculatedColumnFormula>_xlfn.XLOOKUP($A7,wbs_elements[WBS_ID],wbs_elements[PlannedHours])</calculatedColumnFormula>
    </tableColumn>
    <tableColumn id="7" xr3:uid="{DBDD3509-EFEA-48A7-A763-01554D701911}" name="Latest Progress">
      <calculatedColumnFormula>IFERROR(SUMIFS(physical_progress[PercentComplete],physical_progress[WBS_ID],$A7,physical_progress[RecordDate],_xlfn.MAXIFS(physical_progress[RecordDate],physical_progress[WBS_ID],$A7)),0)</calculatedColumnFormula>
    </tableColumn>
    <tableColumn id="8" xr3:uid="{7D23F98E-3FEE-4419-AB41-C9AC0A5AABC9}" name="EV">
      <calculatedColumnFormula>$E7*$G7</calculatedColumnFormula>
    </tableColumn>
    <tableColumn id="9" xr3:uid="{527945B9-E2A5-48B6-85A9-7F8F09DA9065}" name="Labor AC">
      <calculatedColumnFormula array="1">SUMPRODUCT(SUMIFS(timesheets[HoursWorked],timesheets[WBS_ID],$A7,timesheets[ResourceID],resources[ResourceID],timesheets[ApprovalStatus],"Approved")*resources[HourlyRate])</calculatedColumnFormula>
    </tableColumn>
    <tableColumn id="10" xr3:uid="{321342E7-0F4B-4945-901B-EE474F5C6F23}" name="Material AC">
      <calculatedColumnFormula>SUMIFS(material_costs[TotalActualCost],material_costs[WBS_ID],$A7)</calculatedColumnFormula>
    </tableColumn>
    <tableColumn id="11" xr3:uid="{D500D50F-D33C-4358-B8B6-46C339AFBC5F}" name="AC">
      <calculatedColumnFormula>$I7+$J7</calculatedColumnFormula>
    </tableColumn>
    <tableColumn id="12" xr3:uid="{FF1074D1-4C8B-46E0-A616-5C79F74B4693}" name="CV">
      <calculatedColumnFormula>$H7-$K7</calculatedColumnFormula>
    </tableColumn>
    <tableColumn id="13" xr3:uid="{9FE02AC8-3392-4350-A212-1ADD59A80B43}" name="CPI">
      <calculatedColumnFormula>IFERROR($H7/$K7,"")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E12A80D-6EA8-47D5-B36C-4193DA611B59}" name="Project_EVM" displayName="Project_EVM" ref="A23:U29" totalsRowShown="0">
  <autoFilter ref="A23:U29" xr:uid="{1E12A80D-6EA8-47D5-B36C-4193DA611B59}"/>
  <tableColumns count="21">
    <tableColumn id="1" xr3:uid="{74A7732A-B22F-4613-B1CB-6295D5985B9E}" name="ProjectID"/>
    <tableColumn id="2" xr3:uid="{798F1E3C-07D2-4951-8C24-65C882C75F1F}" name="Project Name">
      <calculatedColumnFormula>_xlfn.XLOOKUP($A24,projects[ProjectID],projects[ProjectName])</calculatedColumnFormula>
    </tableColumn>
    <tableColumn id="3" xr3:uid="{B3C2A012-67D4-42EA-8760-7D02AEBCDF38}" name="Manager">
      <calculatedColumnFormula>_xlfn.XLOOKUP($A24,projects[ProjectID],projects[ProjectManager])</calculatedColumnFormula>
    </tableColumn>
    <tableColumn id="4" xr3:uid="{3F460B00-264F-40BB-A911-1F3A8F0B6AED}" name="Status">
      <calculatedColumnFormula>_xlfn.XLOOKUP($A24,projects[ProjectID],projects[Status])</calculatedColumnFormula>
    </tableColumn>
    <tableColumn id="5" xr3:uid="{FE541CC0-AC72-40F2-A620-DDD3CB6D6454}" name="BAC">
      <calculatedColumnFormula>_xlfn.XLOOKUP($A24,projects[ProjectID],projects[BudgetAtCompletion_BAC])</calculatedColumnFormula>
    </tableColumn>
    <tableColumn id="6" xr3:uid="{9FA2A043-A644-4998-8E98-7F3D10E08A08}" name="Start">
      <calculatedColumnFormula>_xlfn.XLOOKUP($A24,projects[ProjectID],projects[StartDate])</calculatedColumnFormula>
    </tableColumn>
    <tableColumn id="7" xr3:uid="{BC42B3CF-D0CD-4E6D-A20F-E93E52720AAD}" name="End">
      <calculatedColumnFormula>_xlfn.XLOOKUP($A24,projects[ProjectID],projects[EndDate])</calculatedColumnFormula>
    </tableColumn>
    <tableColumn id="8" xr3:uid="{11BF662E-85CE-4FFD-A163-CCD7BDB8D4B5}" name="Progress">
      <calculatedColumnFormula>IFERROR($I24/$E24,0)</calculatedColumnFormula>
    </tableColumn>
    <tableColumn id="9" xr3:uid="{0592F7B2-91E1-4379-B868-B5D86386BB24}" name="EV">
      <calculatedColumnFormula>SUMIFS(WBS_Metrics[EV],WBS_Metrics[ProjectID],$A24)</calculatedColumnFormula>
    </tableColumn>
    <tableColumn id="10" xr3:uid="{9B83D514-9050-4CA6-93AC-4E45DF23C66D}" name="PV">
      <calculatedColumnFormula>$E24*MAX(0,MIN(1,($B$4-$F24)/($G24-$F24)))</calculatedColumnFormula>
    </tableColumn>
    <tableColumn id="11" xr3:uid="{124B18B6-D821-47C9-88EE-B21973B5D08D}" name="Labor AC">
      <calculatedColumnFormula>SUMIFS(WBS_Metrics[Labor AC],WBS_Metrics[ProjectID],$A24)</calculatedColumnFormula>
    </tableColumn>
    <tableColumn id="12" xr3:uid="{25831DD4-FE57-4377-9A26-1B7CD6A9A31F}" name="Material AC">
      <calculatedColumnFormula>SUMIFS(WBS_Metrics[Material AC],WBS_Metrics[ProjectID],$A24)</calculatedColumnFormula>
    </tableColumn>
    <tableColumn id="13" xr3:uid="{E731A988-CD9D-4C42-B0D9-F15D18B53C4C}" name="AC">
      <calculatedColumnFormula>$K24+$L24</calculatedColumnFormula>
    </tableColumn>
    <tableColumn id="14" xr3:uid="{3E6FFC2A-3C2C-44B1-B8A2-FC3B8C93367E}" name="CV">
      <calculatedColumnFormula>$I24-$M24</calculatedColumnFormula>
    </tableColumn>
    <tableColumn id="15" xr3:uid="{AF8B9208-2CEC-4ED8-861C-73E00302B002}" name="SV">
      <calculatedColumnFormula>$I24-$J24</calculatedColumnFormula>
    </tableColumn>
    <tableColumn id="16" xr3:uid="{7B542F0F-2755-4FCE-9DA8-6423A9EAD911}" name="CPI">
      <calculatedColumnFormula>IFERROR($I24/$M24,"")</calculatedColumnFormula>
    </tableColumn>
    <tableColumn id="17" xr3:uid="{87D76CFD-92D6-4489-9899-13868BE8463A}" name="SPI">
      <calculatedColumnFormula>IFERROR($I24/$J24,"")</calculatedColumnFormula>
    </tableColumn>
    <tableColumn id="18" xr3:uid="{9006989C-2792-4DCA-8B10-BAD9B75F02BD}" name="EAC">
      <calculatedColumnFormula>IFERROR($E24/$P24,$M24+($E24-$I24))</calculatedColumnFormula>
    </tableColumn>
    <tableColumn id="19" xr3:uid="{0A622205-4B18-49B9-84C8-898323F61865}" name="Forecast Variance">
      <calculatedColumnFormula>$E24-$R24</calculatedColumnFormula>
    </tableColumn>
    <tableColumn id="20" xr3:uid="{D6600070-0341-4ADC-B35B-478E8EAC118C}" name="Alert">
      <calculatedColumnFormula>IF($D24="Planned","PLANNED",IF($P24&lt;0.95,"CRITICAL",IF($P24&lt;1,"WATCH","ON TRACK")))</calculatedColumnFormula>
    </tableColumn>
    <tableColumn id="21" xr3:uid="{9A246A42-3004-4F51-BF97-03A039117C0D}" name="Recommended Action">
      <calculatedColumnFormula>IF($A24="PRJ-001","Renegotiate contractor rates and freeze variation orders",IF($A24="PRJ-002","Prepare August design start and resource ramp",IF($A24="PRJ-003","Move cleanly from engineering to steel fabrication",IF($A24="PRJ-004","Monitor welding productivity through completion",IF($A24="PRJ-005","Protect final 10% from cost leakage","Close out lessons learned and verification pack")))))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FBF935B-799B-4A8B-B390-7E5B7D7A33A0}" name="Model_Entities" displayName="Model_Entities" ref="A6:H14" totalsRowShown="0" tableBorderDxfId="65">
  <autoFilter ref="A6:H14" xr:uid="{9FBF935B-799B-4A8B-B390-7E5B7D7A33A0}"/>
  <tableColumns count="8">
    <tableColumn id="1" xr3:uid="{2BECC48C-68B4-4694-B241-75B47B50149E}" name="Table" dataDxfId="64"/>
    <tableColumn id="2" xr3:uid="{26F35079-7C7D-4801-B028-78E7D6E716AB}" name="Primary key" dataDxfId="63"/>
    <tableColumn id="3" xr3:uid="{84065866-EFF2-4E93-882D-9BFF9864A735}" name="Grain" dataDxfId="62"/>
    <tableColumn id="4" xr3:uid="{FF56F244-3A59-48C1-B6D4-E412B1B7798C}" name="Rows" dataDxfId="61"/>
    <tableColumn id="5" xr3:uid="{EE9AB2E5-BD08-401B-B32D-EC8E29B716E1}" name="Purpose" dataDxfId="60"/>
    <tableColumn id="6" xr3:uid="{61E24BCD-638C-48F8-9FCF-12F8E63B9037}" name="Notes" dataDxfId="38"/>
    <tableColumn id="7" xr3:uid="{C81E1AD8-2051-40A0-812A-E3C54DD38FC9}" name="Column1" dataDxfId="59"/>
    <tableColumn id="8" xr3:uid="{E3C47B98-59A3-4EAC-924F-9F0F70DCA8B6}" name="Column2" dataDxfId="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F20AD6-66E8-40FF-BA1D-F6DDA55A7DA3}" name="Model_Relationships" displayName="Model_Relationships" ref="A17:H26" totalsRowShown="0" headerRowDxfId="46" headerRowBorderDxfId="56" tableBorderDxfId="57" totalsRowBorderDxfId="55">
  <autoFilter ref="A17:H26" xr:uid="{D5F20AD6-66E8-40FF-BA1D-F6DDA55A7DA3}"/>
  <tableColumns count="8">
    <tableColumn id="1" xr3:uid="{180E24F3-1DB2-4548-BF48-32784DEF3F55}" name="From table" dataDxfId="54"/>
    <tableColumn id="2" xr3:uid="{8F3091C0-4438-4FF1-B301-B374F6C54268}" name="From key" dataDxfId="53"/>
    <tableColumn id="3" xr3:uid="{48CCD067-31B7-4F08-BD48-A98D09E555B4}" name="To table" dataDxfId="52"/>
    <tableColumn id="4" xr3:uid="{9D8D5A08-0907-4E5D-A909-9E13273559FC}" name="To key" dataDxfId="51"/>
    <tableColumn id="5" xr3:uid="{B7952728-4643-45D5-B688-A25452B3F0D3}" name="Cardinality" dataDxfId="50"/>
    <tableColumn id="6" xr3:uid="{1D402EC8-40F1-46A8-BAE9-467AD5A9A57B}" name="Rows tested" dataDxfId="49"/>
    <tableColumn id="7" xr3:uid="{0D6BA3E2-B336-410F-AC26-B13D33CA0F46}" name="Unmatched FK" dataDxfId="48"/>
    <tableColumn id="8" xr3:uid="{3407782F-4D4A-475B-93FC-A75456F7DF7F}" name="Status" dataDxfId="47">
      <calculatedColumnFormula>IF(G18=0,"OK","CHECK")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94F8A7-5424-4B82-BC44-692BD8FC1AE0}" name="Model_Dictionary" displayName="Model_Dictionary" ref="A29:D77" totalsRowShown="0" headerRowDxfId="39" headerRowBorderDxfId="44" tableBorderDxfId="45" totalsRowBorderDxfId="43">
  <autoFilter ref="A29:D77" xr:uid="{6294F8A7-5424-4B82-BC44-692BD8FC1AE0}"/>
  <tableColumns count="4">
    <tableColumn id="1" xr3:uid="{F61BA07B-762E-4462-ACF3-07A9D0EB5034}" name="Table" dataDxfId="42"/>
    <tableColumn id="2" xr3:uid="{2AE5BD21-6A96-4245-8E96-17E80D0F4817}" name="Field" dataDxfId="41"/>
    <tableColumn id="3" xr3:uid="{918FC20B-3A82-40A1-8262-806401214A9F}" name="Role" dataDxfId="40"/>
    <tableColumn id="4" xr3:uid="{027A398D-6519-4CD8-86EE-7EFB8DAE46B9}" name="Description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E37249-6C34-4864-8B0C-3225EAF4DDD1}" name="projects" displayName="projects" ref="A1:G7" tableType="queryTable" totalsRowShown="0">
  <autoFilter ref="A1:G7" xr:uid="{0FE37249-6C34-4864-8B0C-3225EAF4DDD1}"/>
  <tableColumns count="7">
    <tableColumn id="1" xr3:uid="{64AAE338-F9AE-444E-BD92-9331D3C6FD5D}" uniqueName="1" name="ProjectID" queryTableFieldId="1" dataDxfId="104"/>
    <tableColumn id="2" xr3:uid="{917A8118-9011-4E6B-9E7E-3608271A295F}" uniqueName="2" name="ProjectName" queryTableFieldId="2" dataDxfId="103"/>
    <tableColumn id="3" xr3:uid="{12183955-F986-4D5B-AA06-F5CE58D8DEF4}" uniqueName="3" name="ProjectManager" queryTableFieldId="3" dataDxfId="102"/>
    <tableColumn id="4" xr3:uid="{E3BD3E7E-AF07-4925-8254-DB0D5273C81E}" uniqueName="4" name="BudgetAtCompletion_BAC" queryTableFieldId="4"/>
    <tableColumn id="5" xr3:uid="{386DE782-E100-4839-8B48-4035BB5CA7A0}" uniqueName="5" name="StartDate" queryTableFieldId="5" dataDxfId="101"/>
    <tableColumn id="6" xr3:uid="{84C95F57-E272-4AB2-89FF-1EE1F56C573C}" uniqueName="6" name="EndDate" queryTableFieldId="6" dataDxfId="100"/>
    <tableColumn id="7" xr3:uid="{13742AF6-DBA3-4883-AFD4-804C89E3FCDE}" uniqueName="7" name="Status" queryTableFieldId="7" dataDxfId="9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A586F95-7C44-4F6F-AA78-AF9ED2496C13}" name="resources" displayName="resources" ref="A1:D6" tableType="queryTable" totalsRowShown="0">
  <autoFilter ref="A1:D6" xr:uid="{6A586F95-7C44-4F6F-AA78-AF9ED2496C13}"/>
  <tableColumns count="4">
    <tableColumn id="1" xr3:uid="{921CBB80-F3EF-429E-9133-A2BA9D04481F}" uniqueName="1" name="ResourceID" queryTableFieldId="1" dataDxfId="98"/>
    <tableColumn id="2" xr3:uid="{1E5C87D3-0200-497E-8EDC-3CD74B37B66A}" uniqueName="2" name="ResourceName" queryTableFieldId="2" dataDxfId="97"/>
    <tableColumn id="3" xr3:uid="{423D5514-2E5F-4F44-9258-BF936EEE186B}" uniqueName="3" name="Role" queryTableFieldId="3" dataDxfId="96"/>
    <tableColumn id="4" xr3:uid="{0C82BF5B-AC45-47E1-8774-E30B98487C5B}" uniqueName="4" name="HourlyRate" queryTableFieldId="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F8EC6C-0003-4D08-A52F-4E9F652B2CCB}" name="wbs_elements" displayName="wbs_elements" ref="A1:F15" tableType="queryTable" totalsRowShown="0">
  <autoFilter ref="A1:F15" xr:uid="{D5F8EC6C-0003-4D08-A52F-4E9F652B2CCB}"/>
  <tableColumns count="6">
    <tableColumn id="1" xr3:uid="{112EC71E-6B99-4591-A879-296D296883FF}" uniqueName="1" name="WBS_ID" queryTableFieldId="1" dataDxfId="95"/>
    <tableColumn id="2" xr3:uid="{5CEDA395-89D3-44DB-9539-74752B79C085}" uniqueName="2" name="ProjectID" queryTableFieldId="2" dataDxfId="94"/>
    <tableColumn id="3" xr3:uid="{4647DDA2-B3D4-4C59-87FC-52B155861D7A}" uniqueName="3" name="WBS_Code" queryTableFieldId="3"/>
    <tableColumn id="4" xr3:uid="{08B85164-9AEA-4C56-88F4-58661B1CE01C}" uniqueName="4" name="ElementName" queryTableFieldId="4" dataDxfId="93"/>
    <tableColumn id="5" xr3:uid="{B01B04DB-3642-4C28-8B4C-4FA8ED22E7DF}" uniqueName="5" name="PlannedCost" queryTableFieldId="5"/>
    <tableColumn id="6" xr3:uid="{2E5FF4A1-77EE-418C-9385-573D2E44F858}" uniqueName="6" name="PlannedHour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5E8317-30F9-4218-9EC1-45BB33CD511B}" name="resource_assignments" displayName="resource_assignments" ref="A1:D18" tableType="queryTable" totalsRowShown="0">
  <autoFilter ref="A1:D18" xr:uid="{885E8317-30F9-4218-9EC1-45BB33CD511B}"/>
  <tableColumns count="4">
    <tableColumn id="1" xr3:uid="{54CE45F3-B864-4E89-8DE9-BDD09CEF0448}" uniqueName="1" name="AssignmentID" queryTableFieldId="1" dataDxfId="92"/>
    <tableColumn id="2" xr3:uid="{565A9C8F-FAE6-4D6F-8C1B-E9648EA9E7D4}" uniqueName="2" name="WBS_ID" queryTableFieldId="2" dataDxfId="91"/>
    <tableColumn id="3" xr3:uid="{BAE54495-7615-4ED4-BDD9-0D690C873565}" uniqueName="3" name="ResourceID" queryTableFieldId="3" dataDxfId="90"/>
    <tableColumn id="4" xr3:uid="{11B5AA10-8776-4607-9FF2-A104649A67A8}" uniqueName="4" name="AllocatedHours" queryTableField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B81C1C-B9F2-4F75-B232-7FFEAA66E3E4}" name="material_costs" displayName="material_costs" ref="A1:G15" tableType="queryTable" totalsRowShown="0">
  <autoFilter ref="A1:G15" xr:uid="{4AB81C1C-B9F2-4F75-B232-7FFEAA66E3E4}"/>
  <tableColumns count="7">
    <tableColumn id="1" xr3:uid="{D96EE737-36DD-49BF-AA86-444D2F3F2D60}" uniqueName="1" name="PurchaseID" queryTableFieldId="1" dataDxfId="89"/>
    <tableColumn id="2" xr3:uid="{E68D5E11-CE84-4DA6-A276-D1BC65829FCA}" uniqueName="2" name="WBS_ID" queryTableFieldId="2" dataDxfId="88"/>
    <tableColumn id="3" xr3:uid="{2116979A-B6D7-4FA4-8408-0546951246FB}" uniqueName="3" name="PurchaseDate" queryTableFieldId="3" dataDxfId="87"/>
    <tableColumn id="4" xr3:uid="{BB0F9814-1D9B-429C-BEF5-050B4001DC45}" uniqueName="4" name="Description" queryTableFieldId="4" dataDxfId="86"/>
    <tableColumn id="5" xr3:uid="{17C4FC5F-EFC0-4DE8-AF41-2AF69552E2B0}" uniqueName="5" name="Quantity" queryTableFieldId="5"/>
    <tableColumn id="6" xr3:uid="{17E1654D-A006-4E91-8418-B3A5AA213176}" uniqueName="6" name="UnitPrice" queryTableFieldId="6"/>
    <tableColumn id="7" xr3:uid="{A4E55769-024B-425A-8D38-D12A6101FD1E}" uniqueName="7" name="TotalActualCost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EE746E5-9F8E-4017-83F9-CB7C4C2C3B5E}" name="timesheets" displayName="timesheets" ref="A1:F300" tableType="queryTable" totalsRowShown="0">
  <autoFilter ref="A1:F300" xr:uid="{BEE746E5-9F8E-4017-83F9-CB7C4C2C3B5E}"/>
  <tableColumns count="6">
    <tableColumn id="1" xr3:uid="{C5AA4FCE-0DB0-42A8-B499-835097C81AD2}" uniqueName="1" name="TimesheetID" queryTableFieldId="1" dataDxfId="85"/>
    <tableColumn id="2" xr3:uid="{2547D2E5-255C-4900-ADF2-0FB375EDDD47}" uniqueName="2" name="ResourceID" queryTableFieldId="2" dataDxfId="84"/>
    <tableColumn id="3" xr3:uid="{65AFF1EB-96DC-4529-814E-7912CF0198D8}" uniqueName="3" name="WBS_ID" queryTableFieldId="3" dataDxfId="83"/>
    <tableColumn id="4" xr3:uid="{8F633006-9BD5-40A7-9514-52A616625358}" uniqueName="4" name="WorkDate" queryTableFieldId="4" dataDxfId="82"/>
    <tableColumn id="5" xr3:uid="{F01FCD3A-DC53-4FD7-9F31-5398684FC4FA}" uniqueName="5" name="HoursWorked" queryTableFieldId="5"/>
    <tableColumn id="6" xr3:uid="{05E6542A-9F5F-4E57-882B-D044078BC1CD}" uniqueName="6" name="ApprovalStatus" queryTableFieldId="6" dataDxfId="8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6BC2B9-2FDD-4F21-B0CD-C37587718308}" name="physical_progress" displayName="physical_progress" ref="A1:E58" tableType="queryTable" totalsRowShown="0">
  <autoFilter ref="A1:E58" xr:uid="{616BC2B9-2FDD-4F21-B0CD-C37587718308}"/>
  <tableColumns count="5">
    <tableColumn id="1" xr3:uid="{034EE331-9674-400D-A4E8-6C409EB0E3BF}" uniqueName="1" name="ProgressID" queryTableFieldId="1" dataDxfId="80"/>
    <tableColumn id="2" xr3:uid="{3EBBFB37-0BC0-4C3A-BCA4-294EE0CED8C0}" uniqueName="2" name="WBS_ID" queryTableFieldId="2" dataDxfId="79"/>
    <tableColumn id="3" xr3:uid="{85396EB3-329C-4D57-AE66-86B852F3C0D9}" uniqueName="3" name="RecordDate" queryTableFieldId="3" dataDxfId="78"/>
    <tableColumn id="4" xr3:uid="{C8C97B30-AAA5-4805-B07D-8A979178D16B}" uniqueName="4" name="PercentComplete" queryTableFieldId="4"/>
    <tableColumn id="5" xr3:uid="{BF24E2D4-DAFB-4538-A1B5-85A987F9C858}" uniqueName="5" name="ReportedBy" queryTableFieldId="5" dataDxfId="7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713DF9-246B-4B5D-B208-FCE27E5D9C18}" name="raid_log" displayName="raid_log" ref="A1:H6" tableType="queryTable" totalsRowShown="0">
  <autoFilter ref="A1:H6" xr:uid="{E7713DF9-246B-4B5D-B208-FCE27E5D9C18}"/>
  <tableColumns count="8">
    <tableColumn id="1" xr3:uid="{4F9F1BFE-A522-4466-8C27-4AEB36AAAA39}" uniqueName="1" name="Column1" queryTableFieldId="1" dataDxfId="76"/>
    <tableColumn id="2" xr3:uid="{71183584-8471-48E9-9904-311F9E4C8DEA}" uniqueName="2" name="Column2" queryTableFieldId="2" dataDxfId="75"/>
    <tableColumn id="3" xr3:uid="{9129F29D-93E3-49EE-AE67-56BF4B8CA49D}" uniqueName="3" name="Column3" queryTableFieldId="3" dataDxfId="74"/>
    <tableColumn id="4" xr3:uid="{95362435-29B4-48C0-985B-B5A09F540D09}" uniqueName="4" name="Column4" queryTableFieldId="4" dataDxfId="73"/>
    <tableColumn id="5" xr3:uid="{6AEFC789-6DD0-4B13-BB3A-A6E70EF3B430}" uniqueName="5" name="Column5" queryTableFieldId="5" dataDxfId="72"/>
    <tableColumn id="6" xr3:uid="{F4011411-1393-4A61-B9AF-9D621886AFA2}" uniqueName="6" name="Column6" queryTableFieldId="6" dataDxfId="71"/>
    <tableColumn id="7" xr3:uid="{3ED49B8D-7282-4214-BD21-A10945298178}" uniqueName="7" name="Column7" queryTableFieldId="7" dataDxfId="70"/>
    <tableColumn id="8" xr3:uid="{B5B86777-2A54-4BBA-9C7F-BDA03A8072CF}" uniqueName="8" name="Column8" queryTableFieldId="8" dataDxfId="6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1A33-08C0-460F-BECB-3C4440E47A1F}">
  <dimension ref="B5:B15"/>
  <sheetViews>
    <sheetView workbookViewId="0"/>
  </sheetViews>
  <sheetFormatPr defaultRowHeight="14.5" x14ac:dyDescent="0.35"/>
  <cols>
    <col min="1" max="1" width="36.36328125" customWidth="1"/>
    <col min="2" max="2" width="63.6328125" customWidth="1"/>
  </cols>
  <sheetData>
    <row r="5" spans="2:2" x14ac:dyDescent="0.35">
      <c r="B5" s="52"/>
    </row>
    <row r="6" spans="2:2" x14ac:dyDescent="0.35">
      <c r="B6" s="52"/>
    </row>
    <row r="7" spans="2:2" x14ac:dyDescent="0.35">
      <c r="B7" s="52"/>
    </row>
    <row r="8" spans="2:2" x14ac:dyDescent="0.35">
      <c r="B8" s="52"/>
    </row>
    <row r="9" spans="2:2" x14ac:dyDescent="0.35">
      <c r="B9" s="52"/>
    </row>
    <row r="10" spans="2:2" x14ac:dyDescent="0.35">
      <c r="B10" s="52"/>
    </row>
    <row r="11" spans="2:2" x14ac:dyDescent="0.35">
      <c r="B11" s="52"/>
    </row>
    <row r="12" spans="2:2" x14ac:dyDescent="0.35">
      <c r="B12" s="52"/>
    </row>
    <row r="13" spans="2:2" x14ac:dyDescent="0.35">
      <c r="B13" s="52"/>
    </row>
    <row r="14" spans="2:2" x14ac:dyDescent="0.35">
      <c r="B14" s="52"/>
    </row>
    <row r="15" spans="2:2" x14ac:dyDescent="0.35">
      <c r="B15" s="5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F8194-2819-48AA-805A-080D14CEF0AA}">
  <dimension ref="A1:K77"/>
  <sheetViews>
    <sheetView tabSelected="1" workbookViewId="0">
      <selection sqref="A1:K1"/>
    </sheetView>
  </sheetViews>
  <sheetFormatPr defaultRowHeight="14.5" x14ac:dyDescent="0.35"/>
  <cols>
    <col min="1" max="7" width="15.453125" customWidth="1"/>
    <col min="8" max="8" width="13.6328125" customWidth="1"/>
    <col min="9" max="9" width="29.08984375" customWidth="1"/>
    <col min="10" max="10" width="15.453125" customWidth="1"/>
    <col min="11" max="11" width="13.6328125" customWidth="1"/>
  </cols>
  <sheetData>
    <row r="1" spans="1:11" ht="23.5" x14ac:dyDescent="0.55000000000000004">
      <c r="A1" s="4" t="s">
        <v>682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5">
      <c r="A2" s="5" t="s">
        <v>683</v>
      </c>
      <c r="B2" s="5"/>
      <c r="C2" s="5"/>
      <c r="D2" s="5"/>
      <c r="E2" s="5"/>
      <c r="F2" s="5"/>
      <c r="G2" s="5"/>
      <c r="H2" s="5"/>
      <c r="I2" s="5"/>
      <c r="J2" s="5"/>
      <c r="K2" s="5"/>
    </row>
    <row r="4" spans="1:11" x14ac:dyDescent="0.35">
      <c r="A4" s="47" t="s">
        <v>684</v>
      </c>
      <c r="B4" s="46"/>
      <c r="D4" s="47" t="s">
        <v>686</v>
      </c>
      <c r="E4" s="46"/>
      <c r="G4" s="47" t="s">
        <v>688</v>
      </c>
      <c r="H4" s="46"/>
      <c r="J4" s="47" t="s">
        <v>690</v>
      </c>
      <c r="K4" s="46"/>
    </row>
    <row r="5" spans="1:11" ht="28.5" x14ac:dyDescent="0.65">
      <c r="A5" s="50">
        <f>'Portfolio Metrics'!B37</f>
        <v>0.91029935967790443</v>
      </c>
      <c r="B5" s="46"/>
      <c r="D5" s="48" t="str">
        <f>TEXT('Portfolio Metrics'!B36,"$#,##0,")&amp;"K"</f>
        <v>-$468K</v>
      </c>
      <c r="E5" s="46"/>
      <c r="G5" s="48" t="str">
        <f>'Portfolio Metrics'!B39&amp;" active"</f>
        <v>3 active</v>
      </c>
      <c r="H5" s="46"/>
      <c r="J5" s="48" t="str">
        <f>TEXT('Portfolio Metrics'!B38,"$#,##0,,.0")&amp;"M"</f>
        <v>$7.7M</v>
      </c>
      <c r="K5" s="46"/>
    </row>
    <row r="6" spans="1:11" x14ac:dyDescent="0.35">
      <c r="A6" s="46"/>
      <c r="B6" s="46"/>
      <c r="D6" s="46"/>
      <c r="E6" s="46"/>
      <c r="G6" s="46"/>
      <c r="H6" s="46"/>
      <c r="J6" s="46"/>
      <c r="K6" s="46"/>
    </row>
    <row r="7" spans="1:11" x14ac:dyDescent="0.35">
      <c r="A7" s="49" t="s">
        <v>685</v>
      </c>
      <c r="B7" s="46"/>
      <c r="D7" s="49" t="s">
        <v>687</v>
      </c>
      <c r="E7" s="46"/>
      <c r="G7" s="49" t="s">
        <v>689</v>
      </c>
      <c r="H7" s="46"/>
      <c r="J7" s="49" t="s">
        <v>691</v>
      </c>
      <c r="K7" s="46"/>
    </row>
    <row r="9" spans="1:11" x14ac:dyDescent="0.35">
      <c r="A9" s="6" t="str">
        <f>"Story in brief: The portfolio earns "&amp;TEXT('Portfolio Metrics'!B37,"0.00")&amp;" per $1 spent, with earned value trailing actual cost by "&amp;TEXT(ABS('Portfolio Metrics'!B36),"$#,##0")&amp;". PRJ-001 is the primary cost exception at CPI "&amp;TEXT(_xlfn.XLOOKUP("PRJ-001",Project_EVM[ProjectID],Project_EVM[CPI]),"0.00")&amp;", while PRJ-006 closed under budget. Active delivery remains broadly stable, but fabrication capacity and supplier constraints need management attention."</f>
        <v>Story in brief: The portfolio earns 0.91 per $1 spent, with earned value trailing actual cost by $468,310. PRJ-001 is the primary cost exception at CPI 0.81, while PRJ-006 closed under budget. Active delivery remains broadly stable, but fabrication capacity and supplier constraints need management attention.</v>
      </c>
      <c r="B9" s="6"/>
      <c r="C9" s="6"/>
      <c r="D9" s="6"/>
      <c r="E9" s="6"/>
      <c r="F9" s="6"/>
      <c r="G9" s="6"/>
      <c r="H9" s="6"/>
      <c r="I9" s="6"/>
      <c r="J9" s="6"/>
      <c r="K9" s="6"/>
    </row>
    <row r="10" spans="1:11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3" spans="1:11" x14ac:dyDescent="0.35">
      <c r="A13" s="51" t="s">
        <v>692</v>
      </c>
      <c r="B13" s="51"/>
      <c r="C13" s="51"/>
      <c r="D13" s="51"/>
      <c r="E13" s="51"/>
      <c r="F13" s="51"/>
      <c r="G13" s="51" t="s">
        <v>693</v>
      </c>
      <c r="H13" s="51"/>
      <c r="I13" s="51"/>
      <c r="J13" s="51"/>
      <c r="K13" s="51"/>
    </row>
    <row r="33" spans="1:11" x14ac:dyDescent="0.35">
      <c r="A33" s="51" t="s">
        <v>694</v>
      </c>
      <c r="B33" s="51"/>
      <c r="C33" s="51"/>
      <c r="D33" s="51"/>
      <c r="E33" s="51"/>
      <c r="F33" s="51"/>
      <c r="G33" s="51"/>
      <c r="H33" s="51"/>
    </row>
    <row r="34" spans="1:11" x14ac:dyDescent="0.35">
      <c r="A34" s="53" t="s">
        <v>670</v>
      </c>
      <c r="B34" s="54" t="s">
        <v>656</v>
      </c>
      <c r="C34" s="54" t="s">
        <v>650</v>
      </c>
      <c r="D34" s="54" t="s">
        <v>647</v>
      </c>
      <c r="E34" s="54" t="s">
        <v>662</v>
      </c>
      <c r="F34" s="54" t="s">
        <v>644</v>
      </c>
      <c r="G34" s="54" t="s">
        <v>696</v>
      </c>
      <c r="H34" s="55" t="s">
        <v>697</v>
      </c>
    </row>
    <row r="35" spans="1:11" ht="72.5" x14ac:dyDescent="0.35">
      <c r="A35" s="56" t="str">
        <f>'Portfolio Metrics'!A24</f>
        <v>PRJ-001</v>
      </c>
      <c r="B35" s="57" t="str">
        <f>'Portfolio Metrics'!T24</f>
        <v>CRITICAL</v>
      </c>
      <c r="C35" s="58">
        <f>'Portfolio Metrics'!H24</f>
        <v>0.995</v>
      </c>
      <c r="D35" s="59">
        <f>'Portfolio Metrics'!E24</f>
        <v>1500000</v>
      </c>
      <c r="E35" s="59">
        <f>'Portfolio Metrics'!M24</f>
        <v>1848810</v>
      </c>
      <c r="F35" s="60">
        <f>'Portfolio Metrics'!P24</f>
        <v>0.80727603160952177</v>
      </c>
      <c r="G35" s="59">
        <f>'Portfolio Metrics'!N24</f>
        <v>-356310</v>
      </c>
      <c r="H35" s="61" t="str">
        <f>'Portfolio Metrics'!U24</f>
        <v>Renegotiate contractor rates and freeze variation orders</v>
      </c>
    </row>
    <row r="36" spans="1:11" ht="58" x14ac:dyDescent="0.35">
      <c r="A36" s="56" t="str">
        <f>'Portfolio Metrics'!A25</f>
        <v>PRJ-002</v>
      </c>
      <c r="B36" s="57" t="str">
        <f>'Portfolio Metrics'!T25</f>
        <v>PLANNED</v>
      </c>
      <c r="C36" s="58">
        <f>'Portfolio Metrics'!H25</f>
        <v>0</v>
      </c>
      <c r="D36" s="59">
        <f>'Portfolio Metrics'!E25</f>
        <v>800000</v>
      </c>
      <c r="E36" s="59">
        <f>'Portfolio Metrics'!M25</f>
        <v>0</v>
      </c>
      <c r="F36" s="60" t="str">
        <f>'Portfolio Metrics'!P25</f>
        <v/>
      </c>
      <c r="G36" s="59">
        <f>'Portfolio Metrics'!N25</f>
        <v>0</v>
      </c>
      <c r="H36" s="61" t="str">
        <f>'Portfolio Metrics'!U25</f>
        <v>Prepare August design start and resource ramp</v>
      </c>
    </row>
    <row r="37" spans="1:11" ht="72.5" x14ac:dyDescent="0.35">
      <c r="A37" s="56" t="str">
        <f>'Portfolio Metrics'!A26</f>
        <v>PRJ-003</v>
      </c>
      <c r="B37" s="57" t="str">
        <f>'Portfolio Metrics'!T26</f>
        <v>CRITICAL</v>
      </c>
      <c r="C37" s="58">
        <f>'Portfolio Metrics'!H26</f>
        <v>0.3</v>
      </c>
      <c r="D37" s="59">
        <f>'Portfolio Metrics'!E26</f>
        <v>1200000</v>
      </c>
      <c r="E37" s="59">
        <f>'Portfolio Metrics'!M26</f>
        <v>382500</v>
      </c>
      <c r="F37" s="60">
        <f>'Portfolio Metrics'!P26</f>
        <v>0.94117647058823528</v>
      </c>
      <c r="G37" s="59">
        <f>'Portfolio Metrics'!N26</f>
        <v>-22500</v>
      </c>
      <c r="H37" s="61" t="str">
        <f>'Portfolio Metrics'!U26</f>
        <v>Move cleanly from engineering to steel fabrication</v>
      </c>
    </row>
    <row r="38" spans="1:11" ht="58" x14ac:dyDescent="0.35">
      <c r="A38" s="56" t="str">
        <f>'Portfolio Metrics'!A27</f>
        <v>PRJ-004</v>
      </c>
      <c r="B38" s="57" t="str">
        <f>'Portfolio Metrics'!T27</f>
        <v>CRITICAL</v>
      </c>
      <c r="C38" s="58">
        <f>'Portfolio Metrics'!H27</f>
        <v>0.7</v>
      </c>
      <c r="D38" s="59">
        <f>'Portfolio Metrics'!E27</f>
        <v>2000000</v>
      </c>
      <c r="E38" s="59">
        <f>'Portfolio Metrics'!M27</f>
        <v>1476000</v>
      </c>
      <c r="F38" s="60">
        <f>'Portfolio Metrics'!P27</f>
        <v>0.948509485094851</v>
      </c>
      <c r="G38" s="59">
        <f>'Portfolio Metrics'!N27</f>
        <v>-76000</v>
      </c>
      <c r="H38" s="61" t="str">
        <f>'Portfolio Metrics'!U27</f>
        <v>Monitor welding productivity through completion</v>
      </c>
    </row>
    <row r="39" spans="1:11" ht="43.5" x14ac:dyDescent="0.35">
      <c r="A39" s="56" t="str">
        <f>'Portfolio Metrics'!A28</f>
        <v>PRJ-005</v>
      </c>
      <c r="B39" s="57" t="str">
        <f>'Portfolio Metrics'!T28</f>
        <v>WATCH</v>
      </c>
      <c r="C39" s="58">
        <f>'Portfolio Metrics'!H28</f>
        <v>0.9</v>
      </c>
      <c r="D39" s="59">
        <f>'Portfolio Metrics'!E28</f>
        <v>1000000</v>
      </c>
      <c r="E39" s="59">
        <f>'Portfolio Metrics'!M28</f>
        <v>927000</v>
      </c>
      <c r="F39" s="60">
        <f>'Portfolio Metrics'!P28</f>
        <v>0.970873786407767</v>
      </c>
      <c r="G39" s="59">
        <f>'Portfolio Metrics'!N28</f>
        <v>-27000</v>
      </c>
      <c r="H39" s="61" t="str">
        <f>'Portfolio Metrics'!U28</f>
        <v>Protect final 10% from cost leakage</v>
      </c>
    </row>
    <row r="40" spans="1:11" ht="58" x14ac:dyDescent="0.35">
      <c r="A40" s="33" t="str">
        <f>'Portfolio Metrics'!A29</f>
        <v>PRJ-006</v>
      </c>
      <c r="B40" s="62" t="str">
        <f>'Portfolio Metrics'!T29</f>
        <v>ON TRACK</v>
      </c>
      <c r="C40" s="63">
        <f>'Portfolio Metrics'!H29</f>
        <v>1</v>
      </c>
      <c r="D40" s="64">
        <f>'Portfolio Metrics'!E29</f>
        <v>600000</v>
      </c>
      <c r="E40" s="64">
        <f>'Portfolio Metrics'!M29</f>
        <v>586500</v>
      </c>
      <c r="F40" s="65">
        <f>'Portfolio Metrics'!P29</f>
        <v>1.0230179028132993</v>
      </c>
      <c r="G40" s="64">
        <f>'Portfolio Metrics'!N29</f>
        <v>13500</v>
      </c>
      <c r="H40" s="66" t="str">
        <f>'Portfolio Metrics'!U29</f>
        <v>Close out lessons learned and verification pack</v>
      </c>
    </row>
    <row r="45" spans="1:11" x14ac:dyDescent="0.35">
      <c r="H45" s="51" t="s">
        <v>695</v>
      </c>
      <c r="I45" s="51"/>
      <c r="J45" s="51"/>
      <c r="K45" s="51"/>
    </row>
    <row r="46" spans="1:11" x14ac:dyDescent="0.35">
      <c r="H46" s="53" t="s">
        <v>145</v>
      </c>
      <c r="I46" s="54" t="s">
        <v>698</v>
      </c>
      <c r="J46" s="54" t="s">
        <v>149</v>
      </c>
      <c r="K46" s="55" t="s">
        <v>117</v>
      </c>
    </row>
    <row r="47" spans="1:11" ht="29" x14ac:dyDescent="0.35">
      <c r="H47" s="56" t="str">
        <f>'Portfolio Metrics'!AM2</f>
        <v>Risk</v>
      </c>
      <c r="I47" s="67" t="str">
        <f>'Portfolio Metrics'!AN2</f>
        <v>Carbon sheet delivery delay from supplier</v>
      </c>
      <c r="J47" s="57" t="str">
        <f>'Portfolio Metrics'!AO2</f>
        <v>Morten Hansen</v>
      </c>
      <c r="K47" s="68" t="str">
        <f>'Portfolio Metrics'!AP2</f>
        <v>Active</v>
      </c>
    </row>
    <row r="48" spans="1:11" ht="29" x14ac:dyDescent="0.35">
      <c r="H48" s="56" t="str">
        <f>'Portfolio Metrics'!AM3</f>
        <v>Issue</v>
      </c>
      <c r="I48" s="67" t="str">
        <f>'Portfolio Metrics'!AN3</f>
        <v>Welder overtime limits exceeded in fabrication</v>
      </c>
      <c r="J48" s="57" t="str">
        <f>'Portfolio Metrics'!AO3</f>
        <v>Morten Hansen</v>
      </c>
      <c r="K48" s="68" t="str">
        <f>'Portfolio Metrics'!AP3</f>
        <v>Active</v>
      </c>
    </row>
    <row r="49" spans="8:11" ht="29" x14ac:dyDescent="0.35">
      <c r="H49" s="56" t="str">
        <f>'Portfolio Metrics'!AM4</f>
        <v>Dependency</v>
      </c>
      <c r="I49" s="67" t="str">
        <f>'Portfolio Metrics'!AN4</f>
        <v>Sea trials depend on DNV class approval</v>
      </c>
      <c r="J49" s="57" t="str">
        <f>'Portfolio Metrics'!AO4</f>
        <v>Frank Ellingsen</v>
      </c>
      <c r="K49" s="68" t="str">
        <f>'Portfolio Metrics'!AP4</f>
        <v>Active</v>
      </c>
    </row>
    <row r="50" spans="8:11" x14ac:dyDescent="0.35">
      <c r="H50" s="56"/>
      <c r="I50" s="57"/>
      <c r="J50" s="57"/>
      <c r="K50" s="68"/>
    </row>
    <row r="51" spans="8:11" x14ac:dyDescent="0.35">
      <c r="H51" s="69" t="s">
        <v>699</v>
      </c>
      <c r="I51" s="70"/>
      <c r="J51" s="70"/>
      <c r="K51" s="71"/>
    </row>
    <row r="52" spans="8:11" x14ac:dyDescent="0.35">
      <c r="H52" s="72" t="str">
        <f>'Portfolio Metrics'!AR2&amp;". "&amp;'Portfolio Metrics'!AS2</f>
        <v>1. Renegotiate outfitting contractor rates (WBS 1 &amp; 3)</v>
      </c>
      <c r="I52" s="73"/>
      <c r="J52" s="73"/>
      <c r="K52" s="74"/>
    </row>
    <row r="53" spans="8:11" x14ac:dyDescent="0.35">
      <c r="H53" s="72"/>
      <c r="I53" s="73"/>
      <c r="J53" s="73"/>
      <c r="K53" s="74"/>
    </row>
    <row r="54" spans="8:11" x14ac:dyDescent="0.35">
      <c r="H54" s="72"/>
      <c r="I54" s="73"/>
      <c r="J54" s="73"/>
      <c r="K54" s="74"/>
    </row>
    <row r="55" spans="8:11" x14ac:dyDescent="0.35">
      <c r="H55" s="75"/>
      <c r="I55" s="76"/>
      <c r="J55" s="76"/>
      <c r="K55" s="77"/>
    </row>
    <row r="76" spans="1:4" x14ac:dyDescent="0.35">
      <c r="A76" s="81" t="s">
        <v>700</v>
      </c>
      <c r="B76" s="78" t="s">
        <v>701</v>
      </c>
      <c r="C76" s="79" t="s">
        <v>702</v>
      </c>
      <c r="D76" s="80" t="s">
        <v>703</v>
      </c>
    </row>
    <row r="77" spans="1:4" ht="43.5" x14ac:dyDescent="0.35">
      <c r="A77" s="82" t="s">
        <v>704</v>
      </c>
      <c r="B77" s="82" t="s">
        <v>705</v>
      </c>
      <c r="C77" s="82" t="s">
        <v>706</v>
      </c>
      <c r="D77" s="82" t="s">
        <v>707</v>
      </c>
    </row>
  </sheetData>
  <mergeCells count="9">
    <mergeCell ref="H45:K45"/>
    <mergeCell ref="H51:K51"/>
    <mergeCell ref="H52:K55"/>
    <mergeCell ref="A1:K1"/>
    <mergeCell ref="A2:K2"/>
    <mergeCell ref="A9:K11"/>
    <mergeCell ref="A13:F13"/>
    <mergeCell ref="G13:K13"/>
    <mergeCell ref="A33:H33"/>
  </mergeCells>
  <conditionalFormatting sqref="B35:B40">
    <cfRule type="expression" dxfId="26" priority="1">
      <formula>B35="CRITICAL"</formula>
    </cfRule>
  </conditionalFormatting>
  <conditionalFormatting sqref="B35:B40">
    <cfRule type="expression" dxfId="25" priority="2">
      <formula>OR(B35="WATCH",B35="PLANNED")</formula>
    </cfRule>
  </conditionalFormatting>
  <conditionalFormatting sqref="B35:B40">
    <cfRule type="expression" dxfId="24" priority="3">
      <formula>B35="ON TRACK"</formula>
    </cfRule>
  </conditionalFormatting>
  <conditionalFormatting sqref="F35:F40">
    <cfRule type="expression" dxfId="20" priority="4">
      <formula>AND(ISNUMBER(F35),F35&lt;0.95)</formula>
    </cfRule>
  </conditionalFormatting>
  <conditionalFormatting sqref="F35:F40">
    <cfRule type="expression" dxfId="19" priority="5">
      <formula>AND(ISNUMBER(F35),F35&gt;=0.95,F35&lt;1)</formula>
    </cfRule>
  </conditionalFormatting>
  <conditionalFormatting sqref="F35:F40">
    <cfRule type="expression" dxfId="18" priority="6">
      <formula>AND(ISNUMBER(F35),F35&gt;=1)</formula>
    </cfRule>
  </conditionalFormatting>
  <conditionalFormatting sqref="A5">
    <cfRule type="expression" dxfId="14" priority="7">
      <formula>A5&lt;0.95</formula>
    </cfRule>
  </conditionalFormatting>
  <conditionalFormatting sqref="A5">
    <cfRule type="expression" dxfId="13" priority="8">
      <formula>AND(A5&gt;=0.95,A5&lt;1)</formula>
    </cfRule>
  </conditionalFormatting>
  <conditionalFormatting sqref="A5">
    <cfRule type="expression" dxfId="12" priority="9">
      <formula>A5&gt;=1</formula>
    </cfRule>
  </conditionalFormatting>
  <conditionalFormatting sqref="G35:G40">
    <cfRule type="expression" dxfId="8" priority="10">
      <formula>G35&lt;0</formula>
    </cfRule>
  </conditionalFormatting>
  <conditionalFormatting sqref="G35:G40">
    <cfRule type="expression" dxfId="7" priority="11">
      <formula>G35=0</formula>
    </cfRule>
  </conditionalFormatting>
  <conditionalFormatting sqref="G35:G40">
    <cfRule type="expression" dxfId="6" priority="12">
      <formula>G35&gt;0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F37C6-213C-4087-84C2-E3B1C9492E0F}">
  <dimension ref="A1:AS42"/>
  <sheetViews>
    <sheetView workbookViewId="0">
      <selection sqref="A1:U1"/>
    </sheetView>
  </sheetViews>
  <sheetFormatPr defaultRowHeight="14.5" x14ac:dyDescent="0.35"/>
  <cols>
    <col min="1" max="3" width="17.26953125" customWidth="1"/>
    <col min="4" max="4" width="36.36328125" customWidth="1"/>
    <col min="5" max="18" width="17.26953125" customWidth="1"/>
    <col min="19" max="19" width="18" customWidth="1"/>
    <col min="20" max="20" width="17.26953125" customWidth="1"/>
    <col min="21" max="21" width="36.36328125" customWidth="1"/>
  </cols>
  <sheetData>
    <row r="1" spans="1:45" ht="23.5" x14ac:dyDescent="0.55000000000000004">
      <c r="A1" s="4" t="s">
        <v>631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t="s">
        <v>670</v>
      </c>
      <c r="X1" t="s">
        <v>647</v>
      </c>
      <c r="Y1" t="s">
        <v>639</v>
      </c>
      <c r="Z1" t="s">
        <v>642</v>
      </c>
      <c r="AB1" t="s">
        <v>670</v>
      </c>
      <c r="AC1" t="s">
        <v>644</v>
      </c>
      <c r="AE1" t="s">
        <v>670</v>
      </c>
      <c r="AF1" t="s">
        <v>640</v>
      </c>
      <c r="AG1" t="s">
        <v>641</v>
      </c>
      <c r="AI1" t="s">
        <v>670</v>
      </c>
      <c r="AJ1" t="s">
        <v>671</v>
      </c>
      <c r="AK1" t="s">
        <v>672</v>
      </c>
      <c r="AM1" t="s">
        <v>145</v>
      </c>
      <c r="AN1" t="s">
        <v>3</v>
      </c>
      <c r="AO1" t="s">
        <v>149</v>
      </c>
      <c r="AP1" t="s">
        <v>117</v>
      </c>
      <c r="AR1" t="s">
        <v>676</v>
      </c>
      <c r="AS1" t="s">
        <v>677</v>
      </c>
    </row>
    <row r="2" spans="1:45" x14ac:dyDescent="0.35">
      <c r="A2" s="5" t="s">
        <v>632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W2" t="s">
        <v>118</v>
      </c>
      <c r="X2">
        <f>_xlfn.XLOOKUP($W2,Project_EVM[ProjectID],Project_EVM[BAC])</f>
        <v>1500000</v>
      </c>
      <c r="Y2">
        <f>_xlfn.XLOOKUP($W2,Project_EVM[ProjectID],Project_EVM[EV])</f>
        <v>1492500</v>
      </c>
      <c r="Z2">
        <f>_xlfn.XLOOKUP($W2,Project_EVM[ProjectID],Project_EVM[AC])</f>
        <v>1848810</v>
      </c>
      <c r="AB2" t="s">
        <v>118</v>
      </c>
      <c r="AC2">
        <f>_xlfn.XLOOKUP($AB2,Project_EVM[ProjectID],Project_EVM[CPI])</f>
        <v>0.80727603160952177</v>
      </c>
      <c r="AE2" t="s">
        <v>118</v>
      </c>
      <c r="AF2">
        <f>_xlfn.XLOOKUP($AE2,Project_EVM[ProjectID],Project_EVM[Labor AC])</f>
        <v>1326810</v>
      </c>
      <c r="AG2">
        <f>_xlfn.XLOOKUP($AE2,Project_EVM[ProjectID],Project_EVM[Material AC])</f>
        <v>522000</v>
      </c>
      <c r="AI2" t="s">
        <v>134</v>
      </c>
      <c r="AJ2">
        <f>_xlfn.XLOOKUP($AI2,Project_EVM[ProjectID],Project_EVM[Start])-$AJ$8</f>
        <v>0</v>
      </c>
      <c r="AK2">
        <f>_xlfn.XLOOKUP($AI2,Project_EVM[ProjectID],Project_EVM[End])-_xlfn.XLOOKUP($AI2,Project_EVM[ProjectID],Project_EVM[Start])</f>
        <v>181</v>
      </c>
      <c r="AM2" t="s">
        <v>151</v>
      </c>
      <c r="AN2" t="s">
        <v>673</v>
      </c>
      <c r="AO2" t="s">
        <v>120</v>
      </c>
      <c r="AP2" t="s">
        <v>128</v>
      </c>
      <c r="AR2">
        <v>1</v>
      </c>
      <c r="AS2" t="s">
        <v>678</v>
      </c>
    </row>
    <row r="3" spans="1:45" x14ac:dyDescent="0.35">
      <c r="W3" t="s">
        <v>122</v>
      </c>
      <c r="X3">
        <f>_xlfn.XLOOKUP($W3,Project_EVM[ProjectID],Project_EVM[BAC])</f>
        <v>800000</v>
      </c>
      <c r="Y3">
        <f>_xlfn.XLOOKUP($W3,Project_EVM[ProjectID],Project_EVM[EV])</f>
        <v>0</v>
      </c>
      <c r="Z3">
        <f>_xlfn.XLOOKUP($W3,Project_EVM[ProjectID],Project_EVM[AC])</f>
        <v>0</v>
      </c>
      <c r="AB3" t="s">
        <v>122</v>
      </c>
      <c r="AC3" t="str">
        <f>_xlfn.XLOOKUP($AB3,Project_EVM[ProjectID],Project_EVM[CPI])</f>
        <v/>
      </c>
      <c r="AE3" t="s">
        <v>122</v>
      </c>
      <c r="AF3">
        <f>_xlfn.XLOOKUP($AE3,Project_EVM[ProjectID],Project_EVM[Labor AC])</f>
        <v>0</v>
      </c>
      <c r="AG3">
        <f>_xlfn.XLOOKUP($AE3,Project_EVM[ProjectID],Project_EVM[Material AC])</f>
        <v>0</v>
      </c>
      <c r="AI3" t="s">
        <v>132</v>
      </c>
      <c r="AJ3">
        <f>_xlfn.XLOOKUP($AI3,Project_EVM[ProjectID],Project_EVM[Start])-$AJ$8</f>
        <v>123</v>
      </c>
      <c r="AK3">
        <f>_xlfn.XLOOKUP($AI3,Project_EVM[ProjectID],Project_EVM[End])-_xlfn.XLOOKUP($AI3,Project_EVM[ProjectID],Project_EVM[Start])</f>
        <v>180</v>
      </c>
      <c r="AM3" t="s">
        <v>163</v>
      </c>
      <c r="AN3" t="s">
        <v>674</v>
      </c>
      <c r="AO3" t="s">
        <v>120</v>
      </c>
      <c r="AP3" t="s">
        <v>128</v>
      </c>
      <c r="AR3">
        <v>2</v>
      </c>
      <c r="AS3" t="s">
        <v>679</v>
      </c>
    </row>
    <row r="4" spans="1:45" x14ac:dyDescent="0.35">
      <c r="A4" t="s">
        <v>633</v>
      </c>
      <c r="B4" s="34">
        <v>46203</v>
      </c>
      <c r="W4" t="s">
        <v>125</v>
      </c>
      <c r="X4">
        <f>_xlfn.XLOOKUP($W4,Project_EVM[ProjectID],Project_EVM[BAC])</f>
        <v>1200000</v>
      </c>
      <c r="Y4">
        <f>_xlfn.XLOOKUP($W4,Project_EVM[ProjectID],Project_EVM[EV])</f>
        <v>360000</v>
      </c>
      <c r="Z4">
        <f>_xlfn.XLOOKUP($W4,Project_EVM[ProjectID],Project_EVM[AC])</f>
        <v>382500</v>
      </c>
      <c r="AB4" t="s">
        <v>125</v>
      </c>
      <c r="AC4">
        <f>_xlfn.XLOOKUP($AB4,Project_EVM[ProjectID],Project_EVM[CPI])</f>
        <v>0.94117647058823528</v>
      </c>
      <c r="AE4" t="s">
        <v>125</v>
      </c>
      <c r="AF4">
        <f>_xlfn.XLOOKUP($AE4,Project_EVM[ProjectID],Project_EVM[Labor AC])</f>
        <v>332500</v>
      </c>
      <c r="AG4">
        <f>_xlfn.XLOOKUP($AE4,Project_EVM[ProjectID],Project_EVM[Material AC])</f>
        <v>50000</v>
      </c>
      <c r="AI4" t="s">
        <v>129</v>
      </c>
      <c r="AJ4">
        <f>_xlfn.XLOOKUP($AI4,Project_EVM[ProjectID],Project_EVM[Start])-$AJ$8</f>
        <v>151</v>
      </c>
      <c r="AK4">
        <f>_xlfn.XLOOKUP($AI4,Project_EVM[ProjectID],Project_EVM[End])-_xlfn.XLOOKUP($AI4,Project_EVM[ProjectID],Project_EVM[Start])</f>
        <v>183</v>
      </c>
      <c r="AM4" t="s">
        <v>167</v>
      </c>
      <c r="AN4" t="s">
        <v>675</v>
      </c>
      <c r="AO4" t="s">
        <v>48</v>
      </c>
      <c r="AP4" t="s">
        <v>128</v>
      </c>
      <c r="AR4">
        <v>3</v>
      </c>
      <c r="AS4" t="s">
        <v>680</v>
      </c>
    </row>
    <row r="5" spans="1:45" x14ac:dyDescent="0.35">
      <c r="W5" t="s">
        <v>129</v>
      </c>
      <c r="X5">
        <f>_xlfn.XLOOKUP($W5,Project_EVM[ProjectID],Project_EVM[BAC])</f>
        <v>2000000</v>
      </c>
      <c r="Y5">
        <f>_xlfn.XLOOKUP($W5,Project_EVM[ProjectID],Project_EVM[EV])</f>
        <v>1400000</v>
      </c>
      <c r="Z5">
        <f>_xlfn.XLOOKUP($W5,Project_EVM[ProjectID],Project_EVM[AC])</f>
        <v>1476000</v>
      </c>
      <c r="AB5" t="s">
        <v>129</v>
      </c>
      <c r="AC5">
        <f>_xlfn.XLOOKUP($AB5,Project_EVM[ProjectID],Project_EVM[CPI])</f>
        <v>0.948509485094851</v>
      </c>
      <c r="AE5" t="s">
        <v>129</v>
      </c>
      <c r="AF5">
        <f>_xlfn.XLOOKUP($AE5,Project_EVM[ProjectID],Project_EVM[Labor AC])</f>
        <v>1226000</v>
      </c>
      <c r="AG5">
        <f>_xlfn.XLOOKUP($AE5,Project_EVM[ProjectID],Project_EVM[Material AC])</f>
        <v>250000</v>
      </c>
      <c r="AI5" t="s">
        <v>125</v>
      </c>
      <c r="AJ5">
        <f>_xlfn.XLOOKUP($AI5,Project_EVM[ProjectID],Project_EVM[Start])-$AJ$8</f>
        <v>212</v>
      </c>
      <c r="AK5">
        <f>_xlfn.XLOOKUP($AI5,Project_EVM[ProjectID],Project_EVM[End])-_xlfn.XLOOKUP($AI5,Project_EVM[ProjectID],Project_EVM[Start])</f>
        <v>183</v>
      </c>
      <c r="AR5">
        <v>4</v>
      </c>
      <c r="AS5" t="s">
        <v>681</v>
      </c>
    </row>
    <row r="6" spans="1:45" x14ac:dyDescent="0.35">
      <c r="A6" t="s">
        <v>1</v>
      </c>
      <c r="B6" t="s">
        <v>111</v>
      </c>
      <c r="C6" t="s">
        <v>634</v>
      </c>
      <c r="D6" t="s">
        <v>635</v>
      </c>
      <c r="E6" t="s">
        <v>636</v>
      </c>
      <c r="F6" t="s">
        <v>637</v>
      </c>
      <c r="G6" t="s">
        <v>638</v>
      </c>
      <c r="H6" t="s">
        <v>639</v>
      </c>
      <c r="I6" t="s">
        <v>640</v>
      </c>
      <c r="J6" t="s">
        <v>641</v>
      </c>
      <c r="K6" t="s">
        <v>642</v>
      </c>
      <c r="L6" t="s">
        <v>643</v>
      </c>
      <c r="M6" t="s">
        <v>644</v>
      </c>
      <c r="W6" t="s">
        <v>132</v>
      </c>
      <c r="X6">
        <f>_xlfn.XLOOKUP($W6,Project_EVM[ProjectID],Project_EVM[BAC])</f>
        <v>1000000</v>
      </c>
      <c r="Y6">
        <f>_xlfn.XLOOKUP($W6,Project_EVM[ProjectID],Project_EVM[EV])</f>
        <v>900000</v>
      </c>
      <c r="Z6">
        <f>_xlfn.XLOOKUP($W6,Project_EVM[ProjectID],Project_EVM[AC])</f>
        <v>927000</v>
      </c>
      <c r="AB6" t="s">
        <v>132</v>
      </c>
      <c r="AC6">
        <f>_xlfn.XLOOKUP($AB6,Project_EVM[ProjectID],Project_EVM[CPI])</f>
        <v>0.970873786407767</v>
      </c>
      <c r="AE6" t="s">
        <v>132</v>
      </c>
      <c r="AF6">
        <f>_xlfn.XLOOKUP($AE6,Project_EVM[ProjectID],Project_EVM[Labor AC])</f>
        <v>747000</v>
      </c>
      <c r="AG6">
        <f>_xlfn.XLOOKUP($AE6,Project_EVM[ProjectID],Project_EVM[Material AC])</f>
        <v>180000</v>
      </c>
      <c r="AI6" t="s">
        <v>122</v>
      </c>
      <c r="AJ6">
        <f>_xlfn.XLOOKUP($AI6,Project_EVM[ProjectID],Project_EVM[Start])-$AJ$8</f>
        <v>304</v>
      </c>
      <c r="AK6">
        <f>_xlfn.XLOOKUP($AI6,Project_EVM[ProjectID],Project_EVM[End])-_xlfn.XLOOKUP($AI6,Project_EVM[ProjectID],Project_EVM[Start])</f>
        <v>152</v>
      </c>
    </row>
    <row r="7" spans="1:45" x14ac:dyDescent="0.35">
      <c r="A7" t="s">
        <v>47</v>
      </c>
      <c r="B7" t="str">
        <f>_xlfn.XLOOKUP($A7,wbs_elements[WBS_ID],wbs_elements[ProjectID])</f>
        <v>PRJ-001</v>
      </c>
      <c r="C7">
        <f>_xlfn.XLOOKUP($A7,wbs_elements[WBS_ID],wbs_elements[WBS_Code])</f>
        <v>1</v>
      </c>
      <c r="D7" t="str">
        <f>_xlfn.XLOOKUP($A7,wbs_elements[WBS_ID],wbs_elements[ElementName])</f>
        <v>Project Management &amp; Engineering</v>
      </c>
      <c r="E7">
        <f>_xlfn.XLOOKUP($A7,wbs_elements[WBS_ID],wbs_elements[PlannedCost])</f>
        <v>300000</v>
      </c>
      <c r="F7">
        <f>_xlfn.XLOOKUP($A7,wbs_elements[WBS_ID],wbs_elements[PlannedHours])</f>
        <v>400</v>
      </c>
      <c r="G7">
        <f>IFERROR(SUMIFS(physical_progress[PercentComplete],physical_progress[WBS_ID],$A7,physical_progress[RecordDate],_xlfn.MAXIFS(physical_progress[RecordDate],physical_progress[WBS_ID],$A7)),0)</f>
        <v>0.97499999999999998</v>
      </c>
      <c r="H7">
        <f>$E7*$G7</f>
        <v>292500</v>
      </c>
      <c r="I7" cm="1">
        <f t="array" ref="I7">SUMPRODUCT(SUMIFS(timesheets[HoursWorked],timesheets[WBS_ID],$A7,timesheets[ResourceID],resources[ResourceID],timesheets[ApprovalStatus],"Approved")*resources[HourlyRate])</f>
        <v>419230</v>
      </c>
      <c r="J7">
        <f>SUMIFS(material_costs[TotalActualCost],material_costs[WBS_ID],$A7)</f>
        <v>0</v>
      </c>
      <c r="K7">
        <f>$I7+$J7</f>
        <v>419230</v>
      </c>
      <c r="L7">
        <f>$H7-$K7</f>
        <v>-126730</v>
      </c>
      <c r="M7">
        <f>IFERROR($H7/$K7,"")</f>
        <v>0.69770770221596734</v>
      </c>
      <c r="W7" t="s">
        <v>134</v>
      </c>
      <c r="X7">
        <f>_xlfn.XLOOKUP($W7,Project_EVM[ProjectID],Project_EVM[BAC])</f>
        <v>600000</v>
      </c>
      <c r="Y7">
        <f>_xlfn.XLOOKUP($W7,Project_EVM[ProjectID],Project_EVM[EV])</f>
        <v>600000</v>
      </c>
      <c r="Z7">
        <f>_xlfn.XLOOKUP($W7,Project_EVM[ProjectID],Project_EVM[AC])</f>
        <v>586500</v>
      </c>
      <c r="AB7" t="s">
        <v>134</v>
      </c>
      <c r="AC7">
        <f>_xlfn.XLOOKUP($AB7,Project_EVM[ProjectID],Project_EVM[CPI])</f>
        <v>1.0230179028132993</v>
      </c>
      <c r="AE7" t="s">
        <v>134</v>
      </c>
      <c r="AF7">
        <f>_xlfn.XLOOKUP($AE7,Project_EVM[ProjectID],Project_EVM[Labor AC])</f>
        <v>516500</v>
      </c>
      <c r="AG7">
        <f>_xlfn.XLOOKUP($AE7,Project_EVM[ProjectID],Project_EVM[Material AC])</f>
        <v>70000</v>
      </c>
      <c r="AI7" t="s">
        <v>118</v>
      </c>
      <c r="AJ7">
        <f>_xlfn.XLOOKUP($AI7,Project_EVM[ProjectID],Project_EVM[Start])-$AJ$8</f>
        <v>92</v>
      </c>
      <c r="AK7">
        <f>_xlfn.XLOOKUP($AI7,Project_EVM[ProjectID],Project_EVM[End])-_xlfn.XLOOKUP($AI7,Project_EVM[ProjectID],Project_EVM[Start])</f>
        <v>180</v>
      </c>
    </row>
    <row r="8" spans="1:45" x14ac:dyDescent="0.35">
      <c r="A8" t="s">
        <v>8</v>
      </c>
      <c r="B8" t="str">
        <f>_xlfn.XLOOKUP($A8,wbs_elements[WBS_ID],wbs_elements[ProjectID])</f>
        <v>PRJ-001</v>
      </c>
      <c r="C8">
        <f>_xlfn.XLOOKUP($A8,wbs_elements[WBS_ID],wbs_elements[WBS_Code])</f>
        <v>2</v>
      </c>
      <c r="D8" t="str">
        <f>_xlfn.XLOOKUP($A8,wbs_elements[WBS_ID],wbs_elements[ElementName])</f>
        <v>Hull Fabrication &amp; Assembly</v>
      </c>
      <c r="E8">
        <f>_xlfn.XLOOKUP($A8,wbs_elements[WBS_ID],wbs_elements[PlannedCost])</f>
        <v>600000</v>
      </c>
      <c r="F8">
        <f>_xlfn.XLOOKUP($A8,wbs_elements[WBS_ID],wbs_elements[PlannedHours])</f>
        <v>1200</v>
      </c>
      <c r="G8">
        <f>IFERROR(SUMIFS(physical_progress[PercentComplete],physical_progress[WBS_ID],$A8,physical_progress[RecordDate],_xlfn.MAXIFS(physical_progress[RecordDate],physical_progress[WBS_ID],$A8)),0)</f>
        <v>1</v>
      </c>
      <c r="H8">
        <f>$E8*$G8</f>
        <v>600000</v>
      </c>
      <c r="I8" cm="1">
        <f t="array" ref="I8">SUMPRODUCT(SUMIFS(timesheets[HoursWorked],timesheets[WBS_ID],$A8,timesheets[ResourceID],resources[ResourceID],timesheets[ApprovalStatus],"Approved")*resources[HourlyRate])</f>
        <v>374950.00000000006</v>
      </c>
      <c r="J8">
        <f>SUMIFS(material_costs[TotalActualCost],material_costs[WBS_ID],$A8)</f>
        <v>245500</v>
      </c>
      <c r="K8">
        <f>$I8+$J8</f>
        <v>620450</v>
      </c>
      <c r="L8">
        <f>$H8-$K8</f>
        <v>-20450</v>
      </c>
      <c r="M8">
        <f>IFERROR($H8/$K8,"")</f>
        <v>0.96704005157546946</v>
      </c>
      <c r="AJ8">
        <f>MIN(Project_EVM[Start])</f>
        <v>45931</v>
      </c>
    </row>
    <row r="9" spans="1:45" x14ac:dyDescent="0.35">
      <c r="A9" t="s">
        <v>17</v>
      </c>
      <c r="B9" t="str">
        <f>_xlfn.XLOOKUP($A9,wbs_elements[WBS_ID],wbs_elements[ProjectID])</f>
        <v>PRJ-001</v>
      </c>
      <c r="C9">
        <f>_xlfn.XLOOKUP($A9,wbs_elements[WBS_ID],wbs_elements[WBS_Code])</f>
        <v>3</v>
      </c>
      <c r="D9" t="str">
        <f>_xlfn.XLOOKUP($A9,wbs_elements[WBS_ID],wbs_elements[ElementName])</f>
        <v>Outfitting &amp; Integration</v>
      </c>
      <c r="E9">
        <f>_xlfn.XLOOKUP($A9,wbs_elements[WBS_ID],wbs_elements[PlannedCost])</f>
        <v>400000</v>
      </c>
      <c r="F9">
        <f>_xlfn.XLOOKUP($A9,wbs_elements[WBS_ID],wbs_elements[PlannedHours])</f>
        <v>800</v>
      </c>
      <c r="G9">
        <f>IFERROR(SUMIFS(physical_progress[PercentComplete],physical_progress[WBS_ID],$A9,physical_progress[RecordDate],_xlfn.MAXIFS(physical_progress[RecordDate],physical_progress[WBS_ID],$A9)),0)</f>
        <v>1</v>
      </c>
      <c r="H9">
        <f>$E9*$G9</f>
        <v>400000</v>
      </c>
      <c r="I9" cm="1">
        <f t="array" ref="I9">SUMPRODUCT(SUMIFS(timesheets[HoursWorked],timesheets[WBS_ID],$A9,timesheets[ResourceID],resources[ResourceID],timesheets[ApprovalStatus],"Approved")*resources[HourlyRate])</f>
        <v>297445</v>
      </c>
      <c r="J9">
        <f>SUMIFS(material_costs[TotalActualCost],material_costs[WBS_ID],$A9)</f>
        <v>243000</v>
      </c>
      <c r="K9">
        <f>$I9+$J9</f>
        <v>540445</v>
      </c>
      <c r="L9">
        <f>$H9-$K9</f>
        <v>-140445</v>
      </c>
      <c r="M9">
        <f>IFERROR($H9/$K9,"")</f>
        <v>0.74013081812210313</v>
      </c>
    </row>
    <row r="10" spans="1:45" x14ac:dyDescent="0.35">
      <c r="A10" t="s">
        <v>26</v>
      </c>
      <c r="B10" t="str">
        <f>_xlfn.XLOOKUP($A10,wbs_elements[WBS_ID],wbs_elements[ProjectID])</f>
        <v>PRJ-001</v>
      </c>
      <c r="C10">
        <f>_xlfn.XLOOKUP($A10,wbs_elements[WBS_ID],wbs_elements[WBS_Code])</f>
        <v>4</v>
      </c>
      <c r="D10" t="str">
        <f>_xlfn.XLOOKUP($A10,wbs_elements[WBS_ID],wbs_elements[ElementName])</f>
        <v>Sea Trials &amp; Handover</v>
      </c>
      <c r="E10">
        <f>_xlfn.XLOOKUP($A10,wbs_elements[WBS_ID],wbs_elements[PlannedCost])</f>
        <v>200000</v>
      </c>
      <c r="F10">
        <f>_xlfn.XLOOKUP($A10,wbs_elements[WBS_ID],wbs_elements[PlannedHours])</f>
        <v>300</v>
      </c>
      <c r="G10">
        <f>IFERROR(SUMIFS(physical_progress[PercentComplete],physical_progress[WBS_ID],$A10,physical_progress[RecordDate],_xlfn.MAXIFS(physical_progress[RecordDate],physical_progress[WBS_ID],$A10)),0)</f>
        <v>1</v>
      </c>
      <c r="H10">
        <f>$E10*$G10</f>
        <v>200000</v>
      </c>
      <c r="I10" cm="1">
        <f t="array" ref="I10">SUMPRODUCT(SUMIFS(timesheets[HoursWorked],timesheets[WBS_ID],$A10,timesheets[ResourceID],resources[ResourceID],timesheets[ApprovalStatus],"Approved")*resources[HourlyRate])</f>
        <v>235184.99999999997</v>
      </c>
      <c r="J10">
        <f>SUMIFS(material_costs[TotalActualCost],material_costs[WBS_ID],$A10)</f>
        <v>33500</v>
      </c>
      <c r="K10">
        <f>$I10+$J10</f>
        <v>268685</v>
      </c>
      <c r="L10">
        <f>$H10-$K10</f>
        <v>-68685</v>
      </c>
      <c r="M10">
        <f>IFERROR($H10/$K10,"")</f>
        <v>0.7443660792377691</v>
      </c>
    </row>
    <row r="11" spans="1:45" x14ac:dyDescent="0.35">
      <c r="A11" t="s">
        <v>96</v>
      </c>
      <c r="B11" t="str">
        <f>_xlfn.XLOOKUP($A11,wbs_elements[WBS_ID],wbs_elements[ProjectID])</f>
        <v>PRJ-002</v>
      </c>
      <c r="C11">
        <f>_xlfn.XLOOKUP($A11,wbs_elements[WBS_ID],wbs_elements[WBS_Code])</f>
        <v>1</v>
      </c>
      <c r="D11" t="str">
        <f>_xlfn.XLOOKUP($A11,wbs_elements[WBS_ID],wbs_elements[ElementName])</f>
        <v>Design &amp; CFD Analysis</v>
      </c>
      <c r="E11">
        <f>_xlfn.XLOOKUP($A11,wbs_elements[WBS_ID],wbs_elements[PlannedCost])</f>
        <v>300000</v>
      </c>
      <c r="F11">
        <f>_xlfn.XLOOKUP($A11,wbs_elements[WBS_ID],wbs_elements[PlannedHours])</f>
        <v>300</v>
      </c>
      <c r="G11">
        <f>IFERROR(SUMIFS(physical_progress[PercentComplete],physical_progress[WBS_ID],$A11,physical_progress[RecordDate],_xlfn.MAXIFS(physical_progress[RecordDate],physical_progress[WBS_ID],$A11)),0)</f>
        <v>0</v>
      </c>
      <c r="H11">
        <f>$E11*$G11</f>
        <v>0</v>
      </c>
      <c r="I11" cm="1">
        <f t="array" ref="I11">SUMPRODUCT(SUMIFS(timesheets[HoursWorked],timesheets[WBS_ID],$A11,timesheets[ResourceID],resources[ResourceID],timesheets[ApprovalStatus],"Approved")*resources[HourlyRate])</f>
        <v>0</v>
      </c>
      <c r="J11">
        <f>SUMIFS(material_costs[TotalActualCost],material_costs[WBS_ID],$A11)</f>
        <v>0</v>
      </c>
      <c r="K11">
        <f>$I11+$J11</f>
        <v>0</v>
      </c>
      <c r="L11">
        <f>$H11-$K11</f>
        <v>0</v>
      </c>
      <c r="M11" t="str">
        <f>IFERROR($H11/$K11,"")</f>
        <v/>
      </c>
    </row>
    <row r="12" spans="1:45" x14ac:dyDescent="0.35">
      <c r="A12" t="s">
        <v>98</v>
      </c>
      <c r="B12" t="str">
        <f>_xlfn.XLOOKUP($A12,wbs_elements[WBS_ID],wbs_elements[ProjectID])</f>
        <v>PRJ-002</v>
      </c>
      <c r="C12">
        <f>_xlfn.XLOOKUP($A12,wbs_elements[WBS_ID],wbs_elements[WBS_Code])</f>
        <v>2</v>
      </c>
      <c r="D12" t="str">
        <f>_xlfn.XLOOKUP($A12,wbs_elements[WBS_ID],wbs_elements[ElementName])</f>
        <v>Material Procurement</v>
      </c>
      <c r="E12">
        <f>_xlfn.XLOOKUP($A12,wbs_elements[WBS_ID],wbs_elements[PlannedCost])</f>
        <v>500000</v>
      </c>
      <c r="F12">
        <f>_xlfn.XLOOKUP($A12,wbs_elements[WBS_ID],wbs_elements[PlannedHours])</f>
        <v>0</v>
      </c>
      <c r="G12">
        <f>IFERROR(SUMIFS(physical_progress[PercentComplete],physical_progress[WBS_ID],$A12,physical_progress[RecordDate],_xlfn.MAXIFS(physical_progress[RecordDate],physical_progress[WBS_ID],$A12)),0)</f>
        <v>0</v>
      </c>
      <c r="H12">
        <f>$E12*$G12</f>
        <v>0</v>
      </c>
      <c r="I12" cm="1">
        <f t="array" ref="I12">SUMPRODUCT(SUMIFS(timesheets[HoursWorked],timesheets[WBS_ID],$A12,timesheets[ResourceID],resources[ResourceID],timesheets[ApprovalStatus],"Approved")*resources[HourlyRate])</f>
        <v>0</v>
      </c>
      <c r="J12">
        <f>SUMIFS(material_costs[TotalActualCost],material_costs[WBS_ID],$A12)</f>
        <v>0</v>
      </c>
      <c r="K12">
        <f>$I12+$J12</f>
        <v>0</v>
      </c>
      <c r="L12">
        <f>$H12-$K12</f>
        <v>0</v>
      </c>
      <c r="M12" t="str">
        <f>IFERROR($H12/$K12,"")</f>
        <v/>
      </c>
    </row>
    <row r="13" spans="1:45" x14ac:dyDescent="0.35">
      <c r="A13" t="s">
        <v>100</v>
      </c>
      <c r="B13" t="str">
        <f>_xlfn.XLOOKUP($A13,wbs_elements[WBS_ID],wbs_elements[ProjectID])</f>
        <v>PRJ-003</v>
      </c>
      <c r="C13">
        <f>_xlfn.XLOOKUP($A13,wbs_elements[WBS_ID],wbs_elements[WBS_Code])</f>
        <v>1</v>
      </c>
      <c r="D13" t="str">
        <f>_xlfn.XLOOKUP($A13,wbs_elements[WBS_ID],wbs_elements[ElementName])</f>
        <v>Structural Frame Engineering</v>
      </c>
      <c r="E13">
        <f>_xlfn.XLOOKUP($A13,wbs_elements[WBS_ID],wbs_elements[PlannedCost])</f>
        <v>400000</v>
      </c>
      <c r="F13">
        <f>_xlfn.XLOOKUP($A13,wbs_elements[WBS_ID],wbs_elements[PlannedHours])</f>
        <v>400</v>
      </c>
      <c r="G13">
        <f>IFERROR(SUMIFS(physical_progress[PercentComplete],physical_progress[WBS_ID],$A13,physical_progress[RecordDate],_xlfn.MAXIFS(physical_progress[RecordDate],physical_progress[WBS_ID],$A13)),0)</f>
        <v>0.9</v>
      </c>
      <c r="H13">
        <f>$E13*$G13</f>
        <v>360000</v>
      </c>
      <c r="I13" cm="1">
        <f t="array" ref="I13">SUMPRODUCT(SUMIFS(timesheets[HoursWorked],timesheets[WBS_ID],$A13,timesheets[ResourceID],resources[ResourceID],timesheets[ApprovalStatus],"Approved")*resources[HourlyRate])</f>
        <v>332500</v>
      </c>
      <c r="J13">
        <f>SUMIFS(material_costs[TotalActualCost],material_costs[WBS_ID],$A13)</f>
        <v>0</v>
      </c>
      <c r="K13">
        <f>$I13+$J13</f>
        <v>332500</v>
      </c>
      <c r="L13">
        <f>$H13-$K13</f>
        <v>27500</v>
      </c>
      <c r="M13">
        <f>IFERROR($H13/$K13,"")</f>
        <v>1.0827067669172932</v>
      </c>
    </row>
    <row r="14" spans="1:45" x14ac:dyDescent="0.35">
      <c r="A14" t="s">
        <v>31</v>
      </c>
      <c r="B14" t="str">
        <f>_xlfn.XLOOKUP($A14,wbs_elements[WBS_ID],wbs_elements[ProjectID])</f>
        <v>PRJ-003</v>
      </c>
      <c r="C14">
        <f>_xlfn.XLOOKUP($A14,wbs_elements[WBS_ID],wbs_elements[WBS_Code])</f>
        <v>2</v>
      </c>
      <c r="D14" t="str">
        <f>_xlfn.XLOOKUP($A14,wbs_elements[WBS_ID],wbs_elements[ElementName])</f>
        <v>Steel Fabrication</v>
      </c>
      <c r="E14">
        <f>_xlfn.XLOOKUP($A14,wbs_elements[WBS_ID],wbs_elements[PlannedCost])</f>
        <v>800000</v>
      </c>
      <c r="F14">
        <f>_xlfn.XLOOKUP($A14,wbs_elements[WBS_ID],wbs_elements[PlannedHours])</f>
        <v>1000</v>
      </c>
      <c r="G14">
        <f>IFERROR(SUMIFS(physical_progress[PercentComplete],physical_progress[WBS_ID],$A14,physical_progress[RecordDate],_xlfn.MAXIFS(physical_progress[RecordDate],physical_progress[WBS_ID],$A14)),0)</f>
        <v>0</v>
      </c>
      <c r="H14">
        <f>$E14*$G14</f>
        <v>0</v>
      </c>
      <c r="I14" cm="1">
        <f t="array" ref="I14">SUMPRODUCT(SUMIFS(timesheets[HoursWorked],timesheets[WBS_ID],$A14,timesheets[ResourceID],resources[ResourceID],timesheets[ApprovalStatus],"Approved")*resources[HourlyRate])</f>
        <v>0</v>
      </c>
      <c r="J14">
        <f>SUMIFS(material_costs[TotalActualCost],material_costs[WBS_ID],$A14)</f>
        <v>50000</v>
      </c>
      <c r="K14">
        <f>$I14+$J14</f>
        <v>50000</v>
      </c>
      <c r="L14">
        <f>$H14-$K14</f>
        <v>-50000</v>
      </c>
      <c r="M14">
        <f>IFERROR($H14/$K14,"")</f>
        <v>0</v>
      </c>
    </row>
    <row r="15" spans="1:45" x14ac:dyDescent="0.35">
      <c r="A15" t="s">
        <v>103</v>
      </c>
      <c r="B15" t="str">
        <f>_xlfn.XLOOKUP($A15,wbs_elements[WBS_ID],wbs_elements[ProjectID])</f>
        <v>PRJ-004</v>
      </c>
      <c r="C15">
        <f>_xlfn.XLOOKUP($A15,wbs_elements[WBS_ID],wbs_elements[WBS_Code])</f>
        <v>1</v>
      </c>
      <c r="D15" t="str">
        <f>_xlfn.XLOOKUP($A15,wbs_elements[WBS_ID],wbs_elements[ElementName])</f>
        <v>Engineering Drawings &amp; Class Approval</v>
      </c>
      <c r="E15">
        <f>_xlfn.XLOOKUP($A15,wbs_elements[WBS_ID],wbs_elements[PlannedCost])</f>
        <v>500000</v>
      </c>
      <c r="F15">
        <f>_xlfn.XLOOKUP($A15,wbs_elements[WBS_ID],wbs_elements[PlannedHours])</f>
        <v>500</v>
      </c>
      <c r="G15">
        <f>IFERROR(SUMIFS(physical_progress[PercentComplete],physical_progress[WBS_ID],$A15,physical_progress[RecordDate],_xlfn.MAXIFS(physical_progress[RecordDate],physical_progress[WBS_ID],$A15)),0)</f>
        <v>1</v>
      </c>
      <c r="H15">
        <f>$E15*$G15</f>
        <v>500000</v>
      </c>
      <c r="I15" cm="1">
        <f t="array" ref="I15">SUMPRODUCT(SUMIFS(timesheets[HoursWorked],timesheets[WBS_ID],$A15,timesheets[ResourceID],resources[ResourceID],timesheets[ApprovalStatus],"Approved")*resources[HourlyRate])</f>
        <v>456000</v>
      </c>
      <c r="J15">
        <f>SUMIFS(material_costs[TotalActualCost],material_costs[WBS_ID],$A15)</f>
        <v>0</v>
      </c>
      <c r="K15">
        <f>$I15+$J15</f>
        <v>456000</v>
      </c>
      <c r="L15">
        <f>$H15-$K15</f>
        <v>44000</v>
      </c>
      <c r="M15">
        <f>IFERROR($H15/$K15,"")</f>
        <v>1.0964912280701755</v>
      </c>
    </row>
    <row r="16" spans="1:45" x14ac:dyDescent="0.35">
      <c r="A16" t="s">
        <v>34</v>
      </c>
      <c r="B16" t="str">
        <f>_xlfn.XLOOKUP($A16,wbs_elements[WBS_ID],wbs_elements[ProjectID])</f>
        <v>PRJ-004</v>
      </c>
      <c r="C16">
        <f>_xlfn.XLOOKUP($A16,wbs_elements[WBS_ID],wbs_elements[WBS_Code])</f>
        <v>2</v>
      </c>
      <c r="D16" t="str">
        <f>_xlfn.XLOOKUP($A16,wbs_elements[WBS_ID],wbs_elements[ElementName])</f>
        <v>Hull Welding &amp; Assembly</v>
      </c>
      <c r="E16">
        <f>_xlfn.XLOOKUP($A16,wbs_elements[WBS_ID],wbs_elements[PlannedCost])</f>
        <v>1500000</v>
      </c>
      <c r="F16">
        <f>_xlfn.XLOOKUP($A16,wbs_elements[WBS_ID],wbs_elements[PlannedHours])</f>
        <v>2000</v>
      </c>
      <c r="G16">
        <f>IFERROR(SUMIFS(physical_progress[PercentComplete],physical_progress[WBS_ID],$A16,physical_progress[RecordDate],_xlfn.MAXIFS(physical_progress[RecordDate],physical_progress[WBS_ID],$A16)),0)</f>
        <v>0.6</v>
      </c>
      <c r="H16">
        <f>$E16*$G16</f>
        <v>900000</v>
      </c>
      <c r="I16" cm="1">
        <f t="array" ref="I16">SUMPRODUCT(SUMIFS(timesheets[HoursWorked],timesheets[WBS_ID],$A16,timesheets[ResourceID],resources[ResourceID],timesheets[ApprovalStatus],"Approved")*resources[HourlyRate])</f>
        <v>770000</v>
      </c>
      <c r="J16">
        <f>SUMIFS(material_costs[TotalActualCost],material_costs[WBS_ID],$A16)</f>
        <v>250000</v>
      </c>
      <c r="K16">
        <f>$I16+$J16</f>
        <v>1020000</v>
      </c>
      <c r="L16">
        <f>$H16-$K16</f>
        <v>-120000</v>
      </c>
      <c r="M16">
        <f>IFERROR($H16/$K16,"")</f>
        <v>0.88235294117647056</v>
      </c>
    </row>
    <row r="17" spans="1:21" x14ac:dyDescent="0.35">
      <c r="A17" t="s">
        <v>106</v>
      </c>
      <c r="B17" t="str">
        <f>_xlfn.XLOOKUP($A17,wbs_elements[WBS_ID],wbs_elements[ProjectID])</f>
        <v>PRJ-005</v>
      </c>
      <c r="C17">
        <f>_xlfn.XLOOKUP($A17,wbs_elements[WBS_ID],wbs_elements[WBS_Code])</f>
        <v>1</v>
      </c>
      <c r="D17" t="str">
        <f>_xlfn.XLOOKUP($A17,wbs_elements[WBS_ID],wbs_elements[ElementName])</f>
        <v>Project Control &amp; PM</v>
      </c>
      <c r="E17">
        <f>_xlfn.XLOOKUP($A17,wbs_elements[WBS_ID],wbs_elements[PlannedCost])</f>
        <v>200000</v>
      </c>
      <c r="F17">
        <f>_xlfn.XLOOKUP($A17,wbs_elements[WBS_ID],wbs_elements[PlannedHours])</f>
        <v>250</v>
      </c>
      <c r="G17">
        <f>IFERROR(SUMIFS(physical_progress[PercentComplete],physical_progress[WBS_ID],$A17,physical_progress[RecordDate],_xlfn.MAXIFS(physical_progress[RecordDate],physical_progress[WBS_ID],$A17)),0)</f>
        <v>1</v>
      </c>
      <c r="H17">
        <f>$E17*$G17</f>
        <v>200000</v>
      </c>
      <c r="I17" cm="1">
        <f t="array" ref="I17">SUMPRODUCT(SUMIFS(timesheets[HoursWorked],timesheets[WBS_ID],$A17,timesheets[ResourceID],resources[ResourceID],timesheets[ApprovalStatus],"Approved")*resources[HourlyRate])</f>
        <v>187000</v>
      </c>
      <c r="J17">
        <f>SUMIFS(material_costs[TotalActualCost],material_costs[WBS_ID],$A17)</f>
        <v>0</v>
      </c>
      <c r="K17">
        <f>$I17+$J17</f>
        <v>187000</v>
      </c>
      <c r="L17">
        <f>$H17-$K17</f>
        <v>13000</v>
      </c>
      <c r="M17">
        <f>IFERROR($H17/$K17,"")</f>
        <v>1.0695187165775402</v>
      </c>
    </row>
    <row r="18" spans="1:21" x14ac:dyDescent="0.35">
      <c r="A18" t="s">
        <v>37</v>
      </c>
      <c r="B18" t="str">
        <f>_xlfn.XLOOKUP($A18,wbs_elements[WBS_ID],wbs_elements[ProjectID])</f>
        <v>PRJ-005</v>
      </c>
      <c r="C18">
        <f>_xlfn.XLOOKUP($A18,wbs_elements[WBS_ID],wbs_elements[WBS_Code])</f>
        <v>2</v>
      </c>
      <c r="D18" t="str">
        <f>_xlfn.XLOOKUP($A18,wbs_elements[WBS_ID],wbs_elements[ElementName])</f>
        <v>Pontoon Assembly &amp; Painting</v>
      </c>
      <c r="E18">
        <f>_xlfn.XLOOKUP($A18,wbs_elements[WBS_ID],wbs_elements[PlannedCost])</f>
        <v>800000</v>
      </c>
      <c r="F18">
        <f>_xlfn.XLOOKUP($A18,wbs_elements[WBS_ID],wbs_elements[PlannedHours])</f>
        <v>1000</v>
      </c>
      <c r="G18">
        <f>IFERROR(SUMIFS(physical_progress[PercentComplete],physical_progress[WBS_ID],$A18,physical_progress[RecordDate],_xlfn.MAXIFS(physical_progress[RecordDate],physical_progress[WBS_ID],$A18)),0)</f>
        <v>0.875</v>
      </c>
      <c r="H18">
        <f>$E18*$G18</f>
        <v>700000</v>
      </c>
      <c r="I18" cm="1">
        <f t="array" ref="I18">SUMPRODUCT(SUMIFS(timesheets[HoursWorked],timesheets[WBS_ID],$A18,timesheets[ResourceID],resources[ResourceID],timesheets[ApprovalStatus],"Approved")*resources[HourlyRate])</f>
        <v>560000</v>
      </c>
      <c r="J18">
        <f>SUMIFS(material_costs[TotalActualCost],material_costs[WBS_ID],$A18)</f>
        <v>180000</v>
      </c>
      <c r="K18">
        <f>$I18+$J18</f>
        <v>740000</v>
      </c>
      <c r="L18">
        <f>$H18-$K18</f>
        <v>-40000</v>
      </c>
      <c r="M18">
        <f>IFERROR($H18/$K18,"")</f>
        <v>0.94594594594594594</v>
      </c>
    </row>
    <row r="19" spans="1:21" x14ac:dyDescent="0.35">
      <c r="A19" t="s">
        <v>109</v>
      </c>
      <c r="B19" t="str">
        <f>_xlfn.XLOOKUP($A19,wbs_elements[WBS_ID],wbs_elements[ProjectID])</f>
        <v>PRJ-006</v>
      </c>
      <c r="C19">
        <f>_xlfn.XLOOKUP($A19,wbs_elements[WBS_ID],wbs_elements[WBS_Code])</f>
        <v>1</v>
      </c>
      <c r="D19" t="str">
        <f>_xlfn.XLOOKUP($A19,wbs_elements[WBS_ID],wbs_elements[ElementName])</f>
        <v>Hatch Engineering &amp; FEA</v>
      </c>
      <c r="E19">
        <f>_xlfn.XLOOKUP($A19,wbs_elements[WBS_ID],wbs_elements[PlannedCost])</f>
        <v>200000</v>
      </c>
      <c r="F19">
        <f>_xlfn.XLOOKUP($A19,wbs_elements[WBS_ID],wbs_elements[PlannedHours])</f>
        <v>200</v>
      </c>
      <c r="G19">
        <f>IFERROR(SUMIFS(physical_progress[PercentComplete],physical_progress[WBS_ID],$A19,physical_progress[RecordDate],_xlfn.MAXIFS(physical_progress[RecordDate],physical_progress[WBS_ID],$A19)),0)</f>
        <v>1</v>
      </c>
      <c r="H19">
        <f>$E19*$G19</f>
        <v>200000</v>
      </c>
      <c r="I19" cm="1">
        <f t="array" ref="I19">SUMPRODUCT(SUMIFS(timesheets[HoursWorked],timesheets[WBS_ID],$A19,timesheets[ResourceID],resources[ResourceID],timesheets[ApprovalStatus],"Approved")*resources[HourlyRate])</f>
        <v>180500</v>
      </c>
      <c r="J19">
        <f>SUMIFS(material_costs[TotalActualCost],material_costs[WBS_ID],$A19)</f>
        <v>0</v>
      </c>
      <c r="K19">
        <f>$I19+$J19</f>
        <v>180500</v>
      </c>
      <c r="L19">
        <f>$H19-$K19</f>
        <v>19500</v>
      </c>
      <c r="M19">
        <f>IFERROR($H19/$K19,"")</f>
        <v>1.10803324099723</v>
      </c>
    </row>
    <row r="20" spans="1:21" x14ac:dyDescent="0.35">
      <c r="A20" t="s">
        <v>40</v>
      </c>
      <c r="B20" t="str">
        <f>_xlfn.XLOOKUP($A20,wbs_elements[WBS_ID],wbs_elements[ProjectID])</f>
        <v>PRJ-006</v>
      </c>
      <c r="C20">
        <f>_xlfn.XLOOKUP($A20,wbs_elements[WBS_ID],wbs_elements[WBS_Code])</f>
        <v>2</v>
      </c>
      <c r="D20" t="str">
        <f>_xlfn.XLOOKUP($A20,wbs_elements[WBS_ID],wbs_elements[ElementName])</f>
        <v>Molding &amp; Testing</v>
      </c>
      <c r="E20">
        <f>_xlfn.XLOOKUP($A20,wbs_elements[WBS_ID],wbs_elements[PlannedCost])</f>
        <v>400000</v>
      </c>
      <c r="F20">
        <f>_xlfn.XLOOKUP($A20,wbs_elements[WBS_ID],wbs_elements[PlannedHours])</f>
        <v>500</v>
      </c>
      <c r="G20">
        <f>IFERROR(SUMIFS(physical_progress[PercentComplete],physical_progress[WBS_ID],$A20,physical_progress[RecordDate],_xlfn.MAXIFS(physical_progress[RecordDate],physical_progress[WBS_ID],$A20)),0)</f>
        <v>1</v>
      </c>
      <c r="H20">
        <f>$E20*$G20</f>
        <v>400000</v>
      </c>
      <c r="I20" cm="1">
        <f t="array" ref="I20">SUMPRODUCT(SUMIFS(timesheets[HoursWorked],timesheets[WBS_ID],$A20,timesheets[ResourceID],resources[ResourceID],timesheets[ApprovalStatus],"Approved")*resources[HourlyRate])</f>
        <v>336000</v>
      </c>
      <c r="J20">
        <f>SUMIFS(material_costs[TotalActualCost],material_costs[WBS_ID],$A20)</f>
        <v>70000</v>
      </c>
      <c r="K20">
        <f>$I20+$J20</f>
        <v>406000</v>
      </c>
      <c r="L20">
        <f>$H20-$K20</f>
        <v>-6000</v>
      </c>
      <c r="M20">
        <f>IFERROR($H20/$K20,"")</f>
        <v>0.98522167487684731</v>
      </c>
    </row>
    <row r="23" spans="1:21" x14ac:dyDescent="0.35">
      <c r="A23" t="s">
        <v>111</v>
      </c>
      <c r="B23" t="s">
        <v>645</v>
      </c>
      <c r="C23" t="s">
        <v>646</v>
      </c>
      <c r="D23" t="s">
        <v>117</v>
      </c>
      <c r="E23" t="s">
        <v>647</v>
      </c>
      <c r="F23" t="s">
        <v>648</v>
      </c>
      <c r="G23" t="s">
        <v>649</v>
      </c>
      <c r="H23" t="s">
        <v>650</v>
      </c>
      <c r="I23" t="s">
        <v>639</v>
      </c>
      <c r="J23" t="s">
        <v>651</v>
      </c>
      <c r="K23" t="s">
        <v>640</v>
      </c>
      <c r="L23" t="s">
        <v>641</v>
      </c>
      <c r="M23" t="s">
        <v>642</v>
      </c>
      <c r="N23" t="s">
        <v>643</v>
      </c>
      <c r="O23" t="s">
        <v>652</v>
      </c>
      <c r="P23" t="s">
        <v>644</v>
      </c>
      <c r="Q23" t="s">
        <v>653</v>
      </c>
      <c r="R23" t="s">
        <v>654</v>
      </c>
      <c r="S23" t="s">
        <v>655</v>
      </c>
      <c r="T23" t="s">
        <v>656</v>
      </c>
      <c r="U23" t="s">
        <v>657</v>
      </c>
    </row>
    <row r="24" spans="1:21" x14ac:dyDescent="0.35">
      <c r="A24" t="s">
        <v>118</v>
      </c>
      <c r="B24" t="str">
        <f>_xlfn.XLOOKUP($A24,projects[ProjectID],projects[ProjectName])</f>
        <v>Composite Maritime Vessel Construction</v>
      </c>
      <c r="C24" t="str">
        <f>_xlfn.XLOOKUP($A24,projects[ProjectID],projects[ProjectManager])</f>
        <v>Morten Hansen</v>
      </c>
      <c r="D24" t="str">
        <f>_xlfn.XLOOKUP($A24,projects[ProjectID],projects[Status])</f>
        <v>Completed</v>
      </c>
      <c r="E24">
        <f>_xlfn.XLOOKUP($A24,projects[ProjectID],projects[BudgetAtCompletion_BAC])</f>
        <v>1500000</v>
      </c>
      <c r="F24">
        <f>_xlfn.XLOOKUP($A24,projects[ProjectID],projects[StartDate])</f>
        <v>46023</v>
      </c>
      <c r="G24">
        <f>_xlfn.XLOOKUP($A24,projects[ProjectID],projects[EndDate])</f>
        <v>46203</v>
      </c>
      <c r="H24">
        <f>IFERROR($I24/$E24,0)</f>
        <v>0.995</v>
      </c>
      <c r="I24">
        <f>SUMIFS(WBS_Metrics[EV],WBS_Metrics[ProjectID],$A24)</f>
        <v>1492500</v>
      </c>
      <c r="J24">
        <f>$E24*MAX(0,MIN(1,($B$4-$F24)/($G24-$F24)))</f>
        <v>1500000</v>
      </c>
      <c r="K24">
        <f>SUMIFS(WBS_Metrics[Labor AC],WBS_Metrics[ProjectID],$A24)</f>
        <v>1326810</v>
      </c>
      <c r="L24">
        <f>SUMIFS(WBS_Metrics[Material AC],WBS_Metrics[ProjectID],$A24)</f>
        <v>522000</v>
      </c>
      <c r="M24">
        <f>$K24+$L24</f>
        <v>1848810</v>
      </c>
      <c r="N24">
        <f>$I24-$M24</f>
        <v>-356310</v>
      </c>
      <c r="O24">
        <f>$I24-$J24</f>
        <v>-7500</v>
      </c>
      <c r="P24">
        <f>IFERROR($I24/$M24,"")</f>
        <v>0.80727603160952177</v>
      </c>
      <c r="Q24">
        <f>IFERROR($I24/$J24,"")</f>
        <v>0.995</v>
      </c>
      <c r="R24">
        <f>IFERROR($E24/$P24,$M24+($E24-$I24))</f>
        <v>1858100.5025125628</v>
      </c>
      <c r="S24">
        <f>$E24-$R24</f>
        <v>-358100.50251256279</v>
      </c>
      <c r="T24" t="str">
        <f>IF($D24="Planned","PLANNED",IF($P24&lt;0.95,"CRITICAL",IF($P24&lt;1,"WATCH","ON TRACK")))</f>
        <v>CRITICAL</v>
      </c>
      <c r="U24" t="str">
        <f>IF($A24="PRJ-001","Renegotiate contractor rates and freeze variation orders",IF($A24="PRJ-002","Prepare August design start and resource ramp",IF($A24="PRJ-003","Move cleanly from engineering to steel fabrication",IF($A24="PRJ-004","Monitor welding productivity through completion",IF($A24="PRJ-005","Protect final 10% from cost leakage","Close out lessons learned and verification pack")))))</f>
        <v>Renegotiate contractor rates and freeze variation orders</v>
      </c>
    </row>
    <row r="25" spans="1:21" x14ac:dyDescent="0.35">
      <c r="A25" t="s">
        <v>122</v>
      </c>
      <c r="B25" t="str">
        <f>_xlfn.XLOOKUP($A25,projects[ProjectID],projects[ProjectName])</f>
        <v>PRJ-002: Patrol Vessel Carbon Mold Design</v>
      </c>
      <c r="C25" t="str">
        <f>_xlfn.XLOOKUP($A25,projects[ProjectID],projects[ProjectManager])</f>
        <v>Morten Hansen</v>
      </c>
      <c r="D25" t="str">
        <f>_xlfn.XLOOKUP($A25,projects[ProjectID],projects[Status])</f>
        <v>Planned</v>
      </c>
      <c r="E25">
        <f>_xlfn.XLOOKUP($A25,projects[ProjectID],projects[BudgetAtCompletion_BAC])</f>
        <v>800000</v>
      </c>
      <c r="F25">
        <f>_xlfn.XLOOKUP($A25,projects[ProjectID],projects[StartDate])</f>
        <v>46235</v>
      </c>
      <c r="G25">
        <f>_xlfn.XLOOKUP($A25,projects[ProjectID],projects[EndDate])</f>
        <v>46387</v>
      </c>
      <c r="H25">
        <f>IFERROR($I25/$E25,0)</f>
        <v>0</v>
      </c>
      <c r="I25">
        <f>SUMIFS(WBS_Metrics[EV],WBS_Metrics[ProjectID],$A25)</f>
        <v>0</v>
      </c>
      <c r="J25">
        <f>$E25*MAX(0,MIN(1,($B$4-$F25)/($G25-$F25)))</f>
        <v>0</v>
      </c>
      <c r="K25">
        <f>SUMIFS(WBS_Metrics[Labor AC],WBS_Metrics[ProjectID],$A25)</f>
        <v>0</v>
      </c>
      <c r="L25">
        <f>SUMIFS(WBS_Metrics[Material AC],WBS_Metrics[ProjectID],$A25)</f>
        <v>0</v>
      </c>
      <c r="M25">
        <f>$K25+$L25</f>
        <v>0</v>
      </c>
      <c r="N25">
        <f>$I25-$M25</f>
        <v>0</v>
      </c>
      <c r="O25">
        <f>$I25-$J25</f>
        <v>0</v>
      </c>
      <c r="P25" t="str">
        <f>IFERROR($I25/$M25,"")</f>
        <v/>
      </c>
      <c r="Q25" t="str">
        <f>IFERROR($I25/$J25,"")</f>
        <v/>
      </c>
      <c r="R25">
        <f>IFERROR($E25/$P25,$M25+($E25-$I25))</f>
        <v>800000</v>
      </c>
      <c r="S25">
        <f>$E25-$R25</f>
        <v>0</v>
      </c>
      <c r="T25" t="str">
        <f>IF($D25="Planned","PLANNED",IF($P25&lt;0.95,"CRITICAL",IF($P25&lt;1,"WATCH","ON TRACK")))</f>
        <v>PLANNED</v>
      </c>
      <c r="U25" t="str">
        <f>IF($A25="PRJ-001","Renegotiate contractor rates and freeze variation orders",IF($A25="PRJ-002","Prepare August design start and resource ramp",IF($A25="PRJ-003","Move cleanly from engineering to steel fabrication",IF($A25="PRJ-004","Monitor welding productivity through completion",IF($A25="PRJ-005","Protect final 10% from cost leakage","Close out lessons learned and verification pack")))))</f>
        <v>Prepare August design start and resource ramp</v>
      </c>
    </row>
    <row r="26" spans="1:21" x14ac:dyDescent="0.35">
      <c r="A26" t="s">
        <v>125</v>
      </c>
      <c r="B26" t="str">
        <f>_xlfn.XLOOKUP($A26,projects[ProjectID],projects[ProjectName])</f>
        <v>PRJ-003: Subsea Cable Installation Frame</v>
      </c>
      <c r="C26" t="str">
        <f>_xlfn.XLOOKUP($A26,projects[ProjectID],projects[ProjectManager])</f>
        <v>Erik Johansen</v>
      </c>
      <c r="D26" t="str">
        <f>_xlfn.XLOOKUP($A26,projects[ProjectID],projects[Status])</f>
        <v>Active</v>
      </c>
      <c r="E26">
        <f>_xlfn.XLOOKUP($A26,projects[ProjectID],projects[BudgetAtCompletion_BAC])</f>
        <v>1200000</v>
      </c>
      <c r="F26">
        <f>_xlfn.XLOOKUP($A26,projects[ProjectID],projects[StartDate])</f>
        <v>46143</v>
      </c>
      <c r="G26">
        <f>_xlfn.XLOOKUP($A26,projects[ProjectID],projects[EndDate])</f>
        <v>46326</v>
      </c>
      <c r="H26">
        <f>IFERROR($I26/$E26,0)</f>
        <v>0.3</v>
      </c>
      <c r="I26">
        <f>SUMIFS(WBS_Metrics[EV],WBS_Metrics[ProjectID],$A26)</f>
        <v>360000</v>
      </c>
      <c r="J26">
        <f>$E26*MAX(0,MIN(1,($B$4-$F26)/($G26-$F26)))</f>
        <v>393442.62295081967</v>
      </c>
      <c r="K26">
        <f>SUMIFS(WBS_Metrics[Labor AC],WBS_Metrics[ProjectID],$A26)</f>
        <v>332500</v>
      </c>
      <c r="L26">
        <f>SUMIFS(WBS_Metrics[Material AC],WBS_Metrics[ProjectID],$A26)</f>
        <v>50000</v>
      </c>
      <c r="M26">
        <f>$K26+$L26</f>
        <v>382500</v>
      </c>
      <c r="N26">
        <f>$I26-$M26</f>
        <v>-22500</v>
      </c>
      <c r="O26">
        <f>$I26-$J26</f>
        <v>-33442.62295081967</v>
      </c>
      <c r="P26">
        <f>IFERROR($I26/$M26,"")</f>
        <v>0.94117647058823528</v>
      </c>
      <c r="Q26">
        <f>IFERROR($I26/$J26,"")</f>
        <v>0.91500000000000004</v>
      </c>
      <c r="R26">
        <f>IFERROR($E26/$P26,$M26+($E26-$I26))</f>
        <v>1275000</v>
      </c>
      <c r="S26">
        <f>$E26-$R26</f>
        <v>-75000</v>
      </c>
      <c r="T26" t="str">
        <f>IF($D26="Planned","PLANNED",IF($P26&lt;0.95,"CRITICAL",IF($P26&lt;1,"WATCH","ON TRACK")))</f>
        <v>CRITICAL</v>
      </c>
      <c r="U26" t="str">
        <f>IF($A26="PRJ-001","Renegotiate contractor rates and freeze variation orders",IF($A26="PRJ-002","Prepare August design start and resource ramp",IF($A26="PRJ-003","Move cleanly from engineering to steel fabrication",IF($A26="PRJ-004","Monitor welding productivity through completion",IF($A26="PRJ-005","Protect final 10% from cost leakage","Close out lessons learned and verification pack")))))</f>
        <v>Move cleanly from engineering to steel fabrication</v>
      </c>
    </row>
    <row r="27" spans="1:21" x14ac:dyDescent="0.35">
      <c r="A27" t="s">
        <v>129</v>
      </c>
      <c r="B27" t="str">
        <f>_xlfn.XLOOKUP($A27,projects[ProjectID],projects[ProjectName])</f>
        <v>PRJ-004: Autonomous Workboat Hull Weldments</v>
      </c>
      <c r="C27" t="str">
        <f>_xlfn.XLOOKUP($A27,projects[ProjectID],projects[ProjectManager])</f>
        <v>Astrid Nilsen</v>
      </c>
      <c r="D27" t="str">
        <f>_xlfn.XLOOKUP($A27,projects[ProjectID],projects[Status])</f>
        <v>Active</v>
      </c>
      <c r="E27">
        <f>_xlfn.XLOOKUP($A27,projects[ProjectID],projects[BudgetAtCompletion_BAC])</f>
        <v>2000000</v>
      </c>
      <c r="F27">
        <f>_xlfn.XLOOKUP($A27,projects[ProjectID],projects[StartDate])</f>
        <v>46082</v>
      </c>
      <c r="G27">
        <f>_xlfn.XLOOKUP($A27,projects[ProjectID],projects[EndDate])</f>
        <v>46265</v>
      </c>
      <c r="H27">
        <f>IFERROR($I27/$E27,0)</f>
        <v>0.7</v>
      </c>
      <c r="I27">
        <f>SUMIFS(WBS_Metrics[EV],WBS_Metrics[ProjectID],$A27)</f>
        <v>1400000</v>
      </c>
      <c r="J27">
        <f>$E27*MAX(0,MIN(1,($B$4-$F27)/($G27-$F27)))</f>
        <v>1322404.3715846993</v>
      </c>
      <c r="K27">
        <f>SUMIFS(WBS_Metrics[Labor AC],WBS_Metrics[ProjectID],$A27)</f>
        <v>1226000</v>
      </c>
      <c r="L27">
        <f>SUMIFS(WBS_Metrics[Material AC],WBS_Metrics[ProjectID],$A27)</f>
        <v>250000</v>
      </c>
      <c r="M27">
        <f>$K27+$L27</f>
        <v>1476000</v>
      </c>
      <c r="N27">
        <f>$I27-$M27</f>
        <v>-76000</v>
      </c>
      <c r="O27">
        <f>$I27-$J27</f>
        <v>77595.628415300744</v>
      </c>
      <c r="P27">
        <f>IFERROR($I27/$M27,"")</f>
        <v>0.948509485094851</v>
      </c>
      <c r="Q27">
        <f>IFERROR($I27/$J27,"")</f>
        <v>1.0586776859504134</v>
      </c>
      <c r="R27">
        <f>IFERROR($E27/$P27,$M27+($E27-$I27))</f>
        <v>2108571.4285714286</v>
      </c>
      <c r="S27">
        <f>$E27-$R27</f>
        <v>-108571.42857142864</v>
      </c>
      <c r="T27" t="str">
        <f>IF($D27="Planned","PLANNED",IF($P27&lt;0.95,"CRITICAL",IF($P27&lt;1,"WATCH","ON TRACK")))</f>
        <v>CRITICAL</v>
      </c>
      <c r="U27" t="str">
        <f>IF($A27="PRJ-001","Renegotiate contractor rates and freeze variation orders",IF($A27="PRJ-002","Prepare August design start and resource ramp",IF($A27="PRJ-003","Move cleanly from engineering to steel fabrication",IF($A27="PRJ-004","Monitor welding productivity through completion",IF($A27="PRJ-005","Protect final 10% from cost leakage","Close out lessons learned and verification pack")))))</f>
        <v>Monitor welding productivity through completion</v>
      </c>
    </row>
    <row r="28" spans="1:21" x14ac:dyDescent="0.35">
      <c r="A28" t="s">
        <v>132</v>
      </c>
      <c r="B28" t="str">
        <f>_xlfn.XLOOKUP($A28,projects[ProjectID],projects[ProjectName])</f>
        <v>PRJ-005: Defense Logistics Pontoon Build</v>
      </c>
      <c r="C28" t="str">
        <f>_xlfn.XLOOKUP($A28,projects[ProjectID],projects[ProjectManager])</f>
        <v>Frank Ellingsen</v>
      </c>
      <c r="D28" t="str">
        <f>_xlfn.XLOOKUP($A28,projects[ProjectID],projects[Status])</f>
        <v>Active</v>
      </c>
      <c r="E28">
        <f>_xlfn.XLOOKUP($A28,projects[ProjectID],projects[BudgetAtCompletion_BAC])</f>
        <v>1000000</v>
      </c>
      <c r="F28">
        <f>_xlfn.XLOOKUP($A28,projects[ProjectID],projects[StartDate])</f>
        <v>46054</v>
      </c>
      <c r="G28">
        <f>_xlfn.XLOOKUP($A28,projects[ProjectID],projects[EndDate])</f>
        <v>46234</v>
      </c>
      <c r="H28">
        <f>IFERROR($I28/$E28,0)</f>
        <v>0.9</v>
      </c>
      <c r="I28">
        <f>SUMIFS(WBS_Metrics[EV],WBS_Metrics[ProjectID],$A28)</f>
        <v>900000</v>
      </c>
      <c r="J28">
        <f>$E28*MAX(0,MIN(1,($B$4-$F28)/($G28-$F28)))</f>
        <v>827777.77777777775</v>
      </c>
      <c r="K28">
        <f>SUMIFS(WBS_Metrics[Labor AC],WBS_Metrics[ProjectID],$A28)</f>
        <v>747000</v>
      </c>
      <c r="L28">
        <f>SUMIFS(WBS_Metrics[Material AC],WBS_Metrics[ProjectID],$A28)</f>
        <v>180000</v>
      </c>
      <c r="M28">
        <f>$K28+$L28</f>
        <v>927000</v>
      </c>
      <c r="N28">
        <f>$I28-$M28</f>
        <v>-27000</v>
      </c>
      <c r="O28">
        <f>$I28-$J28</f>
        <v>72222.222222222248</v>
      </c>
      <c r="P28">
        <f>IFERROR($I28/$M28,"")</f>
        <v>0.970873786407767</v>
      </c>
      <c r="Q28">
        <f>IFERROR($I28/$J28,"")</f>
        <v>1.087248322147651</v>
      </c>
      <c r="R28">
        <f>IFERROR($E28/$P28,$M28+($E28-$I28))</f>
        <v>1030000</v>
      </c>
      <c r="S28">
        <f>$E28-$R28</f>
        <v>-30000</v>
      </c>
      <c r="T28" t="str">
        <f>IF($D28="Planned","PLANNED",IF($P28&lt;0.95,"CRITICAL",IF($P28&lt;1,"WATCH","ON TRACK")))</f>
        <v>WATCH</v>
      </c>
      <c r="U28" t="str">
        <f>IF($A28="PRJ-001","Renegotiate contractor rates and freeze variation orders",IF($A28="PRJ-002","Prepare August design start and resource ramp",IF($A28="PRJ-003","Move cleanly from engineering to steel fabrication",IF($A28="PRJ-004","Monitor welding productivity through completion",IF($A28="PRJ-005","Protect final 10% from cost leakage","Close out lessons learned and verification pack")))))</f>
        <v>Protect final 10% from cost leakage</v>
      </c>
    </row>
    <row r="29" spans="1:21" x14ac:dyDescent="0.35">
      <c r="A29" t="s">
        <v>134</v>
      </c>
      <c r="B29" t="str">
        <f>_xlfn.XLOOKUP($A29,projects[ProjectID],projects[ProjectName])</f>
        <v>PRJ-006: Lightweight Composite Cargo Hatch</v>
      </c>
      <c r="C29" t="str">
        <f>_xlfn.XLOOKUP($A29,projects[ProjectID],projects[ProjectManager])</f>
        <v>Morten Hansen</v>
      </c>
      <c r="D29" t="str">
        <f>_xlfn.XLOOKUP($A29,projects[ProjectID],projects[Status])</f>
        <v>Completed</v>
      </c>
      <c r="E29">
        <f>_xlfn.XLOOKUP($A29,projects[ProjectID],projects[BudgetAtCompletion_BAC])</f>
        <v>600000</v>
      </c>
      <c r="F29">
        <f>_xlfn.XLOOKUP($A29,projects[ProjectID],projects[StartDate])</f>
        <v>45931</v>
      </c>
      <c r="G29">
        <f>_xlfn.XLOOKUP($A29,projects[ProjectID],projects[EndDate])</f>
        <v>46112</v>
      </c>
      <c r="H29">
        <f>IFERROR($I29/$E29,0)</f>
        <v>1</v>
      </c>
      <c r="I29">
        <f>SUMIFS(WBS_Metrics[EV],WBS_Metrics[ProjectID],$A29)</f>
        <v>600000</v>
      </c>
      <c r="J29">
        <f>$E29*MAX(0,MIN(1,($B$4-$F29)/($G29-$F29)))</f>
        <v>600000</v>
      </c>
      <c r="K29">
        <f>SUMIFS(WBS_Metrics[Labor AC],WBS_Metrics[ProjectID],$A29)</f>
        <v>516500</v>
      </c>
      <c r="L29">
        <f>SUMIFS(WBS_Metrics[Material AC],WBS_Metrics[ProjectID],$A29)</f>
        <v>70000</v>
      </c>
      <c r="M29">
        <f>$K29+$L29</f>
        <v>586500</v>
      </c>
      <c r="N29">
        <f>$I29-$M29</f>
        <v>13500</v>
      </c>
      <c r="O29">
        <f>$I29-$J29</f>
        <v>0</v>
      </c>
      <c r="P29">
        <f>IFERROR($I29/$M29,"")</f>
        <v>1.0230179028132993</v>
      </c>
      <c r="Q29">
        <f>IFERROR($I29/$J29,"")</f>
        <v>1</v>
      </c>
      <c r="R29">
        <f>IFERROR($E29/$P29,$M29+($E29-$I29))</f>
        <v>586500</v>
      </c>
      <c r="S29">
        <f>$E29-$R29</f>
        <v>13500</v>
      </c>
      <c r="T29" t="str">
        <f>IF($D29="Planned","PLANNED",IF($P29&lt;0.95,"CRITICAL",IF($P29&lt;1,"WATCH","ON TRACK")))</f>
        <v>ON TRACK</v>
      </c>
      <c r="U29" t="str">
        <f>IF($A29="PRJ-001","Renegotiate contractor rates and freeze variation orders",IF($A29="PRJ-002","Prepare August design start and resource ramp",IF($A29="PRJ-003","Move cleanly from engineering to steel fabrication",IF($A29="PRJ-004","Monitor welding productivity through completion",IF($A29="PRJ-005","Protect final 10% from cost leakage","Close out lessons learned and verification pack")))))</f>
        <v>Close out lessons learned and verification pack</v>
      </c>
    </row>
    <row r="32" spans="1:21" x14ac:dyDescent="0.35">
      <c r="A32" s="38" t="s">
        <v>658</v>
      </c>
      <c r="B32" s="39" t="s">
        <v>659</v>
      </c>
    </row>
    <row r="33" spans="1:2" x14ac:dyDescent="0.35">
      <c r="A33" s="36" t="s">
        <v>660</v>
      </c>
      <c r="B33" s="40">
        <f>SUM(Project_EVM[BAC])</f>
        <v>7100000</v>
      </c>
    </row>
    <row r="34" spans="1:2" x14ac:dyDescent="0.35">
      <c r="A34" s="37" t="s">
        <v>661</v>
      </c>
      <c r="B34" s="41">
        <f>SUM(Project_EVM[EV])</f>
        <v>4752500</v>
      </c>
    </row>
    <row r="35" spans="1:2" x14ac:dyDescent="0.35">
      <c r="A35" s="36" t="s">
        <v>662</v>
      </c>
      <c r="B35" s="40">
        <f>SUM(Project_EVM[AC])</f>
        <v>5220810</v>
      </c>
    </row>
    <row r="36" spans="1:2" x14ac:dyDescent="0.35">
      <c r="A36" s="37" t="s">
        <v>663</v>
      </c>
      <c r="B36" s="41">
        <f>B34-B35</f>
        <v>-468310</v>
      </c>
    </row>
    <row r="37" spans="1:2" x14ac:dyDescent="0.35">
      <c r="A37" s="36" t="s">
        <v>664</v>
      </c>
      <c r="B37" s="42">
        <f>IFERROR(B34/B35,"")</f>
        <v>0.91029935967790443</v>
      </c>
    </row>
    <row r="38" spans="1:2" x14ac:dyDescent="0.35">
      <c r="A38" s="37" t="s">
        <v>665</v>
      </c>
      <c r="B38" s="41">
        <f>SUM(Project_EVM[EAC])</f>
        <v>7658171.9310839921</v>
      </c>
    </row>
    <row r="39" spans="1:2" x14ac:dyDescent="0.35">
      <c r="A39" s="36" t="s">
        <v>666</v>
      </c>
      <c r="B39" s="43">
        <f>COUNTIF(Project_EVM[Status],"Active")</f>
        <v>3</v>
      </c>
    </row>
    <row r="40" spans="1:2" x14ac:dyDescent="0.35">
      <c r="A40" s="37" t="s">
        <v>667</v>
      </c>
      <c r="B40" s="44">
        <f>COUNTIF(Project_EVM[Status],"Completed")</f>
        <v>2</v>
      </c>
    </row>
    <row r="41" spans="1:2" x14ac:dyDescent="0.35">
      <c r="A41" s="36" t="s">
        <v>668</v>
      </c>
      <c r="B41" s="43">
        <f>COUNTIF(Project_EVM[Status],"Planned")</f>
        <v>1</v>
      </c>
    </row>
    <row r="42" spans="1:2" x14ac:dyDescent="0.35">
      <c r="A42" s="35" t="s">
        <v>669</v>
      </c>
      <c r="B42" s="45">
        <f>COUNTIF(Project_EVM[Alert],"CRITICAL")</f>
        <v>3</v>
      </c>
    </row>
  </sheetData>
  <mergeCells count="2">
    <mergeCell ref="A1:U1"/>
    <mergeCell ref="A2:U2"/>
  </mergeCells>
  <conditionalFormatting sqref="T24:T29">
    <cfRule type="expression" dxfId="23" priority="1">
      <formula>T24="CRITICAL"</formula>
    </cfRule>
  </conditionalFormatting>
  <conditionalFormatting sqref="T24:T29">
    <cfRule type="expression" dxfId="22" priority="2">
      <formula>OR(T24="WATCH",T24="PLANNED")</formula>
    </cfRule>
  </conditionalFormatting>
  <conditionalFormatting sqref="T24:T29">
    <cfRule type="expression" dxfId="21" priority="3">
      <formula>T24="ON TRACK"</formula>
    </cfRule>
  </conditionalFormatting>
  <conditionalFormatting sqref="P24:P29">
    <cfRule type="expression" dxfId="17" priority="4">
      <formula>AND(ISNUMBER(P24),P24&lt;0.95)</formula>
    </cfRule>
  </conditionalFormatting>
  <conditionalFormatting sqref="P24:P29">
    <cfRule type="expression" dxfId="16" priority="5">
      <formula>AND(ISNUMBER(P24),P24&gt;=0.95,P24&lt;1)</formula>
    </cfRule>
  </conditionalFormatting>
  <conditionalFormatting sqref="P24:P29">
    <cfRule type="expression" dxfId="15" priority="6">
      <formula>AND(ISNUMBER(P24),P24&gt;=1)</formula>
    </cfRule>
  </conditionalFormatting>
  <conditionalFormatting sqref="B37">
    <cfRule type="expression" dxfId="11" priority="7">
      <formula>B37&lt;0.95</formula>
    </cfRule>
  </conditionalFormatting>
  <conditionalFormatting sqref="B37">
    <cfRule type="expression" dxfId="10" priority="8">
      <formula>AND(B37&gt;=0.95,B37&lt;1)</formula>
    </cfRule>
  </conditionalFormatting>
  <conditionalFormatting sqref="B37">
    <cfRule type="expression" dxfId="9" priority="9">
      <formula>B37&gt;=1</formula>
    </cfRule>
  </conditionalFormatting>
  <conditionalFormatting sqref="N24:N29">
    <cfRule type="expression" dxfId="5" priority="10">
      <formula>N24&lt;0</formula>
    </cfRule>
  </conditionalFormatting>
  <conditionalFormatting sqref="N24:N29">
    <cfRule type="expression" dxfId="4" priority="11">
      <formula>N24=0</formula>
    </cfRule>
  </conditionalFormatting>
  <conditionalFormatting sqref="N24:N29">
    <cfRule type="expression" dxfId="3" priority="12">
      <formula>N24&gt;0</formula>
    </cfRule>
  </conditionalFormatting>
  <conditionalFormatting sqref="B36">
    <cfRule type="expression" dxfId="2" priority="13">
      <formula>B36&lt;0</formula>
    </cfRule>
  </conditionalFormatting>
  <conditionalFormatting sqref="B36">
    <cfRule type="expression" dxfId="1" priority="14">
      <formula>B36=0</formula>
    </cfRule>
  </conditionalFormatting>
  <conditionalFormatting sqref="B36">
    <cfRule type="expression" dxfId="0" priority="15">
      <formula>B36&gt;0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616A-D641-4BCA-B59F-E09094F2F964}">
  <dimension ref="A1:H77"/>
  <sheetViews>
    <sheetView zoomScale="85" zoomScaleNormal="85" workbookViewId="0">
      <selection activeCell="AC28" sqref="AC28:AD31"/>
    </sheetView>
  </sheetViews>
  <sheetFormatPr defaultRowHeight="14.5" x14ac:dyDescent="0.35"/>
  <cols>
    <col min="1" max="1" width="21.81640625" customWidth="1"/>
    <col min="2" max="3" width="20.90625" customWidth="1"/>
    <col min="4" max="4" width="36.36328125" customWidth="1"/>
    <col min="5" max="5" width="20" customWidth="1"/>
    <col min="6" max="6" width="36.36328125" customWidth="1"/>
    <col min="7" max="8" width="15.453125" customWidth="1"/>
  </cols>
  <sheetData>
    <row r="1" spans="1:8" ht="23.5" x14ac:dyDescent="0.55000000000000004">
      <c r="A1" s="4" t="s">
        <v>526</v>
      </c>
      <c r="B1" s="4"/>
      <c r="C1" s="4"/>
      <c r="D1" s="4"/>
      <c r="E1" s="4"/>
      <c r="F1" s="4"/>
      <c r="G1" s="4"/>
      <c r="H1" s="4"/>
    </row>
    <row r="2" spans="1:8" x14ac:dyDescent="0.35">
      <c r="A2" s="5" t="s">
        <v>527</v>
      </c>
      <c r="B2" s="5"/>
      <c r="C2" s="5"/>
      <c r="D2" s="5"/>
      <c r="E2" s="5"/>
      <c r="F2" s="5"/>
      <c r="G2" s="5"/>
      <c r="H2" s="5"/>
    </row>
    <row r="4" spans="1:8" x14ac:dyDescent="0.35">
      <c r="A4" s="6" t="s">
        <v>528</v>
      </c>
      <c r="B4" s="6"/>
      <c r="C4" s="6"/>
      <c r="D4" s="6"/>
      <c r="E4" s="6"/>
      <c r="F4" s="6"/>
      <c r="G4" s="6"/>
      <c r="H4" s="6"/>
    </row>
    <row r="6" spans="1:8" x14ac:dyDescent="0.35">
      <c r="A6" s="7" t="s">
        <v>529</v>
      </c>
      <c r="B6" s="8" t="s">
        <v>530</v>
      </c>
      <c r="C6" s="8" t="s">
        <v>531</v>
      </c>
      <c r="D6" s="8" t="s">
        <v>532</v>
      </c>
      <c r="E6" s="8" t="s">
        <v>533</v>
      </c>
      <c r="F6" s="9" t="s">
        <v>534</v>
      </c>
      <c r="G6" t="s">
        <v>136</v>
      </c>
      <c r="H6" t="s">
        <v>137</v>
      </c>
    </row>
    <row r="7" spans="1:8" ht="29" x14ac:dyDescent="0.35">
      <c r="A7" s="21" t="s">
        <v>535</v>
      </c>
      <c r="B7" s="10" t="s">
        <v>111</v>
      </c>
      <c r="C7" s="10" t="s">
        <v>536</v>
      </c>
      <c r="D7" s="11">
        <v>6</v>
      </c>
      <c r="E7" s="10" t="s">
        <v>537</v>
      </c>
      <c r="F7" s="16" t="s">
        <v>538</v>
      </c>
      <c r="G7" s="12"/>
      <c r="H7" s="12"/>
    </row>
    <row r="8" spans="1:8" x14ac:dyDescent="0.35">
      <c r="A8" s="21" t="s">
        <v>539</v>
      </c>
      <c r="B8" s="10" t="s">
        <v>171</v>
      </c>
      <c r="C8" s="10" t="s">
        <v>540</v>
      </c>
      <c r="D8" s="11">
        <v>5</v>
      </c>
      <c r="E8" s="10" t="s">
        <v>541</v>
      </c>
      <c r="F8" s="16" t="s">
        <v>542</v>
      </c>
      <c r="G8" s="12"/>
      <c r="H8" s="12"/>
    </row>
    <row r="9" spans="1:8" ht="29" x14ac:dyDescent="0.35">
      <c r="A9" s="21" t="s">
        <v>543</v>
      </c>
      <c r="B9" s="10" t="s">
        <v>1</v>
      </c>
      <c r="C9" s="10" t="s">
        <v>544</v>
      </c>
      <c r="D9" s="11">
        <v>14</v>
      </c>
      <c r="E9" s="10" t="s">
        <v>545</v>
      </c>
      <c r="F9" s="16" t="s">
        <v>546</v>
      </c>
      <c r="G9" s="12"/>
      <c r="H9" s="12"/>
    </row>
    <row r="10" spans="1:8" x14ac:dyDescent="0.35">
      <c r="A10" s="21" t="s">
        <v>547</v>
      </c>
      <c r="B10" s="10" t="s">
        <v>170</v>
      </c>
      <c r="C10" s="10" t="s">
        <v>548</v>
      </c>
      <c r="D10" s="11">
        <v>17</v>
      </c>
      <c r="E10" s="10" t="s">
        <v>549</v>
      </c>
      <c r="F10" s="16" t="s">
        <v>550</v>
      </c>
      <c r="G10" s="12"/>
      <c r="H10" s="12"/>
    </row>
    <row r="11" spans="1:8" x14ac:dyDescent="0.35">
      <c r="A11" s="21" t="s">
        <v>551</v>
      </c>
      <c r="B11" s="10" t="s">
        <v>0</v>
      </c>
      <c r="C11" s="10" t="s">
        <v>552</v>
      </c>
      <c r="D11" s="11">
        <v>14</v>
      </c>
      <c r="E11" s="10" t="s">
        <v>553</v>
      </c>
      <c r="F11" s="16" t="s">
        <v>554</v>
      </c>
      <c r="G11" s="12"/>
      <c r="H11" s="12"/>
    </row>
    <row r="12" spans="1:8" x14ac:dyDescent="0.35">
      <c r="A12" s="21" t="s">
        <v>555</v>
      </c>
      <c r="B12" s="10" t="s">
        <v>204</v>
      </c>
      <c r="C12" s="10" t="s">
        <v>556</v>
      </c>
      <c r="D12" s="11">
        <v>299</v>
      </c>
      <c r="E12" s="10" t="s">
        <v>557</v>
      </c>
      <c r="F12" s="16" t="s">
        <v>558</v>
      </c>
      <c r="G12" s="12"/>
      <c r="H12" s="12"/>
    </row>
    <row r="13" spans="1:8" x14ac:dyDescent="0.35">
      <c r="A13" s="21" t="s">
        <v>559</v>
      </c>
      <c r="B13" s="10" t="s">
        <v>42</v>
      </c>
      <c r="C13" s="10" t="s">
        <v>560</v>
      </c>
      <c r="D13" s="11">
        <v>57</v>
      </c>
      <c r="E13" s="10" t="s">
        <v>561</v>
      </c>
      <c r="F13" s="16" t="s">
        <v>562</v>
      </c>
      <c r="G13" s="12"/>
      <c r="H13" s="12"/>
    </row>
    <row r="14" spans="1:8" ht="87" x14ac:dyDescent="0.35">
      <c r="A14" s="22" t="str">
        <f>"Model coverage: " &amp; COUNTA(projects[ProjectID]) &amp; " projects, " &amp; COUNTA(wbs_elements[WBS_ID]) &amp; " WBS elements, " &amp; COUNTA(timesheets[TimesheetID]) &amp; " timesheet rows, " &amp; COUNTA(material_costs[PurchaseID]) &amp; " material purchases, " &amp; COUNTA(physical_progress[ProgressID]) &amp; " progress records."</f>
        <v>Model coverage: 6 projects, 14 WBS elements, 299 timesheet rows, 14 material purchases, 57 progress records.</v>
      </c>
      <c r="B14" s="17"/>
      <c r="C14" s="17"/>
      <c r="D14" s="18"/>
      <c r="E14" s="17"/>
      <c r="F14" s="19"/>
      <c r="G14" s="20"/>
      <c r="H14" s="20"/>
    </row>
    <row r="15" spans="1:8" x14ac:dyDescent="0.35">
      <c r="A15" s="13"/>
      <c r="B15" s="14"/>
      <c r="C15" s="14"/>
      <c r="D15" s="14"/>
      <c r="E15" s="14"/>
      <c r="F15" s="15"/>
      <c r="G15" s="12"/>
      <c r="H15" s="12"/>
    </row>
    <row r="16" spans="1:8" x14ac:dyDescent="0.35">
      <c r="A16" s="12"/>
      <c r="B16" s="12"/>
      <c r="C16" s="12"/>
      <c r="D16" s="12"/>
      <c r="E16" s="12"/>
      <c r="F16" s="12"/>
      <c r="G16" s="12"/>
      <c r="H16" s="12"/>
    </row>
    <row r="17" spans="1:8" x14ac:dyDescent="0.35">
      <c r="A17" s="24" t="s">
        <v>565</v>
      </c>
      <c r="B17" s="25" t="s">
        <v>566</v>
      </c>
      <c r="C17" s="25" t="s">
        <v>567</v>
      </c>
      <c r="D17" s="25" t="s">
        <v>568</v>
      </c>
      <c r="E17" s="25" t="s">
        <v>569</v>
      </c>
      <c r="F17" s="25" t="s">
        <v>570</v>
      </c>
      <c r="G17" s="25" t="s">
        <v>571</v>
      </c>
      <c r="H17" s="26" t="s">
        <v>117</v>
      </c>
    </row>
    <row r="18" spans="1:8" x14ac:dyDescent="0.35">
      <c r="A18" s="21" t="s">
        <v>535</v>
      </c>
      <c r="B18" s="10" t="s">
        <v>113</v>
      </c>
      <c r="C18" s="10" t="s">
        <v>539</v>
      </c>
      <c r="D18" s="10" t="s">
        <v>195</v>
      </c>
      <c r="E18" s="10" t="s">
        <v>572</v>
      </c>
      <c r="F18" s="11">
        <f>COUNTA(projects[ProjectManager])</f>
        <v>6</v>
      </c>
      <c r="G18" s="11" cm="1">
        <f t="array" ref="G18">SUMPRODUCT(--ISNA(MATCH(projects[ProjectManager],resources[ResourceName],0)))</f>
        <v>0</v>
      </c>
      <c r="H18" s="23" t="str">
        <f>IF(G18=0,"OK","CHECK")</f>
        <v>OK</v>
      </c>
    </row>
    <row r="19" spans="1:8" x14ac:dyDescent="0.35">
      <c r="A19" s="21" t="s">
        <v>543</v>
      </c>
      <c r="B19" s="10" t="s">
        <v>111</v>
      </c>
      <c r="C19" s="10" t="s">
        <v>535</v>
      </c>
      <c r="D19" s="10" t="s">
        <v>111</v>
      </c>
      <c r="E19" s="10" t="s">
        <v>573</v>
      </c>
      <c r="F19" s="11">
        <f>COUNTA(wbs_elements[ProjectID])</f>
        <v>14</v>
      </c>
      <c r="G19" s="11" cm="1">
        <f t="array" ref="G19">SUMPRODUCT(--ISNA(MATCH(wbs_elements[ProjectID],projects[ProjectID],0)))</f>
        <v>0</v>
      </c>
      <c r="H19" s="23" t="str">
        <f>IF(G19=0,"OK","CHECK")</f>
        <v>OK</v>
      </c>
    </row>
    <row r="20" spans="1:8" x14ac:dyDescent="0.35">
      <c r="A20" s="21" t="s">
        <v>547</v>
      </c>
      <c r="B20" s="10" t="s">
        <v>1</v>
      </c>
      <c r="C20" s="10" t="s">
        <v>543</v>
      </c>
      <c r="D20" s="10" t="s">
        <v>1</v>
      </c>
      <c r="E20" s="10" t="s">
        <v>573</v>
      </c>
      <c r="F20" s="11">
        <f>COUNTA(resource_assignments[WBS_ID])</f>
        <v>17</v>
      </c>
      <c r="G20" s="11" cm="1">
        <f t="array" ref="G20">SUMPRODUCT(--ISNA(MATCH(resource_assignments[WBS_ID],wbs_elements[WBS_ID],0)))</f>
        <v>0</v>
      </c>
      <c r="H20" s="23" t="str">
        <f>IF(G20=0,"OK","CHECK")</f>
        <v>OK</v>
      </c>
    </row>
    <row r="21" spans="1:8" x14ac:dyDescent="0.35">
      <c r="A21" s="21" t="s">
        <v>547</v>
      </c>
      <c r="B21" s="10" t="s">
        <v>171</v>
      </c>
      <c r="C21" s="10" t="s">
        <v>539</v>
      </c>
      <c r="D21" s="10" t="s">
        <v>171</v>
      </c>
      <c r="E21" s="10" t="s">
        <v>573</v>
      </c>
      <c r="F21" s="11">
        <f>COUNTA(resource_assignments[ResourceID])</f>
        <v>17</v>
      </c>
      <c r="G21" s="11" cm="1">
        <f t="array" ref="G21">SUMPRODUCT(--ISNA(MATCH(resource_assignments[ResourceID],resources[ResourceID],0)))</f>
        <v>0</v>
      </c>
      <c r="H21" s="23" t="str">
        <f>IF(G21=0,"OK","CHECK")</f>
        <v>OK</v>
      </c>
    </row>
    <row r="22" spans="1:8" x14ac:dyDescent="0.35">
      <c r="A22" s="21" t="s">
        <v>551</v>
      </c>
      <c r="B22" s="10" t="s">
        <v>1</v>
      </c>
      <c r="C22" s="10" t="s">
        <v>543</v>
      </c>
      <c r="D22" s="10" t="s">
        <v>1</v>
      </c>
      <c r="E22" s="10" t="s">
        <v>573</v>
      </c>
      <c r="F22" s="11">
        <f>COUNTA(material_costs[WBS_ID])</f>
        <v>14</v>
      </c>
      <c r="G22" s="11" cm="1">
        <f t="array" ref="G22">SUMPRODUCT(--ISNA(MATCH(material_costs[WBS_ID],wbs_elements[WBS_ID],0)))</f>
        <v>0</v>
      </c>
      <c r="H22" s="23" t="str">
        <f>IF(G22=0,"OK","CHECK")</f>
        <v>OK</v>
      </c>
    </row>
    <row r="23" spans="1:8" x14ac:dyDescent="0.35">
      <c r="A23" s="21" t="s">
        <v>555</v>
      </c>
      <c r="B23" s="10" t="s">
        <v>1</v>
      </c>
      <c r="C23" s="10" t="s">
        <v>543</v>
      </c>
      <c r="D23" s="10" t="s">
        <v>1</v>
      </c>
      <c r="E23" s="10" t="s">
        <v>573</v>
      </c>
      <c r="F23" s="11">
        <f>COUNTA(timesheets[WBS_ID])</f>
        <v>299</v>
      </c>
      <c r="G23" s="11" cm="1">
        <f t="array" ref="G23">SUMPRODUCT(--ISNA(MATCH(timesheets[WBS_ID],wbs_elements[WBS_ID],0)))</f>
        <v>0</v>
      </c>
      <c r="H23" s="23" t="str">
        <f>IF(G23=0,"OK","CHECK")</f>
        <v>OK</v>
      </c>
    </row>
    <row r="24" spans="1:8" x14ac:dyDescent="0.35">
      <c r="A24" s="21" t="s">
        <v>555</v>
      </c>
      <c r="B24" s="10" t="s">
        <v>171</v>
      </c>
      <c r="C24" s="10" t="s">
        <v>539</v>
      </c>
      <c r="D24" s="10" t="s">
        <v>171</v>
      </c>
      <c r="E24" s="10" t="s">
        <v>573</v>
      </c>
      <c r="F24" s="11">
        <f>COUNTA(timesheets[ResourceID])</f>
        <v>299</v>
      </c>
      <c r="G24" s="11" cm="1">
        <f t="array" ref="G24">SUMPRODUCT(--ISNA(MATCH(timesheets[ResourceID],resources[ResourceID],0)))</f>
        <v>0</v>
      </c>
      <c r="H24" s="23" t="str">
        <f>IF(G24=0,"OK","CHECK")</f>
        <v>OK</v>
      </c>
    </row>
    <row r="25" spans="1:8" x14ac:dyDescent="0.35">
      <c r="A25" s="21" t="s">
        <v>559</v>
      </c>
      <c r="B25" s="10" t="s">
        <v>1</v>
      </c>
      <c r="C25" s="10" t="s">
        <v>543</v>
      </c>
      <c r="D25" s="10" t="s">
        <v>1</v>
      </c>
      <c r="E25" s="10" t="s">
        <v>573</v>
      </c>
      <c r="F25" s="11">
        <f>COUNTA(physical_progress[WBS_ID])</f>
        <v>57</v>
      </c>
      <c r="G25" s="11" cm="1">
        <f t="array" ref="G25">SUMPRODUCT(--ISNA(MATCH(physical_progress[WBS_ID],wbs_elements[WBS_ID],0)))</f>
        <v>0</v>
      </c>
      <c r="H25" s="23" t="str">
        <f>IF(G25=0,"OK","CHECK")</f>
        <v>OK</v>
      </c>
    </row>
    <row r="26" spans="1:8" x14ac:dyDescent="0.35">
      <c r="A26" s="27" t="s">
        <v>559</v>
      </c>
      <c r="B26" s="28" t="s">
        <v>45</v>
      </c>
      <c r="C26" s="28" t="s">
        <v>539</v>
      </c>
      <c r="D26" s="28" t="s">
        <v>195</v>
      </c>
      <c r="E26" s="28" t="s">
        <v>572</v>
      </c>
      <c r="F26" s="29">
        <f>COUNTA(physical_progress[ReportedBy])</f>
        <v>57</v>
      </c>
      <c r="G26" s="29" cm="1">
        <f t="array" ref="G26">SUMPRODUCT(--ISNA(MATCH(physical_progress[ReportedBy],resources[ResourceName],0)))</f>
        <v>0</v>
      </c>
      <c r="H26" s="30" t="str">
        <f>IF(G26=0,"OK","CHECK")</f>
        <v>OK</v>
      </c>
    </row>
    <row r="27" spans="1:8" x14ac:dyDescent="0.35">
      <c r="A27" s="12"/>
      <c r="B27" s="12"/>
      <c r="C27" s="12"/>
      <c r="D27" s="12"/>
      <c r="E27" s="12"/>
      <c r="F27" s="12"/>
      <c r="G27" s="12"/>
      <c r="H27" s="12"/>
    </row>
    <row r="28" spans="1:8" x14ac:dyDescent="0.35">
      <c r="A28" s="12"/>
      <c r="B28" s="12"/>
      <c r="C28" s="12"/>
      <c r="D28" s="12"/>
      <c r="E28" s="12"/>
      <c r="F28" s="12"/>
      <c r="G28" s="12"/>
      <c r="H28" s="12"/>
    </row>
    <row r="29" spans="1:8" x14ac:dyDescent="0.35">
      <c r="A29" s="24" t="s">
        <v>529</v>
      </c>
      <c r="B29" s="25" t="s">
        <v>574</v>
      </c>
      <c r="C29" s="25" t="s">
        <v>196</v>
      </c>
      <c r="D29" s="26" t="s">
        <v>3</v>
      </c>
      <c r="E29" s="12"/>
      <c r="F29" s="12"/>
      <c r="G29" s="12"/>
      <c r="H29" s="12"/>
    </row>
    <row r="30" spans="1:8" x14ac:dyDescent="0.35">
      <c r="A30" s="21" t="s">
        <v>535</v>
      </c>
      <c r="B30" s="10" t="s">
        <v>111</v>
      </c>
      <c r="C30" s="10" t="s">
        <v>530</v>
      </c>
      <c r="D30" s="31" t="s">
        <v>575</v>
      </c>
      <c r="E30" s="12"/>
      <c r="F30" s="12"/>
      <c r="G30" s="12"/>
      <c r="H30" s="12"/>
    </row>
    <row r="31" spans="1:8" x14ac:dyDescent="0.35">
      <c r="A31" s="21" t="s">
        <v>535</v>
      </c>
      <c r="B31" s="10" t="s">
        <v>112</v>
      </c>
      <c r="C31" s="10" t="s">
        <v>576</v>
      </c>
      <c r="D31" s="31" t="s">
        <v>577</v>
      </c>
      <c r="E31" s="12"/>
      <c r="F31" s="12"/>
      <c r="G31" s="12"/>
      <c r="H31" s="12"/>
    </row>
    <row r="32" spans="1:8" x14ac:dyDescent="0.35">
      <c r="A32" s="21" t="s">
        <v>535</v>
      </c>
      <c r="B32" s="10" t="s">
        <v>113</v>
      </c>
      <c r="C32" s="10" t="s">
        <v>578</v>
      </c>
      <c r="D32" s="31" t="s">
        <v>579</v>
      </c>
      <c r="E32" s="12"/>
      <c r="F32" s="12"/>
      <c r="G32" s="12"/>
      <c r="H32" s="12"/>
    </row>
    <row r="33" spans="1:8" x14ac:dyDescent="0.35">
      <c r="A33" s="21" t="s">
        <v>535</v>
      </c>
      <c r="B33" s="10" t="s">
        <v>114</v>
      </c>
      <c r="C33" s="10" t="s">
        <v>580</v>
      </c>
      <c r="D33" s="31" t="s">
        <v>581</v>
      </c>
      <c r="E33" s="12"/>
      <c r="F33" s="12"/>
      <c r="G33" s="12"/>
      <c r="H33" s="12"/>
    </row>
    <row r="34" spans="1:8" x14ac:dyDescent="0.35">
      <c r="A34" s="21" t="s">
        <v>535</v>
      </c>
      <c r="B34" s="10" t="s">
        <v>115</v>
      </c>
      <c r="C34" s="10" t="s">
        <v>582</v>
      </c>
      <c r="D34" s="31" t="s">
        <v>583</v>
      </c>
      <c r="E34" s="12"/>
      <c r="F34" s="12"/>
      <c r="G34" s="12"/>
      <c r="H34" s="12"/>
    </row>
    <row r="35" spans="1:8" x14ac:dyDescent="0.35">
      <c r="A35" s="21" t="s">
        <v>535</v>
      </c>
      <c r="B35" s="10" t="s">
        <v>116</v>
      </c>
      <c r="C35" s="10" t="s">
        <v>582</v>
      </c>
      <c r="D35" s="31" t="s">
        <v>584</v>
      </c>
      <c r="E35" s="12"/>
      <c r="F35" s="12"/>
      <c r="G35" s="12"/>
      <c r="H35" s="12"/>
    </row>
    <row r="36" spans="1:8" x14ac:dyDescent="0.35">
      <c r="A36" s="21" t="s">
        <v>535</v>
      </c>
      <c r="B36" s="10" t="s">
        <v>117</v>
      </c>
      <c r="C36" s="10" t="s">
        <v>576</v>
      </c>
      <c r="D36" s="31" t="s">
        <v>585</v>
      </c>
      <c r="E36" s="12"/>
      <c r="F36" s="12"/>
      <c r="G36" s="12"/>
      <c r="H36" s="12"/>
    </row>
    <row r="37" spans="1:8" x14ac:dyDescent="0.35">
      <c r="A37" s="21" t="s">
        <v>539</v>
      </c>
      <c r="B37" s="10" t="s">
        <v>171</v>
      </c>
      <c r="C37" s="10" t="s">
        <v>530</v>
      </c>
      <c r="D37" s="31" t="s">
        <v>586</v>
      </c>
      <c r="E37" s="12"/>
      <c r="F37" s="12"/>
      <c r="G37" s="12"/>
      <c r="H37" s="12"/>
    </row>
    <row r="38" spans="1:8" x14ac:dyDescent="0.35">
      <c r="A38" s="21" t="s">
        <v>539</v>
      </c>
      <c r="B38" s="10" t="s">
        <v>195</v>
      </c>
      <c r="C38" s="10" t="s">
        <v>587</v>
      </c>
      <c r="D38" s="31" t="s">
        <v>588</v>
      </c>
      <c r="E38" s="12"/>
      <c r="F38" s="12"/>
      <c r="G38" s="12"/>
      <c r="H38" s="12"/>
    </row>
    <row r="39" spans="1:8" x14ac:dyDescent="0.35">
      <c r="A39" s="21" t="s">
        <v>539</v>
      </c>
      <c r="B39" s="10" t="s">
        <v>196</v>
      </c>
      <c r="C39" s="10" t="s">
        <v>576</v>
      </c>
      <c r="D39" s="31" t="s">
        <v>589</v>
      </c>
      <c r="E39" s="12"/>
      <c r="F39" s="12"/>
      <c r="G39" s="12"/>
      <c r="H39" s="12"/>
    </row>
    <row r="40" spans="1:8" x14ac:dyDescent="0.35">
      <c r="A40" s="21" t="s">
        <v>539</v>
      </c>
      <c r="B40" s="10" t="s">
        <v>197</v>
      </c>
      <c r="C40" s="10" t="s">
        <v>580</v>
      </c>
      <c r="D40" s="31" t="s">
        <v>590</v>
      </c>
      <c r="E40" s="12"/>
      <c r="F40" s="12"/>
      <c r="G40" s="12"/>
      <c r="H40" s="12"/>
    </row>
    <row r="41" spans="1:8" x14ac:dyDescent="0.35">
      <c r="A41" s="21" t="s">
        <v>543</v>
      </c>
      <c r="B41" s="10" t="s">
        <v>1</v>
      </c>
      <c r="C41" s="10" t="s">
        <v>530</v>
      </c>
      <c r="D41" s="31" t="s">
        <v>591</v>
      </c>
      <c r="E41" s="12"/>
      <c r="F41" s="12"/>
      <c r="G41" s="12"/>
      <c r="H41" s="12"/>
    </row>
    <row r="42" spans="1:8" x14ac:dyDescent="0.35">
      <c r="A42" s="21" t="s">
        <v>543</v>
      </c>
      <c r="B42" s="10" t="s">
        <v>111</v>
      </c>
      <c r="C42" s="10" t="s">
        <v>592</v>
      </c>
      <c r="D42" s="31" t="s">
        <v>593</v>
      </c>
      <c r="E42" s="12"/>
      <c r="F42" s="12"/>
      <c r="G42" s="12"/>
      <c r="H42" s="12"/>
    </row>
    <row r="43" spans="1:8" x14ac:dyDescent="0.35">
      <c r="A43" s="21" t="s">
        <v>543</v>
      </c>
      <c r="B43" s="10" t="s">
        <v>508</v>
      </c>
      <c r="C43" s="10" t="s">
        <v>576</v>
      </c>
      <c r="D43" s="31" t="s">
        <v>594</v>
      </c>
      <c r="E43" s="12"/>
      <c r="F43" s="12"/>
      <c r="G43" s="12"/>
      <c r="H43" s="12"/>
    </row>
    <row r="44" spans="1:8" x14ac:dyDescent="0.35">
      <c r="A44" s="21" t="s">
        <v>543</v>
      </c>
      <c r="B44" s="10" t="s">
        <v>509</v>
      </c>
      <c r="C44" s="10" t="s">
        <v>576</v>
      </c>
      <c r="D44" s="31" t="s">
        <v>595</v>
      </c>
      <c r="E44" s="12"/>
      <c r="F44" s="12"/>
      <c r="G44" s="12"/>
      <c r="H44" s="12"/>
    </row>
    <row r="45" spans="1:8" x14ac:dyDescent="0.35">
      <c r="A45" s="21" t="s">
        <v>543</v>
      </c>
      <c r="B45" s="10" t="s">
        <v>510</v>
      </c>
      <c r="C45" s="10" t="s">
        <v>580</v>
      </c>
      <c r="D45" s="31" t="s">
        <v>596</v>
      </c>
      <c r="E45" s="12"/>
      <c r="F45" s="12"/>
      <c r="G45" s="12"/>
      <c r="H45" s="12"/>
    </row>
    <row r="46" spans="1:8" x14ac:dyDescent="0.35">
      <c r="A46" s="21" t="s">
        <v>543</v>
      </c>
      <c r="B46" s="10" t="s">
        <v>511</v>
      </c>
      <c r="C46" s="10" t="s">
        <v>580</v>
      </c>
      <c r="D46" s="31" t="s">
        <v>597</v>
      </c>
      <c r="E46" s="12"/>
      <c r="F46" s="12"/>
      <c r="G46" s="12"/>
      <c r="H46" s="12"/>
    </row>
    <row r="47" spans="1:8" x14ac:dyDescent="0.35">
      <c r="A47" s="21" t="s">
        <v>547</v>
      </c>
      <c r="B47" s="10" t="s">
        <v>170</v>
      </c>
      <c r="C47" s="10" t="s">
        <v>530</v>
      </c>
      <c r="D47" s="31" t="s">
        <v>598</v>
      </c>
      <c r="E47" s="12"/>
      <c r="F47" s="12"/>
      <c r="G47" s="12"/>
      <c r="H47" s="12"/>
    </row>
    <row r="48" spans="1:8" x14ac:dyDescent="0.35">
      <c r="A48" s="21" t="s">
        <v>547</v>
      </c>
      <c r="B48" s="10" t="s">
        <v>1</v>
      </c>
      <c r="C48" s="10" t="s">
        <v>592</v>
      </c>
      <c r="D48" s="31" t="s">
        <v>599</v>
      </c>
      <c r="E48" s="12"/>
      <c r="F48" s="12"/>
      <c r="G48" s="12"/>
      <c r="H48" s="12"/>
    </row>
    <row r="49" spans="1:8" x14ac:dyDescent="0.35">
      <c r="A49" s="21" t="s">
        <v>547</v>
      </c>
      <c r="B49" s="10" t="s">
        <v>171</v>
      </c>
      <c r="C49" s="10" t="s">
        <v>592</v>
      </c>
      <c r="D49" s="31" t="s">
        <v>600</v>
      </c>
      <c r="E49" s="12"/>
      <c r="F49" s="12"/>
      <c r="G49" s="12"/>
      <c r="H49" s="12"/>
    </row>
    <row r="50" spans="1:8" x14ac:dyDescent="0.35">
      <c r="A50" s="21" t="s">
        <v>547</v>
      </c>
      <c r="B50" s="10" t="s">
        <v>172</v>
      </c>
      <c r="C50" s="10" t="s">
        <v>580</v>
      </c>
      <c r="D50" s="31" t="s">
        <v>601</v>
      </c>
      <c r="E50" s="12"/>
      <c r="F50" s="12"/>
      <c r="G50" s="12"/>
      <c r="H50" s="12"/>
    </row>
    <row r="51" spans="1:8" x14ac:dyDescent="0.35">
      <c r="A51" s="21" t="s">
        <v>551</v>
      </c>
      <c r="B51" s="10" t="s">
        <v>0</v>
      </c>
      <c r="C51" s="10" t="s">
        <v>530</v>
      </c>
      <c r="D51" s="31" t="s">
        <v>602</v>
      </c>
      <c r="E51" s="12"/>
      <c r="F51" s="12"/>
      <c r="G51" s="12"/>
      <c r="H51" s="12"/>
    </row>
    <row r="52" spans="1:8" x14ac:dyDescent="0.35">
      <c r="A52" s="21" t="s">
        <v>551</v>
      </c>
      <c r="B52" s="10" t="s">
        <v>1</v>
      </c>
      <c r="C52" s="10" t="s">
        <v>592</v>
      </c>
      <c r="D52" s="31" t="s">
        <v>599</v>
      </c>
      <c r="E52" s="12"/>
      <c r="F52" s="12"/>
      <c r="G52" s="12"/>
      <c r="H52" s="12"/>
    </row>
    <row r="53" spans="1:8" x14ac:dyDescent="0.35">
      <c r="A53" s="21" t="s">
        <v>551</v>
      </c>
      <c r="B53" s="10" t="s">
        <v>2</v>
      </c>
      <c r="C53" s="10" t="s">
        <v>582</v>
      </c>
      <c r="D53" s="31" t="s">
        <v>603</v>
      </c>
      <c r="E53" s="12"/>
      <c r="F53" s="12"/>
      <c r="G53" s="12"/>
      <c r="H53" s="12"/>
    </row>
    <row r="54" spans="1:8" x14ac:dyDescent="0.35">
      <c r="A54" s="21" t="s">
        <v>551</v>
      </c>
      <c r="B54" s="10" t="s">
        <v>3</v>
      </c>
      <c r="C54" s="10" t="s">
        <v>576</v>
      </c>
      <c r="D54" s="31" t="s">
        <v>604</v>
      </c>
      <c r="E54" s="12"/>
      <c r="F54" s="12"/>
      <c r="G54" s="12"/>
      <c r="H54" s="12"/>
    </row>
    <row r="55" spans="1:8" x14ac:dyDescent="0.35">
      <c r="A55" s="21" t="s">
        <v>551</v>
      </c>
      <c r="B55" s="10" t="s">
        <v>4</v>
      </c>
      <c r="C55" s="10" t="s">
        <v>580</v>
      </c>
      <c r="D55" s="31" t="s">
        <v>605</v>
      </c>
      <c r="E55" s="12"/>
      <c r="F55" s="12"/>
      <c r="G55" s="12"/>
      <c r="H55" s="12"/>
    </row>
    <row r="56" spans="1:8" x14ac:dyDescent="0.35">
      <c r="A56" s="21" t="s">
        <v>551</v>
      </c>
      <c r="B56" s="10" t="s">
        <v>5</v>
      </c>
      <c r="C56" s="10" t="s">
        <v>580</v>
      </c>
      <c r="D56" s="31" t="s">
        <v>606</v>
      </c>
      <c r="E56" s="12"/>
      <c r="F56" s="12"/>
      <c r="G56" s="12"/>
      <c r="H56" s="12"/>
    </row>
    <row r="57" spans="1:8" x14ac:dyDescent="0.35">
      <c r="A57" s="21" t="s">
        <v>551</v>
      </c>
      <c r="B57" s="10" t="s">
        <v>6</v>
      </c>
      <c r="C57" s="10" t="s">
        <v>580</v>
      </c>
      <c r="D57" s="31" t="s">
        <v>607</v>
      </c>
      <c r="E57" s="12"/>
      <c r="F57" s="12"/>
      <c r="G57" s="12"/>
      <c r="H57" s="12"/>
    </row>
    <row r="58" spans="1:8" x14ac:dyDescent="0.35">
      <c r="A58" s="21" t="s">
        <v>555</v>
      </c>
      <c r="B58" s="10" t="s">
        <v>204</v>
      </c>
      <c r="C58" s="10" t="s">
        <v>530</v>
      </c>
      <c r="D58" s="31" t="s">
        <v>608</v>
      </c>
      <c r="E58" s="12"/>
      <c r="F58" s="12"/>
      <c r="G58" s="12"/>
      <c r="H58" s="12"/>
    </row>
    <row r="59" spans="1:8" x14ac:dyDescent="0.35">
      <c r="A59" s="21" t="s">
        <v>555</v>
      </c>
      <c r="B59" s="10" t="s">
        <v>171</v>
      </c>
      <c r="C59" s="10" t="s">
        <v>592</v>
      </c>
      <c r="D59" s="31" t="s">
        <v>600</v>
      </c>
      <c r="E59" s="12"/>
      <c r="F59" s="12"/>
      <c r="G59" s="12"/>
      <c r="H59" s="12"/>
    </row>
    <row r="60" spans="1:8" x14ac:dyDescent="0.35">
      <c r="A60" s="21" t="s">
        <v>555</v>
      </c>
      <c r="B60" s="10" t="s">
        <v>1</v>
      </c>
      <c r="C60" s="10" t="s">
        <v>592</v>
      </c>
      <c r="D60" s="31" t="s">
        <v>599</v>
      </c>
      <c r="E60" s="12"/>
      <c r="F60" s="12"/>
      <c r="G60" s="12"/>
      <c r="H60" s="12"/>
    </row>
    <row r="61" spans="1:8" x14ac:dyDescent="0.35">
      <c r="A61" s="21" t="s">
        <v>555</v>
      </c>
      <c r="B61" s="10" t="s">
        <v>205</v>
      </c>
      <c r="C61" s="10" t="s">
        <v>582</v>
      </c>
      <c r="D61" s="31" t="s">
        <v>609</v>
      </c>
      <c r="E61" s="12"/>
      <c r="F61" s="12"/>
      <c r="G61" s="12"/>
      <c r="H61" s="12"/>
    </row>
    <row r="62" spans="1:8" x14ac:dyDescent="0.35">
      <c r="A62" s="21" t="s">
        <v>555</v>
      </c>
      <c r="B62" s="10" t="s">
        <v>206</v>
      </c>
      <c r="C62" s="10" t="s">
        <v>580</v>
      </c>
      <c r="D62" s="31" t="s">
        <v>610</v>
      </c>
      <c r="E62" s="12"/>
      <c r="F62" s="12"/>
      <c r="G62" s="12"/>
      <c r="H62" s="12"/>
    </row>
    <row r="63" spans="1:8" x14ac:dyDescent="0.35">
      <c r="A63" s="21" t="s">
        <v>555</v>
      </c>
      <c r="B63" s="10" t="s">
        <v>207</v>
      </c>
      <c r="C63" s="10" t="s">
        <v>576</v>
      </c>
      <c r="D63" s="31" t="s">
        <v>611</v>
      </c>
      <c r="E63" s="12"/>
      <c r="F63" s="12"/>
      <c r="G63" s="12"/>
      <c r="H63" s="12"/>
    </row>
    <row r="64" spans="1:8" x14ac:dyDescent="0.35">
      <c r="A64" s="21" t="s">
        <v>559</v>
      </c>
      <c r="B64" s="10" t="s">
        <v>42</v>
      </c>
      <c r="C64" s="10" t="s">
        <v>530</v>
      </c>
      <c r="D64" s="31" t="s">
        <v>612</v>
      </c>
      <c r="E64" s="12"/>
      <c r="F64" s="12"/>
      <c r="G64" s="12"/>
      <c r="H64" s="12"/>
    </row>
    <row r="65" spans="1:8" x14ac:dyDescent="0.35">
      <c r="A65" s="21" t="s">
        <v>559</v>
      </c>
      <c r="B65" s="10" t="s">
        <v>1</v>
      </c>
      <c r="C65" s="10" t="s">
        <v>592</v>
      </c>
      <c r="D65" s="31" t="s">
        <v>599</v>
      </c>
      <c r="E65" s="12"/>
      <c r="F65" s="12"/>
      <c r="G65" s="12"/>
      <c r="H65" s="12"/>
    </row>
    <row r="66" spans="1:8" x14ac:dyDescent="0.35">
      <c r="A66" s="21" t="s">
        <v>559</v>
      </c>
      <c r="B66" s="10" t="s">
        <v>43</v>
      </c>
      <c r="C66" s="10" t="s">
        <v>582</v>
      </c>
      <c r="D66" s="31" t="s">
        <v>613</v>
      </c>
      <c r="E66" s="12"/>
      <c r="F66" s="12"/>
      <c r="G66" s="12"/>
      <c r="H66" s="12"/>
    </row>
    <row r="67" spans="1:8" x14ac:dyDescent="0.35">
      <c r="A67" s="21" t="s">
        <v>559</v>
      </c>
      <c r="B67" s="10" t="s">
        <v>44</v>
      </c>
      <c r="C67" s="10" t="s">
        <v>580</v>
      </c>
      <c r="D67" s="31" t="s">
        <v>614</v>
      </c>
      <c r="E67" s="12"/>
      <c r="F67" s="12"/>
      <c r="G67" s="12"/>
      <c r="H67" s="12"/>
    </row>
    <row r="68" spans="1:8" x14ac:dyDescent="0.35">
      <c r="A68" s="21" t="s">
        <v>559</v>
      </c>
      <c r="B68" s="10" t="s">
        <v>45</v>
      </c>
      <c r="C68" s="10" t="s">
        <v>578</v>
      </c>
      <c r="D68" s="31" t="s">
        <v>579</v>
      </c>
      <c r="E68" s="12"/>
      <c r="F68" s="12"/>
      <c r="G68" s="12"/>
      <c r="H68" s="12"/>
    </row>
    <row r="69" spans="1:8" ht="29" x14ac:dyDescent="0.35">
      <c r="A69" s="21" t="s">
        <v>563</v>
      </c>
      <c r="B69" s="10" t="s">
        <v>564</v>
      </c>
      <c r="C69" s="10" t="s">
        <v>615</v>
      </c>
      <c r="D69" s="31" t="s">
        <v>616</v>
      </c>
      <c r="E69" s="12"/>
      <c r="F69" s="12"/>
      <c r="G69" s="12"/>
      <c r="H69" s="12"/>
    </row>
    <row r="70" spans="1:8" x14ac:dyDescent="0.35">
      <c r="A70" s="21" t="s">
        <v>563</v>
      </c>
      <c r="B70" s="10" t="s">
        <v>617</v>
      </c>
      <c r="C70" s="10" t="s">
        <v>576</v>
      </c>
      <c r="D70" s="31" t="s">
        <v>618</v>
      </c>
      <c r="E70" s="12"/>
      <c r="F70" s="12"/>
      <c r="G70" s="12"/>
      <c r="H70" s="12"/>
    </row>
    <row r="71" spans="1:8" x14ac:dyDescent="0.35">
      <c r="A71" s="21" t="s">
        <v>563</v>
      </c>
      <c r="B71" s="10" t="s">
        <v>619</v>
      </c>
      <c r="C71" s="10" t="s">
        <v>576</v>
      </c>
      <c r="D71" s="31" t="s">
        <v>620</v>
      </c>
      <c r="E71" s="12"/>
      <c r="F71" s="12"/>
      <c r="G71" s="12"/>
      <c r="H71" s="12"/>
    </row>
    <row r="72" spans="1:8" x14ac:dyDescent="0.35">
      <c r="A72" s="21" t="s">
        <v>563</v>
      </c>
      <c r="B72" s="10" t="s">
        <v>621</v>
      </c>
      <c r="C72" s="10" t="s">
        <v>576</v>
      </c>
      <c r="D72" s="31" t="s">
        <v>622</v>
      </c>
      <c r="E72" s="12"/>
      <c r="F72" s="12"/>
      <c r="G72" s="12"/>
      <c r="H72" s="12"/>
    </row>
    <row r="73" spans="1:8" x14ac:dyDescent="0.35">
      <c r="A73" s="21" t="s">
        <v>563</v>
      </c>
      <c r="B73" s="10" t="s">
        <v>623</v>
      </c>
      <c r="C73" s="10" t="s">
        <v>576</v>
      </c>
      <c r="D73" s="31" t="s">
        <v>624</v>
      </c>
      <c r="E73" s="12"/>
      <c r="F73" s="12"/>
      <c r="G73" s="12"/>
      <c r="H73" s="12"/>
    </row>
    <row r="74" spans="1:8" x14ac:dyDescent="0.35">
      <c r="A74" s="21" t="s">
        <v>563</v>
      </c>
      <c r="B74" s="10" t="s">
        <v>625</v>
      </c>
      <c r="C74" s="10" t="s">
        <v>576</v>
      </c>
      <c r="D74" s="31" t="s">
        <v>626</v>
      </c>
      <c r="E74" s="12"/>
      <c r="F74" s="12"/>
      <c r="G74" s="12"/>
      <c r="H74" s="12"/>
    </row>
    <row r="75" spans="1:8" ht="29" x14ac:dyDescent="0.35">
      <c r="A75" s="21" t="s">
        <v>563</v>
      </c>
      <c r="B75" s="10" t="s">
        <v>627</v>
      </c>
      <c r="C75" s="10" t="s">
        <v>578</v>
      </c>
      <c r="D75" s="31" t="s">
        <v>628</v>
      </c>
      <c r="E75" s="12"/>
      <c r="F75" s="12"/>
      <c r="G75" s="12"/>
      <c r="H75" s="12"/>
    </row>
    <row r="76" spans="1:8" x14ac:dyDescent="0.35">
      <c r="A76" s="21" t="s">
        <v>563</v>
      </c>
      <c r="B76" s="10" t="s">
        <v>629</v>
      </c>
      <c r="C76" s="10" t="s">
        <v>576</v>
      </c>
      <c r="D76" s="31" t="s">
        <v>630</v>
      </c>
      <c r="E76" s="12"/>
      <c r="F76" s="12"/>
      <c r="G76" s="12"/>
      <c r="H76" s="12"/>
    </row>
    <row r="77" spans="1:8" x14ac:dyDescent="0.35">
      <c r="A77" s="27"/>
      <c r="B77" s="28"/>
      <c r="C77" s="28"/>
      <c r="D77" s="32"/>
      <c r="E77" s="12"/>
      <c r="F77" s="12"/>
      <c r="G77" s="12"/>
      <c r="H77" s="12"/>
    </row>
  </sheetData>
  <mergeCells count="3">
    <mergeCell ref="A1:H1"/>
    <mergeCell ref="A2:H2"/>
    <mergeCell ref="A4:H4"/>
  </mergeCells>
  <conditionalFormatting sqref="H18:H26">
    <cfRule type="cellIs" dxfId="68" priority="1" operator="equal">
      <formula>"OK"</formula>
    </cfRule>
  </conditionalFormatting>
  <conditionalFormatting sqref="H18:H26">
    <cfRule type="cellIs" dxfId="67" priority="2" operator="equal">
      <formula>"CHECK"</formula>
    </cfRule>
  </conditionalFormatting>
  <conditionalFormatting sqref="G18:G26">
    <cfRule type="cellIs" dxfId="66" priority="3" operator="equal">
      <formula>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B987-5645-406D-BE81-D3090706045B}">
  <dimension ref="A1:G7"/>
  <sheetViews>
    <sheetView workbookViewId="0">
      <selection sqref="A1:G7"/>
    </sheetView>
  </sheetViews>
  <sheetFormatPr defaultRowHeight="14.5" x14ac:dyDescent="0.35"/>
  <cols>
    <col min="1" max="1" width="11.26953125" bestFit="1" customWidth="1"/>
    <col min="2" max="2" width="42.36328125" bestFit="1" customWidth="1"/>
    <col min="3" max="3" width="16.7265625" bestFit="1" customWidth="1"/>
    <col min="4" max="4" width="26" bestFit="1" customWidth="1"/>
    <col min="5" max="5" width="11.453125" bestFit="1" customWidth="1"/>
    <col min="6" max="6" width="10.6328125" bestFit="1" customWidth="1"/>
    <col min="7" max="7" width="9.90625" bestFit="1" customWidth="1"/>
  </cols>
  <sheetData>
    <row r="1" spans="1:7" x14ac:dyDescent="0.3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 x14ac:dyDescent="0.35">
      <c r="A2" s="1" t="s">
        <v>118</v>
      </c>
      <c r="B2" s="1" t="s">
        <v>119</v>
      </c>
      <c r="C2" s="1" t="s">
        <v>120</v>
      </c>
      <c r="D2">
        <v>1500000</v>
      </c>
      <c r="E2" s="2">
        <v>46023</v>
      </c>
      <c r="F2" s="2">
        <v>46203</v>
      </c>
      <c r="G2" s="1" t="s">
        <v>121</v>
      </c>
    </row>
    <row r="3" spans="1:7" x14ac:dyDescent="0.35">
      <c r="A3" s="1" t="s">
        <v>122</v>
      </c>
      <c r="B3" s="1" t="s">
        <v>123</v>
      </c>
      <c r="C3" s="1" t="s">
        <v>120</v>
      </c>
      <c r="D3">
        <v>800000</v>
      </c>
      <c r="E3" s="2">
        <v>46235</v>
      </c>
      <c r="F3" s="2">
        <v>46387</v>
      </c>
      <c r="G3" s="1" t="s">
        <v>124</v>
      </c>
    </row>
    <row r="4" spans="1:7" x14ac:dyDescent="0.35">
      <c r="A4" s="1" t="s">
        <v>125</v>
      </c>
      <c r="B4" s="1" t="s">
        <v>126</v>
      </c>
      <c r="C4" s="1" t="s">
        <v>127</v>
      </c>
      <c r="D4">
        <v>1200000</v>
      </c>
      <c r="E4" s="2">
        <v>46143</v>
      </c>
      <c r="F4" s="2">
        <v>46326</v>
      </c>
      <c r="G4" s="1" t="s">
        <v>128</v>
      </c>
    </row>
    <row r="5" spans="1:7" x14ac:dyDescent="0.35">
      <c r="A5" s="1" t="s">
        <v>129</v>
      </c>
      <c r="B5" s="1" t="s">
        <v>130</v>
      </c>
      <c r="C5" s="1" t="s">
        <v>131</v>
      </c>
      <c r="D5">
        <v>2000000</v>
      </c>
      <c r="E5" s="2">
        <v>46082</v>
      </c>
      <c r="F5" s="2">
        <v>46265</v>
      </c>
      <c r="G5" s="1" t="s">
        <v>128</v>
      </c>
    </row>
    <row r="6" spans="1:7" x14ac:dyDescent="0.35">
      <c r="A6" s="1" t="s">
        <v>132</v>
      </c>
      <c r="B6" s="1" t="s">
        <v>133</v>
      </c>
      <c r="C6" s="1" t="s">
        <v>48</v>
      </c>
      <c r="D6">
        <v>1000000</v>
      </c>
      <c r="E6" s="2">
        <v>46054</v>
      </c>
      <c r="F6" s="2">
        <v>46234</v>
      </c>
      <c r="G6" s="1" t="s">
        <v>128</v>
      </c>
    </row>
    <row r="7" spans="1:7" x14ac:dyDescent="0.35">
      <c r="A7" s="1" t="s">
        <v>134</v>
      </c>
      <c r="B7" s="1" t="s">
        <v>135</v>
      </c>
      <c r="C7" s="1" t="s">
        <v>120</v>
      </c>
      <c r="D7">
        <v>600000</v>
      </c>
      <c r="E7" s="2">
        <v>45931</v>
      </c>
      <c r="F7" s="2">
        <v>46112</v>
      </c>
      <c r="G7" s="1" t="s">
        <v>121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ACDA-1508-4395-9248-5FF36B08AAC0}">
  <dimension ref="A1:D6"/>
  <sheetViews>
    <sheetView workbookViewId="0">
      <selection sqref="A1:D6"/>
    </sheetView>
  </sheetViews>
  <sheetFormatPr defaultRowHeight="14.5" x14ac:dyDescent="0.35"/>
  <cols>
    <col min="1" max="1" width="13.36328125" bestFit="1" customWidth="1"/>
    <col min="2" max="2" width="16.6328125" bestFit="1" customWidth="1"/>
    <col min="3" max="3" width="20.453125" bestFit="1" customWidth="1"/>
    <col min="4" max="4" width="12.90625" bestFit="1" customWidth="1"/>
  </cols>
  <sheetData>
    <row r="1" spans="1:4" x14ac:dyDescent="0.35">
      <c r="A1" t="s">
        <v>171</v>
      </c>
      <c r="B1" t="s">
        <v>195</v>
      </c>
      <c r="C1" t="s">
        <v>196</v>
      </c>
      <c r="D1" t="s">
        <v>197</v>
      </c>
    </row>
    <row r="2" spans="1:4" x14ac:dyDescent="0.35">
      <c r="A2" s="1" t="s">
        <v>174</v>
      </c>
      <c r="B2" s="1" t="s">
        <v>48</v>
      </c>
      <c r="C2" s="1" t="s">
        <v>198</v>
      </c>
      <c r="D2">
        <v>850</v>
      </c>
    </row>
    <row r="3" spans="1:4" x14ac:dyDescent="0.35">
      <c r="A3" s="1" t="s">
        <v>176</v>
      </c>
      <c r="B3" s="1" t="s">
        <v>120</v>
      </c>
      <c r="C3" s="1" t="s">
        <v>199</v>
      </c>
      <c r="D3">
        <v>1000</v>
      </c>
    </row>
    <row r="4" spans="1:4" x14ac:dyDescent="0.35">
      <c r="A4" s="1" t="s">
        <v>178</v>
      </c>
      <c r="B4" s="1" t="s">
        <v>127</v>
      </c>
      <c r="C4" s="1" t="s">
        <v>200</v>
      </c>
      <c r="D4">
        <v>950</v>
      </c>
    </row>
    <row r="5" spans="1:4" x14ac:dyDescent="0.35">
      <c r="A5" s="1" t="s">
        <v>180</v>
      </c>
      <c r="B5" s="1" t="s">
        <v>131</v>
      </c>
      <c r="C5" s="1" t="s">
        <v>201</v>
      </c>
      <c r="D5">
        <v>700</v>
      </c>
    </row>
    <row r="6" spans="1:4" x14ac:dyDescent="0.35">
      <c r="A6" s="1" t="s">
        <v>183</v>
      </c>
      <c r="B6" s="1" t="s">
        <v>202</v>
      </c>
      <c r="C6" s="1" t="s">
        <v>203</v>
      </c>
      <c r="D6">
        <v>750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7B39-93E3-40D7-9B47-CB146C0DCC0C}">
  <dimension ref="A1:F15"/>
  <sheetViews>
    <sheetView workbookViewId="0">
      <selection activeCell="F33" sqref="F33"/>
    </sheetView>
  </sheetViews>
  <sheetFormatPr defaultRowHeight="14.5" x14ac:dyDescent="0.35"/>
  <cols>
    <col min="1" max="1" width="9.90625" bestFit="1" customWidth="1"/>
    <col min="2" max="2" width="11.26953125" bestFit="1" customWidth="1"/>
    <col min="3" max="3" width="12.6328125" bestFit="1" customWidth="1"/>
    <col min="4" max="4" width="34.453125" bestFit="1" customWidth="1"/>
    <col min="5" max="5" width="14.26953125" bestFit="1" customWidth="1"/>
    <col min="6" max="6" width="15.54296875" bestFit="1" customWidth="1"/>
  </cols>
  <sheetData>
    <row r="1" spans="1:6" x14ac:dyDescent="0.35">
      <c r="A1" t="s">
        <v>1</v>
      </c>
      <c r="B1" t="s">
        <v>111</v>
      </c>
      <c r="C1" t="s">
        <v>508</v>
      </c>
      <c r="D1" t="s">
        <v>509</v>
      </c>
      <c r="E1" t="s">
        <v>510</v>
      </c>
      <c r="F1" t="s">
        <v>511</v>
      </c>
    </row>
    <row r="2" spans="1:6" x14ac:dyDescent="0.35">
      <c r="A2" s="1" t="s">
        <v>47</v>
      </c>
      <c r="B2" s="1" t="s">
        <v>118</v>
      </c>
      <c r="C2">
        <v>1</v>
      </c>
      <c r="D2" s="1" t="s">
        <v>512</v>
      </c>
      <c r="E2">
        <v>300000</v>
      </c>
      <c r="F2">
        <v>400</v>
      </c>
    </row>
    <row r="3" spans="1:6" x14ac:dyDescent="0.35">
      <c r="A3" s="1" t="s">
        <v>8</v>
      </c>
      <c r="B3" s="1" t="s">
        <v>118</v>
      </c>
      <c r="C3">
        <v>2</v>
      </c>
      <c r="D3" s="1" t="s">
        <v>513</v>
      </c>
      <c r="E3">
        <v>600000</v>
      </c>
      <c r="F3">
        <v>1200</v>
      </c>
    </row>
    <row r="4" spans="1:6" x14ac:dyDescent="0.35">
      <c r="A4" s="1" t="s">
        <v>17</v>
      </c>
      <c r="B4" s="1" t="s">
        <v>118</v>
      </c>
      <c r="C4">
        <v>3</v>
      </c>
      <c r="D4" s="1" t="s">
        <v>514</v>
      </c>
      <c r="E4">
        <v>400000</v>
      </c>
      <c r="F4">
        <v>800</v>
      </c>
    </row>
    <row r="5" spans="1:6" x14ac:dyDescent="0.35">
      <c r="A5" s="1" t="s">
        <v>26</v>
      </c>
      <c r="B5" s="1" t="s">
        <v>118</v>
      </c>
      <c r="C5">
        <v>4</v>
      </c>
      <c r="D5" s="1" t="s">
        <v>515</v>
      </c>
      <c r="E5">
        <v>200000</v>
      </c>
      <c r="F5">
        <v>300</v>
      </c>
    </row>
    <row r="6" spans="1:6" x14ac:dyDescent="0.35">
      <c r="A6" s="1" t="s">
        <v>96</v>
      </c>
      <c r="B6" s="1" t="s">
        <v>122</v>
      </c>
      <c r="C6">
        <v>1</v>
      </c>
      <c r="D6" s="1" t="s">
        <v>516</v>
      </c>
      <c r="E6">
        <v>300000</v>
      </c>
      <c r="F6">
        <v>300</v>
      </c>
    </row>
    <row r="7" spans="1:6" x14ac:dyDescent="0.35">
      <c r="A7" s="1" t="s">
        <v>98</v>
      </c>
      <c r="B7" s="1" t="s">
        <v>122</v>
      </c>
      <c r="C7">
        <v>2</v>
      </c>
      <c r="D7" s="1" t="s">
        <v>517</v>
      </c>
      <c r="E7">
        <v>500000</v>
      </c>
      <c r="F7">
        <v>0</v>
      </c>
    </row>
    <row r="8" spans="1:6" x14ac:dyDescent="0.35">
      <c r="A8" s="1" t="s">
        <v>100</v>
      </c>
      <c r="B8" s="1" t="s">
        <v>125</v>
      </c>
      <c r="C8">
        <v>1</v>
      </c>
      <c r="D8" s="1" t="s">
        <v>518</v>
      </c>
      <c r="E8">
        <v>400000</v>
      </c>
      <c r="F8">
        <v>400</v>
      </c>
    </row>
    <row r="9" spans="1:6" x14ac:dyDescent="0.35">
      <c r="A9" s="1" t="s">
        <v>31</v>
      </c>
      <c r="B9" s="1" t="s">
        <v>125</v>
      </c>
      <c r="C9">
        <v>2</v>
      </c>
      <c r="D9" s="1" t="s">
        <v>519</v>
      </c>
      <c r="E9">
        <v>800000</v>
      </c>
      <c r="F9">
        <v>1000</v>
      </c>
    </row>
    <row r="10" spans="1:6" x14ac:dyDescent="0.35">
      <c r="A10" s="1" t="s">
        <v>103</v>
      </c>
      <c r="B10" s="1" t="s">
        <v>129</v>
      </c>
      <c r="C10">
        <v>1</v>
      </c>
      <c r="D10" s="1" t="s">
        <v>520</v>
      </c>
      <c r="E10">
        <v>500000</v>
      </c>
      <c r="F10">
        <v>500</v>
      </c>
    </row>
    <row r="11" spans="1:6" x14ac:dyDescent="0.35">
      <c r="A11" s="1" t="s">
        <v>34</v>
      </c>
      <c r="B11" s="1" t="s">
        <v>129</v>
      </c>
      <c r="C11">
        <v>2</v>
      </c>
      <c r="D11" s="1" t="s">
        <v>521</v>
      </c>
      <c r="E11">
        <v>1500000</v>
      </c>
      <c r="F11">
        <v>2000</v>
      </c>
    </row>
    <row r="12" spans="1:6" x14ac:dyDescent="0.35">
      <c r="A12" s="1" t="s">
        <v>106</v>
      </c>
      <c r="B12" s="1" t="s">
        <v>132</v>
      </c>
      <c r="C12">
        <v>1</v>
      </c>
      <c r="D12" s="1" t="s">
        <v>522</v>
      </c>
      <c r="E12">
        <v>200000</v>
      </c>
      <c r="F12">
        <v>250</v>
      </c>
    </row>
    <row r="13" spans="1:6" x14ac:dyDescent="0.35">
      <c r="A13" s="1" t="s">
        <v>37</v>
      </c>
      <c r="B13" s="1" t="s">
        <v>132</v>
      </c>
      <c r="C13">
        <v>2</v>
      </c>
      <c r="D13" s="1" t="s">
        <v>523</v>
      </c>
      <c r="E13">
        <v>800000</v>
      </c>
      <c r="F13">
        <v>1000</v>
      </c>
    </row>
    <row r="14" spans="1:6" x14ac:dyDescent="0.35">
      <c r="A14" s="1" t="s">
        <v>109</v>
      </c>
      <c r="B14" s="1" t="s">
        <v>134</v>
      </c>
      <c r="C14">
        <v>1</v>
      </c>
      <c r="D14" s="1" t="s">
        <v>524</v>
      </c>
      <c r="E14">
        <v>200000</v>
      </c>
      <c r="F14">
        <v>200</v>
      </c>
    </row>
    <row r="15" spans="1:6" x14ac:dyDescent="0.35">
      <c r="A15" s="1" t="s">
        <v>40</v>
      </c>
      <c r="B15" s="1" t="s">
        <v>134</v>
      </c>
      <c r="C15">
        <v>2</v>
      </c>
      <c r="D15" s="1" t="s">
        <v>525</v>
      </c>
      <c r="E15">
        <v>400000</v>
      </c>
      <c r="F15">
        <v>500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56CB-DC2E-4A4E-93A3-1394656CC4B9}">
  <dimension ref="A1:D18"/>
  <sheetViews>
    <sheetView workbookViewId="0">
      <selection sqref="A1:D18"/>
    </sheetView>
  </sheetViews>
  <sheetFormatPr defaultRowHeight="14.5" x14ac:dyDescent="0.35"/>
  <cols>
    <col min="1" max="1" width="15.36328125" bestFit="1" customWidth="1"/>
    <col min="2" max="2" width="9.90625" bestFit="1" customWidth="1"/>
    <col min="3" max="3" width="13.36328125" bestFit="1" customWidth="1"/>
    <col min="4" max="4" width="16.6328125" bestFit="1" customWidth="1"/>
  </cols>
  <sheetData>
    <row r="1" spans="1:4" x14ac:dyDescent="0.35">
      <c r="A1" t="s">
        <v>170</v>
      </c>
      <c r="B1" t="s">
        <v>1</v>
      </c>
      <c r="C1" t="s">
        <v>171</v>
      </c>
      <c r="D1" t="s">
        <v>172</v>
      </c>
    </row>
    <row r="2" spans="1:4" x14ac:dyDescent="0.35">
      <c r="A2" s="1" t="s">
        <v>173</v>
      </c>
      <c r="B2" s="1" t="s">
        <v>47</v>
      </c>
      <c r="C2" s="1" t="s">
        <v>174</v>
      </c>
      <c r="D2">
        <v>100</v>
      </c>
    </row>
    <row r="3" spans="1:4" x14ac:dyDescent="0.35">
      <c r="A3" s="1" t="s">
        <v>175</v>
      </c>
      <c r="B3" s="1" t="s">
        <v>47</v>
      </c>
      <c r="C3" s="1" t="s">
        <v>176</v>
      </c>
      <c r="D3">
        <v>200</v>
      </c>
    </row>
    <row r="4" spans="1:4" x14ac:dyDescent="0.35">
      <c r="A4" s="1" t="s">
        <v>177</v>
      </c>
      <c r="B4" s="1" t="s">
        <v>47</v>
      </c>
      <c r="C4" s="1" t="s">
        <v>178</v>
      </c>
      <c r="D4">
        <v>100</v>
      </c>
    </row>
    <row r="5" spans="1:4" x14ac:dyDescent="0.35">
      <c r="A5" s="1" t="s">
        <v>179</v>
      </c>
      <c r="B5" s="1" t="s">
        <v>8</v>
      </c>
      <c r="C5" s="1" t="s">
        <v>180</v>
      </c>
      <c r="D5">
        <v>1000</v>
      </c>
    </row>
    <row r="6" spans="1:4" x14ac:dyDescent="0.35">
      <c r="A6" s="1" t="s">
        <v>181</v>
      </c>
      <c r="B6" s="1" t="s">
        <v>8</v>
      </c>
      <c r="C6" s="1" t="s">
        <v>178</v>
      </c>
      <c r="D6">
        <v>200</v>
      </c>
    </row>
    <row r="7" spans="1:4" x14ac:dyDescent="0.35">
      <c r="A7" s="1" t="s">
        <v>182</v>
      </c>
      <c r="B7" s="1" t="s">
        <v>17</v>
      </c>
      <c r="C7" s="1" t="s">
        <v>183</v>
      </c>
      <c r="D7">
        <v>600</v>
      </c>
    </row>
    <row r="8" spans="1:4" x14ac:dyDescent="0.35">
      <c r="A8" s="1" t="s">
        <v>184</v>
      </c>
      <c r="B8" s="1" t="s">
        <v>17</v>
      </c>
      <c r="C8" s="1" t="s">
        <v>180</v>
      </c>
      <c r="D8">
        <v>200</v>
      </c>
    </row>
    <row r="9" spans="1:4" x14ac:dyDescent="0.35">
      <c r="A9" s="1" t="s">
        <v>185</v>
      </c>
      <c r="B9" s="1" t="s">
        <v>26</v>
      </c>
      <c r="C9" s="1" t="s">
        <v>176</v>
      </c>
      <c r="D9">
        <v>100</v>
      </c>
    </row>
    <row r="10" spans="1:4" x14ac:dyDescent="0.35">
      <c r="A10" s="1" t="s">
        <v>186</v>
      </c>
      <c r="B10" s="1" t="s">
        <v>26</v>
      </c>
      <c r="C10" s="1" t="s">
        <v>183</v>
      </c>
      <c r="D10">
        <v>150</v>
      </c>
    </row>
    <row r="11" spans="1:4" x14ac:dyDescent="0.35">
      <c r="A11" s="1" t="s">
        <v>187</v>
      </c>
      <c r="B11" s="1" t="s">
        <v>26</v>
      </c>
      <c r="C11" s="1" t="s">
        <v>174</v>
      </c>
      <c r="D11">
        <v>50</v>
      </c>
    </row>
    <row r="12" spans="1:4" x14ac:dyDescent="0.35">
      <c r="A12" s="1" t="s">
        <v>188</v>
      </c>
      <c r="B12" s="1" t="s">
        <v>31</v>
      </c>
      <c r="C12" s="1" t="s">
        <v>180</v>
      </c>
      <c r="D12">
        <v>1000</v>
      </c>
    </row>
    <row r="13" spans="1:4" x14ac:dyDescent="0.35">
      <c r="A13" s="1" t="s">
        <v>189</v>
      </c>
      <c r="B13" s="1" t="s">
        <v>103</v>
      </c>
      <c r="C13" s="1" t="s">
        <v>178</v>
      </c>
      <c r="D13">
        <v>500</v>
      </c>
    </row>
    <row r="14" spans="1:4" x14ac:dyDescent="0.35">
      <c r="A14" s="1" t="s">
        <v>190</v>
      </c>
      <c r="B14" s="1" t="s">
        <v>34</v>
      </c>
      <c r="C14" s="1" t="s">
        <v>180</v>
      </c>
      <c r="D14">
        <v>2000</v>
      </c>
    </row>
    <row r="15" spans="1:4" x14ac:dyDescent="0.35">
      <c r="A15" s="1" t="s">
        <v>191</v>
      </c>
      <c r="B15" s="1" t="s">
        <v>106</v>
      </c>
      <c r="C15" s="1" t="s">
        <v>174</v>
      </c>
      <c r="D15">
        <v>250</v>
      </c>
    </row>
    <row r="16" spans="1:4" x14ac:dyDescent="0.35">
      <c r="A16" s="1" t="s">
        <v>192</v>
      </c>
      <c r="B16" s="1" t="s">
        <v>37</v>
      </c>
      <c r="C16" s="1" t="s">
        <v>180</v>
      </c>
      <c r="D16">
        <v>1000</v>
      </c>
    </row>
    <row r="17" spans="1:4" x14ac:dyDescent="0.35">
      <c r="A17" s="1" t="s">
        <v>193</v>
      </c>
      <c r="B17" s="1" t="s">
        <v>109</v>
      </c>
      <c r="C17" s="1" t="s">
        <v>178</v>
      </c>
      <c r="D17">
        <v>200</v>
      </c>
    </row>
    <row r="18" spans="1:4" x14ac:dyDescent="0.35">
      <c r="A18" s="1" t="s">
        <v>194</v>
      </c>
      <c r="B18" s="1" t="s">
        <v>40</v>
      </c>
      <c r="C18" s="1" t="s">
        <v>180</v>
      </c>
      <c r="D18">
        <v>500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CE32-24D2-4A66-A555-D921BFB1C6E5}">
  <dimension ref="A1:G15"/>
  <sheetViews>
    <sheetView workbookViewId="0">
      <selection sqref="A1:G15"/>
    </sheetView>
  </sheetViews>
  <sheetFormatPr defaultRowHeight="14.5" x14ac:dyDescent="0.35"/>
  <cols>
    <col min="1" max="1" width="13.08984375" bestFit="1" customWidth="1"/>
    <col min="2" max="2" width="9.90625" bestFit="1" customWidth="1"/>
    <col min="3" max="3" width="15.36328125" bestFit="1" customWidth="1"/>
    <col min="4" max="4" width="33.54296875" bestFit="1" customWidth="1"/>
    <col min="5" max="5" width="10.6328125" bestFit="1" customWidth="1"/>
    <col min="6" max="6" width="11.1796875" bestFit="1" customWidth="1"/>
    <col min="7" max="7" width="17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 t="s">
        <v>7</v>
      </c>
      <c r="B2" s="1" t="s">
        <v>8</v>
      </c>
      <c r="C2" s="2">
        <v>46058</v>
      </c>
      <c r="D2" s="1" t="s">
        <v>9</v>
      </c>
      <c r="E2">
        <v>10</v>
      </c>
      <c r="F2">
        <v>15000</v>
      </c>
      <c r="G2">
        <v>150000</v>
      </c>
    </row>
    <row r="3" spans="1:7" x14ac:dyDescent="0.35">
      <c r="A3" s="1" t="s">
        <v>10</v>
      </c>
      <c r="B3" s="1" t="s">
        <v>8</v>
      </c>
      <c r="C3" s="2">
        <v>46065</v>
      </c>
      <c r="D3" s="1" t="s">
        <v>11</v>
      </c>
      <c r="E3">
        <v>20</v>
      </c>
      <c r="F3">
        <v>2500</v>
      </c>
      <c r="G3">
        <v>50000</v>
      </c>
    </row>
    <row r="4" spans="1:7" x14ac:dyDescent="0.35">
      <c r="A4" s="1" t="s">
        <v>12</v>
      </c>
      <c r="B4" s="1" t="s">
        <v>8</v>
      </c>
      <c r="C4" s="2">
        <v>46081</v>
      </c>
      <c r="D4" s="1" t="s">
        <v>13</v>
      </c>
      <c r="E4">
        <v>4</v>
      </c>
      <c r="F4">
        <v>8000</v>
      </c>
      <c r="G4">
        <v>32000</v>
      </c>
    </row>
    <row r="5" spans="1:7" x14ac:dyDescent="0.35">
      <c r="A5" s="1" t="s">
        <v>14</v>
      </c>
      <c r="B5" s="1" t="s">
        <v>8</v>
      </c>
      <c r="C5" s="2">
        <v>46091</v>
      </c>
      <c r="D5" s="1" t="s">
        <v>15</v>
      </c>
      <c r="E5">
        <v>5</v>
      </c>
      <c r="F5">
        <v>2700</v>
      </c>
      <c r="G5">
        <v>13500</v>
      </c>
    </row>
    <row r="6" spans="1:7" x14ac:dyDescent="0.35">
      <c r="A6" s="1" t="s">
        <v>16</v>
      </c>
      <c r="B6" s="1" t="s">
        <v>17</v>
      </c>
      <c r="C6" s="2">
        <v>46117</v>
      </c>
      <c r="D6" s="1" t="s">
        <v>18</v>
      </c>
      <c r="E6">
        <v>2</v>
      </c>
      <c r="F6">
        <v>12000</v>
      </c>
      <c r="G6">
        <v>24000</v>
      </c>
    </row>
    <row r="7" spans="1:7" x14ac:dyDescent="0.35">
      <c r="A7" s="1" t="s">
        <v>19</v>
      </c>
      <c r="B7" s="1" t="s">
        <v>17</v>
      </c>
      <c r="C7" s="2">
        <v>46132</v>
      </c>
      <c r="D7" s="1" t="s">
        <v>20</v>
      </c>
      <c r="E7">
        <v>1</v>
      </c>
      <c r="F7">
        <v>45000</v>
      </c>
      <c r="G7">
        <v>45000</v>
      </c>
    </row>
    <row r="8" spans="1:7" x14ac:dyDescent="0.35">
      <c r="A8" s="1" t="s">
        <v>21</v>
      </c>
      <c r="B8" s="1" t="s">
        <v>17</v>
      </c>
      <c r="C8" s="2">
        <v>46144</v>
      </c>
      <c r="D8" s="1" t="s">
        <v>22</v>
      </c>
      <c r="E8">
        <v>2</v>
      </c>
      <c r="F8">
        <v>65000</v>
      </c>
      <c r="G8">
        <v>130000</v>
      </c>
    </row>
    <row r="9" spans="1:7" x14ac:dyDescent="0.35">
      <c r="A9" s="1" t="s">
        <v>23</v>
      </c>
      <c r="B9" s="1" t="s">
        <v>17</v>
      </c>
      <c r="C9" s="2">
        <v>46160</v>
      </c>
      <c r="D9" s="1" t="s">
        <v>24</v>
      </c>
      <c r="E9">
        <v>2</v>
      </c>
      <c r="F9">
        <v>22000</v>
      </c>
      <c r="G9">
        <v>44000</v>
      </c>
    </row>
    <row r="10" spans="1:7" x14ac:dyDescent="0.35">
      <c r="A10" s="1" t="s">
        <v>25</v>
      </c>
      <c r="B10" s="1" t="s">
        <v>26</v>
      </c>
      <c r="C10" s="2">
        <v>46178</v>
      </c>
      <c r="D10" s="1" t="s">
        <v>27</v>
      </c>
      <c r="E10">
        <v>1</v>
      </c>
      <c r="F10">
        <v>25000</v>
      </c>
      <c r="G10">
        <v>25000</v>
      </c>
    </row>
    <row r="11" spans="1:7" x14ac:dyDescent="0.35">
      <c r="A11" s="1" t="s">
        <v>28</v>
      </c>
      <c r="B11" s="1" t="s">
        <v>26</v>
      </c>
      <c r="C11" s="2">
        <v>46188</v>
      </c>
      <c r="D11" s="1" t="s">
        <v>29</v>
      </c>
      <c r="E11">
        <v>1</v>
      </c>
      <c r="F11">
        <v>8500</v>
      </c>
      <c r="G11">
        <v>8500</v>
      </c>
    </row>
    <row r="12" spans="1:7" x14ac:dyDescent="0.35">
      <c r="A12" s="1" t="s">
        <v>30</v>
      </c>
      <c r="B12" s="1" t="s">
        <v>31</v>
      </c>
      <c r="C12" s="2">
        <v>46152</v>
      </c>
      <c r="D12" s="1" t="s">
        <v>32</v>
      </c>
      <c r="E12">
        <v>1</v>
      </c>
      <c r="F12">
        <v>50000</v>
      </c>
      <c r="G12">
        <v>50000</v>
      </c>
    </row>
    <row r="13" spans="1:7" x14ac:dyDescent="0.35">
      <c r="A13" s="1" t="s">
        <v>33</v>
      </c>
      <c r="B13" s="1" t="s">
        <v>34</v>
      </c>
      <c r="C13" s="2">
        <v>46106</v>
      </c>
      <c r="D13" s="1" t="s">
        <v>35</v>
      </c>
      <c r="E13">
        <v>1</v>
      </c>
      <c r="F13">
        <v>250000</v>
      </c>
      <c r="G13">
        <v>250000</v>
      </c>
    </row>
    <row r="14" spans="1:7" x14ac:dyDescent="0.35">
      <c r="A14" s="1" t="s">
        <v>36</v>
      </c>
      <c r="B14" s="1" t="s">
        <v>37</v>
      </c>
      <c r="C14" s="2">
        <v>46082</v>
      </c>
      <c r="D14" s="1" t="s">
        <v>38</v>
      </c>
      <c r="E14">
        <v>1</v>
      </c>
      <c r="F14">
        <v>180000</v>
      </c>
      <c r="G14">
        <v>180000</v>
      </c>
    </row>
    <row r="15" spans="1:7" x14ac:dyDescent="0.35">
      <c r="A15" s="1" t="s">
        <v>39</v>
      </c>
      <c r="B15" s="1" t="s">
        <v>40</v>
      </c>
      <c r="C15" s="2">
        <v>45962</v>
      </c>
      <c r="D15" s="1" t="s">
        <v>41</v>
      </c>
      <c r="E15">
        <v>1</v>
      </c>
      <c r="F15">
        <v>70000</v>
      </c>
      <c r="G15">
        <v>70000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E95C8-1E11-42B8-B237-1C4B15EA803E}">
  <dimension ref="A1:F300"/>
  <sheetViews>
    <sheetView workbookViewId="0">
      <selection activeCell="J38" sqref="J38"/>
    </sheetView>
  </sheetViews>
  <sheetFormatPr defaultRowHeight="14.5" x14ac:dyDescent="0.35"/>
  <cols>
    <col min="1" max="1" width="14.26953125" bestFit="1" customWidth="1"/>
    <col min="2" max="2" width="13.36328125" bestFit="1" customWidth="1"/>
    <col min="3" max="3" width="9.90625" bestFit="1" customWidth="1"/>
    <col min="4" max="4" width="11.81640625" bestFit="1" customWidth="1"/>
    <col min="5" max="5" width="15.26953125" bestFit="1" customWidth="1"/>
    <col min="6" max="6" width="16.36328125" bestFit="1" customWidth="1"/>
  </cols>
  <sheetData>
    <row r="1" spans="1:6" x14ac:dyDescent="0.35">
      <c r="A1" t="s">
        <v>204</v>
      </c>
      <c r="B1" t="s">
        <v>171</v>
      </c>
      <c r="C1" t="s">
        <v>1</v>
      </c>
      <c r="D1" t="s">
        <v>205</v>
      </c>
      <c r="E1" t="s">
        <v>206</v>
      </c>
      <c r="F1" t="s">
        <v>207</v>
      </c>
    </row>
    <row r="2" spans="1:6" x14ac:dyDescent="0.35">
      <c r="A2" s="1" t="s">
        <v>208</v>
      </c>
      <c r="B2" s="1" t="s">
        <v>174</v>
      </c>
      <c r="C2" s="1" t="s">
        <v>47</v>
      </c>
      <c r="D2" s="2">
        <v>46024</v>
      </c>
      <c r="E2">
        <v>4.0999999999999996</v>
      </c>
      <c r="F2" s="1" t="s">
        <v>209</v>
      </c>
    </row>
    <row r="3" spans="1:6" x14ac:dyDescent="0.35">
      <c r="A3" s="1" t="s">
        <v>210</v>
      </c>
      <c r="B3" s="1" t="s">
        <v>174</v>
      </c>
      <c r="C3" s="1" t="s">
        <v>47</v>
      </c>
      <c r="D3" s="2">
        <v>46031</v>
      </c>
      <c r="E3">
        <v>3.5</v>
      </c>
      <c r="F3" s="1" t="s">
        <v>209</v>
      </c>
    </row>
    <row r="4" spans="1:6" x14ac:dyDescent="0.35">
      <c r="A4" s="1" t="s">
        <v>211</v>
      </c>
      <c r="B4" s="1" t="s">
        <v>174</v>
      </c>
      <c r="C4" s="1" t="s">
        <v>47</v>
      </c>
      <c r="D4" s="2">
        <v>46038</v>
      </c>
      <c r="E4">
        <v>3.8</v>
      </c>
      <c r="F4" s="1" t="s">
        <v>209</v>
      </c>
    </row>
    <row r="5" spans="1:6" x14ac:dyDescent="0.35">
      <c r="A5" s="1" t="s">
        <v>212</v>
      </c>
      <c r="B5" s="1" t="s">
        <v>174</v>
      </c>
      <c r="C5" s="1" t="s">
        <v>47</v>
      </c>
      <c r="D5" s="2">
        <v>46045</v>
      </c>
      <c r="E5">
        <v>3.7</v>
      </c>
      <c r="F5" s="1" t="s">
        <v>209</v>
      </c>
    </row>
    <row r="6" spans="1:6" x14ac:dyDescent="0.35">
      <c r="A6" s="1" t="s">
        <v>213</v>
      </c>
      <c r="B6" s="1" t="s">
        <v>174</v>
      </c>
      <c r="C6" s="1" t="s">
        <v>47</v>
      </c>
      <c r="D6" s="2">
        <v>46052</v>
      </c>
      <c r="E6">
        <v>4.2</v>
      </c>
      <c r="F6" s="1" t="s">
        <v>209</v>
      </c>
    </row>
    <row r="7" spans="1:6" x14ac:dyDescent="0.35">
      <c r="A7" s="1" t="s">
        <v>214</v>
      </c>
      <c r="B7" s="1" t="s">
        <v>174</v>
      </c>
      <c r="C7" s="1" t="s">
        <v>47</v>
      </c>
      <c r="D7" s="2">
        <v>46059</v>
      </c>
      <c r="E7">
        <v>4.2</v>
      </c>
      <c r="F7" s="1" t="s">
        <v>209</v>
      </c>
    </row>
    <row r="8" spans="1:6" x14ac:dyDescent="0.35">
      <c r="A8" s="1" t="s">
        <v>215</v>
      </c>
      <c r="B8" s="1" t="s">
        <v>174</v>
      </c>
      <c r="C8" s="1" t="s">
        <v>47</v>
      </c>
      <c r="D8" s="2">
        <v>46066</v>
      </c>
      <c r="E8">
        <v>4.4000000000000004</v>
      </c>
      <c r="F8" s="1" t="s">
        <v>209</v>
      </c>
    </row>
    <row r="9" spans="1:6" x14ac:dyDescent="0.35">
      <c r="A9" s="1" t="s">
        <v>216</v>
      </c>
      <c r="B9" s="1" t="s">
        <v>174</v>
      </c>
      <c r="C9" s="1" t="s">
        <v>47</v>
      </c>
      <c r="D9" s="2">
        <v>46073</v>
      </c>
      <c r="E9">
        <v>3.6</v>
      </c>
      <c r="F9" s="1" t="s">
        <v>209</v>
      </c>
    </row>
    <row r="10" spans="1:6" x14ac:dyDescent="0.35">
      <c r="A10" s="1" t="s">
        <v>217</v>
      </c>
      <c r="B10" s="1" t="s">
        <v>174</v>
      </c>
      <c r="C10" s="1" t="s">
        <v>47</v>
      </c>
      <c r="D10" s="2">
        <v>46080</v>
      </c>
      <c r="E10">
        <v>3.9</v>
      </c>
      <c r="F10" s="1" t="s">
        <v>209</v>
      </c>
    </row>
    <row r="11" spans="1:6" x14ac:dyDescent="0.35">
      <c r="A11" s="1" t="s">
        <v>218</v>
      </c>
      <c r="B11" s="1" t="s">
        <v>174</v>
      </c>
      <c r="C11" s="1" t="s">
        <v>47</v>
      </c>
      <c r="D11" s="2">
        <v>46087</v>
      </c>
      <c r="E11">
        <v>3.5</v>
      </c>
      <c r="F11" s="1" t="s">
        <v>209</v>
      </c>
    </row>
    <row r="12" spans="1:6" x14ac:dyDescent="0.35">
      <c r="A12" s="1" t="s">
        <v>219</v>
      </c>
      <c r="B12" s="1" t="s">
        <v>174</v>
      </c>
      <c r="C12" s="1" t="s">
        <v>47</v>
      </c>
      <c r="D12" s="2">
        <v>46094</v>
      </c>
      <c r="E12">
        <v>3.7</v>
      </c>
      <c r="F12" s="1" t="s">
        <v>209</v>
      </c>
    </row>
    <row r="13" spans="1:6" x14ac:dyDescent="0.35">
      <c r="A13" s="1" t="s">
        <v>220</v>
      </c>
      <c r="B13" s="1" t="s">
        <v>174</v>
      </c>
      <c r="C13" s="1" t="s">
        <v>47</v>
      </c>
      <c r="D13" s="2">
        <v>46101</v>
      </c>
      <c r="E13">
        <v>4</v>
      </c>
      <c r="F13" s="1" t="s">
        <v>209</v>
      </c>
    </row>
    <row r="14" spans="1:6" x14ac:dyDescent="0.35">
      <c r="A14" s="1" t="s">
        <v>221</v>
      </c>
      <c r="B14" s="1" t="s">
        <v>174</v>
      </c>
      <c r="C14" s="1" t="s">
        <v>47</v>
      </c>
      <c r="D14" s="2">
        <v>46108</v>
      </c>
      <c r="E14">
        <v>3.5</v>
      </c>
      <c r="F14" s="1" t="s">
        <v>209</v>
      </c>
    </row>
    <row r="15" spans="1:6" x14ac:dyDescent="0.35">
      <c r="A15" s="1" t="s">
        <v>222</v>
      </c>
      <c r="B15" s="1" t="s">
        <v>174</v>
      </c>
      <c r="C15" s="1" t="s">
        <v>47</v>
      </c>
      <c r="D15" s="2">
        <v>46115</v>
      </c>
      <c r="E15">
        <v>3.7</v>
      </c>
      <c r="F15" s="1" t="s">
        <v>209</v>
      </c>
    </row>
    <row r="16" spans="1:6" x14ac:dyDescent="0.35">
      <c r="A16" s="1" t="s">
        <v>223</v>
      </c>
      <c r="B16" s="1" t="s">
        <v>174</v>
      </c>
      <c r="C16" s="1" t="s">
        <v>47</v>
      </c>
      <c r="D16" s="2">
        <v>46122</v>
      </c>
      <c r="E16">
        <v>4.0999999999999996</v>
      </c>
      <c r="F16" s="1" t="s">
        <v>209</v>
      </c>
    </row>
    <row r="17" spans="1:6" x14ac:dyDescent="0.35">
      <c r="A17" s="1" t="s">
        <v>224</v>
      </c>
      <c r="B17" s="1" t="s">
        <v>174</v>
      </c>
      <c r="C17" s="1" t="s">
        <v>47</v>
      </c>
      <c r="D17" s="2">
        <v>46129</v>
      </c>
      <c r="E17">
        <v>4</v>
      </c>
      <c r="F17" s="1" t="s">
        <v>209</v>
      </c>
    </row>
    <row r="18" spans="1:6" x14ac:dyDescent="0.35">
      <c r="A18" s="1" t="s">
        <v>225</v>
      </c>
      <c r="B18" s="1" t="s">
        <v>174</v>
      </c>
      <c r="C18" s="1" t="s">
        <v>47</v>
      </c>
      <c r="D18" s="2">
        <v>46136</v>
      </c>
      <c r="E18">
        <v>3.7</v>
      </c>
      <c r="F18" s="1" t="s">
        <v>209</v>
      </c>
    </row>
    <row r="19" spans="1:6" x14ac:dyDescent="0.35">
      <c r="A19" s="1" t="s">
        <v>226</v>
      </c>
      <c r="B19" s="1" t="s">
        <v>174</v>
      </c>
      <c r="C19" s="1" t="s">
        <v>47</v>
      </c>
      <c r="D19" s="2">
        <v>46143</v>
      </c>
      <c r="E19">
        <v>4.0999999999999996</v>
      </c>
      <c r="F19" s="1" t="s">
        <v>209</v>
      </c>
    </row>
    <row r="20" spans="1:6" x14ac:dyDescent="0.35">
      <c r="A20" s="1" t="s">
        <v>227</v>
      </c>
      <c r="B20" s="1" t="s">
        <v>174</v>
      </c>
      <c r="C20" s="1" t="s">
        <v>47</v>
      </c>
      <c r="D20" s="2">
        <v>46150</v>
      </c>
      <c r="E20">
        <v>4.3</v>
      </c>
      <c r="F20" s="1" t="s">
        <v>209</v>
      </c>
    </row>
    <row r="21" spans="1:6" x14ac:dyDescent="0.35">
      <c r="A21" s="1" t="s">
        <v>228</v>
      </c>
      <c r="B21" s="1" t="s">
        <v>174</v>
      </c>
      <c r="C21" s="1" t="s">
        <v>47</v>
      </c>
      <c r="D21" s="2">
        <v>46157</v>
      </c>
      <c r="E21">
        <v>3.5</v>
      </c>
      <c r="F21" s="1" t="s">
        <v>209</v>
      </c>
    </row>
    <row r="22" spans="1:6" x14ac:dyDescent="0.35">
      <c r="A22" s="1" t="s">
        <v>229</v>
      </c>
      <c r="B22" s="1" t="s">
        <v>174</v>
      </c>
      <c r="C22" s="1" t="s">
        <v>47</v>
      </c>
      <c r="D22" s="2">
        <v>46164</v>
      </c>
      <c r="E22">
        <v>4.3</v>
      </c>
      <c r="F22" s="1" t="s">
        <v>209</v>
      </c>
    </row>
    <row r="23" spans="1:6" x14ac:dyDescent="0.35">
      <c r="A23" s="1" t="s">
        <v>230</v>
      </c>
      <c r="B23" s="1" t="s">
        <v>174</v>
      </c>
      <c r="C23" s="1" t="s">
        <v>47</v>
      </c>
      <c r="D23" s="2">
        <v>46171</v>
      </c>
      <c r="E23">
        <v>4.2</v>
      </c>
      <c r="F23" s="1" t="s">
        <v>209</v>
      </c>
    </row>
    <row r="24" spans="1:6" x14ac:dyDescent="0.35">
      <c r="A24" s="1" t="s">
        <v>231</v>
      </c>
      <c r="B24" s="1" t="s">
        <v>174</v>
      </c>
      <c r="C24" s="1" t="s">
        <v>47</v>
      </c>
      <c r="D24" s="2">
        <v>46178</v>
      </c>
      <c r="E24">
        <v>3.8</v>
      </c>
      <c r="F24" s="1" t="s">
        <v>209</v>
      </c>
    </row>
    <row r="25" spans="1:6" x14ac:dyDescent="0.35">
      <c r="A25" s="1" t="s">
        <v>232</v>
      </c>
      <c r="B25" s="1" t="s">
        <v>174</v>
      </c>
      <c r="C25" s="1" t="s">
        <v>47</v>
      </c>
      <c r="D25" s="2">
        <v>46185</v>
      </c>
      <c r="E25">
        <v>3.7</v>
      </c>
      <c r="F25" s="1" t="s">
        <v>209</v>
      </c>
    </row>
    <row r="26" spans="1:6" x14ac:dyDescent="0.35">
      <c r="A26" s="1" t="s">
        <v>233</v>
      </c>
      <c r="B26" s="1" t="s">
        <v>174</v>
      </c>
      <c r="C26" s="1" t="s">
        <v>47</v>
      </c>
      <c r="D26" s="2">
        <v>46192</v>
      </c>
      <c r="E26">
        <v>4.5</v>
      </c>
      <c r="F26" s="1" t="s">
        <v>209</v>
      </c>
    </row>
    <row r="27" spans="1:6" x14ac:dyDescent="0.35">
      <c r="A27" s="1" t="s">
        <v>234</v>
      </c>
      <c r="B27" s="1" t="s">
        <v>174</v>
      </c>
      <c r="C27" s="1" t="s">
        <v>47</v>
      </c>
      <c r="D27" s="2">
        <v>46199</v>
      </c>
      <c r="E27">
        <v>3.8</v>
      </c>
      <c r="F27" s="1" t="s">
        <v>209</v>
      </c>
    </row>
    <row r="28" spans="1:6" x14ac:dyDescent="0.35">
      <c r="A28" s="1" t="s">
        <v>235</v>
      </c>
      <c r="B28" s="1" t="s">
        <v>176</v>
      </c>
      <c r="C28" s="1" t="s">
        <v>47</v>
      </c>
      <c r="D28" s="2">
        <v>46027</v>
      </c>
      <c r="E28">
        <v>7.6</v>
      </c>
      <c r="F28" s="1" t="s">
        <v>209</v>
      </c>
    </row>
    <row r="29" spans="1:6" x14ac:dyDescent="0.35">
      <c r="A29" s="1" t="s">
        <v>236</v>
      </c>
      <c r="B29" s="1" t="s">
        <v>176</v>
      </c>
      <c r="C29" s="1" t="s">
        <v>47</v>
      </c>
      <c r="D29" s="2">
        <v>46034</v>
      </c>
      <c r="E29">
        <v>7.6</v>
      </c>
      <c r="F29" s="1" t="s">
        <v>209</v>
      </c>
    </row>
    <row r="30" spans="1:6" x14ac:dyDescent="0.35">
      <c r="A30" s="1" t="s">
        <v>237</v>
      </c>
      <c r="B30" s="1" t="s">
        <v>176</v>
      </c>
      <c r="C30" s="1" t="s">
        <v>47</v>
      </c>
      <c r="D30" s="2">
        <v>46041</v>
      </c>
      <c r="E30">
        <v>8.8000000000000007</v>
      </c>
      <c r="F30" s="1" t="s">
        <v>209</v>
      </c>
    </row>
    <row r="31" spans="1:6" x14ac:dyDescent="0.35">
      <c r="A31" s="1" t="s">
        <v>238</v>
      </c>
      <c r="B31" s="1" t="s">
        <v>176</v>
      </c>
      <c r="C31" s="1" t="s">
        <v>47</v>
      </c>
      <c r="D31" s="2">
        <v>46048</v>
      </c>
      <c r="E31">
        <v>8.4</v>
      </c>
      <c r="F31" s="1" t="s">
        <v>209</v>
      </c>
    </row>
    <row r="32" spans="1:6" x14ac:dyDescent="0.35">
      <c r="A32" s="1" t="s">
        <v>239</v>
      </c>
      <c r="B32" s="1" t="s">
        <v>176</v>
      </c>
      <c r="C32" s="1" t="s">
        <v>47</v>
      </c>
      <c r="D32" s="2">
        <v>46055</v>
      </c>
      <c r="E32">
        <v>8.6999999999999993</v>
      </c>
      <c r="F32" s="1" t="s">
        <v>209</v>
      </c>
    </row>
    <row r="33" spans="1:6" x14ac:dyDescent="0.35">
      <c r="A33" s="1" t="s">
        <v>240</v>
      </c>
      <c r="B33" s="1" t="s">
        <v>176</v>
      </c>
      <c r="C33" s="1" t="s">
        <v>47</v>
      </c>
      <c r="D33" s="2">
        <v>46062</v>
      </c>
      <c r="E33">
        <v>8.6</v>
      </c>
      <c r="F33" s="1" t="s">
        <v>209</v>
      </c>
    </row>
    <row r="34" spans="1:6" x14ac:dyDescent="0.35">
      <c r="A34" s="1" t="s">
        <v>241</v>
      </c>
      <c r="B34" s="1" t="s">
        <v>176</v>
      </c>
      <c r="C34" s="1" t="s">
        <v>47</v>
      </c>
      <c r="D34" s="2">
        <v>46069</v>
      </c>
      <c r="E34">
        <v>8.3000000000000007</v>
      </c>
      <c r="F34" s="1" t="s">
        <v>209</v>
      </c>
    </row>
    <row r="35" spans="1:6" x14ac:dyDescent="0.35">
      <c r="A35" s="1" t="s">
        <v>242</v>
      </c>
      <c r="B35" s="1" t="s">
        <v>176</v>
      </c>
      <c r="C35" s="1" t="s">
        <v>47</v>
      </c>
      <c r="D35" s="2">
        <v>46076</v>
      </c>
      <c r="E35">
        <v>9</v>
      </c>
      <c r="F35" s="1" t="s">
        <v>209</v>
      </c>
    </row>
    <row r="36" spans="1:6" x14ac:dyDescent="0.35">
      <c r="A36" s="1" t="s">
        <v>243</v>
      </c>
      <c r="B36" s="1" t="s">
        <v>176</v>
      </c>
      <c r="C36" s="1" t="s">
        <v>47</v>
      </c>
      <c r="D36" s="2">
        <v>46083</v>
      </c>
      <c r="E36">
        <v>8.1</v>
      </c>
      <c r="F36" s="1" t="s">
        <v>209</v>
      </c>
    </row>
    <row r="37" spans="1:6" x14ac:dyDescent="0.35">
      <c r="A37" s="1" t="s">
        <v>244</v>
      </c>
      <c r="B37" s="1" t="s">
        <v>176</v>
      </c>
      <c r="C37" s="1" t="s">
        <v>47</v>
      </c>
      <c r="D37" s="2">
        <v>46090</v>
      </c>
      <c r="E37">
        <v>8.3000000000000007</v>
      </c>
      <c r="F37" s="1" t="s">
        <v>209</v>
      </c>
    </row>
    <row r="38" spans="1:6" x14ac:dyDescent="0.35">
      <c r="A38" s="1" t="s">
        <v>245</v>
      </c>
      <c r="B38" s="1" t="s">
        <v>176</v>
      </c>
      <c r="C38" s="1" t="s">
        <v>47</v>
      </c>
      <c r="D38" s="2">
        <v>46097</v>
      </c>
      <c r="E38">
        <v>8.6999999999999993</v>
      </c>
      <c r="F38" s="1" t="s">
        <v>209</v>
      </c>
    </row>
    <row r="39" spans="1:6" x14ac:dyDescent="0.35">
      <c r="A39" s="1" t="s">
        <v>246</v>
      </c>
      <c r="B39" s="1" t="s">
        <v>176</v>
      </c>
      <c r="C39" s="1" t="s">
        <v>47</v>
      </c>
      <c r="D39" s="2">
        <v>46104</v>
      </c>
      <c r="E39">
        <v>8.4</v>
      </c>
      <c r="F39" s="1" t="s">
        <v>209</v>
      </c>
    </row>
    <row r="40" spans="1:6" x14ac:dyDescent="0.35">
      <c r="A40" s="1" t="s">
        <v>247</v>
      </c>
      <c r="B40" s="1" t="s">
        <v>176</v>
      </c>
      <c r="C40" s="1" t="s">
        <v>47</v>
      </c>
      <c r="D40" s="2">
        <v>46111</v>
      </c>
      <c r="E40">
        <v>8.8000000000000007</v>
      </c>
      <c r="F40" s="1" t="s">
        <v>209</v>
      </c>
    </row>
    <row r="41" spans="1:6" x14ac:dyDescent="0.35">
      <c r="A41" s="1" t="s">
        <v>248</v>
      </c>
      <c r="B41" s="1" t="s">
        <v>176</v>
      </c>
      <c r="C41" s="1" t="s">
        <v>47</v>
      </c>
      <c r="D41" s="2">
        <v>46118</v>
      </c>
      <c r="E41">
        <v>8.4</v>
      </c>
      <c r="F41" s="1" t="s">
        <v>209</v>
      </c>
    </row>
    <row r="42" spans="1:6" x14ac:dyDescent="0.35">
      <c r="A42" s="1" t="s">
        <v>249</v>
      </c>
      <c r="B42" s="1" t="s">
        <v>176</v>
      </c>
      <c r="C42" s="1" t="s">
        <v>47</v>
      </c>
      <c r="D42" s="2">
        <v>46125</v>
      </c>
      <c r="E42">
        <v>8.6</v>
      </c>
      <c r="F42" s="1" t="s">
        <v>209</v>
      </c>
    </row>
    <row r="43" spans="1:6" x14ac:dyDescent="0.35">
      <c r="A43" s="1" t="s">
        <v>250</v>
      </c>
      <c r="B43" s="1" t="s">
        <v>176</v>
      </c>
      <c r="C43" s="1" t="s">
        <v>47</v>
      </c>
      <c r="D43" s="2">
        <v>46132</v>
      </c>
      <c r="E43">
        <v>7.6</v>
      </c>
      <c r="F43" s="1" t="s">
        <v>209</v>
      </c>
    </row>
    <row r="44" spans="1:6" x14ac:dyDescent="0.35">
      <c r="A44" s="1" t="s">
        <v>251</v>
      </c>
      <c r="B44" s="1" t="s">
        <v>176</v>
      </c>
      <c r="C44" s="1" t="s">
        <v>47</v>
      </c>
      <c r="D44" s="2">
        <v>46139</v>
      </c>
      <c r="E44">
        <v>7.8</v>
      </c>
      <c r="F44" s="1" t="s">
        <v>209</v>
      </c>
    </row>
    <row r="45" spans="1:6" x14ac:dyDescent="0.35">
      <c r="A45" s="1" t="s">
        <v>252</v>
      </c>
      <c r="B45" s="1" t="s">
        <v>176</v>
      </c>
      <c r="C45" s="1" t="s">
        <v>47</v>
      </c>
      <c r="D45" s="2">
        <v>46146</v>
      </c>
      <c r="E45">
        <v>7.9</v>
      </c>
      <c r="F45" s="1" t="s">
        <v>209</v>
      </c>
    </row>
    <row r="46" spans="1:6" x14ac:dyDescent="0.35">
      <c r="A46" s="1" t="s">
        <v>253</v>
      </c>
      <c r="B46" s="1" t="s">
        <v>176</v>
      </c>
      <c r="C46" s="1" t="s">
        <v>47</v>
      </c>
      <c r="D46" s="2">
        <v>46153</v>
      </c>
      <c r="E46">
        <v>7.6</v>
      </c>
      <c r="F46" s="1" t="s">
        <v>209</v>
      </c>
    </row>
    <row r="47" spans="1:6" x14ac:dyDescent="0.35">
      <c r="A47" s="1" t="s">
        <v>254</v>
      </c>
      <c r="B47" s="1" t="s">
        <v>176</v>
      </c>
      <c r="C47" s="1" t="s">
        <v>47</v>
      </c>
      <c r="D47" s="2">
        <v>46160</v>
      </c>
      <c r="E47">
        <v>7.8</v>
      </c>
      <c r="F47" s="1" t="s">
        <v>209</v>
      </c>
    </row>
    <row r="48" spans="1:6" x14ac:dyDescent="0.35">
      <c r="A48" s="1" t="s">
        <v>255</v>
      </c>
      <c r="B48" s="1" t="s">
        <v>176</v>
      </c>
      <c r="C48" s="1" t="s">
        <v>47</v>
      </c>
      <c r="D48" s="2">
        <v>46167</v>
      </c>
      <c r="E48">
        <v>7.7</v>
      </c>
      <c r="F48" s="1" t="s">
        <v>209</v>
      </c>
    </row>
    <row r="49" spans="1:6" x14ac:dyDescent="0.35">
      <c r="A49" s="1" t="s">
        <v>256</v>
      </c>
      <c r="B49" s="1" t="s">
        <v>176</v>
      </c>
      <c r="C49" s="1" t="s">
        <v>47</v>
      </c>
      <c r="D49" s="2">
        <v>46174</v>
      </c>
      <c r="E49">
        <v>7.9</v>
      </c>
      <c r="F49" s="1" t="s">
        <v>209</v>
      </c>
    </row>
    <row r="50" spans="1:6" x14ac:dyDescent="0.35">
      <c r="A50" s="1" t="s">
        <v>257</v>
      </c>
      <c r="B50" s="1" t="s">
        <v>176</v>
      </c>
      <c r="C50" s="1" t="s">
        <v>47</v>
      </c>
      <c r="D50" s="2">
        <v>46181</v>
      </c>
      <c r="E50">
        <v>8.5</v>
      </c>
      <c r="F50" s="1" t="s">
        <v>209</v>
      </c>
    </row>
    <row r="51" spans="1:6" x14ac:dyDescent="0.35">
      <c r="A51" s="1" t="s">
        <v>258</v>
      </c>
      <c r="B51" s="1" t="s">
        <v>176</v>
      </c>
      <c r="C51" s="1" t="s">
        <v>47</v>
      </c>
      <c r="D51" s="2">
        <v>46188</v>
      </c>
      <c r="E51">
        <v>8</v>
      </c>
      <c r="F51" s="1" t="s">
        <v>209</v>
      </c>
    </row>
    <row r="52" spans="1:6" x14ac:dyDescent="0.35">
      <c r="A52" s="1" t="s">
        <v>259</v>
      </c>
      <c r="B52" s="1" t="s">
        <v>176</v>
      </c>
      <c r="C52" s="1" t="s">
        <v>47</v>
      </c>
      <c r="D52" s="2">
        <v>46195</v>
      </c>
      <c r="E52">
        <v>8.1</v>
      </c>
      <c r="F52" s="1" t="s">
        <v>209</v>
      </c>
    </row>
    <row r="53" spans="1:6" x14ac:dyDescent="0.35">
      <c r="A53" s="1" t="s">
        <v>260</v>
      </c>
      <c r="B53" s="1" t="s">
        <v>176</v>
      </c>
      <c r="C53" s="1" t="s">
        <v>47</v>
      </c>
      <c r="D53" s="2">
        <v>46202</v>
      </c>
      <c r="E53">
        <v>7.8</v>
      </c>
      <c r="F53" s="1" t="s">
        <v>209</v>
      </c>
    </row>
    <row r="54" spans="1:6" x14ac:dyDescent="0.35">
      <c r="A54" s="1" t="s">
        <v>261</v>
      </c>
      <c r="B54" s="1" t="s">
        <v>178</v>
      </c>
      <c r="C54" s="1" t="s">
        <v>47</v>
      </c>
      <c r="D54" s="2">
        <v>46023</v>
      </c>
      <c r="E54">
        <v>2.8</v>
      </c>
      <c r="F54" s="1" t="s">
        <v>209</v>
      </c>
    </row>
    <row r="55" spans="1:6" x14ac:dyDescent="0.35">
      <c r="A55" s="1" t="s">
        <v>262</v>
      </c>
      <c r="B55" s="1" t="s">
        <v>178</v>
      </c>
      <c r="C55" s="1" t="s">
        <v>47</v>
      </c>
      <c r="D55" s="2">
        <v>46024</v>
      </c>
      <c r="E55">
        <v>3.4</v>
      </c>
      <c r="F55" s="1" t="s">
        <v>209</v>
      </c>
    </row>
    <row r="56" spans="1:6" x14ac:dyDescent="0.35">
      <c r="A56" s="1" t="s">
        <v>263</v>
      </c>
      <c r="B56" s="1" t="s">
        <v>178</v>
      </c>
      <c r="C56" s="1" t="s">
        <v>47</v>
      </c>
      <c r="D56" s="2">
        <v>46027</v>
      </c>
      <c r="E56">
        <v>3.1</v>
      </c>
      <c r="F56" s="1" t="s">
        <v>209</v>
      </c>
    </row>
    <row r="57" spans="1:6" x14ac:dyDescent="0.35">
      <c r="A57" s="1" t="s">
        <v>264</v>
      </c>
      <c r="B57" s="1" t="s">
        <v>178</v>
      </c>
      <c r="C57" s="1" t="s">
        <v>47</v>
      </c>
      <c r="D57" s="2">
        <v>46028</v>
      </c>
      <c r="E57">
        <v>3.1</v>
      </c>
      <c r="F57" s="1" t="s">
        <v>209</v>
      </c>
    </row>
    <row r="58" spans="1:6" x14ac:dyDescent="0.35">
      <c r="A58" s="1" t="s">
        <v>265</v>
      </c>
      <c r="B58" s="1" t="s">
        <v>178</v>
      </c>
      <c r="C58" s="1" t="s">
        <v>47</v>
      </c>
      <c r="D58" s="2">
        <v>46029</v>
      </c>
      <c r="E58">
        <v>2.7</v>
      </c>
      <c r="F58" s="1" t="s">
        <v>209</v>
      </c>
    </row>
    <row r="59" spans="1:6" x14ac:dyDescent="0.35">
      <c r="A59" s="1" t="s">
        <v>266</v>
      </c>
      <c r="B59" s="1" t="s">
        <v>178</v>
      </c>
      <c r="C59" s="1" t="s">
        <v>47</v>
      </c>
      <c r="D59" s="2">
        <v>46030</v>
      </c>
      <c r="E59">
        <v>3.2</v>
      </c>
      <c r="F59" s="1" t="s">
        <v>209</v>
      </c>
    </row>
    <row r="60" spans="1:6" x14ac:dyDescent="0.35">
      <c r="A60" s="1" t="s">
        <v>267</v>
      </c>
      <c r="B60" s="1" t="s">
        <v>178</v>
      </c>
      <c r="C60" s="1" t="s">
        <v>47</v>
      </c>
      <c r="D60" s="2">
        <v>46031</v>
      </c>
      <c r="E60">
        <v>2.7</v>
      </c>
      <c r="F60" s="1" t="s">
        <v>209</v>
      </c>
    </row>
    <row r="61" spans="1:6" x14ac:dyDescent="0.35">
      <c r="A61" s="1" t="s">
        <v>268</v>
      </c>
      <c r="B61" s="1" t="s">
        <v>178</v>
      </c>
      <c r="C61" s="1" t="s">
        <v>47</v>
      </c>
      <c r="D61" s="2">
        <v>46034</v>
      </c>
      <c r="E61">
        <v>2.9</v>
      </c>
      <c r="F61" s="1" t="s">
        <v>209</v>
      </c>
    </row>
    <row r="62" spans="1:6" x14ac:dyDescent="0.35">
      <c r="A62" s="1" t="s">
        <v>269</v>
      </c>
      <c r="B62" s="1" t="s">
        <v>178</v>
      </c>
      <c r="C62" s="1" t="s">
        <v>47</v>
      </c>
      <c r="D62" s="2">
        <v>46035</v>
      </c>
      <c r="E62">
        <v>3.5</v>
      </c>
      <c r="F62" s="1" t="s">
        <v>209</v>
      </c>
    </row>
    <row r="63" spans="1:6" x14ac:dyDescent="0.35">
      <c r="A63" s="1" t="s">
        <v>270</v>
      </c>
      <c r="B63" s="1" t="s">
        <v>178</v>
      </c>
      <c r="C63" s="1" t="s">
        <v>47</v>
      </c>
      <c r="D63" s="2">
        <v>46036</v>
      </c>
      <c r="E63">
        <v>3.1</v>
      </c>
      <c r="F63" s="1" t="s">
        <v>209</v>
      </c>
    </row>
    <row r="64" spans="1:6" x14ac:dyDescent="0.35">
      <c r="A64" s="1" t="s">
        <v>271</v>
      </c>
      <c r="B64" s="1" t="s">
        <v>178</v>
      </c>
      <c r="C64" s="1" t="s">
        <v>47</v>
      </c>
      <c r="D64" s="2">
        <v>46037</v>
      </c>
      <c r="E64">
        <v>3.1</v>
      </c>
      <c r="F64" s="1" t="s">
        <v>209</v>
      </c>
    </row>
    <row r="65" spans="1:6" x14ac:dyDescent="0.35">
      <c r="A65" s="1" t="s">
        <v>272</v>
      </c>
      <c r="B65" s="1" t="s">
        <v>178</v>
      </c>
      <c r="C65" s="1" t="s">
        <v>47</v>
      </c>
      <c r="D65" s="2">
        <v>46038</v>
      </c>
      <c r="E65">
        <v>3.2</v>
      </c>
      <c r="F65" s="1" t="s">
        <v>209</v>
      </c>
    </row>
    <row r="66" spans="1:6" x14ac:dyDescent="0.35">
      <c r="A66" s="1" t="s">
        <v>273</v>
      </c>
      <c r="B66" s="1" t="s">
        <v>178</v>
      </c>
      <c r="C66" s="1" t="s">
        <v>47</v>
      </c>
      <c r="D66" s="2">
        <v>46041</v>
      </c>
      <c r="E66">
        <v>3.3</v>
      </c>
      <c r="F66" s="1" t="s">
        <v>209</v>
      </c>
    </row>
    <row r="67" spans="1:6" x14ac:dyDescent="0.35">
      <c r="A67" s="1" t="s">
        <v>274</v>
      </c>
      <c r="B67" s="1" t="s">
        <v>178</v>
      </c>
      <c r="C67" s="1" t="s">
        <v>47</v>
      </c>
      <c r="D67" s="2">
        <v>46042</v>
      </c>
      <c r="E67">
        <v>3.3</v>
      </c>
      <c r="F67" s="1" t="s">
        <v>209</v>
      </c>
    </row>
    <row r="68" spans="1:6" x14ac:dyDescent="0.35">
      <c r="A68" s="1" t="s">
        <v>275</v>
      </c>
      <c r="B68" s="1" t="s">
        <v>178</v>
      </c>
      <c r="C68" s="1" t="s">
        <v>47</v>
      </c>
      <c r="D68" s="2">
        <v>46043</v>
      </c>
      <c r="E68">
        <v>2.7</v>
      </c>
      <c r="F68" s="1" t="s">
        <v>209</v>
      </c>
    </row>
    <row r="69" spans="1:6" x14ac:dyDescent="0.35">
      <c r="A69" s="1" t="s">
        <v>276</v>
      </c>
      <c r="B69" s="1" t="s">
        <v>178</v>
      </c>
      <c r="C69" s="1" t="s">
        <v>47</v>
      </c>
      <c r="D69" s="2">
        <v>46044</v>
      </c>
      <c r="E69">
        <v>2.5</v>
      </c>
      <c r="F69" s="1" t="s">
        <v>209</v>
      </c>
    </row>
    <row r="70" spans="1:6" x14ac:dyDescent="0.35">
      <c r="A70" s="1" t="s">
        <v>277</v>
      </c>
      <c r="B70" s="1" t="s">
        <v>178</v>
      </c>
      <c r="C70" s="1" t="s">
        <v>47</v>
      </c>
      <c r="D70" s="2">
        <v>46045</v>
      </c>
      <c r="E70">
        <v>2.8</v>
      </c>
      <c r="F70" s="1" t="s">
        <v>209</v>
      </c>
    </row>
    <row r="71" spans="1:6" x14ac:dyDescent="0.35">
      <c r="A71" s="1" t="s">
        <v>278</v>
      </c>
      <c r="B71" s="1" t="s">
        <v>178</v>
      </c>
      <c r="C71" s="1" t="s">
        <v>47</v>
      </c>
      <c r="D71" s="2">
        <v>46048</v>
      </c>
      <c r="E71">
        <v>2.8</v>
      </c>
      <c r="F71" s="1" t="s">
        <v>209</v>
      </c>
    </row>
    <row r="72" spans="1:6" x14ac:dyDescent="0.35">
      <c r="A72" s="1" t="s">
        <v>279</v>
      </c>
      <c r="B72" s="1" t="s">
        <v>178</v>
      </c>
      <c r="C72" s="1" t="s">
        <v>47</v>
      </c>
      <c r="D72" s="2">
        <v>46049</v>
      </c>
      <c r="E72">
        <v>2.7</v>
      </c>
      <c r="F72" s="1" t="s">
        <v>209</v>
      </c>
    </row>
    <row r="73" spans="1:6" x14ac:dyDescent="0.35">
      <c r="A73" s="1" t="s">
        <v>280</v>
      </c>
      <c r="B73" s="1" t="s">
        <v>178</v>
      </c>
      <c r="C73" s="1" t="s">
        <v>47</v>
      </c>
      <c r="D73" s="2">
        <v>46050</v>
      </c>
      <c r="E73">
        <v>3.4</v>
      </c>
      <c r="F73" s="1" t="s">
        <v>209</v>
      </c>
    </row>
    <row r="74" spans="1:6" x14ac:dyDescent="0.35">
      <c r="A74" s="1" t="s">
        <v>281</v>
      </c>
      <c r="B74" s="1" t="s">
        <v>178</v>
      </c>
      <c r="C74" s="1" t="s">
        <v>47</v>
      </c>
      <c r="D74" s="2">
        <v>46051</v>
      </c>
      <c r="E74">
        <v>3.4</v>
      </c>
      <c r="F74" s="1" t="s">
        <v>209</v>
      </c>
    </row>
    <row r="75" spans="1:6" x14ac:dyDescent="0.35">
      <c r="A75" s="1" t="s">
        <v>282</v>
      </c>
      <c r="B75" s="1" t="s">
        <v>178</v>
      </c>
      <c r="C75" s="1" t="s">
        <v>47</v>
      </c>
      <c r="D75" s="2">
        <v>46052</v>
      </c>
      <c r="E75">
        <v>2.8</v>
      </c>
      <c r="F75" s="1" t="s">
        <v>209</v>
      </c>
    </row>
    <row r="76" spans="1:6" x14ac:dyDescent="0.35">
      <c r="A76" s="1" t="s">
        <v>283</v>
      </c>
      <c r="B76" s="1" t="s">
        <v>178</v>
      </c>
      <c r="C76" s="1" t="s">
        <v>47</v>
      </c>
      <c r="D76" s="2">
        <v>46055</v>
      </c>
      <c r="E76">
        <v>3.2</v>
      </c>
      <c r="F76" s="1" t="s">
        <v>209</v>
      </c>
    </row>
    <row r="77" spans="1:6" x14ac:dyDescent="0.35">
      <c r="A77" s="1" t="s">
        <v>284</v>
      </c>
      <c r="B77" s="1" t="s">
        <v>178</v>
      </c>
      <c r="C77" s="1" t="s">
        <v>47</v>
      </c>
      <c r="D77" s="2">
        <v>46056</v>
      </c>
      <c r="E77">
        <v>2.9</v>
      </c>
      <c r="F77" s="1" t="s">
        <v>209</v>
      </c>
    </row>
    <row r="78" spans="1:6" x14ac:dyDescent="0.35">
      <c r="A78" s="1" t="s">
        <v>285</v>
      </c>
      <c r="B78" s="1" t="s">
        <v>178</v>
      </c>
      <c r="C78" s="1" t="s">
        <v>47</v>
      </c>
      <c r="D78" s="2">
        <v>46057</v>
      </c>
      <c r="E78">
        <v>3.4</v>
      </c>
      <c r="F78" s="1" t="s">
        <v>209</v>
      </c>
    </row>
    <row r="79" spans="1:6" x14ac:dyDescent="0.35">
      <c r="A79" s="1" t="s">
        <v>286</v>
      </c>
      <c r="B79" s="1" t="s">
        <v>178</v>
      </c>
      <c r="C79" s="1" t="s">
        <v>47</v>
      </c>
      <c r="D79" s="2">
        <v>46058</v>
      </c>
      <c r="E79">
        <v>3</v>
      </c>
      <c r="F79" s="1" t="s">
        <v>209</v>
      </c>
    </row>
    <row r="80" spans="1:6" x14ac:dyDescent="0.35">
      <c r="A80" s="1" t="s">
        <v>287</v>
      </c>
      <c r="B80" s="1" t="s">
        <v>178</v>
      </c>
      <c r="C80" s="1" t="s">
        <v>47</v>
      </c>
      <c r="D80" s="2">
        <v>46059</v>
      </c>
      <c r="E80">
        <v>2.8</v>
      </c>
      <c r="F80" s="1" t="s">
        <v>209</v>
      </c>
    </row>
    <row r="81" spans="1:6" x14ac:dyDescent="0.35">
      <c r="A81" s="1" t="s">
        <v>288</v>
      </c>
      <c r="B81" s="1" t="s">
        <v>178</v>
      </c>
      <c r="C81" s="1" t="s">
        <v>47</v>
      </c>
      <c r="D81" s="2">
        <v>46062</v>
      </c>
      <c r="E81">
        <v>2.7</v>
      </c>
      <c r="F81" s="1" t="s">
        <v>209</v>
      </c>
    </row>
    <row r="82" spans="1:6" x14ac:dyDescent="0.35">
      <c r="A82" s="1" t="s">
        <v>289</v>
      </c>
      <c r="B82" s="1" t="s">
        <v>178</v>
      </c>
      <c r="C82" s="1" t="s">
        <v>47</v>
      </c>
      <c r="D82" s="2">
        <v>46063</v>
      </c>
      <c r="E82">
        <v>3.1</v>
      </c>
      <c r="F82" s="1" t="s">
        <v>209</v>
      </c>
    </row>
    <row r="83" spans="1:6" x14ac:dyDescent="0.35">
      <c r="A83" s="1" t="s">
        <v>290</v>
      </c>
      <c r="B83" s="1" t="s">
        <v>178</v>
      </c>
      <c r="C83" s="1" t="s">
        <v>47</v>
      </c>
      <c r="D83" s="2">
        <v>46064</v>
      </c>
      <c r="E83">
        <v>2.8</v>
      </c>
      <c r="F83" s="1" t="s">
        <v>209</v>
      </c>
    </row>
    <row r="84" spans="1:6" x14ac:dyDescent="0.35">
      <c r="A84" s="1" t="s">
        <v>291</v>
      </c>
      <c r="B84" s="1" t="s">
        <v>178</v>
      </c>
      <c r="C84" s="1" t="s">
        <v>47</v>
      </c>
      <c r="D84" s="2">
        <v>46065</v>
      </c>
      <c r="E84">
        <v>3.1</v>
      </c>
      <c r="F84" s="1" t="s">
        <v>209</v>
      </c>
    </row>
    <row r="85" spans="1:6" x14ac:dyDescent="0.35">
      <c r="A85" s="1" t="s">
        <v>292</v>
      </c>
      <c r="B85" s="1" t="s">
        <v>178</v>
      </c>
      <c r="C85" s="1" t="s">
        <v>47</v>
      </c>
      <c r="D85" s="2">
        <v>46066</v>
      </c>
      <c r="E85">
        <v>3.4</v>
      </c>
      <c r="F85" s="1" t="s">
        <v>209</v>
      </c>
    </row>
    <row r="86" spans="1:6" x14ac:dyDescent="0.35">
      <c r="A86" s="1" t="s">
        <v>293</v>
      </c>
      <c r="B86" s="1" t="s">
        <v>178</v>
      </c>
      <c r="C86" s="1" t="s">
        <v>47</v>
      </c>
      <c r="D86" s="2">
        <v>46069</v>
      </c>
      <c r="E86">
        <v>2.9</v>
      </c>
      <c r="F86" s="1" t="s">
        <v>209</v>
      </c>
    </row>
    <row r="87" spans="1:6" x14ac:dyDescent="0.35">
      <c r="A87" s="1" t="s">
        <v>294</v>
      </c>
      <c r="B87" s="1" t="s">
        <v>178</v>
      </c>
      <c r="C87" s="1" t="s">
        <v>47</v>
      </c>
      <c r="D87" s="2">
        <v>46070</v>
      </c>
      <c r="E87">
        <v>2.7</v>
      </c>
      <c r="F87" s="1" t="s">
        <v>209</v>
      </c>
    </row>
    <row r="88" spans="1:6" x14ac:dyDescent="0.35">
      <c r="A88" s="1" t="s">
        <v>295</v>
      </c>
      <c r="B88" s="1" t="s">
        <v>178</v>
      </c>
      <c r="C88" s="1" t="s">
        <v>47</v>
      </c>
      <c r="D88" s="2">
        <v>46071</v>
      </c>
      <c r="E88">
        <v>3.5</v>
      </c>
      <c r="F88" s="1" t="s">
        <v>209</v>
      </c>
    </row>
    <row r="89" spans="1:6" x14ac:dyDescent="0.35">
      <c r="A89" s="1" t="s">
        <v>296</v>
      </c>
      <c r="B89" s="1" t="s">
        <v>178</v>
      </c>
      <c r="C89" s="1" t="s">
        <v>47</v>
      </c>
      <c r="D89" s="2">
        <v>46072</v>
      </c>
      <c r="E89">
        <v>3</v>
      </c>
      <c r="F89" s="1" t="s">
        <v>209</v>
      </c>
    </row>
    <row r="90" spans="1:6" x14ac:dyDescent="0.35">
      <c r="A90" s="1" t="s">
        <v>297</v>
      </c>
      <c r="B90" s="1" t="s">
        <v>178</v>
      </c>
      <c r="C90" s="1" t="s">
        <v>47</v>
      </c>
      <c r="D90" s="2">
        <v>46073</v>
      </c>
      <c r="E90">
        <v>2.6</v>
      </c>
      <c r="F90" s="1" t="s">
        <v>209</v>
      </c>
    </row>
    <row r="91" spans="1:6" x14ac:dyDescent="0.35">
      <c r="A91" s="1" t="s">
        <v>298</v>
      </c>
      <c r="B91" s="1" t="s">
        <v>178</v>
      </c>
      <c r="C91" s="1" t="s">
        <v>47</v>
      </c>
      <c r="D91" s="2">
        <v>46076</v>
      </c>
      <c r="E91">
        <v>2.5</v>
      </c>
      <c r="F91" s="1" t="s">
        <v>209</v>
      </c>
    </row>
    <row r="92" spans="1:6" x14ac:dyDescent="0.35">
      <c r="A92" s="1" t="s">
        <v>299</v>
      </c>
      <c r="B92" s="1" t="s">
        <v>178</v>
      </c>
      <c r="C92" s="1" t="s">
        <v>47</v>
      </c>
      <c r="D92" s="2">
        <v>46077</v>
      </c>
      <c r="E92">
        <v>2.6</v>
      </c>
      <c r="F92" s="1" t="s">
        <v>209</v>
      </c>
    </row>
    <row r="93" spans="1:6" x14ac:dyDescent="0.35">
      <c r="A93" s="1" t="s">
        <v>300</v>
      </c>
      <c r="B93" s="1" t="s">
        <v>178</v>
      </c>
      <c r="C93" s="1" t="s">
        <v>47</v>
      </c>
      <c r="D93" s="2">
        <v>46078</v>
      </c>
      <c r="E93">
        <v>3.1</v>
      </c>
      <c r="F93" s="1" t="s">
        <v>209</v>
      </c>
    </row>
    <row r="94" spans="1:6" x14ac:dyDescent="0.35">
      <c r="A94" s="1" t="s">
        <v>301</v>
      </c>
      <c r="B94" s="1" t="s">
        <v>178</v>
      </c>
      <c r="C94" s="1" t="s">
        <v>47</v>
      </c>
      <c r="D94" s="2">
        <v>46079</v>
      </c>
      <c r="E94">
        <v>3.3</v>
      </c>
      <c r="F94" s="1" t="s">
        <v>209</v>
      </c>
    </row>
    <row r="95" spans="1:6" x14ac:dyDescent="0.35">
      <c r="A95" s="1" t="s">
        <v>302</v>
      </c>
      <c r="B95" s="1" t="s">
        <v>178</v>
      </c>
      <c r="C95" s="1" t="s">
        <v>47</v>
      </c>
      <c r="D95" s="2">
        <v>46080</v>
      </c>
      <c r="E95">
        <v>2.9</v>
      </c>
      <c r="F95" s="1" t="s">
        <v>209</v>
      </c>
    </row>
    <row r="96" spans="1:6" x14ac:dyDescent="0.35">
      <c r="A96" s="1" t="s">
        <v>303</v>
      </c>
      <c r="B96" s="1" t="s">
        <v>180</v>
      </c>
      <c r="C96" s="1" t="s">
        <v>8</v>
      </c>
      <c r="D96" s="2">
        <v>46055</v>
      </c>
      <c r="E96">
        <v>8.1</v>
      </c>
      <c r="F96" s="1" t="s">
        <v>209</v>
      </c>
    </row>
    <row r="97" spans="1:6" x14ac:dyDescent="0.35">
      <c r="A97" s="1" t="s">
        <v>304</v>
      </c>
      <c r="B97" s="1" t="s">
        <v>180</v>
      </c>
      <c r="C97" s="1" t="s">
        <v>8</v>
      </c>
      <c r="D97" s="2">
        <v>46056</v>
      </c>
      <c r="E97">
        <v>8.4</v>
      </c>
      <c r="F97" s="1" t="s">
        <v>209</v>
      </c>
    </row>
    <row r="98" spans="1:6" x14ac:dyDescent="0.35">
      <c r="A98" s="1" t="s">
        <v>305</v>
      </c>
      <c r="B98" s="1" t="s">
        <v>180</v>
      </c>
      <c r="C98" s="1" t="s">
        <v>8</v>
      </c>
      <c r="D98" s="2">
        <v>46057</v>
      </c>
      <c r="E98">
        <v>9</v>
      </c>
      <c r="F98" s="1" t="s">
        <v>209</v>
      </c>
    </row>
    <row r="99" spans="1:6" x14ac:dyDescent="0.35">
      <c r="A99" s="1" t="s">
        <v>306</v>
      </c>
      <c r="B99" s="1" t="s">
        <v>180</v>
      </c>
      <c r="C99" s="1" t="s">
        <v>8</v>
      </c>
      <c r="D99" s="2">
        <v>46058</v>
      </c>
      <c r="E99">
        <v>8.5</v>
      </c>
      <c r="F99" s="1" t="s">
        <v>209</v>
      </c>
    </row>
    <row r="100" spans="1:6" x14ac:dyDescent="0.35">
      <c r="A100" s="1" t="s">
        <v>307</v>
      </c>
      <c r="B100" s="1" t="s">
        <v>180</v>
      </c>
      <c r="C100" s="1" t="s">
        <v>8</v>
      </c>
      <c r="D100" s="2">
        <v>46059</v>
      </c>
      <c r="E100">
        <v>9</v>
      </c>
      <c r="F100" s="1" t="s">
        <v>209</v>
      </c>
    </row>
    <row r="101" spans="1:6" x14ac:dyDescent="0.35">
      <c r="A101" s="1" t="s">
        <v>308</v>
      </c>
      <c r="B101" s="1" t="s">
        <v>180</v>
      </c>
      <c r="C101" s="1" t="s">
        <v>8</v>
      </c>
      <c r="D101" s="2">
        <v>46062</v>
      </c>
      <c r="E101">
        <v>8.9</v>
      </c>
      <c r="F101" s="1" t="s">
        <v>209</v>
      </c>
    </row>
    <row r="102" spans="1:6" x14ac:dyDescent="0.35">
      <c r="A102" s="1" t="s">
        <v>309</v>
      </c>
      <c r="B102" s="1" t="s">
        <v>180</v>
      </c>
      <c r="C102" s="1" t="s">
        <v>8</v>
      </c>
      <c r="D102" s="2">
        <v>46063</v>
      </c>
      <c r="E102">
        <v>8</v>
      </c>
      <c r="F102" s="1" t="s">
        <v>209</v>
      </c>
    </row>
    <row r="103" spans="1:6" x14ac:dyDescent="0.35">
      <c r="A103" s="1" t="s">
        <v>310</v>
      </c>
      <c r="B103" s="1" t="s">
        <v>180</v>
      </c>
      <c r="C103" s="1" t="s">
        <v>8</v>
      </c>
      <c r="D103" s="2">
        <v>46064</v>
      </c>
      <c r="E103">
        <v>8.6999999999999993</v>
      </c>
      <c r="F103" s="1" t="s">
        <v>209</v>
      </c>
    </row>
    <row r="104" spans="1:6" x14ac:dyDescent="0.35">
      <c r="A104" s="1" t="s">
        <v>311</v>
      </c>
      <c r="B104" s="1" t="s">
        <v>180</v>
      </c>
      <c r="C104" s="1" t="s">
        <v>8</v>
      </c>
      <c r="D104" s="2">
        <v>46065</v>
      </c>
      <c r="E104">
        <v>8.6999999999999993</v>
      </c>
      <c r="F104" s="1" t="s">
        <v>209</v>
      </c>
    </row>
    <row r="105" spans="1:6" x14ac:dyDescent="0.35">
      <c r="A105" s="1" t="s">
        <v>312</v>
      </c>
      <c r="B105" s="1" t="s">
        <v>180</v>
      </c>
      <c r="C105" s="1" t="s">
        <v>8</v>
      </c>
      <c r="D105" s="2">
        <v>46066</v>
      </c>
      <c r="E105">
        <v>8.5</v>
      </c>
      <c r="F105" s="1" t="s">
        <v>209</v>
      </c>
    </row>
    <row r="106" spans="1:6" x14ac:dyDescent="0.35">
      <c r="A106" s="1" t="s">
        <v>313</v>
      </c>
      <c r="B106" s="1" t="s">
        <v>180</v>
      </c>
      <c r="C106" s="1" t="s">
        <v>8</v>
      </c>
      <c r="D106" s="2">
        <v>46069</v>
      </c>
      <c r="E106">
        <v>8.3000000000000007</v>
      </c>
      <c r="F106" s="1" t="s">
        <v>209</v>
      </c>
    </row>
    <row r="107" spans="1:6" x14ac:dyDescent="0.35">
      <c r="A107" s="1" t="s">
        <v>314</v>
      </c>
      <c r="B107" s="1" t="s">
        <v>180</v>
      </c>
      <c r="C107" s="1" t="s">
        <v>8</v>
      </c>
      <c r="D107" s="2">
        <v>46070</v>
      </c>
      <c r="E107">
        <v>8.6</v>
      </c>
      <c r="F107" s="1" t="s">
        <v>209</v>
      </c>
    </row>
    <row r="108" spans="1:6" x14ac:dyDescent="0.35">
      <c r="A108" s="1" t="s">
        <v>315</v>
      </c>
      <c r="B108" s="1" t="s">
        <v>180</v>
      </c>
      <c r="C108" s="1" t="s">
        <v>8</v>
      </c>
      <c r="D108" s="2">
        <v>46071</v>
      </c>
      <c r="E108">
        <v>8.1</v>
      </c>
      <c r="F108" s="1" t="s">
        <v>209</v>
      </c>
    </row>
    <row r="109" spans="1:6" x14ac:dyDescent="0.35">
      <c r="A109" s="1" t="s">
        <v>316</v>
      </c>
      <c r="B109" s="1" t="s">
        <v>180</v>
      </c>
      <c r="C109" s="1" t="s">
        <v>8</v>
      </c>
      <c r="D109" s="2">
        <v>46072</v>
      </c>
      <c r="E109">
        <v>8.4</v>
      </c>
      <c r="F109" s="1" t="s">
        <v>209</v>
      </c>
    </row>
    <row r="110" spans="1:6" x14ac:dyDescent="0.35">
      <c r="A110" s="1" t="s">
        <v>317</v>
      </c>
      <c r="B110" s="1" t="s">
        <v>180</v>
      </c>
      <c r="C110" s="1" t="s">
        <v>8</v>
      </c>
      <c r="D110" s="2">
        <v>46073</v>
      </c>
      <c r="E110">
        <v>8.5</v>
      </c>
      <c r="F110" s="1" t="s">
        <v>209</v>
      </c>
    </row>
    <row r="111" spans="1:6" x14ac:dyDescent="0.35">
      <c r="A111" s="1" t="s">
        <v>318</v>
      </c>
      <c r="B111" s="1" t="s">
        <v>180</v>
      </c>
      <c r="C111" s="1" t="s">
        <v>8</v>
      </c>
      <c r="D111" s="2">
        <v>46076</v>
      </c>
      <c r="E111">
        <v>9</v>
      </c>
      <c r="F111" s="1" t="s">
        <v>209</v>
      </c>
    </row>
    <row r="112" spans="1:6" x14ac:dyDescent="0.35">
      <c r="A112" s="1" t="s">
        <v>319</v>
      </c>
      <c r="B112" s="1" t="s">
        <v>180</v>
      </c>
      <c r="C112" s="1" t="s">
        <v>8</v>
      </c>
      <c r="D112" s="2">
        <v>46077</v>
      </c>
      <c r="E112">
        <v>8.9</v>
      </c>
      <c r="F112" s="1" t="s">
        <v>209</v>
      </c>
    </row>
    <row r="113" spans="1:6" x14ac:dyDescent="0.35">
      <c r="A113" s="1" t="s">
        <v>320</v>
      </c>
      <c r="B113" s="1" t="s">
        <v>180</v>
      </c>
      <c r="C113" s="1" t="s">
        <v>8</v>
      </c>
      <c r="D113" s="2">
        <v>46078</v>
      </c>
      <c r="E113">
        <v>8.3000000000000007</v>
      </c>
      <c r="F113" s="1" t="s">
        <v>209</v>
      </c>
    </row>
    <row r="114" spans="1:6" x14ac:dyDescent="0.35">
      <c r="A114" s="1" t="s">
        <v>321</v>
      </c>
      <c r="B114" s="1" t="s">
        <v>180</v>
      </c>
      <c r="C114" s="1" t="s">
        <v>8</v>
      </c>
      <c r="D114" s="2">
        <v>46079</v>
      </c>
      <c r="E114">
        <v>8.5</v>
      </c>
      <c r="F114" s="1" t="s">
        <v>209</v>
      </c>
    </row>
    <row r="115" spans="1:6" x14ac:dyDescent="0.35">
      <c r="A115" s="1" t="s">
        <v>322</v>
      </c>
      <c r="B115" s="1" t="s">
        <v>180</v>
      </c>
      <c r="C115" s="1" t="s">
        <v>8</v>
      </c>
      <c r="D115" s="2">
        <v>46080</v>
      </c>
      <c r="E115">
        <v>8.1999999999999993</v>
      </c>
      <c r="F115" s="1" t="s">
        <v>209</v>
      </c>
    </row>
    <row r="116" spans="1:6" x14ac:dyDescent="0.35">
      <c r="A116" s="1" t="s">
        <v>323</v>
      </c>
      <c r="B116" s="1" t="s">
        <v>180</v>
      </c>
      <c r="C116" s="1" t="s">
        <v>8</v>
      </c>
      <c r="D116" s="2">
        <v>46083</v>
      </c>
      <c r="E116">
        <v>8.9</v>
      </c>
      <c r="F116" s="1" t="s">
        <v>209</v>
      </c>
    </row>
    <row r="117" spans="1:6" x14ac:dyDescent="0.35">
      <c r="A117" s="1" t="s">
        <v>324</v>
      </c>
      <c r="B117" s="1" t="s">
        <v>180</v>
      </c>
      <c r="C117" s="1" t="s">
        <v>8</v>
      </c>
      <c r="D117" s="2">
        <v>46084</v>
      </c>
      <c r="E117">
        <v>8.9</v>
      </c>
      <c r="F117" s="1" t="s">
        <v>209</v>
      </c>
    </row>
    <row r="118" spans="1:6" x14ac:dyDescent="0.35">
      <c r="A118" s="1" t="s">
        <v>325</v>
      </c>
      <c r="B118" s="1" t="s">
        <v>180</v>
      </c>
      <c r="C118" s="1" t="s">
        <v>8</v>
      </c>
      <c r="D118" s="2">
        <v>46085</v>
      </c>
      <c r="E118">
        <v>8.3000000000000007</v>
      </c>
      <c r="F118" s="1" t="s">
        <v>209</v>
      </c>
    </row>
    <row r="119" spans="1:6" x14ac:dyDescent="0.35">
      <c r="A119" s="1" t="s">
        <v>326</v>
      </c>
      <c r="B119" s="1" t="s">
        <v>180</v>
      </c>
      <c r="C119" s="1" t="s">
        <v>8</v>
      </c>
      <c r="D119" s="2">
        <v>46086</v>
      </c>
      <c r="E119">
        <v>8.6</v>
      </c>
      <c r="F119" s="1" t="s">
        <v>209</v>
      </c>
    </row>
    <row r="120" spans="1:6" x14ac:dyDescent="0.35">
      <c r="A120" s="1" t="s">
        <v>327</v>
      </c>
      <c r="B120" s="1" t="s">
        <v>180</v>
      </c>
      <c r="C120" s="1" t="s">
        <v>8</v>
      </c>
      <c r="D120" s="2">
        <v>46087</v>
      </c>
      <c r="E120">
        <v>8.6</v>
      </c>
      <c r="F120" s="1" t="s">
        <v>209</v>
      </c>
    </row>
    <row r="121" spans="1:6" x14ac:dyDescent="0.35">
      <c r="A121" s="1" t="s">
        <v>328</v>
      </c>
      <c r="B121" s="1" t="s">
        <v>180</v>
      </c>
      <c r="C121" s="1" t="s">
        <v>8</v>
      </c>
      <c r="D121" s="2">
        <v>46090</v>
      </c>
      <c r="E121">
        <v>8.1999999999999993</v>
      </c>
      <c r="F121" s="1" t="s">
        <v>209</v>
      </c>
    </row>
    <row r="122" spans="1:6" x14ac:dyDescent="0.35">
      <c r="A122" s="1" t="s">
        <v>329</v>
      </c>
      <c r="B122" s="1" t="s">
        <v>180</v>
      </c>
      <c r="C122" s="1" t="s">
        <v>8</v>
      </c>
      <c r="D122" s="2">
        <v>46091</v>
      </c>
      <c r="E122">
        <v>8.8000000000000007</v>
      </c>
      <c r="F122" s="1" t="s">
        <v>209</v>
      </c>
    </row>
    <row r="123" spans="1:6" x14ac:dyDescent="0.35">
      <c r="A123" s="1" t="s">
        <v>330</v>
      </c>
      <c r="B123" s="1" t="s">
        <v>180</v>
      </c>
      <c r="C123" s="1" t="s">
        <v>8</v>
      </c>
      <c r="D123" s="2">
        <v>46092</v>
      </c>
      <c r="E123">
        <v>8.5</v>
      </c>
      <c r="F123" s="1" t="s">
        <v>209</v>
      </c>
    </row>
    <row r="124" spans="1:6" x14ac:dyDescent="0.35">
      <c r="A124" s="1" t="s">
        <v>331</v>
      </c>
      <c r="B124" s="1" t="s">
        <v>180</v>
      </c>
      <c r="C124" s="1" t="s">
        <v>8</v>
      </c>
      <c r="D124" s="2">
        <v>46093</v>
      </c>
      <c r="E124">
        <v>8.8000000000000007</v>
      </c>
      <c r="F124" s="1" t="s">
        <v>209</v>
      </c>
    </row>
    <row r="125" spans="1:6" x14ac:dyDescent="0.35">
      <c r="A125" s="1" t="s">
        <v>332</v>
      </c>
      <c r="B125" s="1" t="s">
        <v>180</v>
      </c>
      <c r="C125" s="1" t="s">
        <v>8</v>
      </c>
      <c r="D125" s="2">
        <v>46094</v>
      </c>
      <c r="E125">
        <v>8.5</v>
      </c>
      <c r="F125" s="1" t="s">
        <v>209</v>
      </c>
    </row>
    <row r="126" spans="1:6" x14ac:dyDescent="0.35">
      <c r="A126" s="1" t="s">
        <v>333</v>
      </c>
      <c r="B126" s="1" t="s">
        <v>180</v>
      </c>
      <c r="C126" s="1" t="s">
        <v>8</v>
      </c>
      <c r="D126" s="2">
        <v>46097</v>
      </c>
      <c r="E126">
        <v>8</v>
      </c>
      <c r="F126" s="1" t="s">
        <v>209</v>
      </c>
    </row>
    <row r="127" spans="1:6" x14ac:dyDescent="0.35">
      <c r="A127" s="1" t="s">
        <v>334</v>
      </c>
      <c r="B127" s="1" t="s">
        <v>180</v>
      </c>
      <c r="C127" s="1" t="s">
        <v>8</v>
      </c>
      <c r="D127" s="2">
        <v>46098</v>
      </c>
      <c r="E127">
        <v>8.3000000000000007</v>
      </c>
      <c r="F127" s="1" t="s">
        <v>209</v>
      </c>
    </row>
    <row r="128" spans="1:6" x14ac:dyDescent="0.35">
      <c r="A128" s="1" t="s">
        <v>335</v>
      </c>
      <c r="B128" s="1" t="s">
        <v>180</v>
      </c>
      <c r="C128" s="1" t="s">
        <v>8</v>
      </c>
      <c r="D128" s="2">
        <v>46099</v>
      </c>
      <c r="E128">
        <v>8</v>
      </c>
      <c r="F128" s="1" t="s">
        <v>209</v>
      </c>
    </row>
    <row r="129" spans="1:6" x14ac:dyDescent="0.35">
      <c r="A129" s="1" t="s">
        <v>336</v>
      </c>
      <c r="B129" s="1" t="s">
        <v>180</v>
      </c>
      <c r="C129" s="1" t="s">
        <v>8</v>
      </c>
      <c r="D129" s="2">
        <v>46100</v>
      </c>
      <c r="E129">
        <v>8.9</v>
      </c>
      <c r="F129" s="1" t="s">
        <v>209</v>
      </c>
    </row>
    <row r="130" spans="1:6" x14ac:dyDescent="0.35">
      <c r="A130" s="1" t="s">
        <v>337</v>
      </c>
      <c r="B130" s="1" t="s">
        <v>180</v>
      </c>
      <c r="C130" s="1" t="s">
        <v>8</v>
      </c>
      <c r="D130" s="2">
        <v>46101</v>
      </c>
      <c r="E130">
        <v>8.9</v>
      </c>
      <c r="F130" s="1" t="s">
        <v>209</v>
      </c>
    </row>
    <row r="131" spans="1:6" x14ac:dyDescent="0.35">
      <c r="A131" s="1" t="s">
        <v>338</v>
      </c>
      <c r="B131" s="1" t="s">
        <v>180</v>
      </c>
      <c r="C131" s="1" t="s">
        <v>8</v>
      </c>
      <c r="D131" s="2">
        <v>46104</v>
      </c>
      <c r="E131">
        <v>8.8000000000000007</v>
      </c>
      <c r="F131" s="1" t="s">
        <v>209</v>
      </c>
    </row>
    <row r="132" spans="1:6" x14ac:dyDescent="0.35">
      <c r="A132" s="1" t="s">
        <v>339</v>
      </c>
      <c r="B132" s="1" t="s">
        <v>180</v>
      </c>
      <c r="C132" s="1" t="s">
        <v>8</v>
      </c>
      <c r="D132" s="2">
        <v>46105</v>
      </c>
      <c r="E132">
        <v>8.3000000000000007</v>
      </c>
      <c r="F132" s="1" t="s">
        <v>209</v>
      </c>
    </row>
    <row r="133" spans="1:6" x14ac:dyDescent="0.35">
      <c r="A133" s="1" t="s">
        <v>340</v>
      </c>
      <c r="B133" s="1" t="s">
        <v>180</v>
      </c>
      <c r="C133" s="1" t="s">
        <v>8</v>
      </c>
      <c r="D133" s="2">
        <v>46106</v>
      </c>
      <c r="E133">
        <v>8.1</v>
      </c>
      <c r="F133" s="1" t="s">
        <v>209</v>
      </c>
    </row>
    <row r="134" spans="1:6" x14ac:dyDescent="0.35">
      <c r="A134" s="1" t="s">
        <v>341</v>
      </c>
      <c r="B134" s="1" t="s">
        <v>180</v>
      </c>
      <c r="C134" s="1" t="s">
        <v>8</v>
      </c>
      <c r="D134" s="2">
        <v>46107</v>
      </c>
      <c r="E134">
        <v>8.9</v>
      </c>
      <c r="F134" s="1" t="s">
        <v>209</v>
      </c>
    </row>
    <row r="135" spans="1:6" x14ac:dyDescent="0.35">
      <c r="A135" s="1" t="s">
        <v>342</v>
      </c>
      <c r="B135" s="1" t="s">
        <v>180</v>
      </c>
      <c r="C135" s="1" t="s">
        <v>8</v>
      </c>
      <c r="D135" s="2">
        <v>46108</v>
      </c>
      <c r="E135">
        <v>8.9</v>
      </c>
      <c r="F135" s="1" t="s">
        <v>209</v>
      </c>
    </row>
    <row r="136" spans="1:6" x14ac:dyDescent="0.35">
      <c r="A136" s="1" t="s">
        <v>343</v>
      </c>
      <c r="B136" s="1" t="s">
        <v>180</v>
      </c>
      <c r="C136" s="1" t="s">
        <v>8</v>
      </c>
      <c r="D136" s="2">
        <v>46111</v>
      </c>
      <c r="E136">
        <v>8.1</v>
      </c>
      <c r="F136" s="1" t="s">
        <v>209</v>
      </c>
    </row>
    <row r="137" spans="1:6" x14ac:dyDescent="0.35">
      <c r="A137" s="1" t="s">
        <v>344</v>
      </c>
      <c r="B137" s="1" t="s">
        <v>180</v>
      </c>
      <c r="C137" s="1" t="s">
        <v>8</v>
      </c>
      <c r="D137" s="2">
        <v>46112</v>
      </c>
      <c r="E137">
        <v>8.5</v>
      </c>
      <c r="F137" s="1" t="s">
        <v>209</v>
      </c>
    </row>
    <row r="138" spans="1:6" x14ac:dyDescent="0.35">
      <c r="A138" s="1" t="s">
        <v>345</v>
      </c>
      <c r="B138" s="1" t="s">
        <v>180</v>
      </c>
      <c r="C138" s="1" t="s">
        <v>8</v>
      </c>
      <c r="D138" s="2">
        <v>46113</v>
      </c>
      <c r="E138">
        <v>8.1</v>
      </c>
      <c r="F138" s="1" t="s">
        <v>209</v>
      </c>
    </row>
    <row r="139" spans="1:6" x14ac:dyDescent="0.35">
      <c r="A139" s="1" t="s">
        <v>346</v>
      </c>
      <c r="B139" s="1" t="s">
        <v>180</v>
      </c>
      <c r="C139" s="1" t="s">
        <v>8</v>
      </c>
      <c r="D139" s="2">
        <v>46114</v>
      </c>
      <c r="E139">
        <v>8.8000000000000007</v>
      </c>
      <c r="F139" s="1" t="s">
        <v>209</v>
      </c>
    </row>
    <row r="140" spans="1:6" x14ac:dyDescent="0.35">
      <c r="A140" s="1" t="s">
        <v>347</v>
      </c>
      <c r="B140" s="1" t="s">
        <v>180</v>
      </c>
      <c r="C140" s="1" t="s">
        <v>8</v>
      </c>
      <c r="D140" s="2">
        <v>46115</v>
      </c>
      <c r="E140">
        <v>8.8000000000000007</v>
      </c>
      <c r="F140" s="1" t="s">
        <v>209</v>
      </c>
    </row>
    <row r="141" spans="1:6" x14ac:dyDescent="0.35">
      <c r="A141" s="1" t="s">
        <v>348</v>
      </c>
      <c r="B141" s="1" t="s">
        <v>180</v>
      </c>
      <c r="C141" s="1" t="s">
        <v>8</v>
      </c>
      <c r="D141" s="2">
        <v>46118</v>
      </c>
      <c r="E141">
        <v>8.1</v>
      </c>
      <c r="F141" s="1" t="s">
        <v>209</v>
      </c>
    </row>
    <row r="142" spans="1:6" x14ac:dyDescent="0.35">
      <c r="A142" s="1" t="s">
        <v>349</v>
      </c>
      <c r="B142" s="1" t="s">
        <v>180</v>
      </c>
      <c r="C142" s="1" t="s">
        <v>8</v>
      </c>
      <c r="D142" s="2">
        <v>46119</v>
      </c>
      <c r="E142">
        <v>8.5</v>
      </c>
      <c r="F142" s="1" t="s">
        <v>209</v>
      </c>
    </row>
    <row r="143" spans="1:6" x14ac:dyDescent="0.35">
      <c r="A143" s="1" t="s">
        <v>350</v>
      </c>
      <c r="B143" s="1" t="s">
        <v>180</v>
      </c>
      <c r="C143" s="1" t="s">
        <v>8</v>
      </c>
      <c r="D143" s="2">
        <v>46120</v>
      </c>
      <c r="E143">
        <v>8.5</v>
      </c>
      <c r="F143" s="1" t="s">
        <v>209</v>
      </c>
    </row>
    <row r="144" spans="1:6" x14ac:dyDescent="0.35">
      <c r="A144" s="1" t="s">
        <v>351</v>
      </c>
      <c r="B144" s="1" t="s">
        <v>180</v>
      </c>
      <c r="C144" s="1" t="s">
        <v>8</v>
      </c>
      <c r="D144" s="2">
        <v>46121</v>
      </c>
      <c r="E144">
        <v>8.3000000000000007</v>
      </c>
      <c r="F144" s="1" t="s">
        <v>209</v>
      </c>
    </row>
    <row r="145" spans="1:6" x14ac:dyDescent="0.35">
      <c r="A145" s="1" t="s">
        <v>352</v>
      </c>
      <c r="B145" s="1" t="s">
        <v>180</v>
      </c>
      <c r="C145" s="1" t="s">
        <v>8</v>
      </c>
      <c r="D145" s="2">
        <v>46122</v>
      </c>
      <c r="E145">
        <v>8.9</v>
      </c>
      <c r="F145" s="1" t="s">
        <v>209</v>
      </c>
    </row>
    <row r="146" spans="1:6" x14ac:dyDescent="0.35">
      <c r="A146" s="1" t="s">
        <v>353</v>
      </c>
      <c r="B146" s="1" t="s">
        <v>180</v>
      </c>
      <c r="C146" s="1" t="s">
        <v>8</v>
      </c>
      <c r="D146" s="2">
        <v>46125</v>
      </c>
      <c r="E146">
        <v>8.4</v>
      </c>
      <c r="F146" s="1" t="s">
        <v>209</v>
      </c>
    </row>
    <row r="147" spans="1:6" x14ac:dyDescent="0.35">
      <c r="A147" s="1" t="s">
        <v>354</v>
      </c>
      <c r="B147" s="1" t="s">
        <v>180</v>
      </c>
      <c r="C147" s="1" t="s">
        <v>8</v>
      </c>
      <c r="D147" s="2">
        <v>46126</v>
      </c>
      <c r="E147">
        <v>8.1999999999999993</v>
      </c>
      <c r="F147" s="1" t="s">
        <v>209</v>
      </c>
    </row>
    <row r="148" spans="1:6" x14ac:dyDescent="0.35">
      <c r="A148" s="1" t="s">
        <v>355</v>
      </c>
      <c r="B148" s="1" t="s">
        <v>180</v>
      </c>
      <c r="C148" s="1" t="s">
        <v>8</v>
      </c>
      <c r="D148" s="2">
        <v>46127</v>
      </c>
      <c r="E148">
        <v>8.5</v>
      </c>
      <c r="F148" s="1" t="s">
        <v>209</v>
      </c>
    </row>
    <row r="149" spans="1:6" x14ac:dyDescent="0.35">
      <c r="A149" s="1" t="s">
        <v>356</v>
      </c>
      <c r="B149" s="1" t="s">
        <v>178</v>
      </c>
      <c r="C149" s="1" t="s">
        <v>8</v>
      </c>
      <c r="D149" s="2">
        <v>46055</v>
      </c>
      <c r="E149">
        <v>2.2000000000000002</v>
      </c>
      <c r="F149" s="1" t="s">
        <v>209</v>
      </c>
    </row>
    <row r="150" spans="1:6" x14ac:dyDescent="0.35">
      <c r="A150" s="1" t="s">
        <v>357</v>
      </c>
      <c r="B150" s="1" t="s">
        <v>178</v>
      </c>
      <c r="C150" s="1" t="s">
        <v>8</v>
      </c>
      <c r="D150" s="2">
        <v>46057</v>
      </c>
      <c r="E150">
        <v>1.7</v>
      </c>
      <c r="F150" s="1" t="s">
        <v>209</v>
      </c>
    </row>
    <row r="151" spans="1:6" x14ac:dyDescent="0.35">
      <c r="A151" s="1" t="s">
        <v>358</v>
      </c>
      <c r="B151" s="1" t="s">
        <v>178</v>
      </c>
      <c r="C151" s="1" t="s">
        <v>8</v>
      </c>
      <c r="D151" s="2">
        <v>46059</v>
      </c>
      <c r="E151">
        <v>1.8</v>
      </c>
      <c r="F151" s="1" t="s">
        <v>209</v>
      </c>
    </row>
    <row r="152" spans="1:6" x14ac:dyDescent="0.35">
      <c r="A152" s="1" t="s">
        <v>359</v>
      </c>
      <c r="B152" s="1" t="s">
        <v>178</v>
      </c>
      <c r="C152" s="1" t="s">
        <v>8</v>
      </c>
      <c r="D152" s="2">
        <v>46062</v>
      </c>
      <c r="E152">
        <v>2.5</v>
      </c>
      <c r="F152" s="1" t="s">
        <v>209</v>
      </c>
    </row>
    <row r="153" spans="1:6" x14ac:dyDescent="0.35">
      <c r="A153" s="1" t="s">
        <v>360</v>
      </c>
      <c r="B153" s="1" t="s">
        <v>178</v>
      </c>
      <c r="C153" s="1" t="s">
        <v>8</v>
      </c>
      <c r="D153" s="2">
        <v>46064</v>
      </c>
      <c r="E153">
        <v>2.1</v>
      </c>
      <c r="F153" s="1" t="s">
        <v>209</v>
      </c>
    </row>
    <row r="154" spans="1:6" x14ac:dyDescent="0.35">
      <c r="A154" s="1" t="s">
        <v>361</v>
      </c>
      <c r="B154" s="1" t="s">
        <v>178</v>
      </c>
      <c r="C154" s="1" t="s">
        <v>8</v>
      </c>
      <c r="D154" s="2">
        <v>46066</v>
      </c>
      <c r="E154">
        <v>1.9</v>
      </c>
      <c r="F154" s="1" t="s">
        <v>209</v>
      </c>
    </row>
    <row r="155" spans="1:6" x14ac:dyDescent="0.35">
      <c r="A155" s="1" t="s">
        <v>362</v>
      </c>
      <c r="B155" s="1" t="s">
        <v>178</v>
      </c>
      <c r="C155" s="1" t="s">
        <v>8</v>
      </c>
      <c r="D155" s="2">
        <v>46069</v>
      </c>
      <c r="E155">
        <v>2</v>
      </c>
      <c r="F155" s="1" t="s">
        <v>209</v>
      </c>
    </row>
    <row r="156" spans="1:6" x14ac:dyDescent="0.35">
      <c r="A156" s="1" t="s">
        <v>363</v>
      </c>
      <c r="B156" s="1" t="s">
        <v>178</v>
      </c>
      <c r="C156" s="1" t="s">
        <v>8</v>
      </c>
      <c r="D156" s="2">
        <v>46071</v>
      </c>
      <c r="E156">
        <v>1.6</v>
      </c>
      <c r="F156" s="1" t="s">
        <v>209</v>
      </c>
    </row>
    <row r="157" spans="1:6" x14ac:dyDescent="0.35">
      <c r="A157" s="1" t="s">
        <v>364</v>
      </c>
      <c r="B157" s="1" t="s">
        <v>178</v>
      </c>
      <c r="C157" s="1" t="s">
        <v>8</v>
      </c>
      <c r="D157" s="2">
        <v>46073</v>
      </c>
      <c r="E157">
        <v>1.7</v>
      </c>
      <c r="F157" s="1" t="s">
        <v>209</v>
      </c>
    </row>
    <row r="158" spans="1:6" x14ac:dyDescent="0.35">
      <c r="A158" s="1" t="s">
        <v>365</v>
      </c>
      <c r="B158" s="1" t="s">
        <v>178</v>
      </c>
      <c r="C158" s="1" t="s">
        <v>8</v>
      </c>
      <c r="D158" s="2">
        <v>46076</v>
      </c>
      <c r="E158">
        <v>1.8</v>
      </c>
      <c r="F158" s="1" t="s">
        <v>209</v>
      </c>
    </row>
    <row r="159" spans="1:6" x14ac:dyDescent="0.35">
      <c r="A159" s="1" t="s">
        <v>366</v>
      </c>
      <c r="B159" s="1" t="s">
        <v>178</v>
      </c>
      <c r="C159" s="1" t="s">
        <v>8</v>
      </c>
      <c r="D159" s="2">
        <v>46078</v>
      </c>
      <c r="E159">
        <v>2.1</v>
      </c>
      <c r="F159" s="1" t="s">
        <v>209</v>
      </c>
    </row>
    <row r="160" spans="1:6" x14ac:dyDescent="0.35">
      <c r="A160" s="1" t="s">
        <v>367</v>
      </c>
      <c r="B160" s="1" t="s">
        <v>178</v>
      </c>
      <c r="C160" s="1" t="s">
        <v>8</v>
      </c>
      <c r="D160" s="2">
        <v>46080</v>
      </c>
      <c r="E160">
        <v>1.7</v>
      </c>
      <c r="F160" s="1" t="s">
        <v>209</v>
      </c>
    </row>
    <row r="161" spans="1:6" x14ac:dyDescent="0.35">
      <c r="A161" s="1" t="s">
        <v>368</v>
      </c>
      <c r="B161" s="1" t="s">
        <v>178</v>
      </c>
      <c r="C161" s="1" t="s">
        <v>8</v>
      </c>
      <c r="D161" s="2">
        <v>46083</v>
      </c>
      <c r="E161">
        <v>1.7</v>
      </c>
      <c r="F161" s="1" t="s">
        <v>209</v>
      </c>
    </row>
    <row r="162" spans="1:6" x14ac:dyDescent="0.35">
      <c r="A162" s="1" t="s">
        <v>369</v>
      </c>
      <c r="B162" s="1" t="s">
        <v>178</v>
      </c>
      <c r="C162" s="1" t="s">
        <v>8</v>
      </c>
      <c r="D162" s="2">
        <v>46085</v>
      </c>
      <c r="E162">
        <v>1.6</v>
      </c>
      <c r="F162" s="1" t="s">
        <v>209</v>
      </c>
    </row>
    <row r="163" spans="1:6" x14ac:dyDescent="0.35">
      <c r="A163" s="1" t="s">
        <v>370</v>
      </c>
      <c r="B163" s="1" t="s">
        <v>178</v>
      </c>
      <c r="C163" s="1" t="s">
        <v>8</v>
      </c>
      <c r="D163" s="2">
        <v>46087</v>
      </c>
      <c r="E163">
        <v>2.1</v>
      </c>
      <c r="F163" s="1" t="s">
        <v>209</v>
      </c>
    </row>
    <row r="164" spans="1:6" x14ac:dyDescent="0.35">
      <c r="A164" s="1" t="s">
        <v>371</v>
      </c>
      <c r="B164" s="1" t="s">
        <v>178</v>
      </c>
      <c r="C164" s="1" t="s">
        <v>8</v>
      </c>
      <c r="D164" s="2">
        <v>46090</v>
      </c>
      <c r="E164">
        <v>1.7</v>
      </c>
      <c r="F164" s="1" t="s">
        <v>209</v>
      </c>
    </row>
    <row r="165" spans="1:6" x14ac:dyDescent="0.35">
      <c r="A165" s="1" t="s">
        <v>372</v>
      </c>
      <c r="B165" s="1" t="s">
        <v>178</v>
      </c>
      <c r="C165" s="1" t="s">
        <v>8</v>
      </c>
      <c r="D165" s="2">
        <v>46092</v>
      </c>
      <c r="E165">
        <v>2.4</v>
      </c>
      <c r="F165" s="1" t="s">
        <v>209</v>
      </c>
    </row>
    <row r="166" spans="1:6" x14ac:dyDescent="0.35">
      <c r="A166" s="1" t="s">
        <v>373</v>
      </c>
      <c r="B166" s="1" t="s">
        <v>178</v>
      </c>
      <c r="C166" s="1" t="s">
        <v>8</v>
      </c>
      <c r="D166" s="2">
        <v>46094</v>
      </c>
      <c r="E166">
        <v>2.4</v>
      </c>
      <c r="F166" s="1" t="s">
        <v>209</v>
      </c>
    </row>
    <row r="167" spans="1:6" x14ac:dyDescent="0.35">
      <c r="A167" s="1" t="s">
        <v>374</v>
      </c>
      <c r="B167" s="1" t="s">
        <v>178</v>
      </c>
      <c r="C167" s="1" t="s">
        <v>8</v>
      </c>
      <c r="D167" s="2">
        <v>46097</v>
      </c>
      <c r="E167">
        <v>1.6</v>
      </c>
      <c r="F167" s="1" t="s">
        <v>209</v>
      </c>
    </row>
    <row r="168" spans="1:6" x14ac:dyDescent="0.35">
      <c r="A168" s="1" t="s">
        <v>375</v>
      </c>
      <c r="B168" s="1" t="s">
        <v>178</v>
      </c>
      <c r="C168" s="1" t="s">
        <v>8</v>
      </c>
      <c r="D168" s="2">
        <v>46099</v>
      </c>
      <c r="E168">
        <v>1.7</v>
      </c>
      <c r="F168" s="1" t="s">
        <v>209</v>
      </c>
    </row>
    <row r="169" spans="1:6" x14ac:dyDescent="0.35">
      <c r="A169" s="1" t="s">
        <v>376</v>
      </c>
      <c r="B169" s="1" t="s">
        <v>178</v>
      </c>
      <c r="C169" s="1" t="s">
        <v>8</v>
      </c>
      <c r="D169" s="2">
        <v>46101</v>
      </c>
      <c r="E169">
        <v>2.2000000000000002</v>
      </c>
      <c r="F169" s="1" t="s">
        <v>209</v>
      </c>
    </row>
    <row r="170" spans="1:6" x14ac:dyDescent="0.35">
      <c r="A170" s="1" t="s">
        <v>377</v>
      </c>
      <c r="B170" s="1" t="s">
        <v>178</v>
      </c>
      <c r="C170" s="1" t="s">
        <v>8</v>
      </c>
      <c r="D170" s="2">
        <v>46104</v>
      </c>
      <c r="E170">
        <v>1.7</v>
      </c>
      <c r="F170" s="1" t="s">
        <v>209</v>
      </c>
    </row>
    <row r="171" spans="1:6" x14ac:dyDescent="0.35">
      <c r="A171" s="1" t="s">
        <v>378</v>
      </c>
      <c r="B171" s="1" t="s">
        <v>178</v>
      </c>
      <c r="C171" s="1" t="s">
        <v>8</v>
      </c>
      <c r="D171" s="2">
        <v>46106</v>
      </c>
      <c r="E171">
        <v>1.6</v>
      </c>
      <c r="F171" s="1" t="s">
        <v>209</v>
      </c>
    </row>
    <row r="172" spans="1:6" x14ac:dyDescent="0.35">
      <c r="A172" s="1" t="s">
        <v>379</v>
      </c>
      <c r="B172" s="1" t="s">
        <v>178</v>
      </c>
      <c r="C172" s="1" t="s">
        <v>8</v>
      </c>
      <c r="D172" s="2">
        <v>46108</v>
      </c>
      <c r="E172">
        <v>2.4</v>
      </c>
      <c r="F172" s="1" t="s">
        <v>209</v>
      </c>
    </row>
    <row r="173" spans="1:6" x14ac:dyDescent="0.35">
      <c r="A173" s="1" t="s">
        <v>380</v>
      </c>
      <c r="B173" s="1" t="s">
        <v>178</v>
      </c>
      <c r="C173" s="1" t="s">
        <v>8</v>
      </c>
      <c r="D173" s="2">
        <v>46111</v>
      </c>
      <c r="E173">
        <v>2.1</v>
      </c>
      <c r="F173" s="1" t="s">
        <v>209</v>
      </c>
    </row>
    <row r="174" spans="1:6" x14ac:dyDescent="0.35">
      <c r="A174" s="1" t="s">
        <v>381</v>
      </c>
      <c r="B174" s="1" t="s">
        <v>178</v>
      </c>
      <c r="C174" s="1" t="s">
        <v>8</v>
      </c>
      <c r="D174" s="2">
        <v>46113</v>
      </c>
      <c r="E174">
        <v>2</v>
      </c>
      <c r="F174" s="1" t="s">
        <v>209</v>
      </c>
    </row>
    <row r="175" spans="1:6" x14ac:dyDescent="0.35">
      <c r="A175" s="1" t="s">
        <v>382</v>
      </c>
      <c r="B175" s="1" t="s">
        <v>178</v>
      </c>
      <c r="C175" s="1" t="s">
        <v>8</v>
      </c>
      <c r="D175" s="2">
        <v>46115</v>
      </c>
      <c r="E175">
        <v>2.2999999999999998</v>
      </c>
      <c r="F175" s="1" t="s">
        <v>209</v>
      </c>
    </row>
    <row r="176" spans="1:6" x14ac:dyDescent="0.35">
      <c r="A176" s="1" t="s">
        <v>383</v>
      </c>
      <c r="B176" s="1" t="s">
        <v>178</v>
      </c>
      <c r="C176" s="1" t="s">
        <v>8</v>
      </c>
      <c r="D176" s="2">
        <v>46118</v>
      </c>
      <c r="E176">
        <v>2.2999999999999998</v>
      </c>
      <c r="F176" s="1" t="s">
        <v>209</v>
      </c>
    </row>
    <row r="177" spans="1:6" x14ac:dyDescent="0.35">
      <c r="A177" s="1" t="s">
        <v>384</v>
      </c>
      <c r="B177" s="1" t="s">
        <v>178</v>
      </c>
      <c r="C177" s="1" t="s">
        <v>8</v>
      </c>
      <c r="D177" s="2">
        <v>46120</v>
      </c>
      <c r="E177">
        <v>1.7</v>
      </c>
      <c r="F177" s="1" t="s">
        <v>209</v>
      </c>
    </row>
    <row r="178" spans="1:6" x14ac:dyDescent="0.35">
      <c r="A178" s="1" t="s">
        <v>385</v>
      </c>
      <c r="B178" s="1" t="s">
        <v>178</v>
      </c>
      <c r="C178" s="1" t="s">
        <v>8</v>
      </c>
      <c r="D178" s="2">
        <v>46122</v>
      </c>
      <c r="E178">
        <v>1.6</v>
      </c>
      <c r="F178" s="1" t="s">
        <v>209</v>
      </c>
    </row>
    <row r="179" spans="1:6" x14ac:dyDescent="0.35">
      <c r="A179" s="1" t="s">
        <v>386</v>
      </c>
      <c r="B179" s="1" t="s">
        <v>178</v>
      </c>
      <c r="C179" s="1" t="s">
        <v>8</v>
      </c>
      <c r="D179" s="2">
        <v>46125</v>
      </c>
      <c r="E179">
        <v>1.9</v>
      </c>
      <c r="F179" s="1" t="s">
        <v>209</v>
      </c>
    </row>
    <row r="180" spans="1:6" x14ac:dyDescent="0.35">
      <c r="A180" s="1" t="s">
        <v>387</v>
      </c>
      <c r="B180" s="1" t="s">
        <v>178</v>
      </c>
      <c r="C180" s="1" t="s">
        <v>8</v>
      </c>
      <c r="D180" s="2">
        <v>46127</v>
      </c>
      <c r="E180">
        <v>1.9</v>
      </c>
      <c r="F180" s="1" t="s">
        <v>209</v>
      </c>
    </row>
    <row r="181" spans="1:6" x14ac:dyDescent="0.35">
      <c r="A181" s="1" t="s">
        <v>388</v>
      </c>
      <c r="B181" s="1" t="s">
        <v>183</v>
      </c>
      <c r="C181" s="1" t="s">
        <v>17</v>
      </c>
      <c r="D181" s="2">
        <v>46113</v>
      </c>
      <c r="E181">
        <v>7.7</v>
      </c>
      <c r="F181" s="1" t="s">
        <v>209</v>
      </c>
    </row>
    <row r="182" spans="1:6" x14ac:dyDescent="0.35">
      <c r="A182" s="1" t="s">
        <v>389</v>
      </c>
      <c r="B182" s="1" t="s">
        <v>183</v>
      </c>
      <c r="C182" s="1" t="s">
        <v>17</v>
      </c>
      <c r="D182" s="2">
        <v>46114</v>
      </c>
      <c r="E182">
        <v>7.9</v>
      </c>
      <c r="F182" s="1" t="s">
        <v>209</v>
      </c>
    </row>
    <row r="183" spans="1:6" x14ac:dyDescent="0.35">
      <c r="A183" s="1" t="s">
        <v>390</v>
      </c>
      <c r="B183" s="1" t="s">
        <v>183</v>
      </c>
      <c r="C183" s="1" t="s">
        <v>17</v>
      </c>
      <c r="D183" s="2">
        <v>46115</v>
      </c>
      <c r="E183">
        <v>7.9</v>
      </c>
      <c r="F183" s="1" t="s">
        <v>209</v>
      </c>
    </row>
    <row r="184" spans="1:6" x14ac:dyDescent="0.35">
      <c r="A184" s="1" t="s">
        <v>391</v>
      </c>
      <c r="B184" s="1" t="s">
        <v>183</v>
      </c>
      <c r="C184" s="1" t="s">
        <v>17</v>
      </c>
      <c r="D184" s="2">
        <v>46118</v>
      </c>
      <c r="E184">
        <v>8.1999999999999993</v>
      </c>
      <c r="F184" s="1" t="s">
        <v>209</v>
      </c>
    </row>
    <row r="185" spans="1:6" x14ac:dyDescent="0.35">
      <c r="A185" s="1" t="s">
        <v>392</v>
      </c>
      <c r="B185" s="1" t="s">
        <v>183</v>
      </c>
      <c r="C185" s="1" t="s">
        <v>17</v>
      </c>
      <c r="D185" s="2">
        <v>46119</v>
      </c>
      <c r="E185">
        <v>7.3</v>
      </c>
      <c r="F185" s="1" t="s">
        <v>209</v>
      </c>
    </row>
    <row r="186" spans="1:6" x14ac:dyDescent="0.35">
      <c r="A186" s="1" t="s">
        <v>393</v>
      </c>
      <c r="B186" s="1" t="s">
        <v>183</v>
      </c>
      <c r="C186" s="1" t="s">
        <v>17</v>
      </c>
      <c r="D186" s="2">
        <v>46120</v>
      </c>
      <c r="E186">
        <v>7.6</v>
      </c>
      <c r="F186" s="1" t="s">
        <v>209</v>
      </c>
    </row>
    <row r="187" spans="1:6" x14ac:dyDescent="0.35">
      <c r="A187" s="1" t="s">
        <v>394</v>
      </c>
      <c r="B187" s="1" t="s">
        <v>183</v>
      </c>
      <c r="C187" s="1" t="s">
        <v>17</v>
      </c>
      <c r="D187" s="2">
        <v>46121</v>
      </c>
      <c r="E187">
        <v>7.5</v>
      </c>
      <c r="F187" s="1" t="s">
        <v>209</v>
      </c>
    </row>
    <row r="188" spans="1:6" x14ac:dyDescent="0.35">
      <c r="A188" s="1" t="s">
        <v>395</v>
      </c>
      <c r="B188" s="1" t="s">
        <v>183</v>
      </c>
      <c r="C188" s="1" t="s">
        <v>17</v>
      </c>
      <c r="D188" s="2">
        <v>46122</v>
      </c>
      <c r="E188">
        <v>8.1</v>
      </c>
      <c r="F188" s="1" t="s">
        <v>209</v>
      </c>
    </row>
    <row r="189" spans="1:6" x14ac:dyDescent="0.35">
      <c r="A189" s="1" t="s">
        <v>396</v>
      </c>
      <c r="B189" s="1" t="s">
        <v>183</v>
      </c>
      <c r="C189" s="1" t="s">
        <v>17</v>
      </c>
      <c r="D189" s="2">
        <v>46125</v>
      </c>
      <c r="E189">
        <v>7.4</v>
      </c>
      <c r="F189" s="1" t="s">
        <v>209</v>
      </c>
    </row>
    <row r="190" spans="1:6" x14ac:dyDescent="0.35">
      <c r="A190" s="1" t="s">
        <v>397</v>
      </c>
      <c r="B190" s="1" t="s">
        <v>183</v>
      </c>
      <c r="C190" s="1" t="s">
        <v>17</v>
      </c>
      <c r="D190" s="2">
        <v>46126</v>
      </c>
      <c r="E190">
        <v>7.4</v>
      </c>
      <c r="F190" s="1" t="s">
        <v>209</v>
      </c>
    </row>
    <row r="191" spans="1:6" x14ac:dyDescent="0.35">
      <c r="A191" s="1" t="s">
        <v>398</v>
      </c>
      <c r="B191" s="1" t="s">
        <v>183</v>
      </c>
      <c r="C191" s="1" t="s">
        <v>17</v>
      </c>
      <c r="D191" s="2">
        <v>46127</v>
      </c>
      <c r="E191">
        <v>7.6</v>
      </c>
      <c r="F191" s="1" t="s">
        <v>209</v>
      </c>
    </row>
    <row r="192" spans="1:6" x14ac:dyDescent="0.35">
      <c r="A192" s="1" t="s">
        <v>399</v>
      </c>
      <c r="B192" s="1" t="s">
        <v>183</v>
      </c>
      <c r="C192" s="1" t="s">
        <v>17</v>
      </c>
      <c r="D192" s="2">
        <v>46128</v>
      </c>
      <c r="E192">
        <v>7.6</v>
      </c>
      <c r="F192" s="1" t="s">
        <v>209</v>
      </c>
    </row>
    <row r="193" spans="1:6" x14ac:dyDescent="0.35">
      <c r="A193" s="1" t="s">
        <v>400</v>
      </c>
      <c r="B193" s="1" t="s">
        <v>183</v>
      </c>
      <c r="C193" s="1" t="s">
        <v>17</v>
      </c>
      <c r="D193" s="2">
        <v>46129</v>
      </c>
      <c r="E193">
        <v>7.5</v>
      </c>
      <c r="F193" s="1" t="s">
        <v>209</v>
      </c>
    </row>
    <row r="194" spans="1:6" x14ac:dyDescent="0.35">
      <c r="A194" s="1" t="s">
        <v>401</v>
      </c>
      <c r="B194" s="1" t="s">
        <v>183</v>
      </c>
      <c r="C194" s="1" t="s">
        <v>17</v>
      </c>
      <c r="D194" s="2">
        <v>46132</v>
      </c>
      <c r="E194">
        <v>7.4</v>
      </c>
      <c r="F194" s="1" t="s">
        <v>209</v>
      </c>
    </row>
    <row r="195" spans="1:6" x14ac:dyDescent="0.35">
      <c r="A195" s="1" t="s">
        <v>402</v>
      </c>
      <c r="B195" s="1" t="s">
        <v>183</v>
      </c>
      <c r="C195" s="1" t="s">
        <v>17</v>
      </c>
      <c r="D195" s="2">
        <v>46133</v>
      </c>
      <c r="E195">
        <v>8.1</v>
      </c>
      <c r="F195" s="1" t="s">
        <v>209</v>
      </c>
    </row>
    <row r="196" spans="1:6" x14ac:dyDescent="0.35">
      <c r="A196" s="1" t="s">
        <v>403</v>
      </c>
      <c r="B196" s="1" t="s">
        <v>183</v>
      </c>
      <c r="C196" s="1" t="s">
        <v>17</v>
      </c>
      <c r="D196" s="2">
        <v>46134</v>
      </c>
      <c r="E196">
        <v>7.6</v>
      </c>
      <c r="F196" s="1" t="s">
        <v>209</v>
      </c>
    </row>
    <row r="197" spans="1:6" x14ac:dyDescent="0.35">
      <c r="A197" s="1" t="s">
        <v>404</v>
      </c>
      <c r="B197" s="1" t="s">
        <v>183</v>
      </c>
      <c r="C197" s="1" t="s">
        <v>17</v>
      </c>
      <c r="D197" s="2">
        <v>46135</v>
      </c>
      <c r="E197">
        <v>8.1</v>
      </c>
      <c r="F197" s="1" t="s">
        <v>209</v>
      </c>
    </row>
    <row r="198" spans="1:6" x14ac:dyDescent="0.35">
      <c r="A198" s="1" t="s">
        <v>405</v>
      </c>
      <c r="B198" s="1" t="s">
        <v>183</v>
      </c>
      <c r="C198" s="1" t="s">
        <v>17</v>
      </c>
      <c r="D198" s="2">
        <v>46136</v>
      </c>
      <c r="E198">
        <v>7.8</v>
      </c>
      <c r="F198" s="1" t="s">
        <v>209</v>
      </c>
    </row>
    <row r="199" spans="1:6" x14ac:dyDescent="0.35">
      <c r="A199" s="1" t="s">
        <v>406</v>
      </c>
      <c r="B199" s="1" t="s">
        <v>183</v>
      </c>
      <c r="C199" s="1" t="s">
        <v>17</v>
      </c>
      <c r="D199" s="2">
        <v>46139</v>
      </c>
      <c r="E199">
        <v>7.3</v>
      </c>
      <c r="F199" s="1" t="s">
        <v>209</v>
      </c>
    </row>
    <row r="200" spans="1:6" x14ac:dyDescent="0.35">
      <c r="A200" s="1" t="s">
        <v>407</v>
      </c>
      <c r="B200" s="1" t="s">
        <v>183</v>
      </c>
      <c r="C200" s="1" t="s">
        <v>17</v>
      </c>
      <c r="D200" s="2">
        <v>46140</v>
      </c>
      <c r="E200">
        <v>8.1999999999999993</v>
      </c>
      <c r="F200" s="1" t="s">
        <v>209</v>
      </c>
    </row>
    <row r="201" spans="1:6" x14ac:dyDescent="0.35">
      <c r="A201" s="1" t="s">
        <v>408</v>
      </c>
      <c r="B201" s="1" t="s">
        <v>183</v>
      </c>
      <c r="C201" s="1" t="s">
        <v>17</v>
      </c>
      <c r="D201" s="2">
        <v>46141</v>
      </c>
      <c r="E201">
        <v>8</v>
      </c>
      <c r="F201" s="1" t="s">
        <v>209</v>
      </c>
    </row>
    <row r="202" spans="1:6" x14ac:dyDescent="0.35">
      <c r="A202" s="1" t="s">
        <v>409</v>
      </c>
      <c r="B202" s="1" t="s">
        <v>183</v>
      </c>
      <c r="C202" s="1" t="s">
        <v>17</v>
      </c>
      <c r="D202" s="2">
        <v>46142</v>
      </c>
      <c r="E202">
        <v>8.1999999999999993</v>
      </c>
      <c r="F202" s="1" t="s">
        <v>209</v>
      </c>
    </row>
    <row r="203" spans="1:6" x14ac:dyDescent="0.35">
      <c r="A203" s="1" t="s">
        <v>410</v>
      </c>
      <c r="B203" s="1" t="s">
        <v>183</v>
      </c>
      <c r="C203" s="1" t="s">
        <v>17</v>
      </c>
      <c r="D203" s="2">
        <v>46143</v>
      </c>
      <c r="E203">
        <v>8.1</v>
      </c>
      <c r="F203" s="1" t="s">
        <v>209</v>
      </c>
    </row>
    <row r="204" spans="1:6" x14ac:dyDescent="0.35">
      <c r="A204" s="1" t="s">
        <v>411</v>
      </c>
      <c r="B204" s="1" t="s">
        <v>183</v>
      </c>
      <c r="C204" s="1" t="s">
        <v>17</v>
      </c>
      <c r="D204" s="2">
        <v>46146</v>
      </c>
      <c r="E204">
        <v>8</v>
      </c>
      <c r="F204" s="1" t="s">
        <v>209</v>
      </c>
    </row>
    <row r="205" spans="1:6" x14ac:dyDescent="0.35">
      <c r="A205" s="1" t="s">
        <v>412</v>
      </c>
      <c r="B205" s="1" t="s">
        <v>183</v>
      </c>
      <c r="C205" s="1" t="s">
        <v>17</v>
      </c>
      <c r="D205" s="2">
        <v>46147</v>
      </c>
      <c r="E205">
        <v>7.4</v>
      </c>
      <c r="F205" s="1" t="s">
        <v>209</v>
      </c>
    </row>
    <row r="206" spans="1:6" x14ac:dyDescent="0.35">
      <c r="A206" s="1" t="s">
        <v>413</v>
      </c>
      <c r="B206" s="1" t="s">
        <v>183</v>
      </c>
      <c r="C206" s="1" t="s">
        <v>17</v>
      </c>
      <c r="D206" s="2">
        <v>46148</v>
      </c>
      <c r="E206">
        <v>7.7</v>
      </c>
      <c r="F206" s="1" t="s">
        <v>209</v>
      </c>
    </row>
    <row r="207" spans="1:6" x14ac:dyDescent="0.35">
      <c r="A207" s="1" t="s">
        <v>414</v>
      </c>
      <c r="B207" s="1" t="s">
        <v>183</v>
      </c>
      <c r="C207" s="1" t="s">
        <v>17</v>
      </c>
      <c r="D207" s="2">
        <v>46149</v>
      </c>
      <c r="E207">
        <v>7.4</v>
      </c>
      <c r="F207" s="1" t="s">
        <v>209</v>
      </c>
    </row>
    <row r="208" spans="1:6" x14ac:dyDescent="0.35">
      <c r="A208" s="1" t="s">
        <v>415</v>
      </c>
      <c r="B208" s="1" t="s">
        <v>183</v>
      </c>
      <c r="C208" s="1" t="s">
        <v>17</v>
      </c>
      <c r="D208" s="2">
        <v>46150</v>
      </c>
      <c r="E208">
        <v>7.6</v>
      </c>
      <c r="F208" s="1" t="s">
        <v>209</v>
      </c>
    </row>
    <row r="209" spans="1:6" x14ac:dyDescent="0.35">
      <c r="A209" s="1" t="s">
        <v>416</v>
      </c>
      <c r="B209" s="1" t="s">
        <v>183</v>
      </c>
      <c r="C209" s="1" t="s">
        <v>17</v>
      </c>
      <c r="D209" s="2">
        <v>46153</v>
      </c>
      <c r="E209">
        <v>7.3</v>
      </c>
      <c r="F209" s="1" t="s">
        <v>209</v>
      </c>
    </row>
    <row r="210" spans="1:6" x14ac:dyDescent="0.35">
      <c r="A210" s="1" t="s">
        <v>417</v>
      </c>
      <c r="B210" s="1" t="s">
        <v>183</v>
      </c>
      <c r="C210" s="1" t="s">
        <v>17</v>
      </c>
      <c r="D210" s="2">
        <v>46154</v>
      </c>
      <c r="E210">
        <v>7.6</v>
      </c>
      <c r="F210" s="1" t="s">
        <v>209</v>
      </c>
    </row>
    <row r="211" spans="1:6" x14ac:dyDescent="0.35">
      <c r="A211" s="1" t="s">
        <v>418</v>
      </c>
      <c r="B211" s="1" t="s">
        <v>183</v>
      </c>
      <c r="C211" s="1" t="s">
        <v>17</v>
      </c>
      <c r="D211" s="2">
        <v>46155</v>
      </c>
      <c r="E211">
        <v>8.1999999999999993</v>
      </c>
      <c r="F211" s="1" t="s">
        <v>209</v>
      </c>
    </row>
    <row r="212" spans="1:6" x14ac:dyDescent="0.35">
      <c r="A212" s="1" t="s">
        <v>419</v>
      </c>
      <c r="B212" s="1" t="s">
        <v>183</v>
      </c>
      <c r="C212" s="1" t="s">
        <v>17</v>
      </c>
      <c r="D212" s="2">
        <v>46156</v>
      </c>
      <c r="E212">
        <v>7.5</v>
      </c>
      <c r="F212" s="1" t="s">
        <v>209</v>
      </c>
    </row>
    <row r="213" spans="1:6" x14ac:dyDescent="0.35">
      <c r="A213" s="1" t="s">
        <v>420</v>
      </c>
      <c r="B213" s="1" t="s">
        <v>183</v>
      </c>
      <c r="C213" s="1" t="s">
        <v>17</v>
      </c>
      <c r="D213" s="2">
        <v>46157</v>
      </c>
      <c r="E213">
        <v>8</v>
      </c>
      <c r="F213" s="1" t="s">
        <v>209</v>
      </c>
    </row>
    <row r="214" spans="1:6" x14ac:dyDescent="0.35">
      <c r="A214" s="1" t="s">
        <v>421</v>
      </c>
      <c r="B214" s="1" t="s">
        <v>183</v>
      </c>
      <c r="C214" s="1" t="s">
        <v>17</v>
      </c>
      <c r="D214" s="2">
        <v>46160</v>
      </c>
      <c r="E214">
        <v>7.7</v>
      </c>
      <c r="F214" s="1" t="s">
        <v>209</v>
      </c>
    </row>
    <row r="215" spans="1:6" x14ac:dyDescent="0.35">
      <c r="A215" s="1" t="s">
        <v>422</v>
      </c>
      <c r="B215" s="1" t="s">
        <v>183</v>
      </c>
      <c r="C215" s="1" t="s">
        <v>17</v>
      </c>
      <c r="D215" s="2">
        <v>46161</v>
      </c>
      <c r="E215">
        <v>7.6</v>
      </c>
      <c r="F215" s="1" t="s">
        <v>209</v>
      </c>
    </row>
    <row r="216" spans="1:6" x14ac:dyDescent="0.35">
      <c r="A216" s="1" t="s">
        <v>423</v>
      </c>
      <c r="B216" s="1" t="s">
        <v>183</v>
      </c>
      <c r="C216" s="1" t="s">
        <v>17</v>
      </c>
      <c r="D216" s="2">
        <v>46162</v>
      </c>
      <c r="E216">
        <v>8.1999999999999993</v>
      </c>
      <c r="F216" s="1" t="s">
        <v>209</v>
      </c>
    </row>
    <row r="217" spans="1:6" x14ac:dyDescent="0.35">
      <c r="A217" s="1" t="s">
        <v>424</v>
      </c>
      <c r="B217" s="1" t="s">
        <v>183</v>
      </c>
      <c r="C217" s="1" t="s">
        <v>17</v>
      </c>
      <c r="D217" s="2">
        <v>46163</v>
      </c>
      <c r="E217">
        <v>8.1999999999999993</v>
      </c>
      <c r="F217" s="1" t="s">
        <v>209</v>
      </c>
    </row>
    <row r="218" spans="1:6" x14ac:dyDescent="0.35">
      <c r="A218" s="1" t="s">
        <v>425</v>
      </c>
      <c r="B218" s="1" t="s">
        <v>183</v>
      </c>
      <c r="C218" s="1" t="s">
        <v>17</v>
      </c>
      <c r="D218" s="2">
        <v>46164</v>
      </c>
      <c r="E218">
        <v>7.8</v>
      </c>
      <c r="F218" s="1" t="s">
        <v>209</v>
      </c>
    </row>
    <row r="219" spans="1:6" x14ac:dyDescent="0.35">
      <c r="A219" s="1" t="s">
        <v>426</v>
      </c>
      <c r="B219" s="1" t="s">
        <v>183</v>
      </c>
      <c r="C219" s="1" t="s">
        <v>17</v>
      </c>
      <c r="D219" s="2">
        <v>46167</v>
      </c>
      <c r="E219">
        <v>7.9</v>
      </c>
      <c r="F219" s="1" t="s">
        <v>209</v>
      </c>
    </row>
    <row r="220" spans="1:6" x14ac:dyDescent="0.35">
      <c r="A220" s="1" t="s">
        <v>427</v>
      </c>
      <c r="B220" s="1" t="s">
        <v>183</v>
      </c>
      <c r="C220" s="1" t="s">
        <v>17</v>
      </c>
      <c r="D220" s="2">
        <v>46168</v>
      </c>
      <c r="E220">
        <v>7.4</v>
      </c>
      <c r="F220" s="1" t="s">
        <v>209</v>
      </c>
    </row>
    <row r="221" spans="1:6" x14ac:dyDescent="0.35">
      <c r="A221" s="1" t="s">
        <v>428</v>
      </c>
      <c r="B221" s="1" t="s">
        <v>183</v>
      </c>
      <c r="C221" s="1" t="s">
        <v>17</v>
      </c>
      <c r="D221" s="2">
        <v>46169</v>
      </c>
      <c r="E221">
        <v>7.5</v>
      </c>
      <c r="F221" s="1" t="s">
        <v>209</v>
      </c>
    </row>
    <row r="222" spans="1:6" x14ac:dyDescent="0.35">
      <c r="A222" s="1" t="s">
        <v>429</v>
      </c>
      <c r="B222" s="1" t="s">
        <v>183</v>
      </c>
      <c r="C222" s="1" t="s">
        <v>17</v>
      </c>
      <c r="D222" s="2">
        <v>46170</v>
      </c>
      <c r="E222">
        <v>8.1999999999999993</v>
      </c>
      <c r="F222" s="1" t="s">
        <v>209</v>
      </c>
    </row>
    <row r="223" spans="1:6" x14ac:dyDescent="0.35">
      <c r="A223" s="1" t="s">
        <v>430</v>
      </c>
      <c r="B223" s="1" t="s">
        <v>183</v>
      </c>
      <c r="C223" s="1" t="s">
        <v>17</v>
      </c>
      <c r="D223" s="2">
        <v>46171</v>
      </c>
      <c r="E223">
        <v>7.8</v>
      </c>
      <c r="F223" s="1" t="s">
        <v>209</v>
      </c>
    </row>
    <row r="224" spans="1:6" x14ac:dyDescent="0.35">
      <c r="A224" s="1" t="s">
        <v>431</v>
      </c>
      <c r="B224" s="1" t="s">
        <v>180</v>
      </c>
      <c r="C224" s="1" t="s">
        <v>17</v>
      </c>
      <c r="D224" s="2">
        <v>46114</v>
      </c>
      <c r="E224">
        <v>4</v>
      </c>
      <c r="F224" s="1" t="s">
        <v>209</v>
      </c>
    </row>
    <row r="225" spans="1:6" x14ac:dyDescent="0.35">
      <c r="A225" s="1" t="s">
        <v>432</v>
      </c>
      <c r="B225" s="1" t="s">
        <v>180</v>
      </c>
      <c r="C225" s="1" t="s">
        <v>17</v>
      </c>
      <c r="D225" s="2">
        <v>46119</v>
      </c>
      <c r="E225">
        <v>4.2</v>
      </c>
      <c r="F225" s="1" t="s">
        <v>209</v>
      </c>
    </row>
    <row r="226" spans="1:6" x14ac:dyDescent="0.35">
      <c r="A226" s="1" t="s">
        <v>433</v>
      </c>
      <c r="B226" s="1" t="s">
        <v>180</v>
      </c>
      <c r="C226" s="1" t="s">
        <v>17</v>
      </c>
      <c r="D226" s="2">
        <v>46121</v>
      </c>
      <c r="E226">
        <v>3.6</v>
      </c>
      <c r="F226" s="1" t="s">
        <v>209</v>
      </c>
    </row>
    <row r="227" spans="1:6" x14ac:dyDescent="0.35">
      <c r="A227" s="1" t="s">
        <v>434</v>
      </c>
      <c r="B227" s="1" t="s">
        <v>180</v>
      </c>
      <c r="C227" s="1" t="s">
        <v>17</v>
      </c>
      <c r="D227" s="2">
        <v>46126</v>
      </c>
      <c r="E227">
        <v>4.0999999999999996</v>
      </c>
      <c r="F227" s="1" t="s">
        <v>209</v>
      </c>
    </row>
    <row r="228" spans="1:6" x14ac:dyDescent="0.35">
      <c r="A228" s="1" t="s">
        <v>435</v>
      </c>
      <c r="B228" s="1" t="s">
        <v>180</v>
      </c>
      <c r="C228" s="1" t="s">
        <v>17</v>
      </c>
      <c r="D228" s="2">
        <v>46128</v>
      </c>
      <c r="E228">
        <v>4</v>
      </c>
      <c r="F228" s="1" t="s">
        <v>209</v>
      </c>
    </row>
    <row r="229" spans="1:6" x14ac:dyDescent="0.35">
      <c r="A229" s="1" t="s">
        <v>436</v>
      </c>
      <c r="B229" s="1" t="s">
        <v>180</v>
      </c>
      <c r="C229" s="1" t="s">
        <v>17</v>
      </c>
      <c r="D229" s="2">
        <v>46133</v>
      </c>
      <c r="E229">
        <v>4.4000000000000004</v>
      </c>
      <c r="F229" s="1" t="s">
        <v>209</v>
      </c>
    </row>
    <row r="230" spans="1:6" x14ac:dyDescent="0.35">
      <c r="A230" s="1" t="s">
        <v>437</v>
      </c>
      <c r="B230" s="1" t="s">
        <v>180</v>
      </c>
      <c r="C230" s="1" t="s">
        <v>17</v>
      </c>
      <c r="D230" s="2">
        <v>46135</v>
      </c>
      <c r="E230">
        <v>3.7</v>
      </c>
      <c r="F230" s="1" t="s">
        <v>209</v>
      </c>
    </row>
    <row r="231" spans="1:6" x14ac:dyDescent="0.35">
      <c r="A231" s="1" t="s">
        <v>438</v>
      </c>
      <c r="B231" s="1" t="s">
        <v>180</v>
      </c>
      <c r="C231" s="1" t="s">
        <v>17</v>
      </c>
      <c r="D231" s="2">
        <v>46140</v>
      </c>
      <c r="E231">
        <v>4.5</v>
      </c>
      <c r="F231" s="1" t="s">
        <v>209</v>
      </c>
    </row>
    <row r="232" spans="1:6" x14ac:dyDescent="0.35">
      <c r="A232" s="1" t="s">
        <v>439</v>
      </c>
      <c r="B232" s="1" t="s">
        <v>180</v>
      </c>
      <c r="C232" s="1" t="s">
        <v>17</v>
      </c>
      <c r="D232" s="2">
        <v>46142</v>
      </c>
      <c r="E232">
        <v>3.6</v>
      </c>
      <c r="F232" s="1" t="s">
        <v>209</v>
      </c>
    </row>
    <row r="233" spans="1:6" x14ac:dyDescent="0.35">
      <c r="A233" s="1" t="s">
        <v>440</v>
      </c>
      <c r="B233" s="1" t="s">
        <v>180</v>
      </c>
      <c r="C233" s="1" t="s">
        <v>17</v>
      </c>
      <c r="D233" s="2">
        <v>46147</v>
      </c>
      <c r="E233">
        <v>3.7</v>
      </c>
      <c r="F233" s="1" t="s">
        <v>209</v>
      </c>
    </row>
    <row r="234" spans="1:6" x14ac:dyDescent="0.35">
      <c r="A234" s="1" t="s">
        <v>441</v>
      </c>
      <c r="B234" s="1" t="s">
        <v>180</v>
      </c>
      <c r="C234" s="1" t="s">
        <v>17</v>
      </c>
      <c r="D234" s="2">
        <v>46149</v>
      </c>
      <c r="E234">
        <v>4.0999999999999996</v>
      </c>
      <c r="F234" s="1" t="s">
        <v>209</v>
      </c>
    </row>
    <row r="235" spans="1:6" x14ac:dyDescent="0.35">
      <c r="A235" s="1" t="s">
        <v>442</v>
      </c>
      <c r="B235" s="1" t="s">
        <v>180</v>
      </c>
      <c r="C235" s="1" t="s">
        <v>17</v>
      </c>
      <c r="D235" s="2">
        <v>46154</v>
      </c>
      <c r="E235">
        <v>4.2</v>
      </c>
      <c r="F235" s="1" t="s">
        <v>209</v>
      </c>
    </row>
    <row r="236" spans="1:6" x14ac:dyDescent="0.35">
      <c r="A236" s="1" t="s">
        <v>443</v>
      </c>
      <c r="B236" s="1" t="s">
        <v>180</v>
      </c>
      <c r="C236" s="1" t="s">
        <v>17</v>
      </c>
      <c r="D236" s="2">
        <v>46156</v>
      </c>
      <c r="E236">
        <v>3.7</v>
      </c>
      <c r="F236" s="1" t="s">
        <v>209</v>
      </c>
    </row>
    <row r="237" spans="1:6" x14ac:dyDescent="0.35">
      <c r="A237" s="1" t="s">
        <v>444</v>
      </c>
      <c r="B237" s="1" t="s">
        <v>180</v>
      </c>
      <c r="C237" s="1" t="s">
        <v>17</v>
      </c>
      <c r="D237" s="2">
        <v>46161</v>
      </c>
      <c r="E237">
        <v>3.6</v>
      </c>
      <c r="F237" s="1" t="s">
        <v>209</v>
      </c>
    </row>
    <row r="238" spans="1:6" x14ac:dyDescent="0.35">
      <c r="A238" s="1" t="s">
        <v>445</v>
      </c>
      <c r="B238" s="1" t="s">
        <v>180</v>
      </c>
      <c r="C238" s="1" t="s">
        <v>17</v>
      </c>
      <c r="D238" s="2">
        <v>46163</v>
      </c>
      <c r="E238">
        <v>4.4000000000000004</v>
      </c>
      <c r="F238" s="1" t="s">
        <v>209</v>
      </c>
    </row>
    <row r="239" spans="1:6" x14ac:dyDescent="0.35">
      <c r="A239" s="1" t="s">
        <v>446</v>
      </c>
      <c r="B239" s="1" t="s">
        <v>180</v>
      </c>
      <c r="C239" s="1" t="s">
        <v>17</v>
      </c>
      <c r="D239" s="2">
        <v>46168</v>
      </c>
      <c r="E239">
        <v>3.7</v>
      </c>
      <c r="F239" s="1" t="s">
        <v>209</v>
      </c>
    </row>
    <row r="240" spans="1:6" x14ac:dyDescent="0.35">
      <c r="A240" s="1" t="s">
        <v>447</v>
      </c>
      <c r="B240" s="1" t="s">
        <v>180</v>
      </c>
      <c r="C240" s="1" t="s">
        <v>17</v>
      </c>
      <c r="D240" s="2">
        <v>46170</v>
      </c>
      <c r="E240">
        <v>4.0999999999999996</v>
      </c>
      <c r="F240" s="1" t="s">
        <v>209</v>
      </c>
    </row>
    <row r="241" spans="1:6" x14ac:dyDescent="0.35">
      <c r="A241" s="1" t="s">
        <v>448</v>
      </c>
      <c r="B241" s="1" t="s">
        <v>176</v>
      </c>
      <c r="C241" s="1" t="s">
        <v>26</v>
      </c>
      <c r="D241" s="2">
        <v>46174</v>
      </c>
      <c r="E241">
        <v>4.0999999999999996</v>
      </c>
      <c r="F241" s="1" t="s">
        <v>209</v>
      </c>
    </row>
    <row r="242" spans="1:6" x14ac:dyDescent="0.35">
      <c r="A242" s="1" t="s">
        <v>449</v>
      </c>
      <c r="B242" s="1" t="s">
        <v>176</v>
      </c>
      <c r="C242" s="1" t="s">
        <v>26</v>
      </c>
      <c r="D242" s="2">
        <v>46175</v>
      </c>
      <c r="E242">
        <v>3.9</v>
      </c>
      <c r="F242" s="1" t="s">
        <v>209</v>
      </c>
    </row>
    <row r="243" spans="1:6" x14ac:dyDescent="0.35">
      <c r="A243" s="1" t="s">
        <v>450</v>
      </c>
      <c r="B243" s="1" t="s">
        <v>176</v>
      </c>
      <c r="C243" s="1" t="s">
        <v>26</v>
      </c>
      <c r="D243" s="2">
        <v>46176</v>
      </c>
      <c r="E243">
        <v>4.0999999999999996</v>
      </c>
      <c r="F243" s="1" t="s">
        <v>209</v>
      </c>
    </row>
    <row r="244" spans="1:6" x14ac:dyDescent="0.35">
      <c r="A244" s="1" t="s">
        <v>451</v>
      </c>
      <c r="B244" s="1" t="s">
        <v>176</v>
      </c>
      <c r="C244" s="1" t="s">
        <v>26</v>
      </c>
      <c r="D244" s="2">
        <v>46177</v>
      </c>
      <c r="E244">
        <v>4</v>
      </c>
      <c r="F244" s="1" t="s">
        <v>209</v>
      </c>
    </row>
    <row r="245" spans="1:6" x14ac:dyDescent="0.35">
      <c r="A245" s="1" t="s">
        <v>452</v>
      </c>
      <c r="B245" s="1" t="s">
        <v>176</v>
      </c>
      <c r="C245" s="1" t="s">
        <v>26</v>
      </c>
      <c r="D245" s="2">
        <v>46178</v>
      </c>
      <c r="E245">
        <v>4.4000000000000004</v>
      </c>
      <c r="F245" s="1" t="s">
        <v>209</v>
      </c>
    </row>
    <row r="246" spans="1:6" x14ac:dyDescent="0.35">
      <c r="A246" s="1" t="s">
        <v>453</v>
      </c>
      <c r="B246" s="1" t="s">
        <v>176</v>
      </c>
      <c r="C246" s="1" t="s">
        <v>26</v>
      </c>
      <c r="D246" s="2">
        <v>46181</v>
      </c>
      <c r="E246">
        <v>3.7</v>
      </c>
      <c r="F246" s="1" t="s">
        <v>209</v>
      </c>
    </row>
    <row r="247" spans="1:6" x14ac:dyDescent="0.35">
      <c r="A247" s="1" t="s">
        <v>454</v>
      </c>
      <c r="B247" s="1" t="s">
        <v>176</v>
      </c>
      <c r="C247" s="1" t="s">
        <v>26</v>
      </c>
      <c r="D247" s="2">
        <v>46182</v>
      </c>
      <c r="E247">
        <v>4.2</v>
      </c>
      <c r="F247" s="1" t="s">
        <v>209</v>
      </c>
    </row>
    <row r="248" spans="1:6" x14ac:dyDescent="0.35">
      <c r="A248" s="1" t="s">
        <v>455</v>
      </c>
      <c r="B248" s="1" t="s">
        <v>176</v>
      </c>
      <c r="C248" s="1" t="s">
        <v>26</v>
      </c>
      <c r="D248" s="2">
        <v>46183</v>
      </c>
      <c r="E248">
        <v>3.7</v>
      </c>
      <c r="F248" s="1" t="s">
        <v>209</v>
      </c>
    </row>
    <row r="249" spans="1:6" x14ac:dyDescent="0.35">
      <c r="A249" s="1" t="s">
        <v>456</v>
      </c>
      <c r="B249" s="1" t="s">
        <v>176</v>
      </c>
      <c r="C249" s="1" t="s">
        <v>26</v>
      </c>
      <c r="D249" s="2">
        <v>46184</v>
      </c>
      <c r="E249">
        <v>3.9</v>
      </c>
      <c r="F249" s="1" t="s">
        <v>209</v>
      </c>
    </row>
    <row r="250" spans="1:6" x14ac:dyDescent="0.35">
      <c r="A250" s="1" t="s">
        <v>457</v>
      </c>
      <c r="B250" s="1" t="s">
        <v>176</v>
      </c>
      <c r="C250" s="1" t="s">
        <v>26</v>
      </c>
      <c r="D250" s="2">
        <v>46185</v>
      </c>
      <c r="E250">
        <v>4.2</v>
      </c>
      <c r="F250" s="1" t="s">
        <v>209</v>
      </c>
    </row>
    <row r="251" spans="1:6" x14ac:dyDescent="0.35">
      <c r="A251" s="1" t="s">
        <v>458</v>
      </c>
      <c r="B251" s="1" t="s">
        <v>176</v>
      </c>
      <c r="C251" s="1" t="s">
        <v>26</v>
      </c>
      <c r="D251" s="2">
        <v>46188</v>
      </c>
      <c r="E251">
        <v>3.8</v>
      </c>
      <c r="F251" s="1" t="s">
        <v>209</v>
      </c>
    </row>
    <row r="252" spans="1:6" x14ac:dyDescent="0.35">
      <c r="A252" s="1" t="s">
        <v>459</v>
      </c>
      <c r="B252" s="1" t="s">
        <v>176</v>
      </c>
      <c r="C252" s="1" t="s">
        <v>26</v>
      </c>
      <c r="D252" s="2">
        <v>46189</v>
      </c>
      <c r="E252">
        <v>3.8</v>
      </c>
      <c r="F252" s="1" t="s">
        <v>209</v>
      </c>
    </row>
    <row r="253" spans="1:6" x14ac:dyDescent="0.35">
      <c r="A253" s="1" t="s">
        <v>460</v>
      </c>
      <c r="B253" s="1" t="s">
        <v>176</v>
      </c>
      <c r="C253" s="1" t="s">
        <v>26</v>
      </c>
      <c r="D253" s="2">
        <v>46190</v>
      </c>
      <c r="E253">
        <v>4.3</v>
      </c>
      <c r="F253" s="1" t="s">
        <v>209</v>
      </c>
    </row>
    <row r="254" spans="1:6" x14ac:dyDescent="0.35">
      <c r="A254" s="1" t="s">
        <v>461</v>
      </c>
      <c r="B254" s="1" t="s">
        <v>176</v>
      </c>
      <c r="C254" s="1" t="s">
        <v>26</v>
      </c>
      <c r="D254" s="2">
        <v>46191</v>
      </c>
      <c r="E254">
        <v>3.6</v>
      </c>
      <c r="F254" s="1" t="s">
        <v>209</v>
      </c>
    </row>
    <row r="255" spans="1:6" x14ac:dyDescent="0.35">
      <c r="A255" s="1" t="s">
        <v>462</v>
      </c>
      <c r="B255" s="1" t="s">
        <v>176</v>
      </c>
      <c r="C255" s="1" t="s">
        <v>26</v>
      </c>
      <c r="D255" s="2">
        <v>46192</v>
      </c>
      <c r="E255">
        <v>4</v>
      </c>
      <c r="F255" s="1" t="s">
        <v>209</v>
      </c>
    </row>
    <row r="256" spans="1:6" x14ac:dyDescent="0.35">
      <c r="A256" s="1" t="s">
        <v>463</v>
      </c>
      <c r="B256" s="1" t="s">
        <v>176</v>
      </c>
      <c r="C256" s="1" t="s">
        <v>26</v>
      </c>
      <c r="D256" s="2">
        <v>46195</v>
      </c>
      <c r="E256">
        <v>4.5</v>
      </c>
      <c r="F256" s="1" t="s">
        <v>209</v>
      </c>
    </row>
    <row r="257" spans="1:6" x14ac:dyDescent="0.35">
      <c r="A257" s="1" t="s">
        <v>464</v>
      </c>
      <c r="B257" s="1" t="s">
        <v>176</v>
      </c>
      <c r="C257" s="1" t="s">
        <v>26</v>
      </c>
      <c r="D257" s="2">
        <v>46196</v>
      </c>
      <c r="E257">
        <v>4.5</v>
      </c>
      <c r="F257" s="1" t="s">
        <v>209</v>
      </c>
    </row>
    <row r="258" spans="1:6" x14ac:dyDescent="0.35">
      <c r="A258" s="1" t="s">
        <v>465</v>
      </c>
      <c r="B258" s="1" t="s">
        <v>176</v>
      </c>
      <c r="C258" s="1" t="s">
        <v>26</v>
      </c>
      <c r="D258" s="2">
        <v>46197</v>
      </c>
      <c r="E258">
        <v>3.6</v>
      </c>
      <c r="F258" s="1" t="s">
        <v>209</v>
      </c>
    </row>
    <row r="259" spans="1:6" x14ac:dyDescent="0.35">
      <c r="A259" s="1" t="s">
        <v>466</v>
      </c>
      <c r="B259" s="1" t="s">
        <v>176</v>
      </c>
      <c r="C259" s="1" t="s">
        <v>26</v>
      </c>
      <c r="D259" s="2">
        <v>46198</v>
      </c>
      <c r="E259">
        <v>3.7</v>
      </c>
      <c r="F259" s="1" t="s">
        <v>209</v>
      </c>
    </row>
    <row r="260" spans="1:6" x14ac:dyDescent="0.35">
      <c r="A260" s="1" t="s">
        <v>467</v>
      </c>
      <c r="B260" s="1" t="s">
        <v>176</v>
      </c>
      <c r="C260" s="1" t="s">
        <v>26</v>
      </c>
      <c r="D260" s="2">
        <v>46199</v>
      </c>
      <c r="E260">
        <v>3.8</v>
      </c>
      <c r="F260" s="1" t="s">
        <v>209</v>
      </c>
    </row>
    <row r="261" spans="1:6" x14ac:dyDescent="0.35">
      <c r="A261" s="1" t="s">
        <v>468</v>
      </c>
      <c r="B261" s="1" t="s">
        <v>176</v>
      </c>
      <c r="C261" s="1" t="s">
        <v>26</v>
      </c>
      <c r="D261" s="2">
        <v>46202</v>
      </c>
      <c r="E261">
        <v>4.4000000000000004</v>
      </c>
      <c r="F261" s="1" t="s">
        <v>209</v>
      </c>
    </row>
    <row r="262" spans="1:6" x14ac:dyDescent="0.35">
      <c r="A262" s="1" t="s">
        <v>469</v>
      </c>
      <c r="B262" s="1" t="s">
        <v>176</v>
      </c>
      <c r="C262" s="1" t="s">
        <v>26</v>
      </c>
      <c r="D262" s="2">
        <v>46203</v>
      </c>
      <c r="E262">
        <v>4.4000000000000004</v>
      </c>
      <c r="F262" s="1" t="s">
        <v>209</v>
      </c>
    </row>
    <row r="263" spans="1:6" x14ac:dyDescent="0.35">
      <c r="A263" s="1" t="s">
        <v>470</v>
      </c>
      <c r="B263" s="1" t="s">
        <v>183</v>
      </c>
      <c r="C263" s="1" t="s">
        <v>26</v>
      </c>
      <c r="D263" s="2">
        <v>46174</v>
      </c>
      <c r="E263">
        <v>7.9</v>
      </c>
      <c r="F263" s="1" t="s">
        <v>209</v>
      </c>
    </row>
    <row r="264" spans="1:6" x14ac:dyDescent="0.35">
      <c r="A264" s="1" t="s">
        <v>471</v>
      </c>
      <c r="B264" s="1" t="s">
        <v>183</v>
      </c>
      <c r="C264" s="1" t="s">
        <v>26</v>
      </c>
      <c r="D264" s="2">
        <v>46175</v>
      </c>
      <c r="E264">
        <v>7.4</v>
      </c>
      <c r="F264" s="1" t="s">
        <v>209</v>
      </c>
    </row>
    <row r="265" spans="1:6" x14ac:dyDescent="0.35">
      <c r="A265" s="1" t="s">
        <v>472</v>
      </c>
      <c r="B265" s="1" t="s">
        <v>183</v>
      </c>
      <c r="C265" s="1" t="s">
        <v>26</v>
      </c>
      <c r="D265" s="2">
        <v>46176</v>
      </c>
      <c r="E265">
        <v>7.2</v>
      </c>
      <c r="F265" s="1" t="s">
        <v>209</v>
      </c>
    </row>
    <row r="266" spans="1:6" x14ac:dyDescent="0.35">
      <c r="A266" s="1" t="s">
        <v>473</v>
      </c>
      <c r="B266" s="1" t="s">
        <v>183</v>
      </c>
      <c r="C266" s="1" t="s">
        <v>26</v>
      </c>
      <c r="D266" s="2">
        <v>46177</v>
      </c>
      <c r="E266">
        <v>7.8</v>
      </c>
      <c r="F266" s="1" t="s">
        <v>209</v>
      </c>
    </row>
    <row r="267" spans="1:6" x14ac:dyDescent="0.35">
      <c r="A267" s="1" t="s">
        <v>474</v>
      </c>
      <c r="B267" s="1" t="s">
        <v>183</v>
      </c>
      <c r="C267" s="1" t="s">
        <v>26</v>
      </c>
      <c r="D267" s="2">
        <v>46178</v>
      </c>
      <c r="E267">
        <v>7.7</v>
      </c>
      <c r="F267" s="1" t="s">
        <v>209</v>
      </c>
    </row>
    <row r="268" spans="1:6" x14ac:dyDescent="0.35">
      <c r="A268" s="1" t="s">
        <v>475</v>
      </c>
      <c r="B268" s="1" t="s">
        <v>183</v>
      </c>
      <c r="C268" s="1" t="s">
        <v>26</v>
      </c>
      <c r="D268" s="2">
        <v>46181</v>
      </c>
      <c r="E268">
        <v>7.6</v>
      </c>
      <c r="F268" s="1" t="s">
        <v>209</v>
      </c>
    </row>
    <row r="269" spans="1:6" x14ac:dyDescent="0.35">
      <c r="A269" s="1" t="s">
        <v>476</v>
      </c>
      <c r="B269" s="1" t="s">
        <v>183</v>
      </c>
      <c r="C269" s="1" t="s">
        <v>26</v>
      </c>
      <c r="D269" s="2">
        <v>46182</v>
      </c>
      <c r="E269">
        <v>8</v>
      </c>
      <c r="F269" s="1" t="s">
        <v>209</v>
      </c>
    </row>
    <row r="270" spans="1:6" x14ac:dyDescent="0.35">
      <c r="A270" s="1" t="s">
        <v>477</v>
      </c>
      <c r="B270" s="1" t="s">
        <v>183</v>
      </c>
      <c r="C270" s="1" t="s">
        <v>26</v>
      </c>
      <c r="D270" s="2">
        <v>46183</v>
      </c>
      <c r="E270">
        <v>7.7</v>
      </c>
      <c r="F270" s="1" t="s">
        <v>209</v>
      </c>
    </row>
    <row r="271" spans="1:6" x14ac:dyDescent="0.35">
      <c r="A271" s="1" t="s">
        <v>478</v>
      </c>
      <c r="B271" s="1" t="s">
        <v>183</v>
      </c>
      <c r="C271" s="1" t="s">
        <v>26</v>
      </c>
      <c r="D271" s="2">
        <v>46184</v>
      </c>
      <c r="E271">
        <v>7</v>
      </c>
      <c r="F271" s="1" t="s">
        <v>209</v>
      </c>
    </row>
    <row r="272" spans="1:6" x14ac:dyDescent="0.35">
      <c r="A272" s="1" t="s">
        <v>479</v>
      </c>
      <c r="B272" s="1" t="s">
        <v>183</v>
      </c>
      <c r="C272" s="1" t="s">
        <v>26</v>
      </c>
      <c r="D272" s="2">
        <v>46185</v>
      </c>
      <c r="E272">
        <v>7.8</v>
      </c>
      <c r="F272" s="1" t="s">
        <v>209</v>
      </c>
    </row>
    <row r="273" spans="1:6" x14ac:dyDescent="0.35">
      <c r="A273" s="1" t="s">
        <v>480</v>
      </c>
      <c r="B273" s="1" t="s">
        <v>183</v>
      </c>
      <c r="C273" s="1" t="s">
        <v>26</v>
      </c>
      <c r="D273" s="2">
        <v>46188</v>
      </c>
      <c r="E273">
        <v>7.3</v>
      </c>
      <c r="F273" s="1" t="s">
        <v>209</v>
      </c>
    </row>
    <row r="274" spans="1:6" x14ac:dyDescent="0.35">
      <c r="A274" s="1" t="s">
        <v>481</v>
      </c>
      <c r="B274" s="1" t="s">
        <v>183</v>
      </c>
      <c r="C274" s="1" t="s">
        <v>26</v>
      </c>
      <c r="D274" s="2">
        <v>46189</v>
      </c>
      <c r="E274">
        <v>7.7</v>
      </c>
      <c r="F274" s="1" t="s">
        <v>209</v>
      </c>
    </row>
    <row r="275" spans="1:6" x14ac:dyDescent="0.35">
      <c r="A275" s="1" t="s">
        <v>482</v>
      </c>
      <c r="B275" s="1" t="s">
        <v>183</v>
      </c>
      <c r="C275" s="1" t="s">
        <v>26</v>
      </c>
      <c r="D275" s="2">
        <v>46190</v>
      </c>
      <c r="E275">
        <v>7.9</v>
      </c>
      <c r="F275" s="1" t="s">
        <v>209</v>
      </c>
    </row>
    <row r="276" spans="1:6" x14ac:dyDescent="0.35">
      <c r="A276" s="1" t="s">
        <v>483</v>
      </c>
      <c r="B276" s="1" t="s">
        <v>183</v>
      </c>
      <c r="C276" s="1" t="s">
        <v>26</v>
      </c>
      <c r="D276" s="2">
        <v>46191</v>
      </c>
      <c r="E276">
        <v>7.1</v>
      </c>
      <c r="F276" s="1" t="s">
        <v>209</v>
      </c>
    </row>
    <row r="277" spans="1:6" x14ac:dyDescent="0.35">
      <c r="A277" s="1" t="s">
        <v>484</v>
      </c>
      <c r="B277" s="1" t="s">
        <v>183</v>
      </c>
      <c r="C277" s="1" t="s">
        <v>26</v>
      </c>
      <c r="D277" s="2">
        <v>46192</v>
      </c>
      <c r="E277">
        <v>7.1</v>
      </c>
      <c r="F277" s="1" t="s">
        <v>209</v>
      </c>
    </row>
    <row r="278" spans="1:6" x14ac:dyDescent="0.35">
      <c r="A278" s="1" t="s">
        <v>485</v>
      </c>
      <c r="B278" s="1" t="s">
        <v>183</v>
      </c>
      <c r="C278" s="1" t="s">
        <v>26</v>
      </c>
      <c r="D278" s="2">
        <v>46195</v>
      </c>
      <c r="E278">
        <v>7.1</v>
      </c>
      <c r="F278" s="1" t="s">
        <v>209</v>
      </c>
    </row>
    <row r="279" spans="1:6" x14ac:dyDescent="0.35">
      <c r="A279" s="1" t="s">
        <v>486</v>
      </c>
      <c r="B279" s="1" t="s">
        <v>183</v>
      </c>
      <c r="C279" s="1" t="s">
        <v>26</v>
      </c>
      <c r="D279" s="2">
        <v>46196</v>
      </c>
      <c r="E279">
        <v>7.6</v>
      </c>
      <c r="F279" s="1" t="s">
        <v>209</v>
      </c>
    </row>
    <row r="280" spans="1:6" x14ac:dyDescent="0.35">
      <c r="A280" s="1" t="s">
        <v>487</v>
      </c>
      <c r="B280" s="1" t="s">
        <v>183</v>
      </c>
      <c r="C280" s="1" t="s">
        <v>26</v>
      </c>
      <c r="D280" s="2">
        <v>46197</v>
      </c>
      <c r="E280">
        <v>7.3</v>
      </c>
      <c r="F280" s="1" t="s">
        <v>209</v>
      </c>
    </row>
    <row r="281" spans="1:6" x14ac:dyDescent="0.35">
      <c r="A281" s="1" t="s">
        <v>488</v>
      </c>
      <c r="B281" s="1" t="s">
        <v>183</v>
      </c>
      <c r="C281" s="1" t="s">
        <v>26</v>
      </c>
      <c r="D281" s="2">
        <v>46198</v>
      </c>
      <c r="E281">
        <v>7.6</v>
      </c>
      <c r="F281" s="1" t="s">
        <v>209</v>
      </c>
    </row>
    <row r="282" spans="1:6" x14ac:dyDescent="0.35">
      <c r="A282" s="1" t="s">
        <v>489</v>
      </c>
      <c r="B282" s="1" t="s">
        <v>183</v>
      </c>
      <c r="C282" s="1" t="s">
        <v>26</v>
      </c>
      <c r="D282" s="2">
        <v>46199</v>
      </c>
      <c r="E282">
        <v>7.7</v>
      </c>
      <c r="F282" s="1" t="s">
        <v>209</v>
      </c>
    </row>
    <row r="283" spans="1:6" x14ac:dyDescent="0.35">
      <c r="A283" s="1" t="s">
        <v>490</v>
      </c>
      <c r="B283" s="1" t="s">
        <v>183</v>
      </c>
      <c r="C283" s="1" t="s">
        <v>26</v>
      </c>
      <c r="D283" s="2">
        <v>46202</v>
      </c>
      <c r="E283">
        <v>7.2</v>
      </c>
      <c r="F283" s="1" t="s">
        <v>209</v>
      </c>
    </row>
    <row r="284" spans="1:6" x14ac:dyDescent="0.35">
      <c r="A284" s="1" t="s">
        <v>491</v>
      </c>
      <c r="B284" s="1" t="s">
        <v>183</v>
      </c>
      <c r="C284" s="1" t="s">
        <v>26</v>
      </c>
      <c r="D284" s="2">
        <v>46203</v>
      </c>
      <c r="E284">
        <v>7.6</v>
      </c>
      <c r="F284" s="1" t="s">
        <v>209</v>
      </c>
    </row>
    <row r="285" spans="1:6" x14ac:dyDescent="0.35">
      <c r="A285" s="1" t="s">
        <v>492</v>
      </c>
      <c r="B285" s="1" t="s">
        <v>174</v>
      </c>
      <c r="C285" s="1" t="s">
        <v>26</v>
      </c>
      <c r="D285" s="2">
        <v>46175</v>
      </c>
      <c r="E285">
        <v>2.8</v>
      </c>
      <c r="F285" s="1" t="s">
        <v>209</v>
      </c>
    </row>
    <row r="286" spans="1:6" x14ac:dyDescent="0.35">
      <c r="A286" s="1" t="s">
        <v>493</v>
      </c>
      <c r="B286" s="1" t="s">
        <v>174</v>
      </c>
      <c r="C286" s="1" t="s">
        <v>26</v>
      </c>
      <c r="D286" s="2">
        <v>46177</v>
      </c>
      <c r="E286">
        <v>3</v>
      </c>
      <c r="F286" s="1" t="s">
        <v>209</v>
      </c>
    </row>
    <row r="287" spans="1:6" x14ac:dyDescent="0.35">
      <c r="A287" s="1" t="s">
        <v>494</v>
      </c>
      <c r="B287" s="1" t="s">
        <v>174</v>
      </c>
      <c r="C287" s="1" t="s">
        <v>26</v>
      </c>
      <c r="D287" s="2">
        <v>46182</v>
      </c>
      <c r="E287">
        <v>3.4</v>
      </c>
      <c r="F287" s="1" t="s">
        <v>209</v>
      </c>
    </row>
    <row r="288" spans="1:6" x14ac:dyDescent="0.35">
      <c r="A288" s="1" t="s">
        <v>495</v>
      </c>
      <c r="B288" s="1" t="s">
        <v>174</v>
      </c>
      <c r="C288" s="1" t="s">
        <v>26</v>
      </c>
      <c r="D288" s="2">
        <v>46184</v>
      </c>
      <c r="E288">
        <v>3.3</v>
      </c>
      <c r="F288" s="1" t="s">
        <v>209</v>
      </c>
    </row>
    <row r="289" spans="1:6" x14ac:dyDescent="0.35">
      <c r="A289" s="1" t="s">
        <v>496</v>
      </c>
      <c r="B289" s="1" t="s">
        <v>174</v>
      </c>
      <c r="C289" s="1" t="s">
        <v>26</v>
      </c>
      <c r="D289" s="2">
        <v>46189</v>
      </c>
      <c r="E289">
        <v>2.6</v>
      </c>
      <c r="F289" s="1" t="s">
        <v>209</v>
      </c>
    </row>
    <row r="290" spans="1:6" x14ac:dyDescent="0.35">
      <c r="A290" s="1" t="s">
        <v>497</v>
      </c>
      <c r="B290" s="1" t="s">
        <v>174</v>
      </c>
      <c r="C290" s="1" t="s">
        <v>26</v>
      </c>
      <c r="D290" s="2">
        <v>46191</v>
      </c>
      <c r="E290">
        <v>2.9</v>
      </c>
      <c r="F290" s="1" t="s">
        <v>209</v>
      </c>
    </row>
    <row r="291" spans="1:6" x14ac:dyDescent="0.35">
      <c r="A291" s="1" t="s">
        <v>498</v>
      </c>
      <c r="B291" s="1" t="s">
        <v>174</v>
      </c>
      <c r="C291" s="1" t="s">
        <v>26</v>
      </c>
      <c r="D291" s="2">
        <v>46196</v>
      </c>
      <c r="E291">
        <v>2.8</v>
      </c>
      <c r="F291" s="1" t="s">
        <v>209</v>
      </c>
    </row>
    <row r="292" spans="1:6" x14ac:dyDescent="0.35">
      <c r="A292" s="1" t="s">
        <v>499</v>
      </c>
      <c r="B292" s="1" t="s">
        <v>174</v>
      </c>
      <c r="C292" s="1" t="s">
        <v>26</v>
      </c>
      <c r="D292" s="2">
        <v>46198</v>
      </c>
      <c r="E292">
        <v>2.5</v>
      </c>
      <c r="F292" s="1" t="s">
        <v>209</v>
      </c>
    </row>
    <row r="293" spans="1:6" x14ac:dyDescent="0.35">
      <c r="A293" s="1" t="s">
        <v>500</v>
      </c>
      <c r="B293" s="1" t="s">
        <v>174</v>
      </c>
      <c r="C293" s="1" t="s">
        <v>26</v>
      </c>
      <c r="D293" s="2">
        <v>46203</v>
      </c>
      <c r="E293">
        <v>3.3</v>
      </c>
      <c r="F293" s="1" t="s">
        <v>209</v>
      </c>
    </row>
    <row r="294" spans="1:6" x14ac:dyDescent="0.35">
      <c r="A294" s="1" t="s">
        <v>501</v>
      </c>
      <c r="B294" s="1" t="s">
        <v>178</v>
      </c>
      <c r="C294" s="1" t="s">
        <v>100</v>
      </c>
      <c r="D294" s="2">
        <v>46157</v>
      </c>
      <c r="E294">
        <v>350</v>
      </c>
      <c r="F294" s="1" t="s">
        <v>209</v>
      </c>
    </row>
    <row r="295" spans="1:6" x14ac:dyDescent="0.35">
      <c r="A295" s="1" t="s">
        <v>502</v>
      </c>
      <c r="B295" s="1" t="s">
        <v>178</v>
      </c>
      <c r="C295" s="1" t="s">
        <v>103</v>
      </c>
      <c r="D295" s="2">
        <v>46101</v>
      </c>
      <c r="E295">
        <v>480</v>
      </c>
      <c r="F295" s="1" t="s">
        <v>209</v>
      </c>
    </row>
    <row r="296" spans="1:6" x14ac:dyDescent="0.35">
      <c r="A296" s="1" t="s">
        <v>503</v>
      </c>
      <c r="B296" s="1" t="s">
        <v>180</v>
      </c>
      <c r="C296" s="1" t="s">
        <v>34</v>
      </c>
      <c r="D296" s="2">
        <v>46122</v>
      </c>
      <c r="E296">
        <v>1100</v>
      </c>
      <c r="F296" s="1" t="s">
        <v>209</v>
      </c>
    </row>
    <row r="297" spans="1:6" x14ac:dyDescent="0.35">
      <c r="A297" s="1" t="s">
        <v>504</v>
      </c>
      <c r="B297" s="1" t="s">
        <v>174</v>
      </c>
      <c r="C297" s="1" t="s">
        <v>106</v>
      </c>
      <c r="D297" s="2">
        <v>46081</v>
      </c>
      <c r="E297">
        <v>220</v>
      </c>
      <c r="F297" s="1" t="s">
        <v>209</v>
      </c>
    </row>
    <row r="298" spans="1:6" x14ac:dyDescent="0.35">
      <c r="A298" s="1" t="s">
        <v>505</v>
      </c>
      <c r="B298" s="1" t="s">
        <v>180</v>
      </c>
      <c r="C298" s="1" t="s">
        <v>37</v>
      </c>
      <c r="D298" s="2">
        <v>46096</v>
      </c>
      <c r="E298">
        <v>800</v>
      </c>
      <c r="F298" s="1" t="s">
        <v>209</v>
      </c>
    </row>
    <row r="299" spans="1:6" x14ac:dyDescent="0.35">
      <c r="A299" s="1" t="s">
        <v>506</v>
      </c>
      <c r="B299" s="1" t="s">
        <v>178</v>
      </c>
      <c r="C299" s="1" t="s">
        <v>109</v>
      </c>
      <c r="D299" s="2">
        <v>45955</v>
      </c>
      <c r="E299">
        <v>190</v>
      </c>
      <c r="F299" s="1" t="s">
        <v>209</v>
      </c>
    </row>
    <row r="300" spans="1:6" x14ac:dyDescent="0.35">
      <c r="A300" s="1" t="s">
        <v>507</v>
      </c>
      <c r="B300" s="1" t="s">
        <v>180</v>
      </c>
      <c r="C300" s="1" t="s">
        <v>40</v>
      </c>
      <c r="D300" s="2">
        <v>45981</v>
      </c>
      <c r="E300">
        <v>480</v>
      </c>
      <c r="F300" s="1" t="s">
        <v>209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465D-1957-4C64-8FF7-B4B9BDC15CB2}">
  <dimension ref="A1:E58"/>
  <sheetViews>
    <sheetView workbookViewId="0">
      <selection sqref="A1:E58"/>
    </sheetView>
  </sheetViews>
  <sheetFormatPr defaultRowHeight="14.5" x14ac:dyDescent="0.35"/>
  <cols>
    <col min="1" max="1" width="12.6328125" bestFit="1" customWidth="1"/>
    <col min="2" max="2" width="9.90625" bestFit="1" customWidth="1"/>
    <col min="3" max="3" width="13.453125" bestFit="1" customWidth="1"/>
    <col min="4" max="4" width="18.81640625" bestFit="1" customWidth="1"/>
    <col min="5" max="5" width="13.90625" bestFit="1" customWidth="1"/>
  </cols>
  <sheetData>
    <row r="1" spans="1:5" x14ac:dyDescent="0.35">
      <c r="A1" t="s">
        <v>42</v>
      </c>
      <c r="B1" t="s">
        <v>1</v>
      </c>
      <c r="C1" t="s">
        <v>43</v>
      </c>
      <c r="D1" t="s">
        <v>44</v>
      </c>
      <c r="E1" t="s">
        <v>45</v>
      </c>
    </row>
    <row r="2" spans="1:5" x14ac:dyDescent="0.35">
      <c r="A2" s="1" t="s">
        <v>46</v>
      </c>
      <c r="B2" s="1" t="s">
        <v>47</v>
      </c>
      <c r="C2" s="2">
        <v>46029</v>
      </c>
      <c r="D2">
        <v>3.9E-2</v>
      </c>
      <c r="E2" s="1" t="s">
        <v>48</v>
      </c>
    </row>
    <row r="3" spans="1:5" x14ac:dyDescent="0.35">
      <c r="A3" s="1" t="s">
        <v>49</v>
      </c>
      <c r="B3" s="1" t="s">
        <v>47</v>
      </c>
      <c r="C3" s="2">
        <v>46036</v>
      </c>
      <c r="D3">
        <v>7.8E-2</v>
      </c>
      <c r="E3" s="1" t="s">
        <v>48</v>
      </c>
    </row>
    <row r="4" spans="1:5" x14ac:dyDescent="0.35">
      <c r="A4" s="1" t="s">
        <v>50</v>
      </c>
      <c r="B4" s="1" t="s">
        <v>47</v>
      </c>
      <c r="C4" s="2">
        <v>46043</v>
      </c>
      <c r="D4">
        <v>0.11700000000000001</v>
      </c>
      <c r="E4" s="1" t="s">
        <v>48</v>
      </c>
    </row>
    <row r="5" spans="1:5" x14ac:dyDescent="0.35">
      <c r="A5" s="1" t="s">
        <v>51</v>
      </c>
      <c r="B5" s="1" t="s">
        <v>47</v>
      </c>
      <c r="C5" s="2">
        <v>46050</v>
      </c>
      <c r="D5">
        <v>0.156</v>
      </c>
      <c r="E5" s="1" t="s">
        <v>48</v>
      </c>
    </row>
    <row r="6" spans="1:5" x14ac:dyDescent="0.35">
      <c r="A6" s="1" t="s">
        <v>52</v>
      </c>
      <c r="B6" s="1" t="s">
        <v>47</v>
      </c>
      <c r="C6" s="2">
        <v>46057</v>
      </c>
      <c r="D6">
        <v>0.19500000000000001</v>
      </c>
      <c r="E6" s="1" t="s">
        <v>48</v>
      </c>
    </row>
    <row r="7" spans="1:5" x14ac:dyDescent="0.35">
      <c r="A7" s="1" t="s">
        <v>53</v>
      </c>
      <c r="B7" s="1" t="s">
        <v>47</v>
      </c>
      <c r="C7" s="2">
        <v>46064</v>
      </c>
      <c r="D7">
        <v>0.23400000000000001</v>
      </c>
      <c r="E7" s="1" t="s">
        <v>48</v>
      </c>
    </row>
    <row r="8" spans="1:5" x14ac:dyDescent="0.35">
      <c r="A8" s="1" t="s">
        <v>54</v>
      </c>
      <c r="B8" s="1" t="s">
        <v>47</v>
      </c>
      <c r="C8" s="2">
        <v>46071</v>
      </c>
      <c r="D8">
        <v>0.27300000000000002</v>
      </c>
      <c r="E8" s="1" t="s">
        <v>48</v>
      </c>
    </row>
    <row r="9" spans="1:5" x14ac:dyDescent="0.35">
      <c r="A9" s="1" t="s">
        <v>55</v>
      </c>
      <c r="B9" s="1" t="s">
        <v>47</v>
      </c>
      <c r="C9" s="2">
        <v>46078</v>
      </c>
      <c r="D9">
        <v>0.312</v>
      </c>
      <c r="E9" s="1" t="s">
        <v>48</v>
      </c>
    </row>
    <row r="10" spans="1:5" x14ac:dyDescent="0.35">
      <c r="A10" s="1" t="s">
        <v>56</v>
      </c>
      <c r="B10" s="1" t="s">
        <v>47</v>
      </c>
      <c r="C10" s="2">
        <v>46085</v>
      </c>
      <c r="D10">
        <v>0.35099999999999998</v>
      </c>
      <c r="E10" s="1" t="s">
        <v>48</v>
      </c>
    </row>
    <row r="11" spans="1:5" x14ac:dyDescent="0.35">
      <c r="A11" s="1" t="s">
        <v>57</v>
      </c>
      <c r="B11" s="1" t="s">
        <v>47</v>
      </c>
      <c r="C11" s="2">
        <v>46092</v>
      </c>
      <c r="D11">
        <v>0.39</v>
      </c>
      <c r="E11" s="1" t="s">
        <v>48</v>
      </c>
    </row>
    <row r="12" spans="1:5" x14ac:dyDescent="0.35">
      <c r="A12" s="1" t="s">
        <v>58</v>
      </c>
      <c r="B12" s="1" t="s">
        <v>47</v>
      </c>
      <c r="C12" s="2">
        <v>46099</v>
      </c>
      <c r="D12">
        <v>0.42899999999999999</v>
      </c>
      <c r="E12" s="1" t="s">
        <v>48</v>
      </c>
    </row>
    <row r="13" spans="1:5" x14ac:dyDescent="0.35">
      <c r="A13" s="1" t="s">
        <v>59</v>
      </c>
      <c r="B13" s="1" t="s">
        <v>47</v>
      </c>
      <c r="C13" s="2">
        <v>46106</v>
      </c>
      <c r="D13">
        <v>0.46800000000000003</v>
      </c>
      <c r="E13" s="1" t="s">
        <v>48</v>
      </c>
    </row>
    <row r="14" spans="1:5" x14ac:dyDescent="0.35">
      <c r="A14" s="1" t="s">
        <v>60</v>
      </c>
      <c r="B14" s="1" t="s">
        <v>47</v>
      </c>
      <c r="C14" s="2">
        <v>46113</v>
      </c>
      <c r="D14">
        <v>0.50700000000000001</v>
      </c>
      <c r="E14" s="1" t="s">
        <v>48</v>
      </c>
    </row>
    <row r="15" spans="1:5" x14ac:dyDescent="0.35">
      <c r="A15" s="1" t="s">
        <v>61</v>
      </c>
      <c r="B15" s="1" t="s">
        <v>47</v>
      </c>
      <c r="C15" s="2">
        <v>46120</v>
      </c>
      <c r="D15">
        <v>0.54600000000000004</v>
      </c>
      <c r="E15" s="1" t="s">
        <v>48</v>
      </c>
    </row>
    <row r="16" spans="1:5" x14ac:dyDescent="0.35">
      <c r="A16" s="1" t="s">
        <v>62</v>
      </c>
      <c r="B16" s="1" t="s">
        <v>47</v>
      </c>
      <c r="C16" s="2">
        <v>46127</v>
      </c>
      <c r="D16">
        <v>0.58499999999999996</v>
      </c>
      <c r="E16" s="1" t="s">
        <v>48</v>
      </c>
    </row>
    <row r="17" spans="1:5" x14ac:dyDescent="0.35">
      <c r="A17" s="1" t="s">
        <v>63</v>
      </c>
      <c r="B17" s="1" t="s">
        <v>47</v>
      </c>
      <c r="C17" s="2">
        <v>46134</v>
      </c>
      <c r="D17">
        <v>0.624</v>
      </c>
      <c r="E17" s="1" t="s">
        <v>48</v>
      </c>
    </row>
    <row r="18" spans="1:5" x14ac:dyDescent="0.35">
      <c r="A18" s="1" t="s">
        <v>64</v>
      </c>
      <c r="B18" s="1" t="s">
        <v>47</v>
      </c>
      <c r="C18" s="2">
        <v>46141</v>
      </c>
      <c r="D18">
        <v>0.66300000000000003</v>
      </c>
      <c r="E18" s="1" t="s">
        <v>48</v>
      </c>
    </row>
    <row r="19" spans="1:5" x14ac:dyDescent="0.35">
      <c r="A19" s="1" t="s">
        <v>65</v>
      </c>
      <c r="B19" s="1" t="s">
        <v>47</v>
      </c>
      <c r="C19" s="2">
        <v>46148</v>
      </c>
      <c r="D19">
        <v>0.70199999999999996</v>
      </c>
      <c r="E19" s="1" t="s">
        <v>48</v>
      </c>
    </row>
    <row r="20" spans="1:5" x14ac:dyDescent="0.35">
      <c r="A20" s="1" t="s">
        <v>66</v>
      </c>
      <c r="B20" s="1" t="s">
        <v>47</v>
      </c>
      <c r="C20" s="2">
        <v>46155</v>
      </c>
      <c r="D20">
        <v>0.74099999999999999</v>
      </c>
      <c r="E20" s="1" t="s">
        <v>48</v>
      </c>
    </row>
    <row r="21" spans="1:5" x14ac:dyDescent="0.35">
      <c r="A21" s="1" t="s">
        <v>67</v>
      </c>
      <c r="B21" s="1" t="s">
        <v>47</v>
      </c>
      <c r="C21" s="2">
        <v>46162</v>
      </c>
      <c r="D21">
        <v>0.78</v>
      </c>
      <c r="E21" s="1" t="s">
        <v>48</v>
      </c>
    </row>
    <row r="22" spans="1:5" x14ac:dyDescent="0.35">
      <c r="A22" s="1" t="s">
        <v>68</v>
      </c>
      <c r="B22" s="1" t="s">
        <v>47</v>
      </c>
      <c r="C22" s="2">
        <v>46169</v>
      </c>
      <c r="D22">
        <v>0.81899999999999995</v>
      </c>
      <c r="E22" s="1" t="s">
        <v>48</v>
      </c>
    </row>
    <row r="23" spans="1:5" x14ac:dyDescent="0.35">
      <c r="A23" s="1" t="s">
        <v>69</v>
      </c>
      <c r="B23" s="1" t="s">
        <v>47</v>
      </c>
      <c r="C23" s="2">
        <v>46176</v>
      </c>
      <c r="D23">
        <v>0.85799999999999998</v>
      </c>
      <c r="E23" s="1" t="s">
        <v>48</v>
      </c>
    </row>
    <row r="24" spans="1:5" x14ac:dyDescent="0.35">
      <c r="A24" s="1" t="s">
        <v>70</v>
      </c>
      <c r="B24" s="1" t="s">
        <v>47</v>
      </c>
      <c r="C24" s="2">
        <v>46183</v>
      </c>
      <c r="D24">
        <v>0.89700000000000002</v>
      </c>
      <c r="E24" s="1" t="s">
        <v>48</v>
      </c>
    </row>
    <row r="25" spans="1:5" x14ac:dyDescent="0.35">
      <c r="A25" s="1" t="s">
        <v>71</v>
      </c>
      <c r="B25" s="1" t="s">
        <v>47</v>
      </c>
      <c r="C25" s="2">
        <v>46190</v>
      </c>
      <c r="D25">
        <v>0.93600000000000005</v>
      </c>
      <c r="E25" s="1" t="s">
        <v>48</v>
      </c>
    </row>
    <row r="26" spans="1:5" x14ac:dyDescent="0.35">
      <c r="A26" s="1" t="s">
        <v>72</v>
      </c>
      <c r="B26" s="1" t="s">
        <v>47</v>
      </c>
      <c r="C26" s="2">
        <v>46197</v>
      </c>
      <c r="D26">
        <v>0.97499999999999998</v>
      </c>
      <c r="E26" s="1" t="s">
        <v>48</v>
      </c>
    </row>
    <row r="27" spans="1:5" x14ac:dyDescent="0.35">
      <c r="A27" s="1" t="s">
        <v>73</v>
      </c>
      <c r="B27" s="1" t="s">
        <v>8</v>
      </c>
      <c r="C27" s="2">
        <v>46060</v>
      </c>
      <c r="D27">
        <v>9.5000000000000001E-2</v>
      </c>
      <c r="E27" s="1" t="s">
        <v>48</v>
      </c>
    </row>
    <row r="28" spans="1:5" x14ac:dyDescent="0.35">
      <c r="A28" s="1" t="s">
        <v>74</v>
      </c>
      <c r="B28" s="1" t="s">
        <v>8</v>
      </c>
      <c r="C28" s="2">
        <v>46067</v>
      </c>
      <c r="D28">
        <v>0.19</v>
      </c>
      <c r="E28" s="1" t="s">
        <v>48</v>
      </c>
    </row>
    <row r="29" spans="1:5" x14ac:dyDescent="0.35">
      <c r="A29" s="1" t="s">
        <v>75</v>
      </c>
      <c r="B29" s="1" t="s">
        <v>8</v>
      </c>
      <c r="C29" s="2">
        <v>46074</v>
      </c>
      <c r="D29">
        <v>0.28499999999999998</v>
      </c>
      <c r="E29" s="1" t="s">
        <v>48</v>
      </c>
    </row>
    <row r="30" spans="1:5" x14ac:dyDescent="0.35">
      <c r="A30" s="1" t="s">
        <v>76</v>
      </c>
      <c r="B30" s="1" t="s">
        <v>8</v>
      </c>
      <c r="C30" s="2">
        <v>46081</v>
      </c>
      <c r="D30">
        <v>0.38</v>
      </c>
      <c r="E30" s="1" t="s">
        <v>48</v>
      </c>
    </row>
    <row r="31" spans="1:5" x14ac:dyDescent="0.35">
      <c r="A31" s="1" t="s">
        <v>77</v>
      </c>
      <c r="B31" s="1" t="s">
        <v>8</v>
      </c>
      <c r="C31" s="2">
        <v>46088</v>
      </c>
      <c r="D31">
        <v>0.40799999999999997</v>
      </c>
      <c r="E31" s="1" t="s">
        <v>48</v>
      </c>
    </row>
    <row r="32" spans="1:5" x14ac:dyDescent="0.35">
      <c r="A32" s="1" t="s">
        <v>78</v>
      </c>
      <c r="B32" s="1" t="s">
        <v>8</v>
      </c>
      <c r="C32" s="2">
        <v>46095</v>
      </c>
      <c r="D32">
        <v>0.437</v>
      </c>
      <c r="E32" s="1" t="s">
        <v>48</v>
      </c>
    </row>
    <row r="33" spans="1:5" x14ac:dyDescent="0.35">
      <c r="A33" s="1" t="s">
        <v>79</v>
      </c>
      <c r="B33" s="1" t="s">
        <v>8</v>
      </c>
      <c r="C33" s="2">
        <v>46102</v>
      </c>
      <c r="D33">
        <v>0.46500000000000002</v>
      </c>
      <c r="E33" s="1" t="s">
        <v>48</v>
      </c>
    </row>
    <row r="34" spans="1:5" x14ac:dyDescent="0.35">
      <c r="A34" s="1" t="s">
        <v>80</v>
      </c>
      <c r="B34" s="1" t="s">
        <v>8</v>
      </c>
      <c r="C34" s="2">
        <v>46109</v>
      </c>
      <c r="D34">
        <v>0.64500000000000002</v>
      </c>
      <c r="E34" s="1" t="s">
        <v>48</v>
      </c>
    </row>
    <row r="35" spans="1:5" x14ac:dyDescent="0.35">
      <c r="A35" s="1" t="s">
        <v>81</v>
      </c>
      <c r="B35" s="1" t="s">
        <v>8</v>
      </c>
      <c r="C35" s="2">
        <v>46116</v>
      </c>
      <c r="D35">
        <v>0.82499999999999996</v>
      </c>
      <c r="E35" s="1" t="s">
        <v>48</v>
      </c>
    </row>
    <row r="36" spans="1:5" x14ac:dyDescent="0.35">
      <c r="A36" s="1" t="s">
        <v>82</v>
      </c>
      <c r="B36" s="1" t="s">
        <v>8</v>
      </c>
      <c r="C36" s="2">
        <v>46123</v>
      </c>
      <c r="D36">
        <v>1</v>
      </c>
      <c r="E36" s="1" t="s">
        <v>48</v>
      </c>
    </row>
    <row r="37" spans="1:5" x14ac:dyDescent="0.35">
      <c r="A37" s="1" t="s">
        <v>83</v>
      </c>
      <c r="B37" s="1" t="s">
        <v>17</v>
      </c>
      <c r="C37" s="2">
        <v>46119</v>
      </c>
      <c r="D37">
        <v>0.13</v>
      </c>
      <c r="E37" s="1" t="s">
        <v>48</v>
      </c>
    </row>
    <row r="38" spans="1:5" x14ac:dyDescent="0.35">
      <c r="A38" s="1" t="s">
        <v>84</v>
      </c>
      <c r="B38" s="1" t="s">
        <v>17</v>
      </c>
      <c r="C38" s="2">
        <v>46126</v>
      </c>
      <c r="D38">
        <v>0.26</v>
      </c>
      <c r="E38" s="1" t="s">
        <v>48</v>
      </c>
    </row>
    <row r="39" spans="1:5" x14ac:dyDescent="0.35">
      <c r="A39" s="1" t="s">
        <v>85</v>
      </c>
      <c r="B39" s="1" t="s">
        <v>17</v>
      </c>
      <c r="C39" s="2">
        <v>46133</v>
      </c>
      <c r="D39">
        <v>0.39</v>
      </c>
      <c r="E39" s="1" t="s">
        <v>48</v>
      </c>
    </row>
    <row r="40" spans="1:5" x14ac:dyDescent="0.35">
      <c r="A40" s="1" t="s">
        <v>86</v>
      </c>
      <c r="B40" s="1" t="s">
        <v>17</v>
      </c>
      <c r="C40" s="2">
        <v>46140</v>
      </c>
      <c r="D40">
        <v>0.52</v>
      </c>
      <c r="E40" s="1" t="s">
        <v>48</v>
      </c>
    </row>
    <row r="41" spans="1:5" x14ac:dyDescent="0.35">
      <c r="A41" s="1" t="s">
        <v>87</v>
      </c>
      <c r="B41" s="1" t="s">
        <v>17</v>
      </c>
      <c r="C41" s="2">
        <v>46147</v>
      </c>
      <c r="D41">
        <v>0.65</v>
      </c>
      <c r="E41" s="1" t="s">
        <v>48</v>
      </c>
    </row>
    <row r="42" spans="1:5" x14ac:dyDescent="0.35">
      <c r="A42" s="1" t="s">
        <v>88</v>
      </c>
      <c r="B42" s="1" t="s">
        <v>17</v>
      </c>
      <c r="C42" s="2">
        <v>46154</v>
      </c>
      <c r="D42">
        <v>0.78</v>
      </c>
      <c r="E42" s="1" t="s">
        <v>48</v>
      </c>
    </row>
    <row r="43" spans="1:5" x14ac:dyDescent="0.35">
      <c r="A43" s="1" t="s">
        <v>89</v>
      </c>
      <c r="B43" s="1" t="s">
        <v>17</v>
      </c>
      <c r="C43" s="2">
        <v>46161</v>
      </c>
      <c r="D43">
        <v>0.91</v>
      </c>
      <c r="E43" s="1" t="s">
        <v>48</v>
      </c>
    </row>
    <row r="44" spans="1:5" x14ac:dyDescent="0.35">
      <c r="A44" s="1" t="s">
        <v>90</v>
      </c>
      <c r="B44" s="1" t="s">
        <v>17</v>
      </c>
      <c r="C44" s="2">
        <v>46168</v>
      </c>
      <c r="D44">
        <v>1</v>
      </c>
      <c r="E44" s="1" t="s">
        <v>48</v>
      </c>
    </row>
    <row r="45" spans="1:5" x14ac:dyDescent="0.35">
      <c r="A45" s="1" t="s">
        <v>91</v>
      </c>
      <c r="B45" s="1" t="s">
        <v>26</v>
      </c>
      <c r="C45" s="2">
        <v>46180</v>
      </c>
      <c r="D45">
        <v>0.25</v>
      </c>
      <c r="E45" s="1" t="s">
        <v>48</v>
      </c>
    </row>
    <row r="46" spans="1:5" x14ac:dyDescent="0.35">
      <c r="A46" s="1" t="s">
        <v>92</v>
      </c>
      <c r="B46" s="1" t="s">
        <v>26</v>
      </c>
      <c r="C46" s="2">
        <v>46187</v>
      </c>
      <c r="D46">
        <v>0.5</v>
      </c>
      <c r="E46" s="1" t="s">
        <v>48</v>
      </c>
    </row>
    <row r="47" spans="1:5" x14ac:dyDescent="0.35">
      <c r="A47" s="1" t="s">
        <v>93</v>
      </c>
      <c r="B47" s="1" t="s">
        <v>26</v>
      </c>
      <c r="C47" s="2">
        <v>46194</v>
      </c>
      <c r="D47">
        <v>0.75</v>
      </c>
      <c r="E47" s="1" t="s">
        <v>48</v>
      </c>
    </row>
    <row r="48" spans="1:5" x14ac:dyDescent="0.35">
      <c r="A48" s="1" t="s">
        <v>94</v>
      </c>
      <c r="B48" s="1" t="s">
        <v>26</v>
      </c>
      <c r="C48" s="2">
        <v>46201</v>
      </c>
      <c r="D48">
        <v>1</v>
      </c>
      <c r="E48" s="1" t="s">
        <v>48</v>
      </c>
    </row>
    <row r="49" spans="1:5" x14ac:dyDescent="0.35">
      <c r="A49" s="1" t="s">
        <v>95</v>
      </c>
      <c r="B49" s="1" t="s">
        <v>96</v>
      </c>
      <c r="C49" s="2">
        <v>46234</v>
      </c>
      <c r="D49">
        <v>0</v>
      </c>
      <c r="E49" s="1" t="s">
        <v>48</v>
      </c>
    </row>
    <row r="50" spans="1:5" x14ac:dyDescent="0.35">
      <c r="A50" s="1" t="s">
        <v>97</v>
      </c>
      <c r="B50" s="1" t="s">
        <v>98</v>
      </c>
      <c r="C50" s="2">
        <v>46234</v>
      </c>
      <c r="D50">
        <v>0</v>
      </c>
      <c r="E50" s="1" t="s">
        <v>48</v>
      </c>
    </row>
    <row r="51" spans="1:5" x14ac:dyDescent="0.35">
      <c r="A51" s="1" t="s">
        <v>99</v>
      </c>
      <c r="B51" s="1" t="s">
        <v>100</v>
      </c>
      <c r="C51" s="2">
        <v>46172</v>
      </c>
      <c r="D51">
        <v>0.9</v>
      </c>
      <c r="E51" s="1" t="s">
        <v>48</v>
      </c>
    </row>
    <row r="52" spans="1:5" x14ac:dyDescent="0.35">
      <c r="A52" s="1" t="s">
        <v>101</v>
      </c>
      <c r="B52" s="1" t="s">
        <v>31</v>
      </c>
      <c r="C52" s="2">
        <v>46172</v>
      </c>
      <c r="D52">
        <v>0</v>
      </c>
      <c r="E52" s="1" t="s">
        <v>48</v>
      </c>
    </row>
    <row r="53" spans="1:5" x14ac:dyDescent="0.35">
      <c r="A53" s="1" t="s">
        <v>102</v>
      </c>
      <c r="B53" s="1" t="s">
        <v>103</v>
      </c>
      <c r="C53" s="2">
        <v>46127</v>
      </c>
      <c r="D53">
        <v>1</v>
      </c>
      <c r="E53" s="1" t="s">
        <v>48</v>
      </c>
    </row>
    <row r="54" spans="1:5" x14ac:dyDescent="0.35">
      <c r="A54" s="1" t="s">
        <v>104</v>
      </c>
      <c r="B54" s="1" t="s">
        <v>34</v>
      </c>
      <c r="C54" s="2">
        <v>46127</v>
      </c>
      <c r="D54">
        <v>0.6</v>
      </c>
      <c r="E54" s="1" t="s">
        <v>48</v>
      </c>
    </row>
    <row r="55" spans="1:5" x14ac:dyDescent="0.35">
      <c r="A55" s="1" t="s">
        <v>105</v>
      </c>
      <c r="B55" s="1" t="s">
        <v>106</v>
      </c>
      <c r="C55" s="2">
        <v>46142</v>
      </c>
      <c r="D55">
        <v>1</v>
      </c>
      <c r="E55" s="1" t="s">
        <v>48</v>
      </c>
    </row>
    <row r="56" spans="1:5" x14ac:dyDescent="0.35">
      <c r="A56" s="1" t="s">
        <v>107</v>
      </c>
      <c r="B56" s="1" t="s">
        <v>37</v>
      </c>
      <c r="C56" s="2">
        <v>46142</v>
      </c>
      <c r="D56">
        <v>0.875</v>
      </c>
      <c r="E56" s="1" t="s">
        <v>48</v>
      </c>
    </row>
    <row r="57" spans="1:5" x14ac:dyDescent="0.35">
      <c r="A57" s="1" t="s">
        <v>108</v>
      </c>
      <c r="B57" s="1" t="s">
        <v>109</v>
      </c>
      <c r="C57" s="2">
        <v>46112</v>
      </c>
      <c r="D57">
        <v>1</v>
      </c>
      <c r="E57" s="1" t="s">
        <v>48</v>
      </c>
    </row>
    <row r="58" spans="1:5" x14ac:dyDescent="0.35">
      <c r="A58" s="1" t="s">
        <v>110</v>
      </c>
      <c r="B58" s="1" t="s">
        <v>40</v>
      </c>
      <c r="C58" s="2">
        <v>46112</v>
      </c>
      <c r="D58">
        <v>1</v>
      </c>
      <c r="E58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031A9-36C6-4F4B-88C7-1EBCB84834BA}">
  <dimension ref="A1:H6"/>
  <sheetViews>
    <sheetView workbookViewId="0">
      <selection sqref="A1:H6"/>
    </sheetView>
  </sheetViews>
  <sheetFormatPr defaultRowHeight="14.5" x14ac:dyDescent="0.35"/>
  <cols>
    <col min="1" max="1" width="11" bestFit="1" customWidth="1"/>
    <col min="2" max="2" width="11.1796875" bestFit="1" customWidth="1"/>
    <col min="3" max="3" width="70.6328125" bestFit="1" customWidth="1"/>
    <col min="4" max="5" width="11" bestFit="1" customWidth="1"/>
    <col min="6" max="6" width="59.1796875" bestFit="1" customWidth="1"/>
    <col min="7" max="7" width="13.90625" bestFit="1" customWidth="1"/>
    <col min="8" max="8" width="11" bestFit="1" customWidth="1"/>
  </cols>
  <sheetData>
    <row r="1" spans="1:8" x14ac:dyDescent="0.35">
      <c r="A1" t="s">
        <v>136</v>
      </c>
      <c r="B1" t="s">
        <v>137</v>
      </c>
      <c r="C1" t="s">
        <v>138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5">
      <c r="A2" s="1" t="s">
        <v>144</v>
      </c>
      <c r="B2" s="1" t="s">
        <v>145</v>
      </c>
      <c r="C2" s="1" t="s">
        <v>3</v>
      </c>
      <c r="D2" s="1" t="s">
        <v>146</v>
      </c>
      <c r="E2" s="1" t="s">
        <v>147</v>
      </c>
      <c r="F2" s="1" t="s">
        <v>148</v>
      </c>
      <c r="G2" s="1" t="s">
        <v>149</v>
      </c>
      <c r="H2" s="1" t="s">
        <v>117</v>
      </c>
    </row>
    <row r="3" spans="1:8" x14ac:dyDescent="0.35">
      <c r="A3" s="1" t="s">
        <v>150</v>
      </c>
      <c r="B3" s="1" t="s">
        <v>151</v>
      </c>
      <c r="C3" s="1" t="s">
        <v>152</v>
      </c>
      <c r="D3" s="1" t="s">
        <v>153</v>
      </c>
      <c r="E3" s="1" t="s">
        <v>154</v>
      </c>
      <c r="F3" s="1" t="s">
        <v>155</v>
      </c>
      <c r="G3" s="1" t="s">
        <v>120</v>
      </c>
      <c r="H3" s="1" t="s">
        <v>128</v>
      </c>
    </row>
    <row r="4" spans="1:8" x14ac:dyDescent="0.35">
      <c r="A4" s="1" t="s">
        <v>156</v>
      </c>
      <c r="B4" s="1" t="s">
        <v>157</v>
      </c>
      <c r="C4" s="1" t="s">
        <v>158</v>
      </c>
      <c r="D4" s="1" t="s">
        <v>154</v>
      </c>
      <c r="E4" s="1" t="s">
        <v>159</v>
      </c>
      <c r="F4" s="1" t="s">
        <v>160</v>
      </c>
      <c r="G4" s="1" t="s">
        <v>48</v>
      </c>
      <c r="H4" s="1" t="s">
        <v>161</v>
      </c>
    </row>
    <row r="5" spans="1:8" x14ac:dyDescent="0.35">
      <c r="A5" s="1" t="s">
        <v>162</v>
      </c>
      <c r="B5" s="1" t="s">
        <v>163</v>
      </c>
      <c r="C5" s="1" t="s">
        <v>164</v>
      </c>
      <c r="D5" s="1" t="s">
        <v>154</v>
      </c>
      <c r="E5" s="1" t="s">
        <v>153</v>
      </c>
      <c r="F5" s="1" t="s">
        <v>165</v>
      </c>
      <c r="G5" s="1" t="s">
        <v>120</v>
      </c>
      <c r="H5" s="1" t="s">
        <v>128</v>
      </c>
    </row>
    <row r="6" spans="1:8" x14ac:dyDescent="0.35">
      <c r="A6" s="1" t="s">
        <v>166</v>
      </c>
      <c r="B6" s="1" t="s">
        <v>167</v>
      </c>
      <c r="C6" s="1" t="s">
        <v>168</v>
      </c>
      <c r="D6" s="1" t="s">
        <v>153</v>
      </c>
      <c r="E6" s="1" t="s">
        <v>153</v>
      </c>
      <c r="F6" s="1" t="s">
        <v>169</v>
      </c>
      <c r="G6" s="1" t="s">
        <v>48</v>
      </c>
      <c r="H6" s="1" t="s">
        <v>128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EB1CD5E2-D4FD-4F1B-881A-EEEB3BB7E7C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6764553C-3A57-4EED-84E8-F1F68F9AE9A6}">
  <ds:schemaRefs/>
</ds:datastoreItem>
</file>

<file path=customXml/itemProps3.xml><?xml version="1.0" encoding="utf-8"?>
<ds:datastoreItem xmlns:ds="http://schemas.openxmlformats.org/officeDocument/2006/customXml" ds:itemID="{412D836E-842E-4D68-BCE5-583A3933C2CD}">
  <ds:schemaRefs/>
</ds:datastoreItem>
</file>

<file path=customXml/itemProps4.xml><?xml version="1.0" encoding="utf-8"?>
<ds:datastoreItem xmlns:ds="http://schemas.openxmlformats.org/officeDocument/2006/customXml" ds:itemID="{64326661-6B52-45CD-8DA4-31AF411A5F22}">
  <ds:schemaRefs/>
</ds:datastoreItem>
</file>

<file path=customXml/itemProps5.xml><?xml version="1.0" encoding="utf-8"?>
<ds:datastoreItem xmlns:ds="http://schemas.openxmlformats.org/officeDocument/2006/customXml" ds:itemID="{67B7B3FB-7D1C-466D-A8CF-E70896123F5E}">
  <ds:schemaRefs/>
</ds:datastoreItem>
</file>

<file path=customXml/itemProps6.xml><?xml version="1.0" encoding="utf-8"?>
<ds:datastoreItem xmlns:ds="http://schemas.openxmlformats.org/officeDocument/2006/customXml" ds:itemID="{268285AC-CFA8-4099-A548-C381059261FA}">
  <ds:schemaRefs/>
</ds:datastoreItem>
</file>

<file path=customXml/itemProps7.xml><?xml version="1.0" encoding="utf-8"?>
<ds:datastoreItem xmlns:ds="http://schemas.openxmlformats.org/officeDocument/2006/customXml" ds:itemID="{9AFC009A-F5F1-42DC-9DF0-B92A596F0280}">
  <ds:schemaRefs/>
</ds:datastoreItem>
</file>

<file path=customXml/itemProps8.xml><?xml version="1.0" encoding="utf-8"?>
<ds:datastoreItem xmlns:ds="http://schemas.openxmlformats.org/officeDocument/2006/customXml" ds:itemID="{7D66B972-74EC-4E69-8893-5C4F49208442}">
  <ds:schemaRefs/>
</ds:datastoreItem>
</file>

<file path=customXml/itemProps9.xml><?xml version="1.0" encoding="utf-8"?>
<ds:datastoreItem xmlns:ds="http://schemas.openxmlformats.org/officeDocument/2006/customXml" ds:itemID="{5EB9FAE1-9666-4B3A-B32B-01B0C491BB2F}">
  <ds:schemaRefs/>
</ds:datastoreItem>
</file>

<file path=customXml/itemProps10.xml><?xml version="1.0" encoding="utf-8"?>
<ds:datastoreItem xmlns:ds="http://schemas.openxmlformats.org/officeDocument/2006/customXml" ds:itemID="{6A266F12-EFEA-4C67-83A0-667A31445832}">
  <ds:schemaRefs/>
</ds:datastoreItem>
</file>

<file path=customXml/itemProps11.xml><?xml version="1.0" encoding="utf-8"?>
<ds:datastoreItem xmlns:ds="http://schemas.openxmlformats.org/officeDocument/2006/customXml" ds:itemID="{26092971-72B4-4B2F-B4C6-164BB336F974}">
  <ds:schemaRefs/>
</ds:datastoreItem>
</file>

<file path=customXml/itemProps12.xml><?xml version="1.0" encoding="utf-8"?>
<ds:datastoreItem xmlns:ds="http://schemas.openxmlformats.org/officeDocument/2006/customXml" ds:itemID="{27B1124E-F8AD-42DA-B356-C9915F8952BF}">
  <ds:schemaRefs/>
</ds:datastoreItem>
</file>

<file path=customXml/itemProps13.xml><?xml version="1.0" encoding="utf-8"?>
<ds:datastoreItem xmlns:ds="http://schemas.openxmlformats.org/officeDocument/2006/customXml" ds:itemID="{6F5DC11F-ED24-42A4-AE79-FD094E3AF0EC}">
  <ds:schemaRefs/>
</ds:datastoreItem>
</file>

<file path=customXml/itemProps14.xml><?xml version="1.0" encoding="utf-8"?>
<ds:datastoreItem xmlns:ds="http://schemas.openxmlformats.org/officeDocument/2006/customXml" ds:itemID="{26177D60-68D9-47C9-BA9F-EDD69DC2ECBD}">
  <ds:schemaRefs/>
</ds:datastoreItem>
</file>

<file path=customXml/itemProps15.xml><?xml version="1.0" encoding="utf-8"?>
<ds:datastoreItem xmlns:ds="http://schemas.openxmlformats.org/officeDocument/2006/customXml" ds:itemID="{0BCD2897-53B9-4C11-9CC7-9F98F1496DD1}">
  <ds:schemaRefs/>
</ds:datastoreItem>
</file>

<file path=customXml/itemProps16.xml><?xml version="1.0" encoding="utf-8"?>
<ds:datastoreItem xmlns:ds="http://schemas.openxmlformats.org/officeDocument/2006/customXml" ds:itemID="{EC293814-AA2B-480D-9383-8FD494A10404}">
  <ds:schemaRefs/>
</ds:datastoreItem>
</file>

<file path=customXml/itemProps17.xml><?xml version="1.0" encoding="utf-8"?>
<ds:datastoreItem xmlns:ds="http://schemas.openxmlformats.org/officeDocument/2006/customXml" ds:itemID="{7C278C7E-EAFA-4947-BFE4-2E29391795D8}">
  <ds:schemaRefs/>
</ds:datastoreItem>
</file>

<file path=customXml/itemProps18.xml><?xml version="1.0" encoding="utf-8"?>
<ds:datastoreItem xmlns:ds="http://schemas.openxmlformats.org/officeDocument/2006/customXml" ds:itemID="{1793557E-7148-4788-B1B1-BB2D375CA0BB}">
  <ds:schemaRefs/>
</ds:datastoreItem>
</file>

<file path=customXml/itemProps19.xml><?xml version="1.0" encoding="utf-8"?>
<ds:datastoreItem xmlns:ds="http://schemas.openxmlformats.org/officeDocument/2006/customXml" ds:itemID="{1A0C50BA-FCB8-43F4-BB97-3EB99136C6DB}">
  <ds:schemaRefs/>
</ds:datastoreItem>
</file>

<file path=customXml/itemProps20.xml><?xml version="1.0" encoding="utf-8"?>
<ds:datastoreItem xmlns:ds="http://schemas.openxmlformats.org/officeDocument/2006/customXml" ds:itemID="{7ADC427A-74A1-4E36-87BA-DF6A81BCB038}">
  <ds:schemaRefs/>
</ds:datastoreItem>
</file>

<file path=customXml/itemProps21.xml><?xml version="1.0" encoding="utf-8"?>
<ds:datastoreItem xmlns:ds="http://schemas.openxmlformats.org/officeDocument/2006/customXml" ds:itemID="{33669C3A-18B3-45C0-96B8-61FAAFED7CD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Dashboard</vt:lpstr>
      <vt:lpstr>Portfolio Metrics</vt:lpstr>
      <vt:lpstr>Data Model</vt:lpstr>
      <vt:lpstr>projects</vt:lpstr>
      <vt:lpstr>resources</vt:lpstr>
      <vt:lpstr>wbs_elements</vt:lpstr>
      <vt:lpstr>resource_assignments</vt:lpstr>
      <vt:lpstr>material_costs</vt:lpstr>
      <vt:lpstr>timesheets</vt:lpstr>
      <vt:lpstr>physical_progress</vt:lpstr>
      <vt:lpstr>raid_log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2026-08-02T11:22:27Z</dcterms:created>
  <dcterms:modified xsi:type="dcterms:W3CDTF">2026-08-02T11:59:23Z</dcterms:modified>
</cp:coreProperties>
</file>