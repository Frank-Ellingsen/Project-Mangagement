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rol Tower Dashboard" sheetId="1" state="visible" r:id="rId1"/>
    <sheet xmlns:r="http://schemas.openxmlformats.org/officeDocument/2006/relationships" name="Schedule &amp; Gantt" sheetId="2" state="visible" r:id="rId2"/>
    <sheet xmlns:r="http://schemas.openxmlformats.org/officeDocument/2006/relationships" name="CFO &amp; Cost Share Audit" sheetId="3" state="visible" r:id="rId3"/>
    <sheet xmlns:r="http://schemas.openxmlformats.org/officeDocument/2006/relationships" name="Contract &amp; RAID Risk Audit" sheetId="4" state="visible" r:id="rId4"/>
    <sheet xmlns:r="http://schemas.openxmlformats.org/officeDocument/2006/relationships" name="Interactive Simulator" sheetId="5" state="visible" r:id="rId5"/>
  </sheets>
  <definedNames/>
  <calcPr calcId="124519" fullCalcOnLoad="1"/>
</workbook>
</file>

<file path=xl/styles.xml><?xml version="1.0" encoding="utf-8"?>
<styleSheet xmlns="http://schemas.openxmlformats.org/spreadsheetml/2006/main">
  <numFmts count="4">
    <numFmt numFmtId="164" formatCode="$#,##0.00"/>
    <numFmt numFmtId="165" formatCode="0.0%"/>
    <numFmt numFmtId="166" formatCode="#,##0.0"/>
    <numFmt numFmtId="167" formatCode="yyyy-mm-dd"/>
  </numFmts>
  <fonts count="12">
    <font>
      <name val="Calibri"/>
      <family val="2"/>
      <color theme="1"/>
      <sz val="11"/>
      <scheme val="minor"/>
    </font>
    <font>
      <name val="Segoe UI"/>
      <b val="1"/>
      <color rgb="002C3E50"/>
      <sz val="16"/>
    </font>
    <font>
      <name val="Segoe UI"/>
      <i val="1"/>
      <color rgb="007F8C8D"/>
      <sz val="11"/>
    </font>
    <font>
      <name val="Segoe UI"/>
      <i val="1"/>
      <color rgb="007F8C8D"/>
      <sz val="10"/>
    </font>
    <font>
      <name val="Segoe UI"/>
      <b val="1"/>
      <color rgb="002C3E50"/>
      <sz val="18"/>
    </font>
    <font>
      <name val="Segoe UI"/>
      <b val="1"/>
      <color rgb="001A252F"/>
      <sz val="13"/>
    </font>
    <font>
      <name val="Segoe UI"/>
      <color rgb="00333333"/>
      <sz val="11"/>
    </font>
    <font>
      <name val="Segoe UI"/>
      <b val="1"/>
      <color rgb="00FFFFFF"/>
      <sz val="11"/>
    </font>
    <font>
      <name val="Segoe UI"/>
      <b val="1"/>
      <color rgb="002C3E50"/>
      <sz val="11"/>
    </font>
    <font>
      <name val="Segoe UI"/>
      <b val="1"/>
      <color rgb="00922B21"/>
    </font>
    <font>
      <b val="1"/>
      <color rgb="007F8C8D"/>
    </font>
    <font>
      <b val="1"/>
      <color rgb="00922B21"/>
    </font>
  </fonts>
  <fills count="9">
    <fill>
      <patternFill/>
    </fill>
    <fill>
      <patternFill patternType="gray125"/>
    </fill>
    <fill>
      <patternFill patternType="solid">
        <fgColor rgb="00FADBD8"/>
        <bgColor rgb="00FADBD8"/>
      </patternFill>
    </fill>
    <fill>
      <patternFill patternType="solid">
        <fgColor rgb="002C3E50"/>
        <bgColor rgb="002C3E50"/>
      </patternFill>
    </fill>
    <fill>
      <patternFill patternType="solid">
        <fgColor rgb="00ECF0F1"/>
        <bgColor rgb="00ECF0F1"/>
      </patternFill>
    </fill>
    <fill>
      <patternFill patternType="solid">
        <fgColor rgb="00EAEDED"/>
        <bgColor rgb="00EAEDED"/>
      </patternFill>
    </fill>
    <fill>
      <patternFill patternType="solid">
        <fgColor rgb="00F2D7D5"/>
        <bgColor rgb="00F2D7D5"/>
      </patternFill>
    </fill>
    <fill>
      <patternFill patternType="solid">
        <fgColor rgb="00FCF3CF"/>
        <bgColor rgb="00FCF3CF"/>
      </patternFill>
    </fill>
    <fill>
      <patternFill patternType="solid">
        <fgColor rgb="00D4EFDF"/>
        <bgColor rgb="00D4EFDF"/>
      </patternFill>
    </fill>
  </fills>
  <borders count="4">
    <border>
      <left/>
      <right/>
      <top/>
      <bottom/>
      <diagonal/>
    </border>
    <border>
      <bottom style="thin">
        <color rgb="00BDC3C7"/>
      </bottom>
    </border>
    <border>
      <top style="thin">
        <color rgb="00BDC3C7"/>
      </top>
      <bottom style="double">
        <color rgb="002C3E50"/>
      </bottom>
    </border>
    <border>
      <left style="thin">
        <color rgb="00E5E7E9"/>
      </left>
      <right style="thin">
        <color rgb="00E5E7E9"/>
      </right>
      <top style="thin">
        <color rgb="00E5E7E9"/>
      </top>
      <bottom style="thin">
        <color rgb="00E5E7E9"/>
      </bottom>
    </border>
  </borders>
  <cellStyleXfs count="1">
    <xf numFmtId="0" fontId="0" fillId="0" borderId="0"/>
  </cellStyleXfs>
  <cellXfs count="4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4" fillId="0" borderId="0" pivotButton="0" quotePrefix="0" xfId="0"/>
    <xf numFmtId="2" fontId="4" fillId="2" borderId="0" pivotButton="0" quotePrefix="0" xfId="0"/>
    <xf numFmtId="165" fontId="4" fillId="0" borderId="0" pivotButton="0" quotePrefix="0" xfId="0"/>
    <xf numFmtId="0" fontId="5" fillId="0" borderId="0" pivotButton="0" quotePrefix="0" xfId="0"/>
    <xf numFmtId="0" fontId="6" fillId="0" borderId="0" applyAlignment="1" pivotButton="0" quotePrefix="0" xfId="0">
      <alignment vertical="top" wrapText="1"/>
    </xf>
    <xf numFmtId="0" fontId="7" fillId="3" borderId="0" applyAlignment="1" pivotButton="0" quotePrefix="0" xfId="0">
      <alignment horizontal="center"/>
    </xf>
    <xf numFmtId="0" fontId="7" fillId="3" borderId="0" applyAlignment="1" pivotButton="0" quotePrefix="0" xfId="0">
      <alignment horizontal="left"/>
    </xf>
    <xf numFmtId="0" fontId="7" fillId="3" borderId="0" applyAlignment="1" pivotButton="0" quotePrefix="0" xfId="0">
      <alignment horizontal="right"/>
    </xf>
    <xf numFmtId="0" fontId="6" fillId="0" borderId="1" applyAlignment="1" pivotButton="0" quotePrefix="0" xfId="0">
      <alignment horizontal="center"/>
    </xf>
    <xf numFmtId="0" fontId="6" fillId="0" borderId="1" applyAlignment="1" pivotButton="0" quotePrefix="0" xfId="0">
      <alignment horizontal="left"/>
    </xf>
    <xf numFmtId="164" fontId="6" fillId="0" borderId="1" pivotButton="0" quotePrefix="0" xfId="0"/>
    <xf numFmtId="2" fontId="6" fillId="2" borderId="1" applyAlignment="1" pivotButton="0" quotePrefix="0" xfId="0">
      <alignment horizontal="right"/>
    </xf>
    <xf numFmtId="165" fontId="6" fillId="0" borderId="1" pivotButton="0" quotePrefix="0" xfId="0"/>
    <xf numFmtId="0" fontId="6" fillId="2" borderId="1" applyAlignment="1" pivotButton="0" quotePrefix="0" xfId="0">
      <alignment horizontal="center"/>
    </xf>
    <xf numFmtId="2" fontId="6" fillId="0" borderId="1" applyAlignment="1" pivotButton="0" quotePrefix="0" xfId="0">
      <alignment horizontal="right"/>
    </xf>
    <xf numFmtId="0" fontId="8" fillId="4" borderId="2" applyAlignment="1" pivotButton="0" quotePrefix="0" xfId="0">
      <alignment horizontal="center"/>
    </xf>
    <xf numFmtId="0" fontId="8" fillId="4" borderId="2" pivotButton="0" quotePrefix="0" xfId="0"/>
    <xf numFmtId="164" fontId="8" fillId="4" borderId="2" pivotButton="0" quotePrefix="0" xfId="0"/>
    <xf numFmtId="2" fontId="8" fillId="4" borderId="2" pivotButton="0" quotePrefix="0" xfId="0"/>
    <xf numFmtId="165" fontId="8" fillId="4" borderId="2" pivotButton="0" quotePrefix="0" xfId="0"/>
    <xf numFmtId="0" fontId="8" fillId="0" borderId="0" pivotButton="0" quotePrefix="0" xfId="0"/>
    <xf numFmtId="0" fontId="6" fillId="0" borderId="0" pivotButton="0" quotePrefix="0" xfId="0"/>
    <xf numFmtId="0" fontId="6" fillId="0" borderId="1" applyAlignment="1" pivotButton="0" quotePrefix="0" xfId="0">
      <alignment horizontal="right"/>
    </xf>
    <xf numFmtId="0" fontId="6" fillId="5" borderId="3" applyAlignment="1" pivotButton="0" quotePrefix="0" xfId="0">
      <alignment horizontal="center"/>
    </xf>
    <xf numFmtId="0" fontId="6" fillId="0" borderId="3" applyAlignment="1" pivotButton="0" quotePrefix="0" xfId="0">
      <alignment horizontal="center"/>
    </xf>
    <xf numFmtId="0" fontId="6" fillId="6" borderId="3" applyAlignment="1" pivotButton="0" quotePrefix="0" xfId="0">
      <alignment horizontal="center"/>
    </xf>
    <xf numFmtId="0" fontId="6" fillId="0" borderId="1" pivotButton="0" quotePrefix="0" xfId="0"/>
    <xf numFmtId="164" fontId="0" fillId="0" borderId="1" pivotButton="0" quotePrefix="0" xfId="0"/>
    <xf numFmtId="165" fontId="0" fillId="0" borderId="1" pivotButton="0" quotePrefix="0" xfId="0"/>
    <xf numFmtId="166" fontId="0" fillId="0" borderId="1" pivotButton="0" quotePrefix="0" xfId="0"/>
    <xf numFmtId="166" fontId="6" fillId="2" borderId="1" applyAlignment="1" pivotButton="0" quotePrefix="0" xfId="0">
      <alignment horizontal="right"/>
    </xf>
    <xf numFmtId="167" fontId="6" fillId="0" borderId="1" applyAlignment="1" pivotButton="0" quotePrefix="0" xfId="0">
      <alignment horizontal="center"/>
    </xf>
    <xf numFmtId="164" fontId="6" fillId="2" borderId="1" applyAlignment="1" pivotButton="0" quotePrefix="0" xfId="0">
      <alignment horizontal="right"/>
    </xf>
    <xf numFmtId="0" fontId="6" fillId="2" borderId="1" applyAlignment="1" pivotButton="0" quotePrefix="0" xfId="0">
      <alignment horizontal="left"/>
    </xf>
    <xf numFmtId="165" fontId="8" fillId="7" borderId="3" applyAlignment="1" pivotButton="0" quotePrefix="0" xfId="0">
      <alignment horizontal="right"/>
    </xf>
    <xf numFmtId="164" fontId="8" fillId="7" borderId="3" applyAlignment="1" pivotButton="0" quotePrefix="0" xfId="0">
      <alignment horizontal="right"/>
    </xf>
    <xf numFmtId="1" fontId="8" fillId="7" borderId="3" applyAlignment="1" pivotButton="0" quotePrefix="0" xfId="0">
      <alignment horizontal="right"/>
    </xf>
    <xf numFmtId="0" fontId="0" fillId="0" borderId="1" pivotButton="0" quotePrefix="0" xfId="0"/>
    <xf numFmtId="0" fontId="8" fillId="0" borderId="1" pivotButton="0" quotePrefix="0" xfId="0"/>
    <xf numFmtId="164" fontId="8" fillId="4" borderId="1" pivotButton="0" quotePrefix="0" xfId="0"/>
    <xf numFmtId="2" fontId="8" fillId="0" borderId="1" pivotButton="0" quotePrefix="0" xfId="0"/>
    <xf numFmtId="1" fontId="0" fillId="0" borderId="1" pivotButton="0" quotePrefix="0" xfId="0"/>
    <xf numFmtId="164" fontId="8"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3"/>
  <sheetViews>
    <sheetView showGridLines="1" workbookViewId="0">
      <selection activeCell="A1" sqref="A1"/>
    </sheetView>
  </sheetViews>
  <sheetFormatPr baseColWidth="8" defaultRowHeight="15"/>
  <cols>
    <col width="546" customWidth="1" min="1" max="1"/>
    <col width="262" customWidth="1" min="2" max="2"/>
    <col width="19" customWidth="1" min="3" max="3"/>
    <col width="16" customWidth="1" min="4" max="4"/>
    <col width="20" customWidth="1" min="5" max="5"/>
    <col width="16" customWidth="1" min="6" max="6"/>
    <col width="21" customWidth="1" min="7" max="7"/>
    <col width="20" customWidth="1" min="8" max="8"/>
    <col width="21" customWidth="1" min="9" max="9"/>
  </cols>
  <sheetData>
    <row r="1" ht="28" customHeight="1">
      <c r="A1" s="1" t="inlineStr">
        <is>
          <t>⚓ PROJECT CONTROL TOWER DASHBOARD</t>
        </is>
      </c>
    </row>
    <row r="2">
      <c r="A2" s="2" t="inlineStr">
        <is>
          <t>Relational EVM &amp; Analytical Controller Dashboard | PRINCE2 Compliance</t>
        </is>
      </c>
    </row>
    <row r="3"/>
    <row r="4">
      <c r="A4" s="3" t="inlineStr">
        <is>
          <t>BUDGET (BAC)</t>
        </is>
      </c>
      <c r="C4" s="3" t="inlineStr">
        <is>
          <t>ACTUAL COST (AC)</t>
        </is>
      </c>
      <c r="E4" s="3" t="inlineStr">
        <is>
          <t>EARNED VALUE (EV)</t>
        </is>
      </c>
      <c r="G4" s="3" t="inlineStr">
        <is>
          <t>CPI</t>
        </is>
      </c>
      <c r="I4" s="3" t="inlineStr">
        <is>
          <t>PROGRESS</t>
        </is>
      </c>
    </row>
    <row r="5">
      <c r="A5" s="4" t="n">
        <v>7100000</v>
      </c>
      <c r="C5" s="4" t="n">
        <v>5220810</v>
      </c>
      <c r="E5" s="4" t="n">
        <v>4752500</v>
      </c>
      <c r="G5" s="5" t="n">
        <v>0.9102993596779044</v>
      </c>
      <c r="I5" s="6" t="n">
        <v>0.6693661971830988</v>
      </c>
    </row>
    <row r="6"/>
    <row r="7">
      <c r="A7" s="7" t="inlineStr">
        <is>
          <t>Executive Portfolio Summary</t>
        </is>
      </c>
    </row>
    <row r="8" ht="20" customHeight="1">
      <c r="A8" s="8" t="inlineStr">
        <is>
          <t>The project portfolio currently consists of 6 projects spanning maritime vessel fabrication, logistics solutions, and subsea structures. As of the latest reporting cycle, the portfolio has a total baseline budget (BAC) of 7,100,000 USD, with 5,220,810 USD logged in actual costs (AC) and 4,752,500 USD earned in physical progress value (EV). The aggregate portfolio Cost Performance Index (CPI) stands at a stable 0.91. Individual active projects exhibit cost and schedule pressures, but overall execution remains within manageable tolerances.</t>
        </is>
      </c>
    </row>
    <row r="9" ht="20" customHeight="1"/>
    <row r="10"/>
    <row r="11">
      <c r="A11" s="7" t="inlineStr">
        <is>
          <t>Portfolio Project Breakdown</t>
        </is>
      </c>
    </row>
    <row r="12" ht="22" customHeight="1">
      <c r="A12" s="9" t="inlineStr">
        <is>
          <t>Project ID</t>
        </is>
      </c>
      <c r="B12" s="10" t="inlineStr">
        <is>
          <t>Project Name</t>
        </is>
      </c>
      <c r="C12" s="10" t="inlineStr">
        <is>
          <t>Project Manager</t>
        </is>
      </c>
      <c r="D12" s="11" t="inlineStr">
        <is>
          <t>BAC (USD)</t>
        </is>
      </c>
      <c r="E12" s="11" t="inlineStr">
        <is>
          <t>AC (USD)</t>
        </is>
      </c>
      <c r="F12" s="11" t="inlineStr">
        <is>
          <t>EV (USD)</t>
        </is>
      </c>
      <c r="G12" s="11" t="inlineStr">
        <is>
          <t>CPI</t>
        </is>
      </c>
      <c r="H12" s="11" t="inlineStr">
        <is>
          <t>Progress</t>
        </is>
      </c>
      <c r="I12" s="9" t="inlineStr">
        <is>
          <t>Status</t>
        </is>
      </c>
    </row>
    <row r="13">
      <c r="A13" s="12" t="inlineStr">
        <is>
          <t>PRJ-001</t>
        </is>
      </c>
      <c r="B13" s="13" t="inlineStr">
        <is>
          <t>Composite Maritime Vessel Construction</t>
        </is>
      </c>
      <c r="C13" s="13" t="inlineStr">
        <is>
          <t>Morten Hansen</t>
        </is>
      </c>
      <c r="D13" s="14" t="n">
        <v>1500000</v>
      </c>
      <c r="E13" s="14" t="n">
        <v>1848810</v>
      </c>
      <c r="F13" s="14" t="n">
        <v>1492500</v>
      </c>
      <c r="G13" s="15" t="n">
        <v>0.8072760316095218</v>
      </c>
      <c r="H13" s="16" t="n">
        <v>0.995</v>
      </c>
      <c r="I13" s="17" t="inlineStr">
        <is>
          <t>🔴 Over Budget</t>
        </is>
      </c>
    </row>
    <row r="14">
      <c r="A14" s="12" t="inlineStr">
        <is>
          <t>PRJ-002</t>
        </is>
      </c>
      <c r="B14" s="13" t="inlineStr">
        <is>
          <t>PRJ-002: Patrol Vessel Carbon Mold Design</t>
        </is>
      </c>
      <c r="C14" s="13" t="inlineStr">
        <is>
          <t>Morten Hansen</t>
        </is>
      </c>
      <c r="D14" s="14" t="n">
        <v>800000</v>
      </c>
      <c r="E14" s="14" t="n">
        <v>0</v>
      </c>
      <c r="F14" s="14" t="n">
        <v>0</v>
      </c>
      <c r="G14" s="18" t="n">
        <v>1</v>
      </c>
      <c r="H14" s="16" t="n">
        <v>0</v>
      </c>
      <c r="I14" s="12" t="inlineStr">
        <is>
          <t>⚪ Planned</t>
        </is>
      </c>
    </row>
    <row r="15">
      <c r="A15" s="12" t="inlineStr">
        <is>
          <t>PRJ-003</t>
        </is>
      </c>
      <c r="B15" s="13" t="inlineStr">
        <is>
          <t>PRJ-003: Subsea Cable Installation Frame</t>
        </is>
      </c>
      <c r="C15" s="13" t="inlineStr">
        <is>
          <t>Erik Johansen</t>
        </is>
      </c>
      <c r="D15" s="14" t="n">
        <v>1200000</v>
      </c>
      <c r="E15" s="14" t="n">
        <v>382500</v>
      </c>
      <c r="F15" s="14" t="n">
        <v>360000</v>
      </c>
      <c r="G15" s="15" t="n">
        <v>0.9411764705882353</v>
      </c>
      <c r="H15" s="16" t="n">
        <v>0.3</v>
      </c>
      <c r="I15" s="17" t="inlineStr">
        <is>
          <t>🔴 Overrun Warn</t>
        </is>
      </c>
    </row>
    <row r="16">
      <c r="A16" s="12" t="inlineStr">
        <is>
          <t>PRJ-004</t>
        </is>
      </c>
      <c r="B16" s="13" t="inlineStr">
        <is>
          <t>PRJ-004: Autonomous Workboat Hull Weldments</t>
        </is>
      </c>
      <c r="C16" s="13" t="inlineStr">
        <is>
          <t>Astrid Nilsen</t>
        </is>
      </c>
      <c r="D16" s="14" t="n">
        <v>2000000</v>
      </c>
      <c r="E16" s="14" t="n">
        <v>1476000</v>
      </c>
      <c r="F16" s="14" t="n">
        <v>1400000</v>
      </c>
      <c r="G16" s="15" t="n">
        <v>0.948509485094851</v>
      </c>
      <c r="H16" s="16" t="n">
        <v>0.7</v>
      </c>
      <c r="I16" s="17" t="inlineStr">
        <is>
          <t>🔴 Overrun Warn</t>
        </is>
      </c>
    </row>
    <row r="17">
      <c r="A17" s="12" t="inlineStr">
        <is>
          <t>PRJ-005</t>
        </is>
      </c>
      <c r="B17" s="13" t="inlineStr">
        <is>
          <t>PRJ-005: Defense Logistics Pontoon Build</t>
        </is>
      </c>
      <c r="C17" s="13" t="inlineStr">
        <is>
          <t>Frank Ellingsen</t>
        </is>
      </c>
      <c r="D17" s="14" t="n">
        <v>1000000</v>
      </c>
      <c r="E17" s="14" t="n">
        <v>927000</v>
      </c>
      <c r="F17" s="14" t="n">
        <v>900000</v>
      </c>
      <c r="G17" s="18" t="n">
        <v>0.970873786407767</v>
      </c>
      <c r="H17" s="16" t="n">
        <v>0.9</v>
      </c>
      <c r="I17" s="12" t="inlineStr">
        <is>
          <t>🟡 Within Margins</t>
        </is>
      </c>
    </row>
    <row r="18">
      <c r="A18" s="12" t="inlineStr">
        <is>
          <t>PRJ-006</t>
        </is>
      </c>
      <c r="B18" s="13" t="inlineStr">
        <is>
          <t>PRJ-006: Lightweight Composite Cargo Hatch</t>
        </is>
      </c>
      <c r="C18" s="13" t="inlineStr">
        <is>
          <t>Morten Hansen</t>
        </is>
      </c>
      <c r="D18" s="14" t="n">
        <v>600000</v>
      </c>
      <c r="E18" s="14" t="n">
        <v>586500</v>
      </c>
      <c r="F18" s="14" t="n">
        <v>600000</v>
      </c>
      <c r="G18" s="18" t="n">
        <v>1.023017902813299</v>
      </c>
      <c r="H18" s="16" t="n">
        <v>1</v>
      </c>
      <c r="I18" s="12" t="inlineStr">
        <is>
          <t>🟢 Completed</t>
        </is>
      </c>
    </row>
    <row r="19"/>
    <row r="20"/>
    <row r="21">
      <c r="A21" s="7" t="inlineStr">
        <is>
          <t>WBS Element Performance Details</t>
        </is>
      </c>
    </row>
    <row r="22" ht="22" customHeight="1">
      <c r="A22" s="9" t="inlineStr">
        <is>
          <t>WBS Code</t>
        </is>
      </c>
      <c r="B22" s="10" t="inlineStr">
        <is>
          <t>ElementName</t>
        </is>
      </c>
      <c r="C22" s="11" t="inlineStr">
        <is>
          <t>BAC (USD)</t>
        </is>
      </c>
      <c r="D22" s="11" t="inlineStr">
        <is>
          <t>AC (USD)</t>
        </is>
      </c>
      <c r="E22" s="11" t="inlineStr">
        <is>
          <t>EV (USD)</t>
        </is>
      </c>
      <c r="F22" s="11" t="inlineStr">
        <is>
          <t>CPI</t>
        </is>
      </c>
      <c r="G22" s="11" t="inlineStr">
        <is>
          <t>Progress</t>
        </is>
      </c>
      <c r="H22" s="11" t="inlineStr">
        <is>
          <t>EAC Typical (USD)</t>
        </is>
      </c>
      <c r="I22" s="9" t="inlineStr">
        <is>
          <t>Status</t>
        </is>
      </c>
    </row>
    <row r="23">
      <c r="A23" s="12" t="n">
        <v>1</v>
      </c>
      <c r="B23" s="13" t="inlineStr">
        <is>
          <t>Project Management &amp; Engineering</t>
        </is>
      </c>
      <c r="C23" s="14" t="n">
        <v>300000</v>
      </c>
      <c r="D23" s="14" t="n">
        <v>419230</v>
      </c>
      <c r="E23" s="14" t="n">
        <v>292500</v>
      </c>
      <c r="F23" s="15">
        <f>E23/D23</f>
        <v/>
      </c>
      <c r="G23" s="16" t="n">
        <v>0.975</v>
      </c>
      <c r="H23" s="14">
        <f>C23/F23</f>
        <v/>
      </c>
      <c r="I23" s="17">
        <f>IF(F23&lt;0.95, "🔴 Overrun", "🟢 On Track")</f>
        <v/>
      </c>
    </row>
    <row r="24">
      <c r="A24" s="12" t="n">
        <v>1</v>
      </c>
      <c r="B24" s="13" t="inlineStr">
        <is>
          <t>Structural Frame Engineering</t>
        </is>
      </c>
      <c r="C24" s="14" t="n">
        <v>400000</v>
      </c>
      <c r="D24" s="14" t="n">
        <v>332500</v>
      </c>
      <c r="E24" s="14" t="n">
        <v>360000</v>
      </c>
      <c r="F24" s="18">
        <f>E24/D24</f>
        <v/>
      </c>
      <c r="G24" s="16" t="n">
        <v>0.9</v>
      </c>
      <c r="H24" s="14">
        <f>C24/F24</f>
        <v/>
      </c>
      <c r="I24" s="12">
        <f>IF(F24&lt;0.95, "🔴 Overrun", "🟢 On Track")</f>
        <v/>
      </c>
    </row>
    <row r="25">
      <c r="A25" s="12" t="n">
        <v>1</v>
      </c>
      <c r="B25" s="13" t="inlineStr">
        <is>
          <t>Engineering Drawings &amp; Class Approval</t>
        </is>
      </c>
      <c r="C25" s="14" t="n">
        <v>500000</v>
      </c>
      <c r="D25" s="14" t="n">
        <v>456000</v>
      </c>
      <c r="E25" s="14" t="n">
        <v>500000</v>
      </c>
      <c r="F25" s="18">
        <f>E25/D25</f>
        <v/>
      </c>
      <c r="G25" s="16" t="n">
        <v>1</v>
      </c>
      <c r="H25" s="14">
        <f>C25/F25</f>
        <v/>
      </c>
      <c r="I25" s="12">
        <f>IF(F25&lt;0.95, "🔴 Overrun", "🟢 On Track")</f>
        <v/>
      </c>
    </row>
    <row r="26">
      <c r="A26" s="12" t="n">
        <v>1</v>
      </c>
      <c r="B26" s="13" t="inlineStr">
        <is>
          <t>Project Control &amp; PM</t>
        </is>
      </c>
      <c r="C26" s="14" t="n">
        <v>200000</v>
      </c>
      <c r="D26" s="14" t="n">
        <v>187000</v>
      </c>
      <c r="E26" s="14" t="n">
        <v>200000</v>
      </c>
      <c r="F26" s="18">
        <f>E26/D26</f>
        <v/>
      </c>
      <c r="G26" s="16" t="n">
        <v>1</v>
      </c>
      <c r="H26" s="14">
        <f>C26/F26</f>
        <v/>
      </c>
      <c r="I26" s="12">
        <f>IF(F26&lt;0.95, "🔴 Overrun", "🟢 On Track")</f>
        <v/>
      </c>
    </row>
    <row r="27">
      <c r="A27" s="12" t="n">
        <v>1</v>
      </c>
      <c r="B27" s="13" t="inlineStr">
        <is>
          <t>Hatch Engineering &amp; FEA</t>
        </is>
      </c>
      <c r="C27" s="14" t="n">
        <v>200000</v>
      </c>
      <c r="D27" s="14" t="n">
        <v>180500</v>
      </c>
      <c r="E27" s="14" t="n">
        <v>200000</v>
      </c>
      <c r="F27" s="18">
        <f>E27/D27</f>
        <v/>
      </c>
      <c r="G27" s="16" t="n">
        <v>1</v>
      </c>
      <c r="H27" s="14">
        <f>C27/F27</f>
        <v/>
      </c>
      <c r="I27" s="12">
        <f>IF(F27&lt;0.95, "🔴 Overrun", "🟢 On Track")</f>
        <v/>
      </c>
    </row>
    <row r="28">
      <c r="A28" s="12" t="n">
        <v>1</v>
      </c>
      <c r="B28" s="13" t="inlineStr">
        <is>
          <t>Design &amp; CFD Analysis</t>
        </is>
      </c>
      <c r="C28" s="14" t="n">
        <v>300000</v>
      </c>
      <c r="D28" s="14" t="n">
        <v>0</v>
      </c>
      <c r="E28" s="14" t="n">
        <v>0</v>
      </c>
      <c r="F28" s="18">
        <f>E28/D28</f>
        <v/>
      </c>
      <c r="G28" s="16" t="n">
        <v>0</v>
      </c>
      <c r="H28" s="14">
        <f>C28/F28</f>
        <v/>
      </c>
      <c r="I28" s="12">
        <f>IF(F28&lt;0.95, "🔴 Overrun", "🟢 On Track")</f>
        <v/>
      </c>
    </row>
    <row r="29">
      <c r="A29" s="12" t="n">
        <v>2</v>
      </c>
      <c r="B29" s="13" t="inlineStr">
        <is>
          <t>Hull Fabrication &amp; Assembly</t>
        </is>
      </c>
      <c r="C29" s="14" t="n">
        <v>600000</v>
      </c>
      <c r="D29" s="14" t="n">
        <v>620450</v>
      </c>
      <c r="E29" s="14" t="n">
        <v>600000</v>
      </c>
      <c r="F29" s="18">
        <f>E29/D29</f>
        <v/>
      </c>
      <c r="G29" s="16" t="n">
        <v>1</v>
      </c>
      <c r="H29" s="14">
        <f>C29/F29</f>
        <v/>
      </c>
      <c r="I29" s="12">
        <f>IF(F29&lt;0.95, "🔴 Overrun", "🟢 On Track")</f>
        <v/>
      </c>
    </row>
    <row r="30">
      <c r="A30" s="12" t="n">
        <v>2</v>
      </c>
      <c r="B30" s="13" t="inlineStr">
        <is>
          <t>Hull Welding &amp; Assembly</t>
        </is>
      </c>
      <c r="C30" s="14" t="n">
        <v>1500000</v>
      </c>
      <c r="D30" s="14" t="n">
        <v>1020000</v>
      </c>
      <c r="E30" s="14" t="n">
        <v>900000</v>
      </c>
      <c r="F30" s="15">
        <f>E30/D30</f>
        <v/>
      </c>
      <c r="G30" s="16" t="n">
        <v>0.6</v>
      </c>
      <c r="H30" s="14">
        <f>C30/F30</f>
        <v/>
      </c>
      <c r="I30" s="17">
        <f>IF(F30&lt;0.95, "🔴 Overrun", "🟢 On Track")</f>
        <v/>
      </c>
    </row>
    <row r="31">
      <c r="A31" s="12" t="n">
        <v>2</v>
      </c>
      <c r="B31" s="13" t="inlineStr">
        <is>
          <t>Pontoon Assembly &amp; Painting</t>
        </is>
      </c>
      <c r="C31" s="14" t="n">
        <v>800000</v>
      </c>
      <c r="D31" s="14" t="n">
        <v>740000</v>
      </c>
      <c r="E31" s="14" t="n">
        <v>700000</v>
      </c>
      <c r="F31" s="15">
        <f>E31/D31</f>
        <v/>
      </c>
      <c r="G31" s="16" t="n">
        <v>0.875</v>
      </c>
      <c r="H31" s="14">
        <f>C31/F31</f>
        <v/>
      </c>
      <c r="I31" s="17">
        <f>IF(F31&lt;0.95, "🔴 Overrun", "🟢 On Track")</f>
        <v/>
      </c>
    </row>
    <row r="32">
      <c r="A32" s="12" t="n">
        <v>2</v>
      </c>
      <c r="B32" s="13" t="inlineStr">
        <is>
          <t>Molding &amp; Testing</t>
        </is>
      </c>
      <c r="C32" s="14" t="n">
        <v>400000</v>
      </c>
      <c r="D32" s="14" t="n">
        <v>406000</v>
      </c>
      <c r="E32" s="14" t="n">
        <v>400000</v>
      </c>
      <c r="F32" s="18">
        <f>E32/D32</f>
        <v/>
      </c>
      <c r="G32" s="16" t="n">
        <v>1</v>
      </c>
      <c r="H32" s="14">
        <f>C32/F32</f>
        <v/>
      </c>
      <c r="I32" s="12">
        <f>IF(F32&lt;0.95, "🔴 Overrun", "🟢 On Track")</f>
        <v/>
      </c>
    </row>
    <row r="33">
      <c r="A33" s="12" t="n">
        <v>2</v>
      </c>
      <c r="B33" s="13" t="inlineStr">
        <is>
          <t>Steel Fabrication</t>
        </is>
      </c>
      <c r="C33" s="14" t="n">
        <v>800000</v>
      </c>
      <c r="D33" s="14" t="n">
        <v>50000</v>
      </c>
      <c r="E33" s="14" t="n">
        <v>0</v>
      </c>
      <c r="F33" s="15">
        <f>E33/D33</f>
        <v/>
      </c>
      <c r="G33" s="16" t="n">
        <v>0</v>
      </c>
      <c r="H33" s="14">
        <f>C33/F33</f>
        <v/>
      </c>
      <c r="I33" s="17">
        <f>IF(F33&lt;0.95, "🔴 Overrun", "🟢 On Track")</f>
        <v/>
      </c>
    </row>
    <row r="34">
      <c r="A34" s="12" t="n">
        <v>2</v>
      </c>
      <c r="B34" s="13" t="inlineStr">
        <is>
          <t>Material Procurement</t>
        </is>
      </c>
      <c r="C34" s="14" t="n">
        <v>500000</v>
      </c>
      <c r="D34" s="14" t="n">
        <v>0</v>
      </c>
      <c r="E34" s="14" t="n">
        <v>0</v>
      </c>
      <c r="F34" s="18">
        <f>E34/D34</f>
        <v/>
      </c>
      <c r="G34" s="16" t="n">
        <v>0</v>
      </c>
      <c r="H34" s="14">
        <f>C34/F34</f>
        <v/>
      </c>
      <c r="I34" s="12">
        <f>IF(F34&lt;0.95, "🔴 Overrun", "🟢 On Track")</f>
        <v/>
      </c>
    </row>
    <row r="35">
      <c r="A35" s="12" t="n">
        <v>3</v>
      </c>
      <c r="B35" s="13" t="inlineStr">
        <is>
          <t>Outfitting &amp; Integration</t>
        </is>
      </c>
      <c r="C35" s="14" t="n">
        <v>400000</v>
      </c>
      <c r="D35" s="14" t="n">
        <v>540445</v>
      </c>
      <c r="E35" s="14" t="n">
        <v>400000</v>
      </c>
      <c r="F35" s="15">
        <f>E35/D35</f>
        <v/>
      </c>
      <c r="G35" s="16" t="n">
        <v>1</v>
      </c>
      <c r="H35" s="14">
        <f>C35/F35</f>
        <v/>
      </c>
      <c r="I35" s="17">
        <f>IF(F35&lt;0.95, "🔴 Overrun", "🟢 On Track")</f>
        <v/>
      </c>
    </row>
    <row r="36">
      <c r="A36" s="12" t="n">
        <v>4</v>
      </c>
      <c r="B36" s="13" t="inlineStr">
        <is>
          <t>Sea Trials &amp; Handover</t>
        </is>
      </c>
      <c r="C36" s="14" t="n">
        <v>200000</v>
      </c>
      <c r="D36" s="14" t="n">
        <v>268685</v>
      </c>
      <c r="E36" s="14" t="n">
        <v>200000</v>
      </c>
      <c r="F36" s="15">
        <f>E36/D36</f>
        <v/>
      </c>
      <c r="G36" s="16" t="n">
        <v>1</v>
      </c>
      <c r="H36" s="14">
        <f>C36/F36</f>
        <v/>
      </c>
      <c r="I36" s="17">
        <f>IF(F36&lt;0.95, "🔴 Overrun", "🟢 On Track")</f>
        <v/>
      </c>
    </row>
    <row r="37">
      <c r="A37" s="19" t="inlineStr">
        <is>
          <t>TOTAL</t>
        </is>
      </c>
      <c r="B37" s="20" t="inlineStr">
        <is>
          <t>Project Summary</t>
        </is>
      </c>
      <c r="C37" s="21">
        <f>SUM(C23:C36)</f>
        <v/>
      </c>
      <c r="D37" s="21">
        <f>SUM(D23:D36)</f>
        <v/>
      </c>
      <c r="E37" s="21">
        <f>SUM(E23:E36)</f>
        <v/>
      </c>
      <c r="F37" s="22">
        <f>E37/D37</f>
        <v/>
      </c>
      <c r="G37" s="23">
        <f>E37/C37</f>
        <v/>
      </c>
      <c r="H37" s="21">
        <f>SUM(H23:H36)</f>
        <v/>
      </c>
      <c r="I37" s="19">
        <f>IF(F37&lt;0.95, "🔴 Overrun", "🟢 On Track")</f>
        <v/>
      </c>
    </row>
    <row r="38"/>
    <row r="39"/>
    <row r="40">
      <c r="A40" s="7" t="inlineStr">
        <is>
          <t>Critical Controlling Audit Commentary (PRJ-001)</t>
        </is>
      </c>
    </row>
    <row r="41">
      <c r="A41" s="24" t="inlineStr">
        <is>
          <t>Reason for Red Flag:</t>
        </is>
      </c>
      <c r="B41" s="25" t="inlineStr">
        <is>
          <t>Cost overrun of 356k USD on PRJ-001 (EVM CPI: 0.81), driven by rising contractor rates for outfitting and engineering design variation orders.</t>
        </is>
      </c>
    </row>
    <row r="42">
      <c r="A42" s="24" t="inlineStr">
        <is>
          <t>Recommended Action:</t>
        </is>
      </c>
      <c r="B42" s="25" t="inlineStr">
        <is>
          <t>Audit outfitting contracts, renegotiate rates, freeze non-essential VOs, and reallocate welding capacity.</t>
        </is>
      </c>
    </row>
    <row r="43">
      <c r="A43" s="24" t="inlineStr">
        <is>
          <t>Completion Status:</t>
        </is>
      </c>
      <c r="B43" s="25" t="inlineStr">
        <is>
          <t>Project is overall at 99.5% physical progress. WBS 1.0 (Project Management &amp; Engineering) is at 97.5% due to outstanding closeout docs, final as-built drawing revisions, and class approval compilation. All other WBS packages (2.0, 3.0, 4.0) are 100% complete.</t>
        </is>
      </c>
    </row>
  </sheetData>
  <mergeCells count="1">
    <mergeCell ref="A8:I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
  <sheetViews>
    <sheetView showGridLines="1" workbookViewId="0">
      <selection activeCell="A1" sqref="A1"/>
    </sheetView>
  </sheetViews>
  <sheetFormatPr baseColWidth="8" defaultRowHeight="15"/>
  <cols>
    <col width="84" customWidth="1" min="1" max="1"/>
    <col width="30" customWidth="1" min="2" max="2"/>
    <col width="13" customWidth="1" min="3" max="3"/>
    <col width="13" customWidth="1" min="4" max="4"/>
    <col width="18" customWidth="1" min="5" max="5"/>
    <col width="15" customWidth="1" min="6" max="6"/>
    <col width="14" customWidth="1" min="7" max="7"/>
    <col width="12" customWidth="1" min="8" max="8"/>
    <col width="11" customWidth="1" min="9" max="9"/>
    <col width="11" customWidth="1" min="10" max="10"/>
    <col width="11" customWidth="1" min="11" max="11"/>
    <col width="11" customWidth="1" min="12" max="12"/>
    <col width="11" customWidth="1" min="13" max="13"/>
    <col width="11" customWidth="1" min="14" max="14"/>
  </cols>
  <sheetData>
    <row r="1">
      <c r="A1" s="1" t="inlineStr">
        <is>
          <t>📅 PROJECT Gantt CHART &amp; SCHEDULE</t>
        </is>
      </c>
    </row>
    <row r="2">
      <c r="A2" s="2" t="inlineStr">
        <is>
          <t>Chris Croft Method: Durations, Predecessors, Float &amp; Critical Path Identification</t>
        </is>
      </c>
    </row>
    <row r="3"/>
    <row r="4"/>
    <row r="5" ht="22" customHeight="1">
      <c r="A5" s="9" t="inlineStr">
        <is>
          <t>WBS</t>
        </is>
      </c>
      <c r="B5" s="9" t="inlineStr">
        <is>
          <t>Task Description</t>
        </is>
      </c>
      <c r="C5" s="9" t="inlineStr">
        <is>
          <t>Start Date</t>
        </is>
      </c>
      <c r="D5" s="9" t="inlineStr">
        <is>
          <t>End Date</t>
        </is>
      </c>
      <c r="E5" s="9" t="inlineStr">
        <is>
          <t>Duration (Days)</t>
        </is>
      </c>
      <c r="F5" s="9" t="inlineStr">
        <is>
          <t>Predecessors</t>
        </is>
      </c>
      <c r="G5" s="9" t="inlineStr">
        <is>
          <t>Total Float</t>
        </is>
      </c>
      <c r="H5" s="9" t="inlineStr">
        <is>
          <t>Critical?</t>
        </is>
      </c>
      <c r="I5" s="9" t="inlineStr">
        <is>
          <t>Jan 2026</t>
        </is>
      </c>
      <c r="J5" s="9" t="inlineStr">
        <is>
          <t>Feb 2026</t>
        </is>
      </c>
      <c r="K5" s="9" t="inlineStr">
        <is>
          <t>Mar 2026</t>
        </is>
      </c>
      <c r="L5" s="9" t="inlineStr">
        <is>
          <t>Apr 2026</t>
        </is>
      </c>
      <c r="M5" s="9" t="inlineStr">
        <is>
          <t>May 2026</t>
        </is>
      </c>
      <c r="N5" s="9" t="inlineStr">
        <is>
          <t>Jun 2026</t>
        </is>
      </c>
    </row>
    <row r="6">
      <c r="A6" s="12" t="inlineStr">
        <is>
          <t>1.0</t>
        </is>
      </c>
      <c r="B6" s="13" t="inlineStr">
        <is>
          <t>Project Management &amp; Eng.</t>
        </is>
      </c>
      <c r="C6" s="12" t="inlineStr">
        <is>
          <t>2026-01-01</t>
        </is>
      </c>
      <c r="D6" s="12" t="inlineStr">
        <is>
          <t>2026-06-30</t>
        </is>
      </c>
      <c r="E6" s="26" t="n">
        <v>181</v>
      </c>
      <c r="F6" s="12" t="inlineStr">
        <is>
          <t>None</t>
        </is>
      </c>
      <c r="G6" s="26" t="n">
        <v>0</v>
      </c>
      <c r="H6" s="12" t="inlineStr">
        <is>
          <t>Yes</t>
        </is>
      </c>
      <c r="I6" s="27" t="inlineStr">
        <is>
          <t>■</t>
        </is>
      </c>
      <c r="J6" s="27" t="inlineStr">
        <is>
          <t>■</t>
        </is>
      </c>
      <c r="K6" s="27" t="inlineStr">
        <is>
          <t>■</t>
        </is>
      </c>
      <c r="L6" s="27" t="inlineStr">
        <is>
          <t>■</t>
        </is>
      </c>
      <c r="M6" s="27" t="inlineStr">
        <is>
          <t>■</t>
        </is>
      </c>
      <c r="N6" s="27" t="inlineStr">
        <is>
          <t>■</t>
        </is>
      </c>
    </row>
    <row r="7">
      <c r="A7" s="12" t="inlineStr">
        <is>
          <t>2.0</t>
        </is>
      </c>
      <c r="B7" s="13" t="inlineStr">
        <is>
          <t>Hull Fabrication &amp; Assembly</t>
        </is>
      </c>
      <c r="C7" s="12" t="inlineStr">
        <is>
          <t>2026-02-01</t>
        </is>
      </c>
      <c r="D7" s="12" t="inlineStr">
        <is>
          <t>2026-04-15</t>
        </is>
      </c>
      <c r="E7" s="26" t="n">
        <v>74</v>
      </c>
      <c r="F7" s="12" t="inlineStr">
        <is>
          <t>1.0</t>
        </is>
      </c>
      <c r="G7" s="26" t="n">
        <v>0</v>
      </c>
      <c r="H7" s="12" t="inlineStr">
        <is>
          <t>Yes</t>
        </is>
      </c>
      <c r="I7" s="28" t="inlineStr"/>
      <c r="J7" s="29" t="inlineStr">
        <is>
          <t>■</t>
        </is>
      </c>
      <c r="K7" s="29" t="inlineStr">
        <is>
          <t>■</t>
        </is>
      </c>
      <c r="L7" s="29" t="inlineStr">
        <is>
          <t>■</t>
        </is>
      </c>
      <c r="M7" s="28" t="inlineStr"/>
      <c r="N7" s="28" t="inlineStr"/>
    </row>
    <row r="8">
      <c r="A8" s="12" t="inlineStr">
        <is>
          <t>3.0</t>
        </is>
      </c>
      <c r="B8" s="13" t="inlineStr">
        <is>
          <t>Outfitting &amp; Integration</t>
        </is>
      </c>
      <c r="C8" s="12" t="inlineStr">
        <is>
          <t>2026-04-01</t>
        </is>
      </c>
      <c r="D8" s="12" t="inlineStr">
        <is>
          <t>2026-05-31</t>
        </is>
      </c>
      <c r="E8" s="26" t="n">
        <v>61</v>
      </c>
      <c r="F8" s="12" t="inlineStr">
        <is>
          <t>2.0</t>
        </is>
      </c>
      <c r="G8" s="26" t="n">
        <v>0</v>
      </c>
      <c r="H8" s="12" t="inlineStr">
        <is>
          <t>Yes</t>
        </is>
      </c>
      <c r="I8" s="28" t="inlineStr"/>
      <c r="J8" s="28" t="inlineStr"/>
      <c r="K8" s="28" t="inlineStr"/>
      <c r="L8" s="29" t="inlineStr">
        <is>
          <t>■</t>
        </is>
      </c>
      <c r="M8" s="29" t="inlineStr">
        <is>
          <t>■</t>
        </is>
      </c>
      <c r="N8" s="28" t="inlineStr"/>
    </row>
    <row r="9">
      <c r="A9" s="12" t="inlineStr">
        <is>
          <t>4.0</t>
        </is>
      </c>
      <c r="B9" s="13" t="inlineStr">
        <is>
          <t>Sea Trials &amp; Handover</t>
        </is>
      </c>
      <c r="C9" s="12" t="inlineStr">
        <is>
          <t>2026-06-01</t>
        </is>
      </c>
      <c r="D9" s="12" t="inlineStr">
        <is>
          <t>2026-06-30</t>
        </is>
      </c>
      <c r="E9" s="26" t="n">
        <v>30</v>
      </c>
      <c r="F9" s="12" t="inlineStr">
        <is>
          <t>3.0</t>
        </is>
      </c>
      <c r="G9" s="26" t="n">
        <v>0</v>
      </c>
      <c r="H9" s="12" t="inlineStr">
        <is>
          <t>Yes</t>
        </is>
      </c>
      <c r="I9" s="28" t="inlineStr"/>
      <c r="J9" s="28" t="inlineStr"/>
      <c r="K9" s="28" t="inlineStr"/>
      <c r="L9" s="28" t="inlineStr"/>
      <c r="M9" s="28" t="inlineStr"/>
      <c r="N9" s="29"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18"/>
  <sheetViews>
    <sheetView showGridLines="1" workbookViewId="0">
      <selection activeCell="A1" sqref="A1"/>
    </sheetView>
  </sheetViews>
  <sheetFormatPr baseColWidth="8" defaultRowHeight="15"/>
  <cols>
    <col width="69" customWidth="1" min="1" max="1"/>
    <col width="25" customWidth="1" min="2" max="2"/>
    <col width="20" customWidth="1" min="3" max="3"/>
    <col width="21" customWidth="1" min="4" max="4"/>
    <col width="26" customWidth="1" min="5" max="5"/>
  </cols>
  <sheetData>
    <row r="1">
      <c r="A1" s="1" t="inlineStr">
        <is>
          <t>💼 CFO PROFITABILITY &amp; COST SHARE AUDIT</t>
        </is>
      </c>
    </row>
    <row r="2">
      <c r="A2" s="2" t="inlineStr">
        <is>
          <t>Resource and material allocations, burn rates, and project margins</t>
        </is>
      </c>
    </row>
    <row r="3"/>
    <row r="4"/>
    <row r="5">
      <c r="A5" s="7" t="inlineStr">
        <is>
          <t>Cost-Share Breakdown</t>
        </is>
      </c>
    </row>
    <row r="6">
      <c r="A6" s="10" t="inlineStr">
        <is>
          <t>Category</t>
        </is>
      </c>
      <c r="B6" s="11" t="inlineStr">
        <is>
          <t>Actual Cost (USD)</t>
        </is>
      </c>
      <c r="C6" s="11" t="inlineStr">
        <is>
          <t>Share %</t>
        </is>
      </c>
    </row>
    <row r="7">
      <c r="A7" s="30" t="inlineStr">
        <is>
          <t>Labor Costs</t>
        </is>
      </c>
      <c r="B7" s="31" t="n">
        <v>4148810</v>
      </c>
      <c r="C7" s="32">
        <f>B7/B9</f>
        <v/>
      </c>
    </row>
    <row r="8">
      <c r="A8" s="30" t="inlineStr">
        <is>
          <t>Material &amp; Procurement Costs</t>
        </is>
      </c>
      <c r="B8" s="31" t="n">
        <v>1072000</v>
      </c>
      <c r="C8" s="32">
        <f>B8/B9</f>
        <v/>
      </c>
    </row>
    <row r="9">
      <c r="A9" s="20" t="inlineStr">
        <is>
          <t>TOTAL ACTUAL COST</t>
        </is>
      </c>
      <c r="B9" s="21">
        <f>SUM(B7:B8)</f>
        <v/>
      </c>
      <c r="C9" s="23" t="n">
        <v>1</v>
      </c>
    </row>
    <row r="10"/>
    <row r="11"/>
    <row r="12">
      <c r="A12" s="7" t="inlineStr">
        <is>
          <t>Resource Burn Rates</t>
        </is>
      </c>
    </row>
    <row r="13">
      <c r="A13" s="10" t="inlineStr">
        <is>
          <t>Resource Name</t>
        </is>
      </c>
      <c r="B13" s="10" t="inlineStr">
        <is>
          <t>Role</t>
        </is>
      </c>
      <c r="C13" s="11" t="inlineStr">
        <is>
          <t>Hourly Rate (USD)</t>
        </is>
      </c>
      <c r="D13" s="11" t="inlineStr">
        <is>
          <t>Hours Logged</t>
        </is>
      </c>
      <c r="E13" s="11" t="inlineStr">
        <is>
          <t>Total Cost Logged (USD)</t>
        </is>
      </c>
    </row>
    <row r="14">
      <c r="A14" s="30" t="inlineStr">
        <is>
          <t>Astrid Nilsen</t>
        </is>
      </c>
      <c r="B14" s="30" t="inlineStr">
        <is>
          <t>Structural Welder</t>
        </is>
      </c>
      <c r="C14" s="31" t="n">
        <v>700</v>
      </c>
      <c r="D14" s="33" t="n">
        <v>2899.1</v>
      </c>
      <c r="E14" s="31" t="n">
        <v>2029370</v>
      </c>
    </row>
    <row r="15">
      <c r="A15" s="30" t="inlineStr">
        <is>
          <t>Erik Johansen</t>
        </is>
      </c>
      <c r="B15" s="30" t="inlineStr">
        <is>
          <t>Senior Design Engineer</t>
        </is>
      </c>
      <c r="C15" s="31" t="n">
        <v>950</v>
      </c>
      <c r="D15" s="33" t="n">
        <v>1208</v>
      </c>
      <c r="E15" s="31" t="n">
        <v>1147600</v>
      </c>
    </row>
    <row r="16">
      <c r="A16" s="30" t="inlineStr">
        <is>
          <t>Lars Olsen</t>
        </is>
      </c>
      <c r="B16" s="30" t="inlineStr">
        <is>
          <t>Marine Electrician</t>
        </is>
      </c>
      <c r="C16" s="31" t="n">
        <v>750</v>
      </c>
      <c r="D16" s="33" t="n">
        <v>498.8</v>
      </c>
      <c r="E16" s="31" t="n">
        <v>374100</v>
      </c>
    </row>
    <row r="17">
      <c r="A17" s="30" t="inlineStr">
        <is>
          <t>Morten Hansen</t>
        </is>
      </c>
      <c r="B17" s="30" t="inlineStr">
        <is>
          <t>Project Manager</t>
        </is>
      </c>
      <c r="C17" s="31" t="n">
        <v>1000</v>
      </c>
      <c r="D17" s="33" t="n">
        <v>301.6</v>
      </c>
      <c r="E17" s="31" t="n">
        <v>301600</v>
      </c>
    </row>
    <row r="18">
      <c r="A18" s="30" t="inlineStr">
        <is>
          <t>Frank Ellingsen</t>
        </is>
      </c>
      <c r="B18" s="30" t="inlineStr">
        <is>
          <t>Project Controller</t>
        </is>
      </c>
      <c r="C18" s="31" t="n">
        <v>850</v>
      </c>
      <c r="D18" s="33" t="n">
        <v>348.4</v>
      </c>
      <c r="E18" s="31" t="n">
        <v>296140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9"/>
  <sheetViews>
    <sheetView showGridLines="1" workbookViewId="0">
      <selection activeCell="A1" sqref="A1"/>
    </sheetView>
  </sheetViews>
  <sheetFormatPr baseColWidth="8" defaultRowHeight="15"/>
  <cols>
    <col width="81" customWidth="1" min="1" max="1"/>
    <col width="18" customWidth="1" min="2" max="2"/>
    <col width="84" customWidth="1" min="3" max="3"/>
    <col width="15" customWidth="1" min="4" max="4"/>
    <col width="14" customWidth="1" min="5" max="5"/>
    <col width="66" customWidth="1" min="6" max="6"/>
    <col width="18" customWidth="1" min="7" max="7"/>
    <col width="10" customWidth="1" min="8" max="8"/>
  </cols>
  <sheetData>
    <row r="1">
      <c r="A1" s="1" t="inlineStr">
        <is>
          <t>🚨 CONTRACT, RISK &amp; ANOMALY AUDIT</t>
        </is>
      </c>
    </row>
    <row r="2">
      <c r="A2" s="2" t="inlineStr">
        <is>
          <t>Resource weekly overtime limits, high-value invoices, and active RAID registry</t>
        </is>
      </c>
    </row>
    <row r="3"/>
    <row r="4"/>
    <row r="5">
      <c r="A5" s="7" t="inlineStr">
        <is>
          <t>Overtime Audits (&gt;45 Hours/Week)</t>
        </is>
      </c>
    </row>
    <row r="6">
      <c r="A6" s="9" t="inlineStr">
        <is>
          <t>Work Week</t>
        </is>
      </c>
      <c r="B6" s="10" t="inlineStr">
        <is>
          <t>Resource Name</t>
        </is>
      </c>
      <c r="C6" s="10" t="inlineStr">
        <is>
          <t>Role</t>
        </is>
      </c>
      <c r="D6" s="11" t="inlineStr">
        <is>
          <t>Hours Logged</t>
        </is>
      </c>
    </row>
    <row r="7">
      <c r="A7" s="12" t="inlineStr">
        <is>
          <t>2026-19</t>
        </is>
      </c>
      <c r="B7" s="13" t="inlineStr">
        <is>
          <t>Erik Johansen</t>
        </is>
      </c>
      <c r="C7" s="13" t="inlineStr">
        <is>
          <t>Senior Design Engineer</t>
        </is>
      </c>
      <c r="D7" s="34" t="n">
        <v>350</v>
      </c>
    </row>
    <row r="8">
      <c r="A8" s="12" t="inlineStr">
        <is>
          <t>2026-14</t>
        </is>
      </c>
      <c r="B8" s="13" t="inlineStr">
        <is>
          <t>Astrid Nilsen</t>
        </is>
      </c>
      <c r="C8" s="13" t="inlineStr">
        <is>
          <t>Structural Welder</t>
        </is>
      </c>
      <c r="D8" s="34" t="n">
        <v>1150.1</v>
      </c>
    </row>
    <row r="9">
      <c r="A9" s="12" t="inlineStr">
        <is>
          <t>2026-13</t>
        </is>
      </c>
      <c r="B9" s="13" t="inlineStr">
        <is>
          <t>Astrid Nilsen</t>
        </is>
      </c>
      <c r="C9" s="13" t="inlineStr">
        <is>
          <t>Structural Welder</t>
        </is>
      </c>
      <c r="D9" s="34" t="n">
        <v>46.3</v>
      </c>
    </row>
    <row r="10">
      <c r="A10" s="12" t="inlineStr">
        <is>
          <t>2026-11</t>
        </is>
      </c>
      <c r="B10" s="13" t="inlineStr">
        <is>
          <t>Erik Johansen</t>
        </is>
      </c>
      <c r="C10" s="13" t="inlineStr">
        <is>
          <t>Senior Design Engineer</t>
        </is>
      </c>
      <c r="D10" s="34" t="n">
        <v>485.5</v>
      </c>
    </row>
    <row r="11">
      <c r="A11" s="12" t="inlineStr">
        <is>
          <t>2026-10</t>
        </is>
      </c>
      <c r="B11" s="13" t="inlineStr">
        <is>
          <t>Astrid Nilsen</t>
        </is>
      </c>
      <c r="C11" s="13" t="inlineStr">
        <is>
          <t>Structural Welder</t>
        </is>
      </c>
      <c r="D11" s="34" t="n">
        <v>842.8</v>
      </c>
    </row>
    <row r="12">
      <c r="A12" s="12" t="inlineStr">
        <is>
          <t>2026-08</t>
        </is>
      </c>
      <c r="B12" s="13" t="inlineStr">
        <is>
          <t>Frank Ellingsen</t>
        </is>
      </c>
      <c r="C12" s="13" t="inlineStr">
        <is>
          <t>Project Controller</t>
        </is>
      </c>
      <c r="D12" s="34" t="n">
        <v>223.9</v>
      </c>
    </row>
    <row r="13">
      <c r="A13" s="12" t="inlineStr">
        <is>
          <t>2025-46</t>
        </is>
      </c>
      <c r="B13" s="13" t="inlineStr">
        <is>
          <t>Astrid Nilsen</t>
        </is>
      </c>
      <c r="C13" s="13" t="inlineStr">
        <is>
          <t>Structural Welder</t>
        </is>
      </c>
      <c r="D13" s="34" t="n">
        <v>480</v>
      </c>
    </row>
    <row r="14">
      <c r="A14" s="12" t="inlineStr">
        <is>
          <t>2025-42</t>
        </is>
      </c>
      <c r="B14" s="13" t="inlineStr">
        <is>
          <t>Erik Johansen</t>
        </is>
      </c>
      <c r="C14" s="13" t="inlineStr">
        <is>
          <t>Senior Design Engineer</t>
        </is>
      </c>
      <c r="D14" s="34" t="n">
        <v>190</v>
      </c>
    </row>
    <row r="15"/>
    <row r="16"/>
    <row r="17">
      <c r="A17" s="7" t="inlineStr">
        <is>
          <t>Large Procurement Audits (&gt;$50,000)</t>
        </is>
      </c>
    </row>
    <row r="18">
      <c r="A18" s="9" t="inlineStr">
        <is>
          <t>Purchase Date</t>
        </is>
      </c>
      <c r="B18" s="9" t="inlineStr">
        <is>
          <t>Invoice Number</t>
        </is>
      </c>
      <c r="C18" s="10" t="inlineStr">
        <is>
          <t>Description</t>
        </is>
      </c>
      <c r="D18" s="11" t="inlineStr">
        <is>
          <t>Cost (USD)</t>
        </is>
      </c>
    </row>
    <row r="19">
      <c r="A19" s="35" t="n">
        <v>45962</v>
      </c>
      <c r="B19" s="12" t="inlineStr">
        <is>
          <t>MAT-6001</t>
        </is>
      </c>
      <c r="C19" s="13" t="inlineStr">
        <is>
          <t>Composite Cutting Fiber</t>
        </is>
      </c>
      <c r="D19" s="36" t="n">
        <v>70000</v>
      </c>
    </row>
    <row r="20">
      <c r="A20" s="35" t="n">
        <v>46058</v>
      </c>
      <c r="B20" s="12" t="inlineStr">
        <is>
          <t>INV-001</t>
        </is>
      </c>
      <c r="C20" s="13" t="inlineStr">
        <is>
          <t>Structural Composite Carbon Sheets</t>
        </is>
      </c>
      <c r="D20" s="36" t="n">
        <v>150000</v>
      </c>
    </row>
    <row r="21">
      <c r="A21" s="35" t="n">
        <v>46082</v>
      </c>
      <c r="B21" s="12" t="inlineStr">
        <is>
          <t>MAT-5001</t>
        </is>
      </c>
      <c r="C21" s="13" t="inlineStr">
        <is>
          <t>Paint &amp; Marine Alloy Plates</t>
        </is>
      </c>
      <c r="D21" s="36" t="n">
        <v>180000</v>
      </c>
    </row>
    <row r="22">
      <c r="A22" s="35" t="n">
        <v>46106</v>
      </c>
      <c r="B22" s="12" t="inlineStr">
        <is>
          <t>MAT-4001</t>
        </is>
      </c>
      <c r="C22" s="13" t="inlineStr">
        <is>
          <t>Consumables &amp; Steel Plates</t>
        </is>
      </c>
      <c r="D22" s="36" t="n">
        <v>250000</v>
      </c>
    </row>
    <row r="23">
      <c r="A23" s="35" t="n">
        <v>46144</v>
      </c>
      <c r="B23" s="12" t="inlineStr">
        <is>
          <t>INV-007</t>
        </is>
      </c>
      <c r="C23" s="13" t="inlineStr">
        <is>
          <t>Twin Electric Inboard Engines</t>
        </is>
      </c>
      <c r="D23" s="36" t="n">
        <v>130000</v>
      </c>
    </row>
    <row r="24"/>
    <row r="25">
      <c r="A25" s="7" t="inlineStr">
        <is>
          <t>Active RAID Log Register</t>
        </is>
      </c>
    </row>
    <row r="26">
      <c r="A26" s="9" t="inlineStr">
        <is>
          <t>RAID ID</t>
        </is>
      </c>
      <c r="B26" s="10" t="inlineStr">
        <is>
          <t>Category</t>
        </is>
      </c>
      <c r="C26" s="10" t="inlineStr">
        <is>
          <t>Description</t>
        </is>
      </c>
      <c r="D26" s="9" t="inlineStr">
        <is>
          <t>Impact</t>
        </is>
      </c>
      <c r="E26" s="9" t="inlineStr">
        <is>
          <t>Probability</t>
        </is>
      </c>
      <c r="F26" s="10" t="inlineStr">
        <is>
          <t>Mitigation Strategy</t>
        </is>
      </c>
      <c r="G26" s="10" t="inlineStr">
        <is>
          <t>Owner</t>
        </is>
      </c>
      <c r="H26" s="9" t="inlineStr">
        <is>
          <t>Status</t>
        </is>
      </c>
    </row>
    <row r="27">
      <c r="A27" s="17" t="inlineStr">
        <is>
          <t>R-001</t>
        </is>
      </c>
      <c r="B27" s="37" t="inlineStr">
        <is>
          <t>Risk</t>
        </is>
      </c>
      <c r="C27" s="37" t="inlineStr">
        <is>
          <t>Delay in composite carbon sheet deliveries from overseas supplier</t>
        </is>
      </c>
      <c r="D27" s="17" t="inlineStr">
        <is>
          <t>High</t>
        </is>
      </c>
      <c r="E27" s="17" t="inlineStr">
        <is>
          <t>Medium</t>
        </is>
      </c>
      <c r="F27" s="37" t="inlineStr">
        <is>
          <t>Pre-order early or source alternative local supplier</t>
        </is>
      </c>
      <c r="G27" s="37" t="inlineStr">
        <is>
          <t>Morten Hansen</t>
        </is>
      </c>
      <c r="H27" s="17" t="inlineStr">
        <is>
          <t>Active</t>
        </is>
      </c>
    </row>
    <row r="28">
      <c r="A28" s="12" t="inlineStr">
        <is>
          <t>I-001</t>
        </is>
      </c>
      <c r="B28" s="13" t="inlineStr">
        <is>
          <t>Issue</t>
        </is>
      </c>
      <c r="C28" s="13" t="inlineStr">
        <is>
          <t>Astrid Nilsen welder overtime limit breached due to recovery fabrication schedule</t>
        </is>
      </c>
      <c r="D28" s="12" t="inlineStr">
        <is>
          <t>Medium</t>
        </is>
      </c>
      <c r="E28" s="12" t="inlineStr">
        <is>
          <t>High</t>
        </is>
      </c>
      <c r="F28" s="13" t="inlineStr">
        <is>
          <t>Allocate junior welder to assist with low-priority tasks</t>
        </is>
      </c>
      <c r="G28" s="13" t="inlineStr">
        <is>
          <t>Morten Hansen</t>
        </is>
      </c>
      <c r="H28" s="12" t="inlineStr">
        <is>
          <t>Active</t>
        </is>
      </c>
    </row>
    <row r="29">
      <c r="A29" s="17" t="inlineStr">
        <is>
          <t>D-001</t>
        </is>
      </c>
      <c r="B29" s="37" t="inlineStr">
        <is>
          <t>Dependency</t>
        </is>
      </c>
      <c r="C29" s="37" t="inlineStr">
        <is>
          <t>Sea trials (WBS 4.0) depend on DNV safety and compliance certification approval</t>
        </is>
      </c>
      <c r="D29" s="17" t="inlineStr">
        <is>
          <t>High</t>
        </is>
      </c>
      <c r="E29" s="17" t="inlineStr">
        <is>
          <t>High</t>
        </is>
      </c>
      <c r="F29" s="37" t="inlineStr">
        <is>
          <t>Submit compliance paperwork 2 weeks in advance of handover date</t>
        </is>
      </c>
      <c r="G29" s="37" t="inlineStr">
        <is>
          <t>Frank Ellingsen</t>
        </is>
      </c>
      <c r="H29" s="17" t="inlineStr">
        <is>
          <t>Active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5"/>
  <sheetViews>
    <sheetView showGridLines="1" workbookViewId="0">
      <selection activeCell="A1" sqref="A1"/>
    </sheetView>
  </sheetViews>
  <sheetFormatPr baseColWidth="8" defaultRowHeight="15"/>
  <cols>
    <col width="108" customWidth="1" min="1" max="1"/>
    <col width="16" customWidth="1" min="2" max="2"/>
  </cols>
  <sheetData>
    <row r="1">
      <c r="A1" s="1" t="inlineStr">
        <is>
          <t>🎛️ WHAT-IF CORRECTIVE ACTION &amp; CRASH SIMULATOR</t>
        </is>
      </c>
    </row>
    <row r="2">
      <c r="A2" s="2" t="inlineStr">
        <is>
          <t>Edit the yellow input cells to simulate real-time corrective actions, rate savings, and schedule crashing</t>
        </is>
      </c>
    </row>
    <row r="3"/>
    <row r="4"/>
    <row r="5">
      <c r="A5" s="7" t="inlineStr">
        <is>
          <t>Simulator Inputs (Editable)</t>
        </is>
      </c>
    </row>
    <row r="6">
      <c r="A6" s="24" t="inlineStr">
        <is>
          <t>Simulated Labor Rate Savings (%)</t>
        </is>
      </c>
      <c r="B6" s="38" t="n">
        <v>0.05</v>
      </c>
    </row>
    <row r="7">
      <c r="A7" s="24" t="inlineStr">
        <is>
          <t>Simulated Material Price Savings (%)</t>
        </is>
      </c>
      <c r="B7" s="38" t="n">
        <v>0.1</v>
      </c>
    </row>
    <row r="8">
      <c r="A8" s="24" t="inlineStr">
        <is>
          <t>Contract Delay Penalty (USD/Day)</t>
        </is>
      </c>
      <c r="B8" s="39" t="n">
        <v>10000</v>
      </c>
    </row>
    <row r="9">
      <c r="A9" s="24" t="inlineStr">
        <is>
          <t>Crash Schedule? (0=No, 5=Crash 5 Days, 10=Crash 10 Days)</t>
        </is>
      </c>
      <c r="B9" s="40" t="n">
        <v>5</v>
      </c>
    </row>
    <row r="10"/>
    <row r="11"/>
    <row r="12">
      <c r="A12" s="7" t="inlineStr">
        <is>
          <t>Simulation Results (Calculated)</t>
        </is>
      </c>
    </row>
    <row r="13"/>
    <row r="14">
      <c r="A14" s="30" t="inlineStr">
        <is>
          <t>Current Baseline BAC (USD)</t>
        </is>
      </c>
      <c r="B14" s="31" t="n">
        <v>7100000</v>
      </c>
    </row>
    <row r="15">
      <c r="A15" s="30" t="inlineStr">
        <is>
          <t>Current Actual Cost AC (USD)</t>
        </is>
      </c>
      <c r="B15" s="31" t="n">
        <v>5220810</v>
      </c>
    </row>
    <row r="16">
      <c r="A16" s="30" t="inlineStr">
        <is>
          <t>Current Earned Value EV (USD)</t>
        </is>
      </c>
      <c r="B16" s="31" t="n">
        <v>4752500</v>
      </c>
    </row>
    <row r="17">
      <c r="A17" s="41" t="n"/>
      <c r="B17" s="41" t="n"/>
    </row>
    <row r="18">
      <c r="A18" s="42" t="inlineStr">
        <is>
          <t>Simulated Actual Cost (AC) USD</t>
        </is>
      </c>
      <c r="B18" s="43">
        <f>B15 * (1 - B6 * 0.718 - B7 * 0.282) + 200000 * (B9 / 100)</f>
        <v/>
      </c>
    </row>
    <row r="19">
      <c r="A19" s="42" t="inlineStr">
        <is>
          <t>Simulated CPI</t>
        </is>
      </c>
      <c r="B19" s="44">
        <f>B16/B18</f>
        <v/>
      </c>
    </row>
    <row r="20">
      <c r="A20" s="42" t="inlineStr">
        <is>
          <t>Simulated Estimate At Completion (EAC) USD</t>
        </is>
      </c>
      <c r="B20" s="43">
        <f>B14/B19</f>
        <v/>
      </c>
    </row>
    <row r="21">
      <c r="A21" s="41" t="n"/>
      <c r="B21" s="41" t="n"/>
    </row>
    <row r="22">
      <c r="A22" s="30" t="inlineStr">
        <is>
          <t>Simulated Schedule Delay (Days)</t>
        </is>
      </c>
      <c r="B22" s="45">
        <f>MAX(0, 10 - B9)</f>
        <v/>
      </c>
    </row>
    <row r="23">
      <c r="A23" s="30" t="inlineStr">
        <is>
          <t>Simulated Liquidated Damages Penalty (USD)</t>
        </is>
      </c>
      <c r="B23" s="31">
        <f>B22 * B8</f>
        <v/>
      </c>
    </row>
    <row r="24">
      <c r="A24" s="30" t="inlineStr">
        <is>
          <t>Direct Schedule Crashing Cost (USD)</t>
        </is>
      </c>
      <c r="B24" s="31">
        <f>200000 * (B9 / 100)</f>
        <v/>
      </c>
    </row>
    <row r="25">
      <c r="A25" s="42" t="inlineStr">
        <is>
          <t>Net Crashing Trade-off Benefit (USD)</t>
        </is>
      </c>
      <c r="B25" s="46">
        <f>(10 * B8 - B23) - B24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2026-08-01T16:32:41Z</dcterms:created>
  <dcterms:modified xmlns:dcterms="http://purl.org/dc/terms/" xmlns:xsi="http://www.w3.org/2001/XMLSchema-instance" xsi:type="dcterms:W3CDTF">2026-08-01T16:32:41Z</dcterms:modified>
</cp:coreProperties>
</file>