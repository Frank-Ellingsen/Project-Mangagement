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Tower Dashboard" sheetId="1" state="visible" r:id="rId1"/>
    <sheet xmlns:r="http://schemas.openxmlformats.org/officeDocument/2006/relationships" name="Schedule &amp; Gantt" sheetId="2" state="visible" r:id="rId2"/>
    <sheet xmlns:r="http://schemas.openxmlformats.org/officeDocument/2006/relationships" name="CFO &amp; Cost Share Audit" sheetId="3" state="visible" r:id="rId3"/>
    <sheet xmlns:r="http://schemas.openxmlformats.org/officeDocument/2006/relationships" name="Contract &amp; RAID Risk Audit" sheetId="4" state="visible" r:id="rId4"/>
    <sheet xmlns:r="http://schemas.openxmlformats.org/officeDocument/2006/relationships" name="Interactive Simulator" sheetId="5" state="visible" r:id="rId5"/>
  </sheets>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0.0"/>
    <numFmt numFmtId="167" formatCode="yyyy-mm-dd"/>
  </numFmts>
  <fonts count="12">
    <font>
      <name val="Calibri"/>
      <family val="2"/>
      <color theme="1"/>
      <sz val="11"/>
      <scheme val="minor"/>
    </font>
    <font>
      <name val="Segoe UI"/>
      <b val="1"/>
      <color rgb="002C3E50"/>
      <sz val="16"/>
    </font>
    <font>
      <name val="Segoe UI"/>
      <i val="1"/>
      <color rgb="007F8C8D"/>
      <sz val="11"/>
    </font>
    <font>
      <name val="Segoe UI"/>
      <i val="1"/>
      <color rgb="007F8C8D"/>
      <sz val="10"/>
    </font>
    <font>
      <name val="Segoe UI"/>
      <b val="1"/>
      <color rgb="002C3E50"/>
      <sz val="18"/>
    </font>
    <font>
      <name val="Segoe UI"/>
      <b val="1"/>
      <color rgb="001A252F"/>
      <sz val="13"/>
    </font>
    <font>
      <name val="Segoe UI"/>
      <color rgb="00333333"/>
      <sz val="11"/>
    </font>
    <font>
      <name val="Segoe UI"/>
      <b val="1"/>
      <color rgb="00FFFFFF"/>
      <sz val="11"/>
    </font>
    <font>
      <name val="Segoe UI"/>
      <b val="1"/>
      <color rgb="002C3E50"/>
      <sz val="11"/>
    </font>
    <font>
      <name val="Segoe UI"/>
      <b val="1"/>
      <color rgb="00922B21"/>
    </font>
    <font>
      <b val="1"/>
      <color rgb="007F8C8D"/>
    </font>
    <font>
      <b val="1"/>
      <color rgb="00922B21"/>
    </font>
  </fonts>
  <fills count="9">
    <fill>
      <patternFill/>
    </fill>
    <fill>
      <patternFill patternType="gray125"/>
    </fill>
    <fill>
      <patternFill patternType="solid">
        <fgColor rgb="00FADBD8"/>
        <bgColor rgb="00FADBD8"/>
      </patternFill>
    </fill>
    <fill>
      <patternFill patternType="solid">
        <fgColor rgb="002C3E50"/>
        <bgColor rgb="002C3E50"/>
      </patternFill>
    </fill>
    <fill>
      <patternFill patternType="solid">
        <fgColor rgb="00ECF0F1"/>
        <bgColor rgb="00ECF0F1"/>
      </patternFill>
    </fill>
    <fill>
      <patternFill patternType="solid">
        <fgColor rgb="00EAEDED"/>
        <bgColor rgb="00EAEDED"/>
      </patternFill>
    </fill>
    <fill>
      <patternFill patternType="solid">
        <fgColor rgb="00F2D7D5"/>
        <bgColor rgb="00F2D7D5"/>
      </patternFill>
    </fill>
    <fill>
      <patternFill patternType="solid">
        <fgColor rgb="00FCF3CF"/>
        <bgColor rgb="00FCF3CF"/>
      </patternFill>
    </fill>
    <fill>
      <patternFill patternType="solid">
        <fgColor rgb="00D4EFDF"/>
        <bgColor rgb="00D4EFDF"/>
      </patternFill>
    </fill>
  </fills>
  <borders count="4">
    <border>
      <left/>
      <right/>
      <top/>
      <bottom/>
      <diagonal/>
    </border>
    <border>
      <bottom style="thin">
        <color rgb="00BDC3C7"/>
      </bottom>
    </border>
    <border>
      <top style="thin">
        <color rgb="00BDC3C7"/>
      </top>
      <bottom style="double">
        <color rgb="002C3E50"/>
      </bottom>
    </border>
    <border>
      <left style="thin">
        <color rgb="00E5E7E9"/>
      </left>
      <right style="thin">
        <color rgb="00E5E7E9"/>
      </right>
      <top style="thin">
        <color rgb="00E5E7E9"/>
      </top>
      <bottom style="thin">
        <color rgb="00E5E7E9"/>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2" fontId="4" fillId="2" borderId="0" pivotButton="0" quotePrefix="0" xfId="0"/>
    <xf numFmtId="165" fontId="4" fillId="0" borderId="0" pivotButton="0" quotePrefix="0" xfId="0"/>
    <xf numFmtId="0" fontId="5" fillId="0" borderId="0" pivotButton="0" quotePrefix="0" xfId="0"/>
    <xf numFmtId="0" fontId="6" fillId="0" borderId="0" applyAlignment="1" pivotButton="0" quotePrefix="0" xfId="0">
      <alignment vertical="top" wrapText="1"/>
    </xf>
    <xf numFmtId="0" fontId="7" fillId="3" borderId="0" applyAlignment="1" pivotButton="0" quotePrefix="0" xfId="0">
      <alignment horizontal="center"/>
    </xf>
    <xf numFmtId="0" fontId="7" fillId="3" borderId="0" applyAlignment="1" pivotButton="0" quotePrefix="0" xfId="0">
      <alignment horizontal="left"/>
    </xf>
    <xf numFmtId="0" fontId="7" fillId="3" borderId="0" applyAlignment="1" pivotButton="0" quotePrefix="0" xfId="0">
      <alignment horizontal="right"/>
    </xf>
    <xf numFmtId="0" fontId="6" fillId="0" borderId="1" applyAlignment="1" pivotButton="0" quotePrefix="0" xfId="0">
      <alignment horizontal="center"/>
    </xf>
    <xf numFmtId="0" fontId="6" fillId="0" borderId="1" applyAlignment="1" pivotButton="0" quotePrefix="0" xfId="0">
      <alignment horizontal="left"/>
    </xf>
    <xf numFmtId="164" fontId="6" fillId="0" borderId="1" pivotButton="0" quotePrefix="0" xfId="0"/>
    <xf numFmtId="2" fontId="6" fillId="2" borderId="1" applyAlignment="1" pivotButton="0" quotePrefix="0" xfId="0">
      <alignment horizontal="right"/>
    </xf>
    <xf numFmtId="165" fontId="6" fillId="0" borderId="1" pivotButton="0" quotePrefix="0" xfId="0"/>
    <xf numFmtId="0" fontId="6" fillId="2" borderId="1" applyAlignment="1" pivotButton="0" quotePrefix="0" xfId="0">
      <alignment horizontal="center"/>
    </xf>
    <xf numFmtId="2" fontId="6" fillId="0" borderId="1" applyAlignment="1" pivotButton="0" quotePrefix="0" xfId="0">
      <alignment horizontal="right"/>
    </xf>
    <xf numFmtId="0" fontId="8" fillId="4" borderId="2" applyAlignment="1" pivotButton="0" quotePrefix="0" xfId="0">
      <alignment horizontal="center"/>
    </xf>
    <xf numFmtId="0" fontId="8" fillId="4" borderId="2" pivotButton="0" quotePrefix="0" xfId="0"/>
    <xf numFmtId="164" fontId="8" fillId="4" borderId="2" pivotButton="0" quotePrefix="0" xfId="0"/>
    <xf numFmtId="2" fontId="8" fillId="4" borderId="2" pivotButton="0" quotePrefix="0" xfId="0"/>
    <xf numFmtId="165" fontId="8" fillId="4" borderId="2" pivotButton="0" quotePrefix="0" xfId="0"/>
    <xf numFmtId="0" fontId="8" fillId="0" borderId="0" pivotButton="0" quotePrefix="0" xfId="0"/>
    <xf numFmtId="0" fontId="6" fillId="0" borderId="0" pivotButton="0" quotePrefix="0" xfId="0"/>
    <xf numFmtId="0" fontId="6" fillId="0" borderId="1" applyAlignment="1" pivotButton="0" quotePrefix="0" xfId="0">
      <alignment horizontal="right"/>
    </xf>
    <xf numFmtId="0" fontId="6" fillId="5" borderId="3" applyAlignment="1" pivotButton="0" quotePrefix="0" xfId="0">
      <alignment horizontal="center"/>
    </xf>
    <xf numFmtId="0" fontId="6" fillId="0" borderId="3" applyAlignment="1" pivotButton="0" quotePrefix="0" xfId="0">
      <alignment horizontal="center"/>
    </xf>
    <xf numFmtId="0" fontId="6" fillId="6" borderId="3" applyAlignment="1" pivotButton="0" quotePrefix="0" xfId="0">
      <alignment horizontal="center"/>
    </xf>
    <xf numFmtId="0" fontId="6"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166" fontId="6" fillId="2" borderId="1" applyAlignment="1" pivotButton="0" quotePrefix="0" xfId="0">
      <alignment horizontal="right"/>
    </xf>
    <xf numFmtId="167" fontId="6" fillId="0" borderId="1" applyAlignment="1" pivotButton="0" quotePrefix="0" xfId="0">
      <alignment horizontal="center"/>
    </xf>
    <xf numFmtId="164" fontId="6" fillId="2" borderId="1" applyAlignment="1" pivotButton="0" quotePrefix="0" xfId="0">
      <alignment horizontal="right"/>
    </xf>
    <xf numFmtId="0" fontId="6" fillId="2" borderId="1" applyAlignment="1" pivotButton="0" quotePrefix="0" xfId="0">
      <alignment horizontal="left"/>
    </xf>
    <xf numFmtId="165" fontId="8" fillId="7" borderId="3" applyAlignment="1" pivotButton="0" quotePrefix="0" xfId="0">
      <alignment horizontal="right"/>
    </xf>
    <xf numFmtId="164" fontId="8" fillId="7" borderId="3" applyAlignment="1" pivotButton="0" quotePrefix="0" xfId="0">
      <alignment horizontal="right"/>
    </xf>
    <xf numFmtId="1" fontId="8" fillId="7" borderId="3" applyAlignment="1" pivotButton="0" quotePrefix="0" xfId="0">
      <alignment horizontal="right"/>
    </xf>
    <xf numFmtId="0" fontId="0" fillId="0" borderId="1" pivotButton="0" quotePrefix="0" xfId="0"/>
    <xf numFmtId="0" fontId="8" fillId="0" borderId="1" pivotButton="0" quotePrefix="0" xfId="0"/>
    <xf numFmtId="164" fontId="8" fillId="4" borderId="1" pivotButton="0" quotePrefix="0" xfId="0"/>
    <xf numFmtId="2" fontId="8" fillId="0" borderId="1" pivotButton="0" quotePrefix="0" xfId="0"/>
    <xf numFmtId="1" fontId="0" fillId="0" borderId="1" pivotButton="0" quotePrefix="0" xfId="0"/>
    <xf numFmtId="164" fontId="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2"/>
  <sheetViews>
    <sheetView showGridLines="1" workbookViewId="0">
      <selection activeCell="A1" sqref="A1"/>
    </sheetView>
  </sheetViews>
  <sheetFormatPr baseColWidth="8" defaultRowHeight="15"/>
  <cols>
    <col width="546" customWidth="1" min="1" max="1"/>
    <col width="145" customWidth="1" min="2" max="2"/>
    <col width="19" customWidth="1" min="3" max="3"/>
    <col width="16" customWidth="1" min="4" max="4"/>
    <col width="20" customWidth="1" min="5" max="5"/>
    <col width="16" customWidth="1" min="6" max="6"/>
    <col width="21" customWidth="1" min="7" max="7"/>
    <col width="20" customWidth="1" min="8" max="8"/>
    <col width="21" customWidth="1" min="9" max="9"/>
  </cols>
  <sheetData>
    <row r="1" ht="28" customHeight="1">
      <c r="A1" s="1" t="inlineStr">
        <is>
          <t>⚓ PROJECT CONTROL TOWER DASHBOARD</t>
        </is>
      </c>
    </row>
    <row r="2">
      <c r="A2" s="2" t="inlineStr">
        <is>
          <t>Relational EVM &amp; Analytical Controller Dashboard | PRINCE2 Compliance</t>
        </is>
      </c>
    </row>
    <row r="3"/>
    <row r="4">
      <c r="A4" s="3" t="inlineStr">
        <is>
          <t>BUDGET (BAC)</t>
        </is>
      </c>
      <c r="C4" s="3" t="inlineStr">
        <is>
          <t>ACTUAL COST (AC)</t>
        </is>
      </c>
      <c r="E4" s="3" t="inlineStr">
        <is>
          <t>EARNED VALUE (EV)</t>
        </is>
      </c>
      <c r="G4" s="3" t="inlineStr">
        <is>
          <t>CPI</t>
        </is>
      </c>
      <c r="I4" s="3" t="inlineStr">
        <is>
          <t>PROGRESS</t>
        </is>
      </c>
    </row>
    <row r="5">
      <c r="A5" s="4" t="n">
        <v>7100000</v>
      </c>
      <c r="C5" s="4" t="n">
        <v>5220810</v>
      </c>
      <c r="E5" s="4" t="n">
        <v>4752500</v>
      </c>
      <c r="G5" s="5" t="n">
        <v>0.9102993596779044</v>
      </c>
      <c r="I5" s="6" t="n">
        <v>0.6693661971830988</v>
      </c>
    </row>
    <row r="6"/>
    <row r="7">
      <c r="A7" s="7" t="inlineStr">
        <is>
          <t>Executive Portfolio Summary</t>
        </is>
      </c>
    </row>
    <row r="8" ht="20" customHeight="1">
      <c r="A8" s="8" t="inlineStr">
        <is>
          <t>The project portfolio currently consists of 6 projects spanning maritime vessel fabrication, logistics solutions, and subsea structures. As of the latest reporting cycle, the portfolio has a total baseline budget (BAC) of 7,100,000 USD, with 5,220,810 USD logged in actual costs (AC) and 4,752,500 USD earned in physical progress value (EV). The aggregate portfolio Cost Performance Index (CPI) stands at a stable 0.91. Individual active projects exhibit cost and schedule pressures, but overall execution remains within manageable tolerances.</t>
        </is>
      </c>
    </row>
    <row r="9" ht="20" customHeight="1"/>
    <row r="10"/>
    <row r="11">
      <c r="A11" s="7" t="inlineStr">
        <is>
          <t>Portfolio Project Breakdown</t>
        </is>
      </c>
    </row>
    <row r="12" ht="22" customHeight="1">
      <c r="A12" s="9" t="inlineStr">
        <is>
          <t>Project ID</t>
        </is>
      </c>
      <c r="B12" s="10" t="inlineStr">
        <is>
          <t>Project Name</t>
        </is>
      </c>
      <c r="C12" s="10" t="inlineStr">
        <is>
          <t>Project Manager</t>
        </is>
      </c>
      <c r="D12" s="11" t="inlineStr">
        <is>
          <t>BAC (USD)</t>
        </is>
      </c>
      <c r="E12" s="11" t="inlineStr">
        <is>
          <t>AC (USD)</t>
        </is>
      </c>
      <c r="F12" s="11" t="inlineStr">
        <is>
          <t>EV (USD)</t>
        </is>
      </c>
      <c r="G12" s="11" t="inlineStr">
        <is>
          <t>CPI</t>
        </is>
      </c>
      <c r="H12" s="11" t="inlineStr">
        <is>
          <t>Progress</t>
        </is>
      </c>
      <c r="I12" s="9" t="inlineStr">
        <is>
          <t>Status</t>
        </is>
      </c>
    </row>
    <row r="13">
      <c r="A13" s="12" t="inlineStr">
        <is>
          <t>PRJ-001</t>
        </is>
      </c>
      <c r="B13" s="13" t="inlineStr">
        <is>
          <t>Composite Maritime Vessel Construction</t>
        </is>
      </c>
      <c r="C13" s="13" t="inlineStr">
        <is>
          <t>Morten Hansen</t>
        </is>
      </c>
      <c r="D13" s="14" t="n">
        <v>1500000</v>
      </c>
      <c r="E13" s="14" t="n">
        <v>1848810</v>
      </c>
      <c r="F13" s="14" t="n">
        <v>1492500</v>
      </c>
      <c r="G13" s="15" t="n">
        <v>0.8072760316095218</v>
      </c>
      <c r="H13" s="16" t="n">
        <v>0.995</v>
      </c>
      <c r="I13" s="17" t="inlineStr">
        <is>
          <t>🔴 Over Budget</t>
        </is>
      </c>
    </row>
    <row r="14">
      <c r="A14" s="12" t="inlineStr">
        <is>
          <t>PRJ-002</t>
        </is>
      </c>
      <c r="B14" s="13" t="inlineStr">
        <is>
          <t>PRJ-002: Patrol Vessel Carbon Mold Design</t>
        </is>
      </c>
      <c r="C14" s="13" t="inlineStr">
        <is>
          <t>Morten Hansen</t>
        </is>
      </c>
      <c r="D14" s="14" t="n">
        <v>800000</v>
      </c>
      <c r="E14" s="14" t="n">
        <v>0</v>
      </c>
      <c r="F14" s="14" t="n">
        <v>0</v>
      </c>
      <c r="G14" s="18" t="n">
        <v>1</v>
      </c>
      <c r="H14" s="16" t="n">
        <v>0</v>
      </c>
      <c r="I14" s="12" t="inlineStr">
        <is>
          <t>⚪ Planned</t>
        </is>
      </c>
    </row>
    <row r="15">
      <c r="A15" s="12" t="inlineStr">
        <is>
          <t>PRJ-003</t>
        </is>
      </c>
      <c r="B15" s="13" t="inlineStr">
        <is>
          <t>PRJ-003: Subsea Cable Installation Frame</t>
        </is>
      </c>
      <c r="C15" s="13" t="inlineStr">
        <is>
          <t>Erik Johansen</t>
        </is>
      </c>
      <c r="D15" s="14" t="n">
        <v>1200000</v>
      </c>
      <c r="E15" s="14" t="n">
        <v>382500</v>
      </c>
      <c r="F15" s="14" t="n">
        <v>360000</v>
      </c>
      <c r="G15" s="15" t="n">
        <v>0.9411764705882353</v>
      </c>
      <c r="H15" s="16" t="n">
        <v>0.3</v>
      </c>
      <c r="I15" s="17" t="inlineStr">
        <is>
          <t>🔴 Overrun Warn</t>
        </is>
      </c>
    </row>
    <row r="16">
      <c r="A16" s="12" t="inlineStr">
        <is>
          <t>PRJ-004</t>
        </is>
      </c>
      <c r="B16" s="13" t="inlineStr">
        <is>
          <t>PRJ-004: Autonomous Workboat Hull Weldments</t>
        </is>
      </c>
      <c r="C16" s="13" t="inlineStr">
        <is>
          <t>Astrid Nilsen</t>
        </is>
      </c>
      <c r="D16" s="14" t="n">
        <v>2000000</v>
      </c>
      <c r="E16" s="14" t="n">
        <v>1476000</v>
      </c>
      <c r="F16" s="14" t="n">
        <v>1400000</v>
      </c>
      <c r="G16" s="15" t="n">
        <v>0.948509485094851</v>
      </c>
      <c r="H16" s="16" t="n">
        <v>0.7</v>
      </c>
      <c r="I16" s="17" t="inlineStr">
        <is>
          <t>🔴 Overrun Warn</t>
        </is>
      </c>
    </row>
    <row r="17">
      <c r="A17" s="12" t="inlineStr">
        <is>
          <t>PRJ-005</t>
        </is>
      </c>
      <c r="B17" s="13" t="inlineStr">
        <is>
          <t>PRJ-005: Defense Logistics Pontoon Build</t>
        </is>
      </c>
      <c r="C17" s="13" t="inlineStr">
        <is>
          <t>Frank Ellingsen</t>
        </is>
      </c>
      <c r="D17" s="14" t="n">
        <v>1000000</v>
      </c>
      <c r="E17" s="14" t="n">
        <v>927000</v>
      </c>
      <c r="F17" s="14" t="n">
        <v>900000</v>
      </c>
      <c r="G17" s="18" t="n">
        <v>0.970873786407767</v>
      </c>
      <c r="H17" s="16" t="n">
        <v>0.9</v>
      </c>
      <c r="I17" s="12" t="inlineStr">
        <is>
          <t>🟡 Within Margins</t>
        </is>
      </c>
    </row>
    <row r="18">
      <c r="A18" s="12" t="inlineStr">
        <is>
          <t>PRJ-006</t>
        </is>
      </c>
      <c r="B18" s="13" t="inlineStr">
        <is>
          <t>PRJ-006: Lightweight Composite Cargo Hatch</t>
        </is>
      </c>
      <c r="C18" s="13" t="inlineStr">
        <is>
          <t>Morten Hansen</t>
        </is>
      </c>
      <c r="D18" s="14" t="n">
        <v>600000</v>
      </c>
      <c r="E18" s="14" t="n">
        <v>586500</v>
      </c>
      <c r="F18" s="14" t="n">
        <v>600000</v>
      </c>
      <c r="G18" s="18" t="n">
        <v>1.023017902813299</v>
      </c>
      <c r="H18" s="16" t="n">
        <v>1</v>
      </c>
      <c r="I18" s="12" t="inlineStr">
        <is>
          <t>🟢 Completed</t>
        </is>
      </c>
    </row>
    <row r="19"/>
    <row r="20"/>
    <row r="21">
      <c r="A21" s="7" t="inlineStr">
        <is>
          <t>WBS Element Performance Details</t>
        </is>
      </c>
    </row>
    <row r="22" ht="22" customHeight="1">
      <c r="A22" s="9" t="inlineStr">
        <is>
          <t>WBS Code</t>
        </is>
      </c>
      <c r="B22" s="10" t="inlineStr">
        <is>
          <t>ElementName</t>
        </is>
      </c>
      <c r="C22" s="11" t="inlineStr">
        <is>
          <t>BAC (USD)</t>
        </is>
      </c>
      <c r="D22" s="11" t="inlineStr">
        <is>
          <t>AC (USD)</t>
        </is>
      </c>
      <c r="E22" s="11" t="inlineStr">
        <is>
          <t>EV (USD)</t>
        </is>
      </c>
      <c r="F22" s="11" t="inlineStr">
        <is>
          <t>CPI</t>
        </is>
      </c>
      <c r="G22" s="11" t="inlineStr">
        <is>
          <t>Progress</t>
        </is>
      </c>
      <c r="H22" s="11" t="inlineStr">
        <is>
          <t>EAC Typical (USD)</t>
        </is>
      </c>
      <c r="I22" s="9" t="inlineStr">
        <is>
          <t>Status</t>
        </is>
      </c>
    </row>
    <row r="23">
      <c r="A23" s="12" t="n">
        <v>1</v>
      </c>
      <c r="B23" s="13" t="inlineStr">
        <is>
          <t>Project Management &amp; Engineering</t>
        </is>
      </c>
      <c r="C23" s="14" t="n">
        <v>300000</v>
      </c>
      <c r="D23" s="14" t="n">
        <v>419230</v>
      </c>
      <c r="E23" s="14" t="n">
        <v>292500</v>
      </c>
      <c r="F23" s="15">
        <f>E23/D23</f>
        <v/>
      </c>
      <c r="G23" s="16" t="n">
        <v>0.975</v>
      </c>
      <c r="H23" s="14">
        <f>C23/F23</f>
        <v/>
      </c>
      <c r="I23" s="17">
        <f>IF(F23&lt;0.95, "🔴 Overrun", "🟢 On Track")</f>
        <v/>
      </c>
    </row>
    <row r="24">
      <c r="A24" s="12" t="n">
        <v>1</v>
      </c>
      <c r="B24" s="13" t="inlineStr">
        <is>
          <t>Structural Frame Engineering</t>
        </is>
      </c>
      <c r="C24" s="14" t="n">
        <v>400000</v>
      </c>
      <c r="D24" s="14" t="n">
        <v>332500</v>
      </c>
      <c r="E24" s="14" t="n">
        <v>360000</v>
      </c>
      <c r="F24" s="18">
        <f>E24/D24</f>
        <v/>
      </c>
      <c r="G24" s="16" t="n">
        <v>0.9</v>
      </c>
      <c r="H24" s="14">
        <f>C24/F24</f>
        <v/>
      </c>
      <c r="I24" s="12">
        <f>IF(F24&lt;0.95, "🔴 Overrun", "🟢 On Track")</f>
        <v/>
      </c>
    </row>
    <row r="25">
      <c r="A25" s="12" t="n">
        <v>1</v>
      </c>
      <c r="B25" s="13" t="inlineStr">
        <is>
          <t>Engineering Drawings &amp; Class Approval</t>
        </is>
      </c>
      <c r="C25" s="14" t="n">
        <v>500000</v>
      </c>
      <c r="D25" s="14" t="n">
        <v>456000</v>
      </c>
      <c r="E25" s="14" t="n">
        <v>500000</v>
      </c>
      <c r="F25" s="18">
        <f>E25/D25</f>
        <v/>
      </c>
      <c r="G25" s="16" t="n">
        <v>1</v>
      </c>
      <c r="H25" s="14">
        <f>C25/F25</f>
        <v/>
      </c>
      <c r="I25" s="12">
        <f>IF(F25&lt;0.95, "🔴 Overrun", "🟢 On Track")</f>
        <v/>
      </c>
    </row>
    <row r="26">
      <c r="A26" s="12" t="n">
        <v>1</v>
      </c>
      <c r="B26" s="13" t="inlineStr">
        <is>
          <t>Project Control &amp; PM</t>
        </is>
      </c>
      <c r="C26" s="14" t="n">
        <v>200000</v>
      </c>
      <c r="D26" s="14" t="n">
        <v>187000</v>
      </c>
      <c r="E26" s="14" t="n">
        <v>200000</v>
      </c>
      <c r="F26" s="18">
        <f>E26/D26</f>
        <v/>
      </c>
      <c r="G26" s="16" t="n">
        <v>1</v>
      </c>
      <c r="H26" s="14">
        <f>C26/F26</f>
        <v/>
      </c>
      <c r="I26" s="12">
        <f>IF(F26&lt;0.95, "🔴 Overrun", "🟢 On Track")</f>
        <v/>
      </c>
    </row>
    <row r="27">
      <c r="A27" s="12" t="n">
        <v>1</v>
      </c>
      <c r="B27" s="13" t="inlineStr">
        <is>
          <t>Hatch Engineering &amp; FEA</t>
        </is>
      </c>
      <c r="C27" s="14" t="n">
        <v>200000</v>
      </c>
      <c r="D27" s="14" t="n">
        <v>180500</v>
      </c>
      <c r="E27" s="14" t="n">
        <v>200000</v>
      </c>
      <c r="F27" s="18">
        <f>E27/D27</f>
        <v/>
      </c>
      <c r="G27" s="16" t="n">
        <v>1</v>
      </c>
      <c r="H27" s="14">
        <f>C27/F27</f>
        <v/>
      </c>
      <c r="I27" s="12">
        <f>IF(F27&lt;0.95, "🔴 Overrun", "🟢 On Track")</f>
        <v/>
      </c>
    </row>
    <row r="28">
      <c r="A28" s="12" t="n">
        <v>1</v>
      </c>
      <c r="B28" s="13" t="inlineStr">
        <is>
          <t>Design &amp; CFD Analysis</t>
        </is>
      </c>
      <c r="C28" s="14" t="n">
        <v>300000</v>
      </c>
      <c r="D28" s="14" t="n">
        <v>0</v>
      </c>
      <c r="E28" s="14" t="n">
        <v>0</v>
      </c>
      <c r="F28" s="18">
        <f>E28/D28</f>
        <v/>
      </c>
      <c r="G28" s="16" t="n">
        <v>0</v>
      </c>
      <c r="H28" s="14">
        <f>C28/F28</f>
        <v/>
      </c>
      <c r="I28" s="12">
        <f>IF(F28&lt;0.95, "🔴 Overrun", "🟢 On Track")</f>
        <v/>
      </c>
    </row>
    <row r="29">
      <c r="A29" s="12" t="n">
        <v>2</v>
      </c>
      <c r="B29" s="13" t="inlineStr">
        <is>
          <t>Hull Fabrication &amp; Assembly</t>
        </is>
      </c>
      <c r="C29" s="14" t="n">
        <v>600000</v>
      </c>
      <c r="D29" s="14" t="n">
        <v>620450</v>
      </c>
      <c r="E29" s="14" t="n">
        <v>600000</v>
      </c>
      <c r="F29" s="18">
        <f>E29/D29</f>
        <v/>
      </c>
      <c r="G29" s="16" t="n">
        <v>1</v>
      </c>
      <c r="H29" s="14">
        <f>C29/F29</f>
        <v/>
      </c>
      <c r="I29" s="12">
        <f>IF(F29&lt;0.95, "🔴 Overrun", "🟢 On Track")</f>
        <v/>
      </c>
    </row>
    <row r="30">
      <c r="A30" s="12" t="n">
        <v>2</v>
      </c>
      <c r="B30" s="13" t="inlineStr">
        <is>
          <t>Hull Welding &amp; Assembly</t>
        </is>
      </c>
      <c r="C30" s="14" t="n">
        <v>1500000</v>
      </c>
      <c r="D30" s="14" t="n">
        <v>1020000</v>
      </c>
      <c r="E30" s="14" t="n">
        <v>900000</v>
      </c>
      <c r="F30" s="15">
        <f>E30/D30</f>
        <v/>
      </c>
      <c r="G30" s="16" t="n">
        <v>0.6</v>
      </c>
      <c r="H30" s="14">
        <f>C30/F30</f>
        <v/>
      </c>
      <c r="I30" s="17">
        <f>IF(F30&lt;0.95, "🔴 Overrun", "🟢 On Track")</f>
        <v/>
      </c>
    </row>
    <row r="31">
      <c r="A31" s="12" t="n">
        <v>2</v>
      </c>
      <c r="B31" s="13" t="inlineStr">
        <is>
          <t>Pontoon Assembly &amp; Painting</t>
        </is>
      </c>
      <c r="C31" s="14" t="n">
        <v>800000</v>
      </c>
      <c r="D31" s="14" t="n">
        <v>740000</v>
      </c>
      <c r="E31" s="14" t="n">
        <v>700000</v>
      </c>
      <c r="F31" s="15">
        <f>E31/D31</f>
        <v/>
      </c>
      <c r="G31" s="16" t="n">
        <v>0.875</v>
      </c>
      <c r="H31" s="14">
        <f>C31/F31</f>
        <v/>
      </c>
      <c r="I31" s="17">
        <f>IF(F31&lt;0.95, "🔴 Overrun", "🟢 On Track")</f>
        <v/>
      </c>
    </row>
    <row r="32">
      <c r="A32" s="12" t="n">
        <v>2</v>
      </c>
      <c r="B32" s="13" t="inlineStr">
        <is>
          <t>Molding &amp; Testing</t>
        </is>
      </c>
      <c r="C32" s="14" t="n">
        <v>400000</v>
      </c>
      <c r="D32" s="14" t="n">
        <v>406000</v>
      </c>
      <c r="E32" s="14" t="n">
        <v>400000</v>
      </c>
      <c r="F32" s="18">
        <f>E32/D32</f>
        <v/>
      </c>
      <c r="G32" s="16" t="n">
        <v>1</v>
      </c>
      <c r="H32" s="14">
        <f>C32/F32</f>
        <v/>
      </c>
      <c r="I32" s="12">
        <f>IF(F32&lt;0.95, "🔴 Overrun", "🟢 On Track")</f>
        <v/>
      </c>
    </row>
    <row r="33">
      <c r="A33" s="12" t="n">
        <v>2</v>
      </c>
      <c r="B33" s="13" t="inlineStr">
        <is>
          <t>Steel Fabrication</t>
        </is>
      </c>
      <c r="C33" s="14" t="n">
        <v>800000</v>
      </c>
      <c r="D33" s="14" t="n">
        <v>50000</v>
      </c>
      <c r="E33" s="14" t="n">
        <v>0</v>
      </c>
      <c r="F33" s="15">
        <f>E33/D33</f>
        <v/>
      </c>
      <c r="G33" s="16" t="n">
        <v>0</v>
      </c>
      <c r="H33" s="14">
        <f>C33/F33</f>
        <v/>
      </c>
      <c r="I33" s="17">
        <f>IF(F33&lt;0.95, "🔴 Overrun", "🟢 On Track")</f>
        <v/>
      </c>
    </row>
    <row r="34">
      <c r="A34" s="12" t="n">
        <v>2</v>
      </c>
      <c r="B34" s="13" t="inlineStr">
        <is>
          <t>Material Procurement</t>
        </is>
      </c>
      <c r="C34" s="14" t="n">
        <v>500000</v>
      </c>
      <c r="D34" s="14" t="n">
        <v>0</v>
      </c>
      <c r="E34" s="14" t="n">
        <v>0</v>
      </c>
      <c r="F34" s="18">
        <f>E34/D34</f>
        <v/>
      </c>
      <c r="G34" s="16" t="n">
        <v>0</v>
      </c>
      <c r="H34" s="14">
        <f>C34/F34</f>
        <v/>
      </c>
      <c r="I34" s="12">
        <f>IF(F34&lt;0.95, "🔴 Overrun", "🟢 On Track")</f>
        <v/>
      </c>
    </row>
    <row r="35">
      <c r="A35" s="12" t="n">
        <v>3</v>
      </c>
      <c r="B35" s="13" t="inlineStr">
        <is>
          <t>Outfitting &amp; Integration</t>
        </is>
      </c>
      <c r="C35" s="14" t="n">
        <v>400000</v>
      </c>
      <c r="D35" s="14" t="n">
        <v>540445</v>
      </c>
      <c r="E35" s="14" t="n">
        <v>400000</v>
      </c>
      <c r="F35" s="15">
        <f>E35/D35</f>
        <v/>
      </c>
      <c r="G35" s="16" t="n">
        <v>1</v>
      </c>
      <c r="H35" s="14">
        <f>C35/F35</f>
        <v/>
      </c>
      <c r="I35" s="17">
        <f>IF(F35&lt;0.95, "🔴 Overrun", "🟢 On Track")</f>
        <v/>
      </c>
    </row>
    <row r="36">
      <c r="A36" s="12" t="n">
        <v>4</v>
      </c>
      <c r="B36" s="13" t="inlineStr">
        <is>
          <t>Sea Trials &amp; Handover</t>
        </is>
      </c>
      <c r="C36" s="14" t="n">
        <v>200000</v>
      </c>
      <c r="D36" s="14" t="n">
        <v>268685</v>
      </c>
      <c r="E36" s="14" t="n">
        <v>200000</v>
      </c>
      <c r="F36" s="15">
        <f>E36/D36</f>
        <v/>
      </c>
      <c r="G36" s="16" t="n">
        <v>1</v>
      </c>
      <c r="H36" s="14">
        <f>C36/F36</f>
        <v/>
      </c>
      <c r="I36" s="17">
        <f>IF(F36&lt;0.95, "🔴 Overrun", "🟢 On Track")</f>
        <v/>
      </c>
    </row>
    <row r="37">
      <c r="A37" s="19" t="inlineStr">
        <is>
          <t>TOTAL</t>
        </is>
      </c>
      <c r="B37" s="20" t="inlineStr">
        <is>
          <t>Project Summary</t>
        </is>
      </c>
      <c r="C37" s="21">
        <f>SUM(C23:C36)</f>
        <v/>
      </c>
      <c r="D37" s="21">
        <f>SUM(D23:D36)</f>
        <v/>
      </c>
      <c r="E37" s="21">
        <f>SUM(E23:E36)</f>
        <v/>
      </c>
      <c r="F37" s="22">
        <f>E37/D37</f>
        <v/>
      </c>
      <c r="G37" s="23">
        <f>E37/C37</f>
        <v/>
      </c>
      <c r="H37" s="21">
        <f>SUM(H23:H36)</f>
        <v/>
      </c>
      <c r="I37" s="19">
        <f>IF(F37&lt;0.95, "🔴 Overrun", "🟢 On Track")</f>
        <v/>
      </c>
    </row>
    <row r="38"/>
    <row r="39"/>
    <row r="40">
      <c r="A40" s="7" t="inlineStr">
        <is>
          <t>Critical Controlling Audit Commentary (PRJ-001)</t>
        </is>
      </c>
    </row>
    <row r="41">
      <c r="A41" s="24" t="inlineStr">
        <is>
          <t>Reason for Red Flag:</t>
        </is>
      </c>
      <c r="B41" s="25" t="inlineStr">
        <is>
          <t>Cost overrun of 356k USD on PRJ-001 (EVM CPI: 0.81), driven by rising contractor rates for outfitting and engineering design variation orders.</t>
        </is>
      </c>
    </row>
    <row r="42">
      <c r="A42" s="24" t="inlineStr">
        <is>
          <t>Recommended Action:</t>
        </is>
      </c>
      <c r="B42" s="25" t="inlineStr">
        <is>
          <t>Audit outfitting contracts, renegotiate rates, freeze non-essential VOs, and reallocate welding capacity.</t>
        </is>
      </c>
    </row>
  </sheetData>
  <mergeCells count="1">
    <mergeCell ref="A8:I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
  <sheetViews>
    <sheetView showGridLines="1" workbookViewId="0">
      <selection activeCell="A1" sqref="A1"/>
    </sheetView>
  </sheetViews>
  <sheetFormatPr baseColWidth="8" defaultRowHeight="15"/>
  <cols>
    <col width="84" customWidth="1" min="1" max="1"/>
    <col width="30" customWidth="1" min="2" max="2"/>
    <col width="13" customWidth="1" min="3" max="3"/>
    <col width="13" customWidth="1" min="4" max="4"/>
    <col width="18" customWidth="1" min="5" max="5"/>
    <col width="15" customWidth="1" min="6" max="6"/>
    <col width="14"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s>
  <sheetData>
    <row r="1">
      <c r="A1" s="1" t="inlineStr">
        <is>
          <t>📅 PROJECT Gantt CHART &amp; SCHEDULE</t>
        </is>
      </c>
    </row>
    <row r="2">
      <c r="A2" s="2" t="inlineStr">
        <is>
          <t>Chris Croft Method: Durations, Predecessors, Float &amp; Critical Path Identification</t>
        </is>
      </c>
    </row>
    <row r="3"/>
    <row r="4"/>
    <row r="5" ht="22" customHeight="1">
      <c r="A5" s="9" t="inlineStr">
        <is>
          <t>WBS</t>
        </is>
      </c>
      <c r="B5" s="9" t="inlineStr">
        <is>
          <t>Task Description</t>
        </is>
      </c>
      <c r="C5" s="9" t="inlineStr">
        <is>
          <t>Start Date</t>
        </is>
      </c>
      <c r="D5" s="9" t="inlineStr">
        <is>
          <t>End Date</t>
        </is>
      </c>
      <c r="E5" s="9" t="inlineStr">
        <is>
          <t>Duration (Days)</t>
        </is>
      </c>
      <c r="F5" s="9" t="inlineStr">
        <is>
          <t>Predecessors</t>
        </is>
      </c>
      <c r="G5" s="9" t="inlineStr">
        <is>
          <t>Total Float</t>
        </is>
      </c>
      <c r="H5" s="9" t="inlineStr">
        <is>
          <t>Critical?</t>
        </is>
      </c>
      <c r="I5" s="9" t="inlineStr">
        <is>
          <t>Jan 2026</t>
        </is>
      </c>
      <c r="J5" s="9" t="inlineStr">
        <is>
          <t>Feb 2026</t>
        </is>
      </c>
      <c r="K5" s="9" t="inlineStr">
        <is>
          <t>Mar 2026</t>
        </is>
      </c>
      <c r="L5" s="9" t="inlineStr">
        <is>
          <t>Apr 2026</t>
        </is>
      </c>
      <c r="M5" s="9" t="inlineStr">
        <is>
          <t>May 2026</t>
        </is>
      </c>
      <c r="N5" s="9" t="inlineStr">
        <is>
          <t>Jun 2026</t>
        </is>
      </c>
    </row>
    <row r="6">
      <c r="A6" s="12" t="inlineStr">
        <is>
          <t>1.0</t>
        </is>
      </c>
      <c r="B6" s="13" t="inlineStr">
        <is>
          <t>Project Management &amp; Eng.</t>
        </is>
      </c>
      <c r="C6" s="12" t="inlineStr">
        <is>
          <t>2026-01-01</t>
        </is>
      </c>
      <c r="D6" s="12" t="inlineStr">
        <is>
          <t>2026-06-30</t>
        </is>
      </c>
      <c r="E6" s="26" t="n">
        <v>181</v>
      </c>
      <c r="F6" s="12" t="inlineStr">
        <is>
          <t>None</t>
        </is>
      </c>
      <c r="G6" s="26" t="n">
        <v>0</v>
      </c>
      <c r="H6" s="12" t="inlineStr">
        <is>
          <t>Yes</t>
        </is>
      </c>
      <c r="I6" s="27" t="inlineStr">
        <is>
          <t>■</t>
        </is>
      </c>
      <c r="J6" s="27" t="inlineStr">
        <is>
          <t>■</t>
        </is>
      </c>
      <c r="K6" s="27" t="inlineStr">
        <is>
          <t>■</t>
        </is>
      </c>
      <c r="L6" s="27" t="inlineStr">
        <is>
          <t>■</t>
        </is>
      </c>
      <c r="M6" s="27" t="inlineStr">
        <is>
          <t>■</t>
        </is>
      </c>
      <c r="N6" s="27" t="inlineStr">
        <is>
          <t>■</t>
        </is>
      </c>
    </row>
    <row r="7">
      <c r="A7" s="12" t="inlineStr">
        <is>
          <t>2.0</t>
        </is>
      </c>
      <c r="B7" s="13" t="inlineStr">
        <is>
          <t>Hull Fabrication &amp; Assembly</t>
        </is>
      </c>
      <c r="C7" s="12" t="inlineStr">
        <is>
          <t>2026-02-01</t>
        </is>
      </c>
      <c r="D7" s="12" t="inlineStr">
        <is>
          <t>2026-04-15</t>
        </is>
      </c>
      <c r="E7" s="26" t="n">
        <v>74</v>
      </c>
      <c r="F7" s="12" t="inlineStr">
        <is>
          <t>1.0</t>
        </is>
      </c>
      <c r="G7" s="26" t="n">
        <v>0</v>
      </c>
      <c r="H7" s="12" t="inlineStr">
        <is>
          <t>Yes</t>
        </is>
      </c>
      <c r="I7" s="28" t="inlineStr"/>
      <c r="J7" s="29" t="inlineStr">
        <is>
          <t>■</t>
        </is>
      </c>
      <c r="K7" s="29" t="inlineStr">
        <is>
          <t>■</t>
        </is>
      </c>
      <c r="L7" s="29" t="inlineStr">
        <is>
          <t>■</t>
        </is>
      </c>
      <c r="M7" s="28" t="inlineStr"/>
      <c r="N7" s="28" t="inlineStr"/>
    </row>
    <row r="8">
      <c r="A8" s="12" t="inlineStr">
        <is>
          <t>3.0</t>
        </is>
      </c>
      <c r="B8" s="13" t="inlineStr">
        <is>
          <t>Outfitting &amp; Integration</t>
        </is>
      </c>
      <c r="C8" s="12" t="inlineStr">
        <is>
          <t>2026-04-01</t>
        </is>
      </c>
      <c r="D8" s="12" t="inlineStr">
        <is>
          <t>2026-05-31</t>
        </is>
      </c>
      <c r="E8" s="26" t="n">
        <v>61</v>
      </c>
      <c r="F8" s="12" t="inlineStr">
        <is>
          <t>2.0</t>
        </is>
      </c>
      <c r="G8" s="26" t="n">
        <v>0</v>
      </c>
      <c r="H8" s="12" t="inlineStr">
        <is>
          <t>Yes</t>
        </is>
      </c>
      <c r="I8" s="28" t="inlineStr"/>
      <c r="J8" s="28" t="inlineStr"/>
      <c r="K8" s="28" t="inlineStr"/>
      <c r="L8" s="29" t="inlineStr">
        <is>
          <t>■</t>
        </is>
      </c>
      <c r="M8" s="29" t="inlineStr">
        <is>
          <t>■</t>
        </is>
      </c>
      <c r="N8" s="28" t="inlineStr"/>
    </row>
    <row r="9">
      <c r="A9" s="12" t="inlineStr">
        <is>
          <t>4.0</t>
        </is>
      </c>
      <c r="B9" s="13" t="inlineStr">
        <is>
          <t>Sea Trials &amp; Handover</t>
        </is>
      </c>
      <c r="C9" s="12" t="inlineStr">
        <is>
          <t>2026-06-01</t>
        </is>
      </c>
      <c r="D9" s="12" t="inlineStr">
        <is>
          <t>2026-06-30</t>
        </is>
      </c>
      <c r="E9" s="26" t="n">
        <v>30</v>
      </c>
      <c r="F9" s="12" t="inlineStr">
        <is>
          <t>3.0</t>
        </is>
      </c>
      <c r="G9" s="26" t="n">
        <v>0</v>
      </c>
      <c r="H9" s="12" t="inlineStr">
        <is>
          <t>Yes</t>
        </is>
      </c>
      <c r="I9" s="28" t="inlineStr"/>
      <c r="J9" s="28" t="inlineStr"/>
      <c r="K9" s="28" t="inlineStr"/>
      <c r="L9" s="28" t="inlineStr"/>
      <c r="M9" s="28" t="inlineStr"/>
      <c r="N9" s="29"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69" customWidth="1" min="1" max="1"/>
    <col width="25" customWidth="1" min="2" max="2"/>
    <col width="20" customWidth="1" min="3" max="3"/>
    <col width="21" customWidth="1" min="4" max="4"/>
    <col width="26" customWidth="1" min="5" max="5"/>
  </cols>
  <sheetData>
    <row r="1">
      <c r="A1" s="1" t="inlineStr">
        <is>
          <t>💼 CFO PROFITABILITY &amp; COST SHARE AUDIT</t>
        </is>
      </c>
    </row>
    <row r="2">
      <c r="A2" s="2" t="inlineStr">
        <is>
          <t>Resource and material allocations, burn rates, and project margins</t>
        </is>
      </c>
    </row>
    <row r="3"/>
    <row r="4"/>
    <row r="5">
      <c r="A5" s="7" t="inlineStr">
        <is>
          <t>Cost-Share Breakdown</t>
        </is>
      </c>
    </row>
    <row r="6">
      <c r="A6" s="10" t="inlineStr">
        <is>
          <t>Category</t>
        </is>
      </c>
      <c r="B6" s="11" t="inlineStr">
        <is>
          <t>Actual Cost (USD)</t>
        </is>
      </c>
      <c r="C6" s="11" t="inlineStr">
        <is>
          <t>Share %</t>
        </is>
      </c>
    </row>
    <row r="7">
      <c r="A7" s="30" t="inlineStr">
        <is>
          <t>Labor Costs</t>
        </is>
      </c>
      <c r="B7" s="31" t="n">
        <v>4148810</v>
      </c>
      <c r="C7" s="32">
        <f>B7/B9</f>
        <v/>
      </c>
    </row>
    <row r="8">
      <c r="A8" s="30" t="inlineStr">
        <is>
          <t>Material &amp; Procurement Costs</t>
        </is>
      </c>
      <c r="B8" s="31" t="n">
        <v>1072000</v>
      </c>
      <c r="C8" s="32">
        <f>B8/B9</f>
        <v/>
      </c>
    </row>
    <row r="9">
      <c r="A9" s="20" t="inlineStr">
        <is>
          <t>TOTAL ACTUAL COST</t>
        </is>
      </c>
      <c r="B9" s="21">
        <f>SUM(B7:B8)</f>
        <v/>
      </c>
      <c r="C9" s="23" t="n">
        <v>1</v>
      </c>
    </row>
    <row r="10"/>
    <row r="11"/>
    <row r="12">
      <c r="A12" s="7" t="inlineStr">
        <is>
          <t>Resource Burn Rates</t>
        </is>
      </c>
    </row>
    <row r="13">
      <c r="A13" s="10" t="inlineStr">
        <is>
          <t>Resource Name</t>
        </is>
      </c>
      <c r="B13" s="10" t="inlineStr">
        <is>
          <t>Role</t>
        </is>
      </c>
      <c r="C13" s="11" t="inlineStr">
        <is>
          <t>Hourly Rate (USD)</t>
        </is>
      </c>
      <c r="D13" s="11" t="inlineStr">
        <is>
          <t>Hours Logged</t>
        </is>
      </c>
      <c r="E13" s="11" t="inlineStr">
        <is>
          <t>Total Cost Logged (USD)</t>
        </is>
      </c>
    </row>
    <row r="14">
      <c r="A14" s="30" t="inlineStr">
        <is>
          <t>Astrid Nilsen</t>
        </is>
      </c>
      <c r="B14" s="30" t="inlineStr">
        <is>
          <t>Structural Welder</t>
        </is>
      </c>
      <c r="C14" s="31" t="n">
        <v>700</v>
      </c>
      <c r="D14" s="33" t="n">
        <v>2899.1</v>
      </c>
      <c r="E14" s="31" t="n">
        <v>2029370</v>
      </c>
    </row>
    <row r="15">
      <c r="A15" s="30" t="inlineStr">
        <is>
          <t>Erik Johansen</t>
        </is>
      </c>
      <c r="B15" s="30" t="inlineStr">
        <is>
          <t>Senior Design Engineer</t>
        </is>
      </c>
      <c r="C15" s="31" t="n">
        <v>950</v>
      </c>
      <c r="D15" s="33" t="n">
        <v>1208</v>
      </c>
      <c r="E15" s="31" t="n">
        <v>1147600</v>
      </c>
    </row>
    <row r="16">
      <c r="A16" s="30" t="inlineStr">
        <is>
          <t>Lars Olsen</t>
        </is>
      </c>
      <c r="B16" s="30" t="inlineStr">
        <is>
          <t>Marine Electrician</t>
        </is>
      </c>
      <c r="C16" s="31" t="n">
        <v>750</v>
      </c>
      <c r="D16" s="33" t="n">
        <v>498.8</v>
      </c>
      <c r="E16" s="31" t="n">
        <v>374100</v>
      </c>
    </row>
    <row r="17">
      <c r="A17" s="30" t="inlineStr">
        <is>
          <t>Morten Hansen</t>
        </is>
      </c>
      <c r="B17" s="30" t="inlineStr">
        <is>
          <t>Project Manager</t>
        </is>
      </c>
      <c r="C17" s="31" t="n">
        <v>1000</v>
      </c>
      <c r="D17" s="33" t="n">
        <v>301.6</v>
      </c>
      <c r="E17" s="31" t="n">
        <v>301600</v>
      </c>
    </row>
    <row r="18">
      <c r="A18" s="30" t="inlineStr">
        <is>
          <t>Frank Ellingsen</t>
        </is>
      </c>
      <c r="B18" s="30" t="inlineStr">
        <is>
          <t>Project Controller</t>
        </is>
      </c>
      <c r="C18" s="31" t="n">
        <v>850</v>
      </c>
      <c r="D18" s="33" t="n">
        <v>348.4</v>
      </c>
      <c r="E18" s="31" t="n">
        <v>296140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showGridLines="1" workbookViewId="0">
      <selection activeCell="A1" sqref="A1"/>
    </sheetView>
  </sheetViews>
  <sheetFormatPr baseColWidth="8" defaultRowHeight="15"/>
  <cols>
    <col width="81" customWidth="1" min="1" max="1"/>
    <col width="18" customWidth="1" min="2" max="2"/>
    <col width="84" customWidth="1" min="3" max="3"/>
    <col width="15" customWidth="1" min="4" max="4"/>
    <col width="14" customWidth="1" min="5" max="5"/>
    <col width="66" customWidth="1" min="6" max="6"/>
    <col width="18" customWidth="1" min="7" max="7"/>
    <col width="10" customWidth="1" min="8" max="8"/>
  </cols>
  <sheetData>
    <row r="1">
      <c r="A1" s="1" t="inlineStr">
        <is>
          <t>🚨 CONTRACT, RISK &amp; ANOMALY AUDIT</t>
        </is>
      </c>
    </row>
    <row r="2">
      <c r="A2" s="2" t="inlineStr">
        <is>
          <t>Resource weekly overtime limits, high-value invoices, and active RAID registry</t>
        </is>
      </c>
    </row>
    <row r="3"/>
    <row r="4"/>
    <row r="5">
      <c r="A5" s="7" t="inlineStr">
        <is>
          <t>Overtime Audits (&gt;45 Hours/Week)</t>
        </is>
      </c>
    </row>
    <row r="6">
      <c r="A6" s="9" t="inlineStr">
        <is>
          <t>Work Week</t>
        </is>
      </c>
      <c r="B6" s="10" t="inlineStr">
        <is>
          <t>Resource Name</t>
        </is>
      </c>
      <c r="C6" s="10" t="inlineStr">
        <is>
          <t>Role</t>
        </is>
      </c>
      <c r="D6" s="11" t="inlineStr">
        <is>
          <t>Hours Logged</t>
        </is>
      </c>
    </row>
    <row r="7">
      <c r="A7" s="12" t="inlineStr">
        <is>
          <t>2026-19</t>
        </is>
      </c>
      <c r="B7" s="13" t="inlineStr">
        <is>
          <t>Erik Johansen</t>
        </is>
      </c>
      <c r="C7" s="13" t="inlineStr">
        <is>
          <t>Senior Design Engineer</t>
        </is>
      </c>
      <c r="D7" s="34" t="n">
        <v>350</v>
      </c>
    </row>
    <row r="8">
      <c r="A8" s="12" t="inlineStr">
        <is>
          <t>2026-14</t>
        </is>
      </c>
      <c r="B8" s="13" t="inlineStr">
        <is>
          <t>Astrid Nilsen</t>
        </is>
      </c>
      <c r="C8" s="13" t="inlineStr">
        <is>
          <t>Structural Welder</t>
        </is>
      </c>
      <c r="D8" s="34" t="n">
        <v>1150.1</v>
      </c>
    </row>
    <row r="9">
      <c r="A9" s="12" t="inlineStr">
        <is>
          <t>2026-13</t>
        </is>
      </c>
      <c r="B9" s="13" t="inlineStr">
        <is>
          <t>Astrid Nilsen</t>
        </is>
      </c>
      <c r="C9" s="13" t="inlineStr">
        <is>
          <t>Structural Welder</t>
        </is>
      </c>
      <c r="D9" s="34" t="n">
        <v>46.3</v>
      </c>
    </row>
    <row r="10">
      <c r="A10" s="12" t="inlineStr">
        <is>
          <t>2026-11</t>
        </is>
      </c>
      <c r="B10" s="13" t="inlineStr">
        <is>
          <t>Erik Johansen</t>
        </is>
      </c>
      <c r="C10" s="13" t="inlineStr">
        <is>
          <t>Senior Design Engineer</t>
        </is>
      </c>
      <c r="D10" s="34" t="n">
        <v>485.5</v>
      </c>
    </row>
    <row r="11">
      <c r="A11" s="12" t="inlineStr">
        <is>
          <t>2026-10</t>
        </is>
      </c>
      <c r="B11" s="13" t="inlineStr">
        <is>
          <t>Astrid Nilsen</t>
        </is>
      </c>
      <c r="C11" s="13" t="inlineStr">
        <is>
          <t>Structural Welder</t>
        </is>
      </c>
      <c r="D11" s="34" t="n">
        <v>842.8</v>
      </c>
    </row>
    <row r="12">
      <c r="A12" s="12" t="inlineStr">
        <is>
          <t>2026-08</t>
        </is>
      </c>
      <c r="B12" s="13" t="inlineStr">
        <is>
          <t>Frank Ellingsen</t>
        </is>
      </c>
      <c r="C12" s="13" t="inlineStr">
        <is>
          <t>Project Controller</t>
        </is>
      </c>
      <c r="D12" s="34" t="n">
        <v>223.9</v>
      </c>
    </row>
    <row r="13">
      <c r="A13" s="12" t="inlineStr">
        <is>
          <t>2025-46</t>
        </is>
      </c>
      <c r="B13" s="13" t="inlineStr">
        <is>
          <t>Astrid Nilsen</t>
        </is>
      </c>
      <c r="C13" s="13" t="inlineStr">
        <is>
          <t>Structural Welder</t>
        </is>
      </c>
      <c r="D13" s="34" t="n">
        <v>480</v>
      </c>
    </row>
    <row r="14">
      <c r="A14" s="12" t="inlineStr">
        <is>
          <t>2025-42</t>
        </is>
      </c>
      <c r="B14" s="13" t="inlineStr">
        <is>
          <t>Erik Johansen</t>
        </is>
      </c>
      <c r="C14" s="13" t="inlineStr">
        <is>
          <t>Senior Design Engineer</t>
        </is>
      </c>
      <c r="D14" s="34" t="n">
        <v>190</v>
      </c>
    </row>
    <row r="15"/>
    <row r="16"/>
    <row r="17">
      <c r="A17" s="7" t="inlineStr">
        <is>
          <t>Large Procurement Audits (&gt;$50,000)</t>
        </is>
      </c>
    </row>
    <row r="18">
      <c r="A18" s="9" t="inlineStr">
        <is>
          <t>Purchase Date</t>
        </is>
      </c>
      <c r="B18" s="9" t="inlineStr">
        <is>
          <t>Invoice Number</t>
        </is>
      </c>
      <c r="C18" s="10" t="inlineStr">
        <is>
          <t>Description</t>
        </is>
      </c>
      <c r="D18" s="11" t="inlineStr">
        <is>
          <t>Cost (USD)</t>
        </is>
      </c>
    </row>
    <row r="19">
      <c r="A19" s="35" t="n">
        <v>45962</v>
      </c>
      <c r="B19" s="12" t="inlineStr">
        <is>
          <t>MAT-6001</t>
        </is>
      </c>
      <c r="C19" s="13" t="inlineStr">
        <is>
          <t>Composite Cutting Fiber</t>
        </is>
      </c>
      <c r="D19" s="36" t="n">
        <v>70000</v>
      </c>
    </row>
    <row r="20">
      <c r="A20" s="35" t="n">
        <v>46058</v>
      </c>
      <c r="B20" s="12" t="inlineStr">
        <is>
          <t>INV-001</t>
        </is>
      </c>
      <c r="C20" s="13" t="inlineStr">
        <is>
          <t>Structural Composite Carbon Sheets</t>
        </is>
      </c>
      <c r="D20" s="36" t="n">
        <v>150000</v>
      </c>
    </row>
    <row r="21">
      <c r="A21" s="35" t="n">
        <v>46082</v>
      </c>
      <c r="B21" s="12" t="inlineStr">
        <is>
          <t>MAT-5001</t>
        </is>
      </c>
      <c r="C21" s="13" t="inlineStr">
        <is>
          <t>Paint &amp; Marine Alloy Plates</t>
        </is>
      </c>
      <c r="D21" s="36" t="n">
        <v>180000</v>
      </c>
    </row>
    <row r="22">
      <c r="A22" s="35" t="n">
        <v>46106</v>
      </c>
      <c r="B22" s="12" t="inlineStr">
        <is>
          <t>MAT-4001</t>
        </is>
      </c>
      <c r="C22" s="13" t="inlineStr">
        <is>
          <t>Consumables &amp; Steel Plates</t>
        </is>
      </c>
      <c r="D22" s="36" t="n">
        <v>250000</v>
      </c>
    </row>
    <row r="23">
      <c r="A23" s="35" t="n">
        <v>46144</v>
      </c>
      <c r="B23" s="12" t="inlineStr">
        <is>
          <t>INV-007</t>
        </is>
      </c>
      <c r="C23" s="13" t="inlineStr">
        <is>
          <t>Twin Electric Inboard Engines</t>
        </is>
      </c>
      <c r="D23" s="36" t="n">
        <v>130000</v>
      </c>
    </row>
    <row r="24"/>
    <row r="25">
      <c r="A25" s="7" t="inlineStr">
        <is>
          <t>Active RAID Log Register</t>
        </is>
      </c>
    </row>
    <row r="26">
      <c r="A26" s="9" t="inlineStr">
        <is>
          <t>RAID ID</t>
        </is>
      </c>
      <c r="B26" s="10" t="inlineStr">
        <is>
          <t>Category</t>
        </is>
      </c>
      <c r="C26" s="10" t="inlineStr">
        <is>
          <t>Description</t>
        </is>
      </c>
      <c r="D26" s="9" t="inlineStr">
        <is>
          <t>Impact</t>
        </is>
      </c>
      <c r="E26" s="9" t="inlineStr">
        <is>
          <t>Probability</t>
        </is>
      </c>
      <c r="F26" s="10" t="inlineStr">
        <is>
          <t>Mitigation Strategy</t>
        </is>
      </c>
      <c r="G26" s="10" t="inlineStr">
        <is>
          <t>Owner</t>
        </is>
      </c>
      <c r="H26" s="9" t="inlineStr">
        <is>
          <t>Status</t>
        </is>
      </c>
    </row>
    <row r="27">
      <c r="A27" s="17" t="inlineStr">
        <is>
          <t>R-001</t>
        </is>
      </c>
      <c r="B27" s="37" t="inlineStr">
        <is>
          <t>Risk</t>
        </is>
      </c>
      <c r="C27" s="37" t="inlineStr">
        <is>
          <t>Delay in composite carbon sheet deliveries from overseas supplier</t>
        </is>
      </c>
      <c r="D27" s="17" t="inlineStr">
        <is>
          <t>High</t>
        </is>
      </c>
      <c r="E27" s="17" t="inlineStr">
        <is>
          <t>Medium</t>
        </is>
      </c>
      <c r="F27" s="37" t="inlineStr">
        <is>
          <t>Pre-order early or source alternative local supplier</t>
        </is>
      </c>
      <c r="G27" s="37" t="inlineStr">
        <is>
          <t>Morten Hansen</t>
        </is>
      </c>
      <c r="H27" s="17" t="inlineStr">
        <is>
          <t>Active</t>
        </is>
      </c>
    </row>
    <row r="28">
      <c r="A28" s="12" t="inlineStr">
        <is>
          <t>I-001</t>
        </is>
      </c>
      <c r="B28" s="13" t="inlineStr">
        <is>
          <t>Issue</t>
        </is>
      </c>
      <c r="C28" s="13" t="inlineStr">
        <is>
          <t>Astrid Nilsen welder overtime limit breached due to recovery fabrication schedule</t>
        </is>
      </c>
      <c r="D28" s="12" t="inlineStr">
        <is>
          <t>Medium</t>
        </is>
      </c>
      <c r="E28" s="12" t="inlineStr">
        <is>
          <t>High</t>
        </is>
      </c>
      <c r="F28" s="13" t="inlineStr">
        <is>
          <t>Allocate junior welder to assist with low-priority tasks</t>
        </is>
      </c>
      <c r="G28" s="13" t="inlineStr">
        <is>
          <t>Morten Hansen</t>
        </is>
      </c>
      <c r="H28" s="12" t="inlineStr">
        <is>
          <t>Active</t>
        </is>
      </c>
    </row>
    <row r="29">
      <c r="A29" s="17" t="inlineStr">
        <is>
          <t>D-001</t>
        </is>
      </c>
      <c r="B29" s="37" t="inlineStr">
        <is>
          <t>Dependency</t>
        </is>
      </c>
      <c r="C29" s="37" t="inlineStr">
        <is>
          <t>Sea trials (WBS 4.0) depend on DNV safety and compliance certification approval</t>
        </is>
      </c>
      <c r="D29" s="17" t="inlineStr">
        <is>
          <t>High</t>
        </is>
      </c>
      <c r="E29" s="17" t="inlineStr">
        <is>
          <t>High</t>
        </is>
      </c>
      <c r="F29" s="37" t="inlineStr">
        <is>
          <t>Submit compliance paperwork 2 weeks in advance of handover date</t>
        </is>
      </c>
      <c r="G29" s="37" t="inlineStr">
        <is>
          <t>Frank Ellingsen</t>
        </is>
      </c>
      <c r="H29" s="17" t="inlineStr">
        <is>
          <t>Active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5"/>
  <sheetViews>
    <sheetView showGridLines="1" workbookViewId="0">
      <selection activeCell="A1" sqref="A1"/>
    </sheetView>
  </sheetViews>
  <sheetFormatPr baseColWidth="8" defaultRowHeight="15"/>
  <cols>
    <col width="108" customWidth="1" min="1" max="1"/>
    <col width="16" customWidth="1" min="2" max="2"/>
  </cols>
  <sheetData>
    <row r="1">
      <c r="A1" s="1" t="inlineStr">
        <is>
          <t>🎛️ WHAT-IF CORRECTIVE ACTION &amp; CRASH SIMULATOR</t>
        </is>
      </c>
    </row>
    <row r="2">
      <c r="A2" s="2" t="inlineStr">
        <is>
          <t>Edit the yellow input cells to simulate real-time corrective actions, rate savings, and schedule crashing</t>
        </is>
      </c>
    </row>
    <row r="3"/>
    <row r="4"/>
    <row r="5">
      <c r="A5" s="7" t="inlineStr">
        <is>
          <t>Simulator Inputs (Editable)</t>
        </is>
      </c>
    </row>
    <row r="6">
      <c r="A6" s="24" t="inlineStr">
        <is>
          <t>Simulated Labor Rate Savings (%)</t>
        </is>
      </c>
      <c r="B6" s="38" t="n">
        <v>0.05</v>
      </c>
    </row>
    <row r="7">
      <c r="A7" s="24" t="inlineStr">
        <is>
          <t>Simulated Material Price Savings (%)</t>
        </is>
      </c>
      <c r="B7" s="38" t="n">
        <v>0.1</v>
      </c>
    </row>
    <row r="8">
      <c r="A8" s="24" t="inlineStr">
        <is>
          <t>Contract Delay Penalty (USD/Day)</t>
        </is>
      </c>
      <c r="B8" s="39" t="n">
        <v>10000</v>
      </c>
    </row>
    <row r="9">
      <c r="A9" s="24" t="inlineStr">
        <is>
          <t>Crash Schedule? (0=No, 5=Crash 5 Days, 10=Crash 10 Days)</t>
        </is>
      </c>
      <c r="B9" s="40" t="n">
        <v>5</v>
      </c>
    </row>
    <row r="10"/>
    <row r="11"/>
    <row r="12">
      <c r="A12" s="7" t="inlineStr">
        <is>
          <t>Simulation Results (Calculated)</t>
        </is>
      </c>
    </row>
    <row r="13"/>
    <row r="14">
      <c r="A14" s="30" t="inlineStr">
        <is>
          <t>Current Baseline BAC (USD)</t>
        </is>
      </c>
      <c r="B14" s="31" t="n">
        <v>7100000</v>
      </c>
    </row>
    <row r="15">
      <c r="A15" s="30" t="inlineStr">
        <is>
          <t>Current Actual Cost AC (USD)</t>
        </is>
      </c>
      <c r="B15" s="31" t="n">
        <v>5220810</v>
      </c>
    </row>
    <row r="16">
      <c r="A16" s="30" t="inlineStr">
        <is>
          <t>Current Earned Value EV (USD)</t>
        </is>
      </c>
      <c r="B16" s="31" t="n">
        <v>4752500</v>
      </c>
    </row>
    <row r="17">
      <c r="A17" s="41" t="n"/>
      <c r="B17" s="41" t="n"/>
    </row>
    <row r="18">
      <c r="A18" s="42" t="inlineStr">
        <is>
          <t>Simulated Actual Cost (AC) USD</t>
        </is>
      </c>
      <c r="B18" s="43">
        <f>B15 * (1 - B6 * 0.718 - B7 * 0.282) + 200000 * (B9 / 100)</f>
        <v/>
      </c>
    </row>
    <row r="19">
      <c r="A19" s="42" t="inlineStr">
        <is>
          <t>Simulated CPI</t>
        </is>
      </c>
      <c r="B19" s="44">
        <f>B16/B18</f>
        <v/>
      </c>
    </row>
    <row r="20">
      <c r="A20" s="42" t="inlineStr">
        <is>
          <t>Simulated Estimate At Completion (EAC) USD</t>
        </is>
      </c>
      <c r="B20" s="43">
        <f>B14/B19</f>
        <v/>
      </c>
    </row>
    <row r="21">
      <c r="A21" s="41" t="n"/>
      <c r="B21" s="41" t="n"/>
    </row>
    <row r="22">
      <c r="A22" s="30" t="inlineStr">
        <is>
          <t>Simulated Schedule Delay (Days)</t>
        </is>
      </c>
      <c r="B22" s="45">
        <f>MAX(0, 10 - B9)</f>
        <v/>
      </c>
    </row>
    <row r="23">
      <c r="A23" s="30" t="inlineStr">
        <is>
          <t>Simulated Liquidated Damages Penalty (USD)</t>
        </is>
      </c>
      <c r="B23" s="31">
        <f>B22 * B8</f>
        <v/>
      </c>
    </row>
    <row r="24">
      <c r="A24" s="30" t="inlineStr">
        <is>
          <t>Direct Schedule Crashing Cost (USD)</t>
        </is>
      </c>
      <c r="B24" s="31">
        <f>200000 * (B9 / 100)</f>
        <v/>
      </c>
    </row>
    <row r="25">
      <c r="A25" s="42" t="inlineStr">
        <is>
          <t>Net Crashing Trade-off Benefit (USD)</t>
        </is>
      </c>
      <c r="B25" s="46">
        <f>(10 * B8 - B23) - B24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2026-08-01T14:32:07Z</dcterms:created>
  <dcterms:modified xmlns:dcterms="http://purl.org/dc/terms/" xmlns:xsi="http://www.w3.org/2001/XMLSchema-instance" xsi:type="dcterms:W3CDTF">2026-08-01T14:32:07Z</dcterms:modified>
</cp:coreProperties>
</file>