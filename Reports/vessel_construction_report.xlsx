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rank\Desktop\Project Mng\Reports\"/>
    </mc:Choice>
  </mc:AlternateContent>
  <xr:revisionPtr revIDLastSave="0" documentId="13_ncr:1_{8BEB6072-057D-46EE-9817-FF9036377D78}" xr6:coauthVersionLast="47" xr6:coauthVersionMax="47" xr10:uidLastSave="{00000000-0000-0000-0000-000000000000}"/>
  <bookViews>
    <workbookView xWindow="-120" yWindow="-16320" windowWidth="29040" windowHeight="15720" activeTab="3" xr2:uid="{00000000-000D-0000-FFFF-FFFF00000000}"/>
  </bookViews>
  <sheets>
    <sheet name="Methodology Guide" sheetId="9" r:id="rId1"/>
    <sheet name="Controller Playbook" sheetId="10" r:id="rId2"/>
    <sheet name="Cover" sheetId="6" r:id="rId3"/>
    <sheet name="Gantt Charts" sheetId="14" r:id="rId4"/>
    <sheet name="Control Tower Dashboard" sheetId="1" r:id="rId5"/>
    <sheet name="Data Model Map" sheetId="11" r:id="rId6"/>
    <sheet name="3S Readiness Audit" sheetId="12" r:id="rId7"/>
    <sheet name="3S Model Blueprint" sheetId="13" r:id="rId8"/>
    <sheet name="Schedule &amp; Gantt" sheetId="2" r:id="rId9"/>
    <sheet name="CFO &amp; Cost Share Audit" sheetId="3" r:id="rId10"/>
    <sheet name="Contract &amp; RAID Risk Audit" sheetId="4" r:id="rId11"/>
    <sheet name="Interactive Simulator" sheetId="5" r:id="rId12"/>
    <sheet name="EVM Data" sheetId="7" r:id="rId13"/>
    <sheet name="Source Data" sheetId="8"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 i="9" l="1"/>
  <c r="D50" i="9"/>
  <c r="D51" i="9"/>
  <c r="D52" i="9"/>
  <c r="D53" i="9"/>
  <c r="B49" i="9"/>
  <c r="B50" i="9"/>
  <c r="B51" i="9"/>
  <c r="B52" i="9"/>
  <c r="B53" i="9"/>
  <c r="C40" i="12"/>
  <c r="C39" i="12"/>
  <c r="B11" i="12"/>
  <c r="B12" i="12"/>
  <c r="B13" i="12"/>
  <c r="B14" i="12"/>
  <c r="B15" i="12"/>
  <c r="B27" i="9"/>
  <c r="B28" i="9"/>
  <c r="B29" i="9"/>
  <c r="B30" i="9"/>
  <c r="B31" i="9"/>
  <c r="L7" i="1"/>
  <c r="L6" i="1"/>
  <c r="L5" i="1"/>
  <c r="B25" i="5"/>
  <c r="B24" i="5"/>
  <c r="B23" i="5"/>
  <c r="B22" i="5"/>
  <c r="B18" i="5"/>
  <c r="B19" i="5" s="1"/>
  <c r="B20" i="5" s="1"/>
  <c r="B16" i="5"/>
  <c r="B15" i="5"/>
  <c r="B14" i="5"/>
  <c r="C9" i="3"/>
  <c r="C8" i="3"/>
  <c r="C7" i="3"/>
  <c r="B9" i="3"/>
  <c r="B8" i="3"/>
  <c r="B7" i="3"/>
  <c r="L10" i="1"/>
  <c r="L9" i="1"/>
  <c r="L8" i="1"/>
  <c r="A24" i="1" a="1"/>
  <c r="A24" i="1" s="1"/>
  <c r="A14" i="1" a="1"/>
  <c r="A14" i="1" s="1"/>
  <c r="A8" i="1"/>
  <c r="I5" i="1"/>
  <c r="G5" i="1"/>
  <c r="E5" i="1"/>
  <c r="C5" i="1"/>
  <c r="A5" i="1"/>
  <c r="J30" i="7"/>
  <c r="J29" i="7"/>
  <c r="J28" i="7"/>
  <c r="J27" i="7"/>
  <c r="J26" i="7"/>
  <c r="I30" i="7"/>
  <c r="I29" i="7"/>
  <c r="I28" i="7"/>
  <c r="I27" i="7"/>
  <c r="I26" i="7"/>
  <c r="H30" i="7"/>
  <c r="H29" i="7"/>
  <c r="H28" i="7"/>
  <c r="H27" i="7"/>
  <c r="H26" i="7"/>
  <c r="G30" i="7"/>
  <c r="G29" i="7"/>
  <c r="G28" i="7"/>
  <c r="G27" i="7"/>
  <c r="G26" i="7"/>
  <c r="F30" i="7"/>
  <c r="F29" i="7"/>
  <c r="F28" i="7"/>
  <c r="F27" i="7"/>
  <c r="F26" i="7"/>
  <c r="E30" i="7"/>
  <c r="E29" i="7"/>
  <c r="E28" i="7"/>
  <c r="E27" i="7"/>
  <c r="E26" i="7"/>
  <c r="J25" i="7"/>
  <c r="H25" i="7"/>
  <c r="G25" i="7"/>
  <c r="I25" i="7" s="1"/>
  <c r="F25" i="7"/>
  <c r="E25" i="7"/>
  <c r="O19" i="7"/>
  <c r="O18" i="7"/>
  <c r="O17" i="7"/>
  <c r="O16" i="7"/>
  <c r="O15" i="7"/>
  <c r="O14" i="7"/>
  <c r="O13" i="7"/>
  <c r="O12" i="7"/>
  <c r="O11" i="7"/>
  <c r="O10" i="7"/>
  <c r="O9" i="7"/>
  <c r="O8" i="7"/>
  <c r="O7" i="7"/>
  <c r="N19" i="7"/>
  <c r="N18" i="7"/>
  <c r="N17" i="7"/>
  <c r="N16" i="7"/>
  <c r="N15" i="7"/>
  <c r="N14" i="7"/>
  <c r="N13" i="7"/>
  <c r="N12" i="7"/>
  <c r="N11" i="7"/>
  <c r="N10" i="7"/>
  <c r="N9" i="7"/>
  <c r="N8" i="7"/>
  <c r="N7" i="7"/>
  <c r="M19" i="7"/>
  <c r="M18" i="7"/>
  <c r="M17" i="7"/>
  <c r="M16" i="7"/>
  <c r="M15" i="7"/>
  <c r="M14" i="7"/>
  <c r="M13" i="7"/>
  <c r="M12" i="7"/>
  <c r="M11" i="7"/>
  <c r="M10" i="7"/>
  <c r="M9" i="7"/>
  <c r="M8" i="7"/>
  <c r="M7" i="7"/>
  <c r="L19" i="7"/>
  <c r="L18" i="7"/>
  <c r="L17" i="7"/>
  <c r="L16" i="7"/>
  <c r="L15" i="7"/>
  <c r="L14" i="7"/>
  <c r="L13" i="7"/>
  <c r="L12" i="7"/>
  <c r="L11" i="7"/>
  <c r="L10" i="7"/>
  <c r="L9" i="7"/>
  <c r="L8" i="7"/>
  <c r="L7" i="7"/>
  <c r="K19" i="7"/>
  <c r="K18" i="7"/>
  <c r="K17" i="7"/>
  <c r="K16" i="7"/>
  <c r="K15" i="7"/>
  <c r="K14" i="7"/>
  <c r="K13" i="7"/>
  <c r="K12" i="7"/>
  <c r="K11" i="7"/>
  <c r="K10" i="7"/>
  <c r="K9" i="7"/>
  <c r="K8" i="7"/>
  <c r="K7" i="7"/>
  <c r="J19" i="7"/>
  <c r="J18" i="7"/>
  <c r="J17" i="7"/>
  <c r="J16" i="7"/>
  <c r="J15" i="7"/>
  <c r="J14" i="7"/>
  <c r="J13" i="7"/>
  <c r="J12" i="7"/>
  <c r="J11" i="7"/>
  <c r="J10" i="7"/>
  <c r="J9" i="7"/>
  <c r="J8" i="7"/>
  <c r="J7" i="7"/>
  <c r="I19" i="7"/>
  <c r="I18" i="7"/>
  <c r="I17" i="7"/>
  <c r="I16" i="7"/>
  <c r="I15" i="7"/>
  <c r="I14" i="7"/>
  <c r="I13" i="7"/>
  <c r="I12" i="7"/>
  <c r="I11" i="7"/>
  <c r="I10" i="7"/>
  <c r="I9" i="7"/>
  <c r="I8" i="7"/>
  <c r="I7" i="7"/>
  <c r="H19" i="7"/>
  <c r="H18" i="7"/>
  <c r="H17" i="7"/>
  <c r="H16" i="7"/>
  <c r="H15" i="7"/>
  <c r="H14" i="7"/>
  <c r="H13" i="7"/>
  <c r="H12" i="7"/>
  <c r="H11" i="7"/>
  <c r="H10" i="7"/>
  <c r="H9" i="7"/>
  <c r="H8" i="7"/>
  <c r="H7" i="7"/>
  <c r="L6" i="7"/>
  <c r="K6" i="7"/>
  <c r="M6" i="7" s="1"/>
  <c r="J6" i="7"/>
  <c r="I6" i="7"/>
  <c r="H6" i="7"/>
  <c r="A6" i="4" a="1"/>
  <c r="A6" i="4" s="1"/>
  <c r="D14" i="3"/>
  <c r="D15" i="3"/>
  <c r="D16" i="3"/>
  <c r="E16" i="3" s="1"/>
  <c r="D17" i="3"/>
  <c r="E17" i="3" s="1"/>
  <c r="D18" i="3"/>
  <c r="E18" i="3" s="1"/>
  <c r="E14" i="3"/>
  <c r="E15" i="3"/>
  <c r="N11" i="2"/>
  <c r="M11" i="2"/>
  <c r="L11" i="2"/>
  <c r="K11" i="2"/>
  <c r="J11" i="2"/>
  <c r="I11" i="2"/>
  <c r="E11" i="2"/>
  <c r="N10" i="2"/>
  <c r="M10" i="2"/>
  <c r="L10" i="2"/>
  <c r="K10" i="2"/>
  <c r="J10" i="2"/>
  <c r="I10" i="2"/>
  <c r="E10" i="2"/>
  <c r="N9" i="2"/>
  <c r="M9" i="2"/>
  <c r="L9" i="2"/>
  <c r="K9" i="2"/>
  <c r="J9" i="2"/>
  <c r="I9" i="2"/>
  <c r="E9" i="2"/>
  <c r="N8" i="2"/>
  <c r="M8" i="2"/>
  <c r="L8" i="2"/>
  <c r="K8" i="2"/>
  <c r="J8" i="2"/>
  <c r="I8" i="2"/>
  <c r="E8" i="2"/>
  <c r="N7" i="2"/>
  <c r="M7" i="2"/>
  <c r="L7" i="2"/>
  <c r="K7" i="2"/>
  <c r="J7" i="2"/>
  <c r="I7" i="2"/>
  <c r="E7" i="2"/>
  <c r="N6" i="2"/>
  <c r="M6" i="2"/>
  <c r="L6" i="2"/>
  <c r="K6" i="2"/>
  <c r="J6" i="2"/>
  <c r="I6" i="2"/>
  <c r="E6" i="2"/>
  <c r="N6" i="7" l="1"/>
  <c r="O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<sst xmlns="http://schemas.openxmlformats.org/spreadsheetml/2006/main" count="1764" uniqueCount="1061">
  <si>
    <t>⚓ PROJECT CONTROL TOWER DASHBOARD</t>
  </si>
  <si>
    <t>BUDGET (BAC)</t>
  </si>
  <si>
    <t>ACTUAL COST (AC)</t>
  </si>
  <si>
    <t>EARNED VALUE (EV)</t>
  </si>
  <si>
    <t>CPI</t>
  </si>
  <si>
    <t>PROGRESS</t>
  </si>
  <si>
    <t>Executive Portfolio Summary</t>
  </si>
  <si>
    <t>Portfolio Project Breakdown</t>
  </si>
  <si>
    <t>Project ID</t>
  </si>
  <si>
    <t>Project Name</t>
  </si>
  <si>
    <t>Project Manager</t>
  </si>
  <si>
    <t>Progress</t>
  </si>
  <si>
    <t>Status</t>
  </si>
  <si>
    <t>PRJ-001</t>
  </si>
  <si>
    <t>Composite Maritime Vessel Construction</t>
  </si>
  <si>
    <t>Morten Hansen</t>
  </si>
  <si>
    <t>PRJ-002</t>
  </si>
  <si>
    <t>PRJ-002: Patrol Vessel Carbon Mold Design</t>
  </si>
  <si>
    <t>⚪ Planned</t>
  </si>
  <si>
    <t>PRJ-003</t>
  </si>
  <si>
    <t>PRJ-003: Subsea Cable Installation Frame</t>
  </si>
  <si>
    <t>Erik Johansen</t>
  </si>
  <si>
    <t>PRJ-004</t>
  </si>
  <si>
    <t>PRJ-004: Autonomous Workboat Hull Weldments</t>
  </si>
  <si>
    <t>Astrid Nilsen</t>
  </si>
  <si>
    <t>PRJ-005</t>
  </si>
  <si>
    <t>PRJ-005: Defense Logistics Pontoon Build</t>
  </si>
  <si>
    <t>Frank Ellingsen</t>
  </si>
  <si>
    <t>PRJ-006</t>
  </si>
  <si>
    <t>PRJ-006: Lightweight Composite Cargo Hatch</t>
  </si>
  <si>
    <t>🟢 Completed</t>
  </si>
  <si>
    <t>WBS Element Performance Details</t>
  </si>
  <si>
    <t>WBS Code</t>
  </si>
  <si>
    <t>ElementName</t>
  </si>
  <si>
    <t>Project Management &amp; Engineering</t>
  </si>
  <si>
    <t>Structural Frame Engineering</t>
  </si>
  <si>
    <t>Engineering Drawings &amp; Class Approval</t>
  </si>
  <si>
    <t>Project Control &amp; PM</t>
  </si>
  <si>
    <t>Hatch Engineering &amp; FEA</t>
  </si>
  <si>
    <t>Design &amp; CFD Analysis</t>
  </si>
  <si>
    <t>Hull Fabrication &amp; Assembly</t>
  </si>
  <si>
    <t>Hull Welding &amp; Assembly</t>
  </si>
  <si>
    <t>Pontoon Assembly &amp; Painting</t>
  </si>
  <si>
    <t>Molding &amp; Testing</t>
  </si>
  <si>
    <t>Steel Fabrication</t>
  </si>
  <si>
    <t>Material Procurement</t>
  </si>
  <si>
    <t>Outfitting &amp; Integration</t>
  </si>
  <si>
    <t>Sea Trials &amp; Handover</t>
  </si>
  <si>
    <t>WBS</t>
  </si>
  <si>
    <t>Start Date</t>
  </si>
  <si>
    <t>End Date</t>
  </si>
  <si>
    <t>Duration (Days)</t>
  </si>
  <si>
    <t>Critical?</t>
  </si>
  <si>
    <t>Yes</t>
  </si>
  <si>
    <t>💼 CFO PROFITABILITY &amp; COST SHARE AUDIT</t>
  </si>
  <si>
    <t>Cost-Share Breakdown</t>
  </si>
  <si>
    <t>Category</t>
  </si>
  <si>
    <t>Actual Cost (USD)</t>
  </si>
  <si>
    <t>Share %</t>
  </si>
  <si>
    <t>Labor Costs</t>
  </si>
  <si>
    <t>Material &amp; Procurement Costs</t>
  </si>
  <si>
    <t>TOTAL ACTUAL COST</t>
  </si>
  <si>
    <t>Resource Burn Rates</t>
  </si>
  <si>
    <t>Resource Name</t>
  </si>
  <si>
    <t>Role</t>
  </si>
  <si>
    <t>Hourly Rate (USD)</t>
  </si>
  <si>
    <t>Hours Logged</t>
  </si>
  <si>
    <t>Total Cost Logged (USD)</t>
  </si>
  <si>
    <t>Structural Welder</t>
  </si>
  <si>
    <t>Senior Design Engineer</t>
  </si>
  <si>
    <t>Lars Olsen</t>
  </si>
  <si>
    <t>Marine Electrician</t>
  </si>
  <si>
    <t>Project Controller</t>
  </si>
  <si>
    <t>🚨 CONTRACT, RISK &amp; ANOMALY AUDIT</t>
  </si>
  <si>
    <t>Overtime Audits (&gt;45 Hours/Week)</t>
  </si>
  <si>
    <t>2026-19</t>
  </si>
  <si>
    <t>2026-13</t>
  </si>
  <si>
    <t>2026-11</t>
  </si>
  <si>
    <t>2026-08</t>
  </si>
  <si>
    <t>2025-46</t>
  </si>
  <si>
    <t>2025-42</t>
  </si>
  <si>
    <t>Large Procurement Audits (&gt;$50,000)</t>
  </si>
  <si>
    <t>Purchase Date</t>
  </si>
  <si>
    <t>Invoice Number</t>
  </si>
  <si>
    <t>Description</t>
  </si>
  <si>
    <t>Cost (USD)</t>
  </si>
  <si>
    <t>MAT-6001</t>
  </si>
  <si>
    <t>Composite Cutting Fiber</t>
  </si>
  <si>
    <t>INV-001</t>
  </si>
  <si>
    <t>Structural Composite Carbon Sheets</t>
  </si>
  <si>
    <t>MAT-5001</t>
  </si>
  <si>
    <t>Paint &amp; Marine Alloy Plates</t>
  </si>
  <si>
    <t>MAT-4001</t>
  </si>
  <si>
    <t>Consumables &amp; Steel Plates</t>
  </si>
  <si>
    <t>INV-007</t>
  </si>
  <si>
    <t>Twin Electric Inboard Engines</t>
  </si>
  <si>
    <t>Active RAID Log Register</t>
  </si>
  <si>
    <t>RAID ID</t>
  </si>
  <si>
    <t>Impact</t>
  </si>
  <si>
    <t>Probability</t>
  </si>
  <si>
    <t>Mitigation Strategy</t>
  </si>
  <si>
    <t>Owner</t>
  </si>
  <si>
    <t>R-001</t>
  </si>
  <si>
    <t>Risk</t>
  </si>
  <si>
    <t>Delay in composite carbon sheet deliveries from overseas supplier</t>
  </si>
  <si>
    <t>High</t>
  </si>
  <si>
    <t>Medium</t>
  </si>
  <si>
    <t>Pre-order early or source alternative local supplier</t>
  </si>
  <si>
    <t>Active</t>
  </si>
  <si>
    <t>I-001</t>
  </si>
  <si>
    <t>Issue</t>
  </si>
  <si>
    <t>Astrid Nilsen welder overtime limit breached due to recovery fabrication schedule</t>
  </si>
  <si>
    <t>Allocate junior welder to assist with low-priority tasks</t>
  </si>
  <si>
    <t>D-001</t>
  </si>
  <si>
    <t>Dependency</t>
  </si>
  <si>
    <t>Sea trials (WBS 4.0) depend on DNV safety and compliance certification approval</t>
  </si>
  <si>
    <t>Submit compliance paperwork 2 weeks in advance of handover date</t>
  </si>
  <si>
    <t>🎛️ WHAT-IF CORRECTIVE ACTION &amp; CRASH SIMULATOR</t>
  </si>
  <si>
    <t>Simulator Inputs (Editable)</t>
  </si>
  <si>
    <t>Simulated Labor Rate Savings (%)</t>
  </si>
  <si>
    <t>Simulated Material Price Savings (%)</t>
  </si>
  <si>
    <t>Contract Delay Penalty (USD/Day)</t>
  </si>
  <si>
    <t>Crash Schedule? (0=No, 5=Crash 5 Days, 10=Crash 10 Days)</t>
  </si>
  <si>
    <t>Simulation Results (Calculated)</t>
  </si>
  <si>
    <t>Current Baseline BAC (USD)</t>
  </si>
  <si>
    <t>Current Actual Cost AC (USD)</t>
  </si>
  <si>
    <t>Current Earned Value EV (USD)</t>
  </si>
  <si>
    <t>Simulated Actual Cost (AC) USD</t>
  </si>
  <si>
    <t>Simulated CPI</t>
  </si>
  <si>
    <t>Simulated Estimate At Completion (EAC) USD</t>
  </si>
  <si>
    <t>Simulated Schedule Delay (Days)</t>
  </si>
  <si>
    <t>Simulated Liquidated Damages Penalty (USD)</t>
  </si>
  <si>
    <t>Direct Schedule Crashing Cost (USD)</t>
  </si>
  <si>
    <t>Net Crashing Trade-off Benefit (USD)</t>
  </si>
  <si>
    <t>SOURCE DATA TABLES</t>
  </si>
  <si>
    <t>Attached CSV files imported as structured tables for refreshable formulas</t>
  </si>
  <si>
    <t>Projects</t>
  </si>
  <si>
    <t>ProjectID</t>
  </si>
  <si>
    <t>ProjectName</t>
  </si>
  <si>
    <t>ProjectManager</t>
  </si>
  <si>
    <t>BudgetAtCompletion_BAC</t>
  </si>
  <si>
    <t>StartDate</t>
  </si>
  <si>
    <t>EndDate</t>
  </si>
  <si>
    <t>Completed</t>
  </si>
  <si>
    <t>Planned</t>
  </si>
  <si>
    <t>WBS_ID</t>
  </si>
  <si>
    <t>WBS_Code</t>
  </si>
  <si>
    <t>PlannedCost</t>
  </si>
  <si>
    <t>PlannedHours</t>
  </si>
  <si>
    <t>WBS-001</t>
  </si>
  <si>
    <t>WBS-002</t>
  </si>
  <si>
    <t>WBS-003</t>
  </si>
  <si>
    <t>WBS-004</t>
  </si>
  <si>
    <t>WBS-005</t>
  </si>
  <si>
    <t>WBS-006</t>
  </si>
  <si>
    <t>WBS-007</t>
  </si>
  <si>
    <t>WBS-008</t>
  </si>
  <si>
    <t>WBS-009</t>
  </si>
  <si>
    <t>Deck Assembly</t>
  </si>
  <si>
    <t>WBS-010</t>
  </si>
  <si>
    <t>WBS-011</t>
  </si>
  <si>
    <t>WBS-012</t>
  </si>
  <si>
    <t>WBS-013</t>
  </si>
  <si>
    <t>WBS-014</t>
  </si>
  <si>
    <t>WBS-015</t>
  </si>
  <si>
    <t>ProgressID</t>
  </si>
  <si>
    <t>RecordDate</t>
  </si>
  <si>
    <t>PercentComplete</t>
  </si>
  <si>
    <t>ReportedBy</t>
  </si>
  <si>
    <t>PRG-0001</t>
  </si>
  <si>
    <t>PRG-0002</t>
  </si>
  <si>
    <t>PRG-0003</t>
  </si>
  <si>
    <t>PRG-0004</t>
  </si>
  <si>
    <t>PRG-0005</t>
  </si>
  <si>
    <t>PRG-0006</t>
  </si>
  <si>
    <t>PRG-0007</t>
  </si>
  <si>
    <t>PRG-0008</t>
  </si>
  <si>
    <t>PRG-0009</t>
  </si>
  <si>
    <t>PRG-0010</t>
  </si>
  <si>
    <t>PRG-0011</t>
  </si>
  <si>
    <t>PRG-0012</t>
  </si>
  <si>
    <t>PRG-0013</t>
  </si>
  <si>
    <t>PRG-0014</t>
  </si>
  <si>
    <t>PRG-0015</t>
  </si>
  <si>
    <t>PRG-0016</t>
  </si>
  <si>
    <t>PRG-0017</t>
  </si>
  <si>
    <t>PRG-0018</t>
  </si>
  <si>
    <t>PRG-0019</t>
  </si>
  <si>
    <t>PRG-0020</t>
  </si>
  <si>
    <t>PRG-0021</t>
  </si>
  <si>
    <t>PRG-0022</t>
  </si>
  <si>
    <t>PRG-0023</t>
  </si>
  <si>
    <t>PRG-0024</t>
  </si>
  <si>
    <t>PRG-0025</t>
  </si>
  <si>
    <t>PRG-0026</t>
  </si>
  <si>
    <t>PRG-0027</t>
  </si>
  <si>
    <t>PRG-0028</t>
  </si>
  <si>
    <t>PRG-0029</t>
  </si>
  <si>
    <t>PRG-0030</t>
  </si>
  <si>
    <t>PRG-0031</t>
  </si>
  <si>
    <t>PRG-0032</t>
  </si>
  <si>
    <t>PRG-0033</t>
  </si>
  <si>
    <t>PRG-0034</t>
  </si>
  <si>
    <t>PRG-0035</t>
  </si>
  <si>
    <t>PRG-0036</t>
  </si>
  <si>
    <t>PRG-0037</t>
  </si>
  <si>
    <t>PRG-0038</t>
  </si>
  <si>
    <t>PRG-0039</t>
  </si>
  <si>
    <t>PRG-0040</t>
  </si>
  <si>
    <t>PRG-0041</t>
  </si>
  <si>
    <t>PRG-0042</t>
  </si>
  <si>
    <t>PRG-0043</t>
  </si>
  <si>
    <t>PRG-0044</t>
  </si>
  <si>
    <t>PRG-0045</t>
  </si>
  <si>
    <t>PRG-0046</t>
  </si>
  <si>
    <t>PRG-0047</t>
  </si>
  <si>
    <t>PRG-0048</t>
  </si>
  <si>
    <t>PRG-0049</t>
  </si>
  <si>
    <t>PRG-0050</t>
  </si>
  <si>
    <t>PRG-0051</t>
  </si>
  <si>
    <t>PRG-0052</t>
  </si>
  <si>
    <t>PRG-0053</t>
  </si>
  <si>
    <t>PRG-0054</t>
  </si>
  <si>
    <t>PRG-0055</t>
  </si>
  <si>
    <t>PRG-0056</t>
  </si>
  <si>
    <t>PRG-0057</t>
  </si>
  <si>
    <t>Resources</t>
  </si>
  <si>
    <t>ResourceID</t>
  </si>
  <si>
    <t>ResourceName</t>
  </si>
  <si>
    <t>HourlyRate</t>
  </si>
  <si>
    <t>RES-001</t>
  </si>
  <si>
    <t>RES-002</t>
  </si>
  <si>
    <t>RES-003</t>
  </si>
  <si>
    <t>RES-004</t>
  </si>
  <si>
    <t>RES-005</t>
  </si>
  <si>
    <t>Timesheets</t>
  </si>
  <si>
    <t>TimesheetID</t>
  </si>
  <si>
    <t>WorkDate</t>
  </si>
  <si>
    <t>HoursWorked</t>
  </si>
  <si>
    <t>ApprovalStatus</t>
  </si>
  <si>
    <t>TS-0001</t>
  </si>
  <si>
    <t>Approved</t>
  </si>
  <si>
    <t>TS-0002</t>
  </si>
  <si>
    <t>TS-0003</t>
  </si>
  <si>
    <t>TS-0004</t>
  </si>
  <si>
    <t>TS-0005</t>
  </si>
  <si>
    <t>TS-0006</t>
  </si>
  <si>
    <t>TS-0007</t>
  </si>
  <si>
    <t>TS-0008</t>
  </si>
  <si>
    <t>TS-0009</t>
  </si>
  <si>
    <t>TS-0010</t>
  </si>
  <si>
    <t>TS-0011</t>
  </si>
  <si>
    <t>TS-0012</t>
  </si>
  <si>
    <t>TS-0013</t>
  </si>
  <si>
    <t>TS-0014</t>
  </si>
  <si>
    <t>TS-0015</t>
  </si>
  <si>
    <t>TS-0016</t>
  </si>
  <si>
    <t>TS-0017</t>
  </si>
  <si>
    <t>TS-0018</t>
  </si>
  <si>
    <t>TS-0019</t>
  </si>
  <si>
    <t>TS-0020</t>
  </si>
  <si>
    <t>TS-0021</t>
  </si>
  <si>
    <t>TS-0022</t>
  </si>
  <si>
    <t>TS-0023</t>
  </si>
  <si>
    <t>TS-0024</t>
  </si>
  <si>
    <t>TS-0025</t>
  </si>
  <si>
    <t>TS-0026</t>
  </si>
  <si>
    <t>TS-B001</t>
  </si>
  <si>
    <t>TS-B002</t>
  </si>
  <si>
    <t>TS-B003</t>
  </si>
  <si>
    <t>TS-B004</t>
  </si>
  <si>
    <t>TS-B005</t>
  </si>
  <si>
    <t>TS-B006</t>
  </si>
  <si>
    <t>TS-B007</t>
  </si>
  <si>
    <t>TS-B008</t>
  </si>
  <si>
    <t>TS-B009</t>
  </si>
  <si>
    <t>TS-B010</t>
  </si>
  <si>
    <t>TS-B011</t>
  </si>
  <si>
    <t>TS-B012</t>
  </si>
  <si>
    <t>TS-B013</t>
  </si>
  <si>
    <t>TS-B014</t>
  </si>
  <si>
    <t>TS-B015</t>
  </si>
  <si>
    <t>TS-B016</t>
  </si>
  <si>
    <t>TS-B017</t>
  </si>
  <si>
    <t>TS-B018</t>
  </si>
  <si>
    <t>Materials</t>
  </si>
  <si>
    <t>PurchaseID</t>
  </si>
  <si>
    <t>PurchaseDate</t>
  </si>
  <si>
    <t>Quantity</t>
  </si>
  <si>
    <t>UnitPrice</t>
  </si>
  <si>
    <t>TotalActualCost</t>
  </si>
  <si>
    <t>INV-002</t>
  </si>
  <si>
    <t>Epoxy Resin Infusion Kit</t>
  </si>
  <si>
    <t>INV-003</t>
  </si>
  <si>
    <t>Steel Support Beam Frames</t>
  </si>
  <si>
    <t>INV-004</t>
  </si>
  <si>
    <t>Additional Epoxies (Overrun material)</t>
  </si>
  <si>
    <t>INV-005</t>
  </si>
  <si>
    <t>Marine Cabin Electrical Wiring</t>
  </si>
  <si>
    <t>INV-006</t>
  </si>
  <si>
    <t>Cabin Interior Composite Panels</t>
  </si>
  <si>
    <t>MAT-3001</t>
  </si>
  <si>
    <t>Cable Frame Steel Kits</t>
  </si>
  <si>
    <t>MAT-5002</t>
  </si>
  <si>
    <t>Pontoon Brackets</t>
  </si>
  <si>
    <t>MAT-6002</t>
  </si>
  <si>
    <t>Mold Release and Vacuum Bagging</t>
  </si>
  <si>
    <t>MAT-6003</t>
  </si>
  <si>
    <t>Rework Material</t>
  </si>
  <si>
    <t>RAID</t>
  </si>
  <si>
    <t>RiskID</t>
  </si>
  <si>
    <t>Type</t>
  </si>
  <si>
    <t>MitigationStrategy</t>
  </si>
  <si>
    <t>A-001</t>
  </si>
  <si>
    <t>Assumption</t>
  </si>
  <si>
    <t>Subcontractor electrician rates remain fixed under contract</t>
  </si>
  <si>
    <t>Low</t>
  </si>
  <si>
    <t>Keep signed SLA agreements as references</t>
  </si>
  <si>
    <t>Closed</t>
  </si>
  <si>
    <t>EVM CALCULATION MODEL</t>
  </si>
  <si>
    <t>Live formulas calculate AC, EV, CPI, EAC and statuses from Source Data tables</t>
  </si>
  <si>
    <t>Element Name</t>
  </si>
  <si>
    <t>Manager</t>
  </si>
  <si>
    <t>BAC</t>
  </si>
  <si>
    <t>Latest Progress</t>
  </si>
  <si>
    <t>Labor Cost</t>
  </si>
  <si>
    <t>Material Cost</t>
  </si>
  <si>
    <t>AC</t>
  </si>
  <si>
    <t>EV</t>
  </si>
  <si>
    <t>EAC Typical</t>
  </si>
  <si>
    <t>Relational EVM &amp; Analytical Controller Dashboard | PRINCE2 Compliance | Refreshed from 8 CSV sources</t>
  </si>
  <si>
    <t>Metric</t>
  </si>
  <si>
    <t>Value</t>
  </si>
  <si>
    <t>Signal</t>
  </si>
  <si>
    <t>Active RAID</t>
  </si>
  <si>
    <t>Open risk exposure</t>
  </si>
  <si>
    <t>Risk Audit</t>
  </si>
  <si>
    <t>Overtime Events</t>
  </si>
  <si>
    <t>Capacity anomaly</t>
  </si>
  <si>
    <t>Large Purchases</t>
  </si>
  <si>
    <t>Procurement control</t>
  </si>
  <si>
    <t>Labor Share</t>
  </si>
  <si>
    <t>Cost mix</t>
  </si>
  <si>
    <t>CFO</t>
  </si>
  <si>
    <t>Material Share</t>
  </si>
  <si>
    <t>Worst Project CPI</t>
  </si>
  <si>
    <t>Cost pressure</t>
  </si>
  <si>
    <t>Executive</t>
  </si>
  <si>
    <t>📅 PORTFOLIO GANTT &amp; SCHEDULE</t>
  </si>
  <si>
    <t>Project start/end dates from projects.csv with month-level timeline</t>
  </si>
  <si>
    <t>Project / Task</t>
  </si>
  <si>
    <t>Patrol Vessel Carbon Mold Design</t>
  </si>
  <si>
    <t>No</t>
  </si>
  <si>
    <t>Subsea Cable Installation Frame</t>
  </si>
  <si>
    <t>Autonomous Workboat Hull Weldments</t>
  </si>
  <si>
    <t>Defense Logistics Pontoon Build</t>
  </si>
  <si>
    <t>Lightweight Composite Cargo Hatch</t>
  </si>
  <si>
    <t>Resource and material allocations, burn rates, and cost-share indicators</t>
  </si>
  <si>
    <t>Weekly overtime limits, high-value invoices, and active RAID registry</t>
  </si>
  <si>
    <t>Edit yellow input cells to simulate corrective actions, rate savings, and schedule crashing</t>
  </si>
  <si>
    <t>Project Control Tower Refresh</t>
  </si>
  <si>
    <t>Executive EVM dashboard rebuilt from attached CSV source files</t>
  </si>
  <si>
    <t>Contents</t>
  </si>
  <si>
    <t>Control Tower Dashboard</t>
  </si>
  <si>
    <t>Executive portfolio KPIs, project/WBS breakdowns, and charts</t>
  </si>
  <si>
    <t>EVM Data</t>
  </si>
  <si>
    <t>Live calculation model using structured source tables</t>
  </si>
  <si>
    <t>Schedule &amp; Gantt</t>
  </si>
  <si>
    <t>Project schedule and month-level Gantt view</t>
  </si>
  <si>
    <t>CFO &amp; Cost Share Audit</t>
  </si>
  <si>
    <t>Cost-share and resource burn-rate audit</t>
  </si>
  <si>
    <t>Contract &amp; RAID Risk Audit</t>
  </si>
  <si>
    <t>Overtime, procurement, and RAID exception audit</t>
  </si>
  <si>
    <t>Interactive Simulator</t>
  </si>
  <si>
    <t>Editable what-if corrective action and crash simulator</t>
  </si>
  <si>
    <t>Source Data</t>
  </si>
  <si>
    <t>Imported CSV source tables</t>
  </si>
  <si>
    <t>LatestProgress</t>
  </si>
  <si>
    <t>LaborCost</t>
  </si>
  <si>
    <t>MaterialCost</t>
  </si>
  <si>
    <t>0.875</t>
  </si>
  <si>
    <t>560000</t>
  </si>
  <si>
    <t>180000</t>
  </si>
  <si>
    <t>CHRIS CROFT 12-STEP PROJECT METHOD</t>
  </si>
  <si>
    <t>Integrated operating checklist from Twelve Steps.pdf and PM-Simplified.md</t>
  </si>
  <si>
    <t>Story-in-Brief</t>
  </si>
  <si>
    <t>The workbook now connects the control-tower metrics to Chris Croft’s practical 12-step project method: define scope, build the task plan, add contingency, control schedule/resources/risks, monitor Gantt and cost, then re-plan and review. For this portfolio, the strongest alignment is EVM cost monitoring and RAID control; the main watch area is resource leveling because overtime events are already visible in the audit sheet.</t>
  </si>
  <si>
    <t>Step</t>
  </si>
  <si>
    <t>Croft Step</t>
  </si>
  <si>
    <t>Controller Interpretation</t>
  </si>
  <si>
    <t>Workbook Evidence</t>
  </si>
  <si>
    <t>Primary KPI</t>
  </si>
  <si>
    <t>Current Integration Note</t>
  </si>
  <si>
    <t>Define the project</t>
  </si>
  <si>
    <t>Confirm objectives, success criteria, scope, and cost/time/quality priority.</t>
  </si>
  <si>
    <t>Projects table + dashboard narrative</t>
  </si>
  <si>
    <t>BAC, Status, Manager</t>
  </si>
  <si>
    <t>Needs explicit success criteria per project.</t>
  </si>
  <si>
    <t>List the tasks</t>
  </si>
  <si>
    <t>Build a complete WBS with no omissions and no overlaps.</t>
  </si>
  <si>
    <t>WBS_Performance table</t>
  </si>
  <si>
    <t>WBS_ID, PlannedCost</t>
  </si>
  <si>
    <t>Implemented via 14 WBS elements.</t>
  </si>
  <si>
    <t>Plan the running order</t>
  </si>
  <si>
    <t>Sequence activities and identify dependencies before committing dates.</t>
  </si>
  <si>
    <t>Start/End dates</t>
  </si>
  <si>
    <t>Add predecessor logic for full CPM.</t>
  </si>
  <si>
    <t>Add contingency</t>
  </si>
  <si>
    <t>Reserve budget/time for uncertainty and known risk exposure.</t>
  </si>
  <si>
    <t>RAID + simulator</t>
  </si>
  <si>
    <t>Active RAID count</t>
  </si>
  <si>
    <t>Add quantified risk reserve if needed.</t>
  </si>
  <si>
    <t>Consider crashing</t>
  </si>
  <si>
    <t>Evaluate extra cost to shorten critical-path activities.</t>
  </si>
  <si>
    <t>Crash days, penalty, benefit</t>
  </si>
  <si>
    <t>Implemented as editable what-if.</t>
  </si>
  <si>
    <t>Make a Gantt chart</t>
  </si>
  <si>
    <t>Show who does what when, including critical activities.</t>
  </si>
  <si>
    <t>Duration, timeline marks</t>
  </si>
  <si>
    <t>Month-level view included.</t>
  </si>
  <si>
    <t>Calculate resource requirements</t>
  </si>
  <si>
    <t>Compare planned capacity against actual hours and bottlenecks.</t>
  </si>
  <si>
    <t>CFO + Risk Audit</t>
  </si>
  <si>
    <t>Hours, overtime events</t>
  </si>
  <si>
    <t>Overtime audit flags 8 events.</t>
  </si>
  <si>
    <t>Assess risks and action plans</t>
  </si>
  <si>
    <t>Maintain RAID log with probability, impact, mitigation, owner, status.</t>
  </si>
  <si>
    <t>Active RAID, owner</t>
  </si>
  <si>
    <t>3 active RAID items visible.</t>
  </si>
  <si>
    <t>Monitor progress using Gantt</t>
  </si>
  <si>
    <t>Track physical progress and schedule movement.</t>
  </si>
  <si>
    <t>EVM Data + Gantt</t>
  </si>
  <si>
    <t>Progress %</t>
  </si>
  <si>
    <t>Physical progress drives EV.</t>
  </si>
  <si>
    <t>Monitor costs</t>
  </si>
  <si>
    <t>Compare AC, EV, BAC and calculate CPI/EAC.</t>
  </si>
  <si>
    <t>Control Tower + EVM Data</t>
  </si>
  <si>
    <t>AC, EV, CPI, EAC</t>
  </si>
  <si>
    <t>Portfolio CPI is 0.91.</t>
  </si>
  <si>
    <t>Readjust the plan</t>
  </si>
  <si>
    <t>Use cost/schedule signals to trigger corrective action and reforecasting.</t>
  </si>
  <si>
    <t>Simulator + dashboard</t>
  </si>
  <si>
    <t>Simulated CPI/EAC</t>
  </si>
  <si>
    <t>Use when CPI &lt; 1 or overtime persists.</t>
  </si>
  <si>
    <t>Review</t>
  </si>
  <si>
    <t>Capture lessons learned after delivery and feed estimates back into future projects.</t>
  </si>
  <si>
    <t>Controller Playbook</t>
  </si>
  <si>
    <t>Review cadence</t>
  </si>
  <si>
    <t>Add post-project lessons log if needed.</t>
  </si>
  <si>
    <t>Portfolio Alignment Snapshot</t>
  </si>
  <si>
    <t>Control Area</t>
  </si>
  <si>
    <t>Current Workbook Signal</t>
  </si>
  <si>
    <t>Interpretation</t>
  </si>
  <si>
    <t>Action Trigger</t>
  </si>
  <si>
    <t>Cost control</t>
  </si>
  <si>
    <t>CPI below 1.00 shows cost inefficiency.</t>
  </si>
  <si>
    <t>Investigate WBS CPI &lt; 0.90.</t>
  </si>
  <si>
    <t>EV/BAC shows portfolio physical progress.</t>
  </si>
  <si>
    <t>Review if progress stalls while AC rises.</t>
  </si>
  <si>
    <t>Resource pressure</t>
  </si>
  <si>
    <t>Weekly overtime events indicate resource overload.</t>
  </si>
  <si>
    <t>Level resources or re-sequence work.</t>
  </si>
  <si>
    <t>Risk exposure</t>
  </si>
  <si>
    <t>Active RAID items need mitigation ownership.</t>
  </si>
  <si>
    <t>Escalate high-impact active items.</t>
  </si>
  <si>
    <t>Corrective action</t>
  </si>
  <si>
    <t>Simulated CPI after savings/crash choices.</t>
  </si>
  <si>
    <t>Run scenario before committing changes.</t>
  </si>
  <si>
    <t>PROJECT CONTROLLER PLAYBOOK</t>
  </si>
  <si>
    <t>Role, cadence, KPI definitions, and decision rules from PM-Simplified.md</t>
  </si>
  <si>
    <t>Operating Thesis</t>
  </si>
  <si>
    <t>The controller translates project activity into decision-grade financial insight: EVM indices, EAC/ETC forecasting, resource burn, risk exposure, and scenario analysis. In the workbook, the controller should use the dashboard as the executive view, EVM Data as the calculation ledger, Risk Audit for exceptions, and the Simulator for corrective-action tradeoffs.</t>
  </si>
  <si>
    <t>Cadence</t>
  </si>
  <si>
    <t>Controller Activity</t>
  </si>
  <si>
    <t>Workbook Location</t>
  </si>
  <si>
    <t>Decision / Output</t>
  </si>
  <si>
    <t>Escalation Rule</t>
  </si>
  <si>
    <t>Weekly</t>
  </si>
  <si>
    <t>Review overtime and capacity pressure</t>
  </si>
  <si>
    <t>Resource leveling recommendation</t>
  </si>
  <si>
    <t>Any resource &gt;45h/week.</t>
  </si>
  <si>
    <t>Update physical progress evidence</t>
  </si>
  <si>
    <t>EVM Data / Source Data</t>
  </si>
  <si>
    <t>EV refresh and progress trend</t>
  </si>
  <si>
    <t>Progress unchanged while cost increases.</t>
  </si>
  <si>
    <t>Monthly</t>
  </si>
  <si>
    <t>Close AC and material costs</t>
  </si>
  <si>
    <t>Cost-share and burn-rate update</t>
  </si>
  <si>
    <t>Actual cost variance &gt;5%.</t>
  </si>
  <si>
    <t>Reforecast EAC/ETC</t>
  </si>
  <si>
    <t>Revised forecast and commentary</t>
  </si>
  <si>
    <t>CPI &lt;0.95 or EAC &gt; BAC.</t>
  </si>
  <si>
    <t>Stage gate</t>
  </si>
  <si>
    <t>Present cost/schedule/risk pack</t>
  </si>
  <si>
    <t>Go / hold / re-plan recommendation</t>
  </si>
  <si>
    <t>Red project status or high RAID.</t>
  </si>
  <si>
    <t>Closeout</t>
  </si>
  <si>
    <t>Capture lessons learned</t>
  </si>
  <si>
    <t>Methodology Guide</t>
  </si>
  <si>
    <t>Estimate calibration notes</t>
  </si>
  <si>
    <t>Mandatory for completed projects.</t>
  </si>
  <si>
    <t>KPI Definitions and Workbook Formula Logic</t>
  </si>
  <si>
    <t>KPI</t>
  </si>
  <si>
    <t>Definition</t>
  </si>
  <si>
    <t>Workbook Formula Pattern</t>
  </si>
  <si>
    <t>Management Meaning</t>
  </si>
  <si>
    <t>Actual cost incurred.</t>
  </si>
  <si>
    <t>Labor Cost + Material Cost</t>
  </si>
  <si>
    <t>What has been spent.</t>
  </si>
  <si>
    <t>Earned value from physical progress.</t>
  </si>
  <si>
    <t>BAC * Latest Progress</t>
  </si>
  <si>
    <t>Value of work earned.</t>
  </si>
  <si>
    <t>Cost Performance Index.</t>
  </si>
  <si>
    <t>EV / AC</t>
  </si>
  <si>
    <t>&lt;1.00 means over-spend vs earned work.</t>
  </si>
  <si>
    <t>Forecast final cost using cost efficiency.</t>
  </si>
  <si>
    <t>BAC / CPI</t>
  </si>
  <si>
    <t>Expected final cost if current efficiency continues.</t>
  </si>
  <si>
    <t>Portfolio physical completion.</t>
  </si>
  <si>
    <t>EV / BAC</t>
  </si>
  <si>
    <t>How much baseline value has been earned.</t>
  </si>
  <si>
    <t>Cost Share</t>
  </si>
  <si>
    <t>Labor/material mix.</t>
  </si>
  <si>
    <t>Category Cost / AC</t>
  </si>
  <si>
    <t>Where cost is being consumed.</t>
  </si>
  <si>
    <t>Role Split</t>
  </si>
  <si>
    <t>Primary Responsibility</t>
  </si>
  <si>
    <t>Workbook Usage</t>
  </si>
  <si>
    <t>Own scope, delivery, stakeholder decisions, and corrective action.</t>
  </si>
  <si>
    <t>Reads dashboard signals and approves interventions.</t>
  </si>
  <si>
    <t>Project Support / PMO</t>
  </si>
  <si>
    <t>Maintain process, meeting records, data collection, and reporting cadence.</t>
  </si>
  <si>
    <t>Keeps source data complete and timely.</t>
  </si>
  <si>
    <t>Analyze cost, schedule, EVM, forecasts, risks, and scenarios.</t>
  </si>
  <si>
    <t>Maintains EVM model and explains financial impact.</t>
  </si>
  <si>
    <t>PROJECT CONTROLLING DATA MODEL MAP</t>
  </si>
  <si>
    <t>ERD-driven source-table relationships and integrity rules from datamodel_erd.md</t>
  </si>
  <si>
    <t>Relational Model Summary</t>
  </si>
  <si>
    <t>Entity / Table</t>
  </si>
  <si>
    <t>Primary Key</t>
  </si>
  <si>
    <t>Key Foreign Keys</t>
  </si>
  <si>
    <t>Purpose</t>
  </si>
  <si>
    <t>—</t>
  </si>
  <si>
    <t>Project master, manager, BAC, dates, status</t>
  </si>
  <si>
    <t>Source Data / Project_Summary</t>
  </si>
  <si>
    <t>WBS_ELEMENTS</t>
  </si>
  <si>
    <t>Work package budget and planned hours</t>
  </si>
  <si>
    <t>Source Data / WBS_Performance</t>
  </si>
  <si>
    <t>People/roles/rates</t>
  </si>
  <si>
    <t>Source Data / CFO Audit</t>
  </si>
  <si>
    <t>Resource_Assignments</t>
  </si>
  <si>
    <t>AssignmentID</t>
  </si>
  <si>
    <t>WBS_ID, ResourceID</t>
  </si>
  <si>
    <t>Planned resource allocation</t>
  </si>
  <si>
    <t>Actual labor hours</t>
  </si>
  <si>
    <t>Source Data / WBS_Source_Summary</t>
  </si>
  <si>
    <t>Material_Costs</t>
  </si>
  <si>
    <t>Actual material/procurement cost</t>
  </si>
  <si>
    <t>Source Data / Risk Audit</t>
  </si>
  <si>
    <t>Physical_Progress</t>
  </si>
  <si>
    <t>Physical completion records driving EV</t>
  </si>
  <si>
    <t>Source Data / EVM Data</t>
  </si>
  <si>
    <t>RAID_Log</t>
  </si>
  <si>
    <t>Risks, assumptions, issues, dependencies</t>
  </si>
  <si>
    <t>Integrity Rules</t>
  </si>
  <si>
    <t>Rule</t>
  </si>
  <si>
    <t>Relationship / Logic</t>
  </si>
  <si>
    <t>Workbook Check</t>
  </si>
  <si>
    <t>Projects to WBS</t>
  </si>
  <si>
    <t>1:N; each WBS element belongs to one project.</t>
  </si>
  <si>
    <t>WBS ProjectID must exist in Projects.</t>
  </si>
  <si>
    <t>Resources to timesheets</t>
  </si>
  <si>
    <t>1:N; each timesheet row has a valid resource.</t>
  </si>
  <si>
    <t>Timesheet ResourceID must exist in Resources.</t>
  </si>
  <si>
    <t>WBS to timesheets/materials/progress</t>
  </si>
  <si>
    <t>1:N; actuals and EV attach to WBS.</t>
  </si>
  <si>
    <t>WBS_ID must exist in WBS table.</t>
  </si>
  <si>
    <t>Labor cost</t>
  </si>
  <si>
    <t>Actual Labor Cost = HoursWorked * HourlyRate.</t>
  </si>
  <si>
    <t>WBS_Source_Summary LaborCost reconciles to timesheets.</t>
  </si>
  <si>
    <t>Material cost</t>
  </si>
  <si>
    <t>Actual material cost is summed by WBS.</t>
  </si>
  <si>
    <t>Large purchases &gt; $50k are flagged.</t>
  </si>
  <si>
    <t>Earned value</t>
  </si>
  <si>
    <t>EV = PlannedCost * PercentComplete.</t>
  </si>
  <si>
    <t>WBS_Performance EV column.</t>
  </si>
  <si>
    <t>Project rollup</t>
  </si>
  <si>
    <t>Project AC/EV/CPI sums from WBS rows.</t>
  </si>
  <si>
    <t>Project_Summary table.</t>
  </si>
  <si>
    <t>Workbook Data Flow</t>
  </si>
  <si>
    <t>Layer</t>
  </si>
  <si>
    <t>Tables / Sheets</t>
  </si>
  <si>
    <t>Output</t>
  </si>
  <si>
    <t>Raw source</t>
  </si>
  <si>
    <t>Source Data tables</t>
  </si>
  <si>
    <t>CSV import layer</t>
  </si>
  <si>
    <t>WBS calculation</t>
  </si>
  <si>
    <t>EVM Data!WBS_Performance</t>
  </si>
  <si>
    <t>AC, EV, CPI, EAC by WBS</t>
  </si>
  <si>
    <t>EVM Data!Project_Summary</t>
  </si>
  <si>
    <t>BAC, AC, EV, CPI by project</t>
  </si>
  <si>
    <t>Executive reporting</t>
  </si>
  <si>
    <t>Portfolio KPIs and charts</t>
  </si>
  <si>
    <t>Exception control</t>
  </si>
  <si>
    <t>CFO / Risk Audit sheets</t>
  </si>
  <si>
    <t>Overtime, procurement, RAID, cost share</t>
  </si>
  <si>
    <t>Decision support</t>
  </si>
  <si>
    <t>Corrective-action scenario impact</t>
  </si>
  <si>
    <t>Data Model Map</t>
  </si>
  <si>
    <t>3-STATEMENT MODEL READINESS AUDIT</t>
  </si>
  <si>
    <t>Audit of current project-control workbook against integrated IS / BS / CF model requirements</t>
  </si>
  <si>
    <t>Executive Assessment</t>
  </si>
  <si>
    <t>The current workbook is strong as an EVM/project-control model, but it is not yet a complete 3-statement financial model. It contains cost, earned value, resource, procurement, RAID, and scenario data that can feed parts of an Income Statement and operating forecast; however, it lacks full revenue recognition, Balance Sheet accounts, working-capital schedules, debt/equity schedules, tax/NOL logic, and Cash Flow Statement tie-outs. The readiness status is therefore 'PARTIAL — project-cost model ready, corporate 3-statement model not ready'.</t>
  </si>
  <si>
    <t>Readiness Metric</t>
  </si>
  <si>
    <t>Live Value</t>
  </si>
  <si>
    <t>Portfolio BAC</t>
  </si>
  <si>
    <t>Available as project budget, not revenue.</t>
  </si>
  <si>
    <t>Actual Cost</t>
  </si>
  <si>
    <t>Available as operating/project cost base.</t>
  </si>
  <si>
    <t>Earned Value</t>
  </si>
  <si>
    <t>Available as EVM production value, not GAAP revenue.</t>
  </si>
  <si>
    <t>Portfolio CPI</t>
  </si>
  <si>
    <t>Useful for forecast/EAC stress testing.</t>
  </si>
  <si>
    <t>Useful for revenue/progress recognition proxy only if policy confirmed.</t>
  </si>
  <si>
    <t>Statement Area</t>
  </si>
  <si>
    <t>Required Component</t>
  </si>
  <si>
    <t>Readiness</t>
  </si>
  <si>
    <t>Next Action</t>
  </si>
  <si>
    <t>Income Statement</t>
  </si>
  <si>
    <t>Revenue / Net Sales</t>
  </si>
  <si>
    <t>Missing</t>
  </si>
  <si>
    <t>No customer revenue, contract value, or revenue-recognition policy is in the workbook.</t>
  </si>
  <si>
    <t>Add contract revenue schedule by project and period.</t>
  </si>
  <si>
    <t>COGS / Direct Costs</t>
  </si>
  <si>
    <t>Partial</t>
  </si>
  <si>
    <t>Labor and material costs exist by WBS and project.</t>
  </si>
  <si>
    <t>Map WBS actual/projected cost into cost of revenue.</t>
  </si>
  <si>
    <t>Gross Profit / Margins</t>
  </si>
  <si>
    <t>No revenue line means gross profit and margins cannot be calculated.</t>
  </si>
  <si>
    <t>Add revenue and cost-of-revenue classification.</t>
  </si>
  <si>
    <t>Operating Expenses</t>
  </si>
  <si>
    <t>No SG&amp;A, R&amp;D, overhead, D&amp;A, SBC, or other OpEx categories.</t>
  </si>
  <si>
    <t>Add OpEx assumptions by period.</t>
  </si>
  <si>
    <t>EBIT / EBITDA / Taxes / Net Income</t>
  </si>
  <si>
    <t>No D&amp;A, interest, tax, or income statement closeout.</t>
  </si>
  <si>
    <t>Add D&amp;A, debt/interest, tax/NOL schedules.</t>
  </si>
  <si>
    <t>Balance Sheet</t>
  </si>
  <si>
    <t>Cash</t>
  </si>
  <si>
    <t>Simulator shows cost impact but no formal cash balance.</t>
  </si>
  <si>
    <t>Add opening cash and CF-linked ending cash.</t>
  </si>
  <si>
    <t>Working Capital</t>
  </si>
  <si>
    <t>No AR, inventory, AP, DSO, DIO, DPO schedules.</t>
  </si>
  <si>
    <t>Add WC schedule linked to revenue/COGS.</t>
  </si>
  <si>
    <t>PP&amp;E / D&amp;A</t>
  </si>
  <si>
    <t>No fixed asset roll-forward or depreciation schedule.</t>
  </si>
  <si>
    <t>Add CapEx and depreciation schedule.</t>
  </si>
  <si>
    <t>Debt / Equity</t>
  </si>
  <si>
    <t>No debt balance, interest rate, repayment, equity, retained earnings.</t>
  </si>
  <si>
    <t>Add debt and equity schedules.</t>
  </si>
  <si>
    <t>Cash Flow Statement</t>
  </si>
  <si>
    <t>No net income, non-cash addbacks, or WC movement.</t>
  </si>
  <si>
    <t>Build CFO from IS + WC + D&amp;A.</t>
  </si>
  <si>
    <t>CFI</t>
  </si>
  <si>
    <t>No CapEx or investing activities.</t>
  </si>
  <si>
    <t>Add CapEx assumptions and PP&amp;E linkage.</t>
  </si>
  <si>
    <t>CFF</t>
  </si>
  <si>
    <t>No debt/equity/dividend activity.</t>
  </si>
  <si>
    <t>Add financing schedules.</t>
  </si>
  <si>
    <t>Checks</t>
  </si>
  <si>
    <t>BS Balance</t>
  </si>
  <si>
    <t>No assets/liabilities/equity structure exists.</t>
  </si>
  <si>
    <t>Add Assets - Liabilities - Equity check.</t>
  </si>
  <si>
    <t>Cash Tie-Out</t>
  </si>
  <si>
    <t>No CF ending cash or BS cash.</t>
  </si>
  <si>
    <t>Add CF ending cash = BS cash check.</t>
  </si>
  <si>
    <t>Formula Integrity</t>
  </si>
  <si>
    <t>EVM formulas exist and no visible errors were previously verified.</t>
  </si>
  <si>
    <t>Add statement-specific checks once IS/BS/CF are created.</t>
  </si>
  <si>
    <t>Check</t>
  </si>
  <si>
    <t>Formula / Logic</t>
  </si>
  <si>
    <t>Result</t>
  </si>
  <si>
    <t>Master 3-Statement Readiness Status</t>
  </si>
  <si>
    <t>Formal IS/BS/CF tabs present</t>
  </si>
  <si>
    <t>Income Statement, Balance Sheet, Cash Flow Statement tabs exist</t>
  </si>
  <si>
    <t>Project-control source data present</t>
  </si>
  <si>
    <t>BAC, AC and EV are populated</t>
  </si>
  <si>
    <t>Overall readiness</t>
  </si>
  <si>
    <t>Combines formal statement tabs and source-data availability</t>
  </si>
  <si>
    <t>3-STATEMENT MODEL BLUEPRINT</t>
  </si>
  <si>
    <t>Recommended build path to convert the EVM workbook into an integrated Income Statement / Balance Sheet / Cash Flow model</t>
  </si>
  <si>
    <t>Recommended Tab Architecture</t>
  </si>
  <si>
    <t>Proposed Sheet</t>
  </si>
  <si>
    <t>Primary Inputs</t>
  </si>
  <si>
    <t>Key Outputs</t>
  </si>
  <si>
    <t>Build Priority</t>
  </si>
  <si>
    <t>Assumptions</t>
  </si>
  <si>
    <t>Scenario toggle, fiscal periods, revenue policy, tax rate, working-capital days, CapEx %, debt terms</t>
  </si>
  <si>
    <t>User inputs / management assumptions</t>
  </si>
  <si>
    <t>Drivers for IS/BS/CF</t>
  </si>
  <si>
    <t>Revenue, COGS, OpEx, D&amp;A, EBIT, interest, tax, net income</t>
  </si>
  <si>
    <t>Revenue schedule + WBS costs + assumptions</t>
  </si>
  <si>
    <t>Net Income, EBITDA, margins</t>
  </si>
  <si>
    <t>AR, inventory, AP, DSO/DIO/DPO and ΔNWC</t>
  </si>
  <si>
    <t>Revenue, COGS, WC day assumptions</t>
  </si>
  <si>
    <t>ΔWC for CFO, BS current accounts</t>
  </si>
  <si>
    <t>Gross PP&amp;E, CapEx, accumulated depreciation, net PP&amp;E</t>
  </si>
  <si>
    <t>CapEx %, depreciation life</t>
  </si>
  <si>
    <t>D&amp;A, PP&amp;E net</t>
  </si>
  <si>
    <t>Debt Schedule</t>
  </si>
  <si>
    <t>Debt roll-forward, interest expense, repayments</t>
  </si>
  <si>
    <t>Opening debt, rates, repayments</t>
  </si>
  <si>
    <t>Interest expense, ending debt</t>
  </si>
  <si>
    <t>Assets, liabilities, equity, retained earnings</t>
  </si>
  <si>
    <t>IS + WC + D&amp;A + debt + CF</t>
  </si>
  <si>
    <t>Balanced BS, cash, equity</t>
  </si>
  <si>
    <t>CFO, CFI, CFF, ending cash</t>
  </si>
  <si>
    <t>IS + BS changes + schedules</t>
  </si>
  <si>
    <t>Ending cash and FCF</t>
  </si>
  <si>
    <t>3S Checks</t>
  </si>
  <si>
    <t>BS balance, cash tie-out, NI link, RE roll-forward, formula integrity</t>
  </si>
  <si>
    <t>All model tabs</t>
  </si>
  <si>
    <t>Master check status</t>
  </si>
  <si>
    <t>Current Workbook Data Mapping</t>
  </si>
  <si>
    <t>Existing Workbook Source</t>
  </si>
  <si>
    <t>Can Feed 3S Line Item</t>
  </si>
  <si>
    <t>Limitation / Assumption Needed</t>
  </si>
  <si>
    <t>Suggested Formula Logic</t>
  </si>
  <si>
    <t>Project_Summary[BAC]</t>
  </si>
  <si>
    <t>Backlog / contract budget / project budget</t>
  </si>
  <si>
    <t>Not equivalent to GAAP revenue unless revenue policy is confirmed.</t>
  </si>
  <si>
    <t>Revenue schedule should reference contract value and % complete rules.</t>
  </si>
  <si>
    <t>WBS_Performance[Labor Cost]</t>
  </si>
  <si>
    <t>Direct labor / cost of revenue</t>
  </si>
  <si>
    <t>Need classification between COGS vs SG&amp;A/engineering overhead.</t>
  </si>
  <si>
    <t>Cost of Revenue = classified labor + materials.</t>
  </si>
  <si>
    <t>WBS_Performance[Material Cost]</t>
  </si>
  <si>
    <t>Material COGS / inventory consumption</t>
  </si>
  <si>
    <t>Need inventory vs direct-expense policy.</t>
  </si>
  <si>
    <t>COGS = material usage or purchases depending policy.</t>
  </si>
  <si>
    <t>WBS_Performance[EV]</t>
  </si>
  <si>
    <t>Progress / production value proxy</t>
  </si>
  <si>
    <t>EV is not automatically revenue.</t>
  </si>
  <si>
    <t>Revenue = contract value × recognized progress if policy allows.</t>
  </si>
  <si>
    <t>WBS_Performance[EAC Typical]</t>
  </si>
  <si>
    <t>Forecast project cost</t>
  </si>
  <si>
    <t>Useful for cost forecast but not full financial statement.</t>
  </si>
  <si>
    <t>Forecast COGS = EAC by project/WBS.</t>
  </si>
  <si>
    <t>Weekly_Overtime</t>
  </si>
  <si>
    <t>Labor risk / productivity pressure</t>
  </si>
  <si>
    <t>Does not directly post to financial statements.</t>
  </si>
  <si>
    <t>Use as margin risk driver or contingency flag.</t>
  </si>
  <si>
    <t>Risk reserve / disclosure input</t>
  </si>
  <si>
    <t>Requires quantified probability × impact to affect model.</t>
  </si>
  <si>
    <t>Contingency = SUM(probability × impact).</t>
  </si>
  <si>
    <t>Core 3S Checks to Add After Build</t>
  </si>
  <si>
    <t>Formula Pattern</t>
  </si>
  <si>
    <t>Expected Result</t>
  </si>
  <si>
    <t>Balance Sheet Balance</t>
  </si>
  <si>
    <t>Total Assets - Total Liabilities - Total Equity</t>
  </si>
  <si>
    <t>CF Ending Cash - BS Cash</t>
  </si>
  <si>
    <t>Net Income Link</t>
  </si>
  <si>
    <t>IS Net Income - CF Starting Net Income</t>
  </si>
  <si>
    <t>Retained Earnings</t>
  </si>
  <si>
    <t>Prior RE + Net Income - Dividends - Ending RE</t>
  </si>
  <si>
    <t>Debt Tie-Out</t>
  </si>
  <si>
    <t>Debt Schedule Ending Debt - BS Total Debt</t>
  </si>
  <si>
    <t>Formula Errors</t>
  </si>
  <si>
    <t>COUNT of #REF!, #DIV/0!, #VALUE!, #NAME? across model ranges</t>
  </si>
  <si>
    <t>Formula Color Convention</t>
  </si>
  <si>
    <t>Convention</t>
  </si>
  <si>
    <t>Color</t>
  </si>
  <si>
    <t>Meaning</t>
  </si>
  <si>
    <t>Applied To</t>
  </si>
  <si>
    <t>Blue font</t>
  </si>
  <si>
    <t>#0000FF</t>
  </si>
  <si>
    <t>Hardcoded input</t>
  </si>
  <si>
    <t>Assumptions and historical data</t>
  </si>
  <si>
    <t>Black font</t>
  </si>
  <si>
    <t>#000000</t>
  </si>
  <si>
    <t>Calculation formula</t>
  </si>
  <si>
    <t>Operating calculations</t>
  </si>
  <si>
    <t>Purple font</t>
  </si>
  <si>
    <t>#800080</t>
  </si>
  <si>
    <t>Same-sheet link</t>
  </si>
  <si>
    <t>Line-item references</t>
  </si>
  <si>
    <t>Green font</t>
  </si>
  <si>
    <t>#008000</t>
  </si>
  <si>
    <t>Cross-sheet link</t>
  </si>
  <si>
    <t>Statement and schedule links</t>
  </si>
  <si>
    <t>3S Readiness Audit</t>
  </si>
  <si>
    <t>3-statement readiness and gap assessment</t>
  </si>
  <si>
    <t>3S Model Blueprint</t>
  </si>
  <si>
    <t>Recommended IS/BS/CF build architecture and source mapping</t>
  </si>
  <si>
    <t>Project CFO / Executive Agent Overlay</t>
  </si>
  <si>
    <t>SKILL.md adds an executive-CFO lens on top of the project-control method: profitability first, margin variance thresholds, cash-flow sensitivity, and concise board-level recommendations. In practice, this means the workbook should not stop at CPI/EAC diagnostics — it should translate each cost or schedule signal into margin-at-completion and cash-risk actions for leadership.</t>
  </si>
  <si>
    <t>CFO Directive</t>
  </si>
  <si>
    <t>Rule from SKILL.md</t>
  </si>
  <si>
    <t>Workbook Implementation</t>
  </si>
  <si>
    <t>Primary Location</t>
  </si>
  <si>
    <t>Profitability First</t>
  </si>
  <si>
    <t>Evaluate every cost/schedule movement by its impact on final profit margin.</t>
  </si>
  <si>
    <t>Use EAC, BAC/contract value, and simulated CPI to frame margin-at-completion risk.</t>
  </si>
  <si>
    <t>Control Tower Dashboard + Interactive Simulator</t>
  </si>
  <si>
    <t>Variance Thresholds</t>
  </si>
  <si>
    <t>Flag any project where projected Margin at Completion is &gt;2 percentage points below baseline.</t>
  </si>
  <si>
    <t>Add/maintain margin-at-completion once revenue/contract value is available.</t>
  </si>
  <si>
    <t>3S Model Blueprint + 3S Readiness Audit</t>
  </si>
  <si>
    <t>Cash Flow Sensitivity</t>
  </si>
  <si>
    <t>Compare billing milestones with timesheet/material outlays to avoid negative project cash balances.</t>
  </si>
  <si>
    <t>Current workbook has cost timing but not billing milestones; this is a data gap.</t>
  </si>
  <si>
    <t>CFO &amp; Cost Share Audit + Source Data</t>
  </si>
  <si>
    <t>Strategic Focus</t>
  </si>
  <si>
    <t>Use concise, bulleted recommendations for board/investor summaries.</t>
  </si>
  <si>
    <t>Executive narrative should state action required, owner, and financial consequence.</t>
  </si>
  <si>
    <t>Control Tower Dashboard narrative</t>
  </si>
  <si>
    <t>Live CFO Trigger Snapshot</t>
  </si>
  <si>
    <t>Trigger</t>
  </si>
  <si>
    <t>Live Signal</t>
  </si>
  <si>
    <t>Threshold / Rule</t>
  </si>
  <si>
    <t>Current Status</t>
  </si>
  <si>
    <t>Recommended Executive Action</t>
  </si>
  <si>
    <t>Cost efficiency</t>
  </si>
  <si>
    <t>CPI &lt; 1.00 indicates cost pressure.</t>
  </si>
  <si>
    <t>Action Required: review low-CPI WBS and protect margin.</t>
  </si>
  <si>
    <t>Worst project CPI</t>
  </si>
  <si>
    <t>Project CPI below 0.95 signals margin deterioration risk.</t>
  </si>
  <si>
    <t>Action Required: reforecast EAC and recovery plan.</t>
  </si>
  <si>
    <t>Cash-out mix</t>
  </si>
  <si>
    <t>Labor/material cost concentration drives funding risk.</t>
  </si>
  <si>
    <t>Action Required: compare outlays to billing milestones.</t>
  </si>
  <si>
    <t>Overtime pressure</t>
  </si>
  <si>
    <t>Any overtime event &gt;45h/week is capacity/cost risk.</t>
  </si>
  <si>
    <t>Action Required: level resources or approve recovery cost.</t>
  </si>
  <si>
    <t>Large procurement</t>
  </si>
  <si>
    <t>High early materials can create cash-flow troughs.</t>
  </si>
  <si>
    <t>Action Required: align procurement with milestone billing.</t>
  </si>
  <si>
    <t>Project CFO Agent Operating Rules</t>
  </si>
  <si>
    <t>The controller playbook now includes the Project CFO / Executive Agent rules from SKILL.md. These rules convert project-control analytics into leadership decisions: protect margin, flag &gt;2pp margin deterioration once baseline margin exists, prevent negative project cash balances, and write board-ready action statements.</t>
  </si>
  <si>
    <t>Controller Question</t>
  </si>
  <si>
    <t>Required Workbook Evidence</t>
  </si>
  <si>
    <t>Decision Output</t>
  </si>
  <si>
    <t>Escalation Trigger</t>
  </si>
  <si>
    <t>What is the effect on margin at completion?</t>
  </si>
  <si>
    <t>EAC, contract value/revenue, cost variance</t>
  </si>
  <si>
    <t>Margin recovery recommendation</t>
  </si>
  <si>
    <t>Any EAC increase or CPI below 1.00.</t>
  </si>
  <si>
    <t>&gt;2pp Margin Variance</t>
  </si>
  <si>
    <t>Is projected margin &gt;2 percentage points below baseline?</t>
  </si>
  <si>
    <t>Baseline margin and projected MAC</t>
  </si>
  <si>
    <t>Executive red flag / recovery plan</t>
  </si>
  <si>
    <t>MAC variance &lt; -2pp.</t>
  </si>
  <si>
    <t>Do billing milestones cover timesheet/material outlays?</t>
  </si>
  <si>
    <t>Billing schedule, labor/material cash timing</t>
  </si>
  <si>
    <t>Funding-risk warning</t>
  </si>
  <si>
    <t>Negative project cash balance forecast.</t>
  </si>
  <si>
    <t>What action should leadership take now?</t>
  </si>
  <si>
    <t>Owner, financial impact, mitigation</t>
  </si>
  <si>
    <t>Board-ready bullet recommendation</t>
  </si>
  <si>
    <t>Any red/amber KPI.</t>
  </si>
  <si>
    <t>Board Brief Action Template</t>
  </si>
  <si>
    <t>Board Brief Component</t>
  </si>
  <si>
    <t>Required Wording</t>
  </si>
  <si>
    <t>Workbook Source</t>
  </si>
  <si>
    <t>Example for Current Portfolio</t>
  </si>
  <si>
    <t>Headline</t>
  </si>
  <si>
    <t>Action Required: [decision] due to [financial driver].</t>
  </si>
  <si>
    <t>Dashboard KPI + Risk Audit</t>
  </si>
  <si>
    <t>Action Required: protect margin because portfolio CPI is below 1.00.</t>
  </si>
  <si>
    <t>Financial Impact</t>
  </si>
  <si>
    <t>Quantify AC, EV, EAC, CPI, cash exposure, or margin variance.</t>
  </si>
  <si>
    <t>Control Tower Dashboard / EVM Data</t>
  </si>
  <si>
    <t>AC $5.22M vs EV $4.75M; CPI 0.91.</t>
  </si>
  <si>
    <t>Name the accountable project manager/controller.</t>
  </si>
  <si>
    <t>Project_Summary / RAID owner</t>
  </si>
  <si>
    <t>Owner depends on project/WBS flagged.</t>
  </si>
  <si>
    <t>Recommendation</t>
  </si>
  <si>
    <t>State approve / hold / renegotiate / re-sequence / recover.</t>
  </si>
  <si>
    <t>Simulator + Controller Playbook</t>
  </si>
  <si>
    <t>Run recovery scenario before approving additional spend.</t>
  </si>
  <si>
    <t>Next Review</t>
  </si>
  <si>
    <t>Set date or cadence for reforecast/checkpoint.</t>
  </si>
  <si>
    <t>Controller cadence</t>
  </si>
  <si>
    <t>Review weekly until CPI returns toward 1.00.</t>
  </si>
  <si>
    <t>Chris Croft 12-step method plus Project CFO profitability overlay</t>
  </si>
  <si>
    <t>Controller cadence, KPI definitions, CFO operating rules, and board brief template</t>
  </si>
  <si>
    <t>Modern PM / Controlling Readiness Audit</t>
  </si>
  <si>
    <t>Audit based on glossary.md, modern_pm.md, and PM-Simplified.md: the workbook has a strong EVM cost spine (BAC, AC, EV, CPI, EAC), source-table ERD, RAID log, and executive dashboard. The main modern-PM gaps are PV/SPI/schedule variance, stage-gate metadata, stakeholder-specific reporting slices, revenue/cash-flow/WIP fields, resource capacity baselines, quality KPIs, and quantified risk exposure. These gaps matter because modern project controlling combines EVM, hybrid/stage-gate governance, portfolio dashboards, margin/cash-flow views, and BI-ready data definitions.</t>
  </si>
  <si>
    <t>Modern PM Requirement</t>
  </si>
  <si>
    <t>Evidence in Current Workbook</t>
  </si>
  <si>
    <t>Data Model / Workbook Action</t>
  </si>
  <si>
    <t>EVM core: BAC / AC / EV / CPI</t>
  </si>
  <si>
    <t>Present</t>
  </si>
  <si>
    <t>Dashboard and EVM Data include BAC, AC, EV, CPI and EAC.</t>
  </si>
  <si>
    <t>Retain as core fact layer; add formal PV/SPI.</t>
  </si>
  <si>
    <t>PV / SV / SPI schedule EVM</t>
  </si>
  <si>
    <t>Gap</t>
  </si>
  <si>
    <t>Glossary and modern_pm emphasize PV, SV = EV-PV, SPI = EV/PV. Workbook lacks PV baseline by date.</t>
  </si>
  <si>
    <t>Add planned value curve by WBS/date and SPI in EVM Data.</t>
  </si>
  <si>
    <t>Objective physical progress</t>
  </si>
  <si>
    <t>Physical progress table exists and drives EV, but measurement method/acceptance criteria are not stored.</t>
  </si>
  <si>
    <t>Add progress basis, milestone acceptance, and reported evidence fields.</t>
  </si>
  <si>
    <t>EAC / ETC / VAC / TCPI</t>
  </si>
  <si>
    <t>EAC exists; ETC/VAC/TCPI are not explicit portfolio metrics.</t>
  </si>
  <si>
    <t>Add ETC=EAC-AC, VAC=BAC-EAC, TCPI=(BAC-EV)/(BAC-AC).</t>
  </si>
  <si>
    <t>Hybrid / agile / stage-gate governance</t>
  </si>
  <si>
    <t>Guidance recommends agile within stage-gate for complex projects; workbook has no phase/gate entities.</t>
  </si>
  <si>
    <t>Add Stage, Gate, Decision, Gate Status, Approval Date fields.</t>
  </si>
  <si>
    <t>Portfolio management / PPM</t>
  </si>
  <si>
    <t>Portfolio dashboard compares projects, but prioritization/resource-capacity scoring is missing.</t>
  </si>
  <si>
    <t>Add strategic priority, capacity demand, and portfolio rank.</t>
  </si>
  <si>
    <t>Stakeholder reporting hierarchy</t>
  </si>
  <si>
    <t>Executive dashboard exists; role-specific views for PL/PMO/CFO/team are not formalized.</t>
  </si>
  <si>
    <t>Add stakeholder-to-KPI matrix and report cadence fields.</t>
  </si>
  <si>
    <t>Resource utilization / capacity</t>
  </si>
  <si>
    <t>Timesheets and overtime flags exist; planned availability/capacity baseline is missing.</t>
  </si>
  <si>
    <t>Add weekly capacity per resource and utilization %.</t>
  </si>
  <si>
    <t>Risk reserve / quantified exposure</t>
  </si>
  <si>
    <t>RAID captures probability/impact qualitatively but not monetary exposure.</t>
  </si>
  <si>
    <t>Add probability %, impact cost, exposure, reserve, due date.</t>
  </si>
  <si>
    <t>Margin / revenue / cash-flow / WIP</t>
  </si>
  <si>
    <t>Glossary highlights margin, revenue recognition, cash flow, WIP, DSO; workbook is cost/EVM only.</t>
  </si>
  <si>
    <t>Add contract value, billing milestones, AR/WIP/cash flow fields.</t>
  </si>
  <si>
    <t>Quality / rework KPIs</t>
  </si>
  <si>
    <t>Modern PM expects quality/rework signals; workbook has no defect/rework data.</t>
  </si>
  <si>
    <t>Add defect count, rework cost, acceptance status.</t>
  </si>
  <si>
    <t>Lessons learned / continuous improvement</t>
  </si>
  <si>
    <t>Guidance recommends retrospectives and learning loops; no lessons table exists.</t>
  </si>
  <si>
    <t>Add lessons learned register by project/WBS.</t>
  </si>
  <si>
    <t>KPI / Data Gaps to Close</t>
  </si>
  <si>
    <t>KPI / Field</t>
  </si>
  <si>
    <t>Full Name</t>
  </si>
  <si>
    <t>Formula / Definition</t>
  </si>
  <si>
    <t>Why It Matters</t>
  </si>
  <si>
    <t>PV</t>
  </si>
  <si>
    <t>Planned Value</t>
  </si>
  <si>
    <t>PV = budgeted work scheduled by status date</t>
  </si>
  <si>
    <t>Needed for SV and SPI.</t>
  </si>
  <si>
    <t>SV</t>
  </si>
  <si>
    <t>Schedule Variance</t>
  </si>
  <si>
    <t>SV = EV - PV</t>
  </si>
  <si>
    <t>Needed to distinguish cost pressure from schedule slip.</t>
  </si>
  <si>
    <t>SPI</t>
  </si>
  <si>
    <t>Schedule Performance Index</t>
  </si>
  <si>
    <t>SPI = EV / PV</t>
  </si>
  <si>
    <t>Modern schedule EVM thresholding.</t>
  </si>
  <si>
    <t>ETC</t>
  </si>
  <si>
    <t>Estimate to Complete</t>
  </si>
  <si>
    <t>ETC = EAC - AC</t>
  </si>
  <si>
    <t>Shows remaining funding need.</t>
  </si>
  <si>
    <t>VAC</t>
  </si>
  <si>
    <t>Variance at Completion</t>
  </si>
  <si>
    <t>VAC = BAC - EAC</t>
  </si>
  <si>
    <t>Forecast underrun/overrun at finish.</t>
  </si>
  <si>
    <t>TCPI</t>
  </si>
  <si>
    <t>To-Complete Performance Index</t>
  </si>
  <si>
    <t>TCPI = (BAC - EV) / (BAC - AC)</t>
  </si>
  <si>
    <t>Shows required future efficiency to hit budget.</t>
  </si>
  <si>
    <t>WIP / Billing</t>
  </si>
  <si>
    <t>Work performed vs invoiced</t>
  </si>
  <si>
    <t>WIP = earned/recognized value - billed value</t>
  </si>
  <si>
    <t>Needed for cash-flow risk and revenue recognition.</t>
  </si>
  <si>
    <t>DSO</t>
  </si>
  <si>
    <t>Days Sales Outstanding</t>
  </si>
  <si>
    <t>AR / average daily sales</t>
  </si>
  <si>
    <t>Needed for liquidity tracking.</t>
  </si>
  <si>
    <t>Stakeholder Data Needs</t>
  </si>
  <si>
    <t>Stakeholder</t>
  </si>
  <si>
    <t>Reporting Cadence</t>
  </si>
  <si>
    <t>Core Data Need</t>
  </si>
  <si>
    <t>Current Gap / Action</t>
  </si>
  <si>
    <t>Weekly project control</t>
  </si>
  <si>
    <t>Milestones, critical path, RAID, CPI/SPI, recovery actions</t>
  </si>
  <si>
    <t>Needs schedule baseline + risk action due dates.</t>
  </si>
  <si>
    <t>Weekly/monthly controlling</t>
  </si>
  <si>
    <t>AC, EV, PV, CPI, SPI, EAC, ETC, VAC, TCPI, margin</t>
  </si>
  <si>
    <t>Needs PV/SPI and revenue/margin fields.</t>
  </si>
  <si>
    <t>PMO / Project Support</t>
  </si>
  <si>
    <t>Cadence and data quality</t>
  </si>
  <si>
    <t>Data completeness, approvals, status logs, lessons learned</t>
  </si>
  <si>
    <t>Needs data-quality and workflow status fields.</t>
  </si>
  <si>
    <t>CFO / Executive</t>
  </si>
  <si>
    <t>Monthly/board pack</t>
  </si>
  <si>
    <t>Margin at completion, cash flow, WIP, risk reserve, portfolio rank</t>
  </si>
  <si>
    <t>Needs contract value, billing, WIP and cash-flow schedule.</t>
  </si>
  <si>
    <t>Project Team</t>
  </si>
  <si>
    <t>Weekly execution view</t>
  </si>
  <si>
    <t>Task status, blockers, resource load, quality issues</t>
  </si>
  <si>
    <t>Needs task-level status/quality fields.</t>
  </si>
  <si>
    <t>The workbook follows the ERD pattern: Projects contain WBS elements; WBS elements receive resource assignments, timesheets, material costs, and physical-progress records; resources log hours; RAID items track risks/issues/dependencies. EVM is calculated by joining these tables at WBS level and rolling up to project and portfolio level. The modern-PM audit below extends this model with required gaps for PV/SPI, stage-gates, portfolio governance, stakeholder reporting, cash-flow/WIP, quality, and lessons learned.</t>
  </si>
  <si>
    <t>ERD relationships, integrity rules, and modern PM readiness audit</t>
  </si>
  <si>
    <t>RAG Legend</t>
  </si>
  <si>
    <t>Red</t>
  </si>
  <si>
    <t>Action / escalation required</t>
  </si>
  <si>
    <t>CPI &lt; 0.90, high risk, missing/gap</t>
  </si>
  <si>
    <t>Amber</t>
  </si>
  <si>
    <t>Watch / manage closely</t>
  </si>
  <si>
    <t>CPI 0.90–0.99, partial, active/planned</t>
  </si>
  <si>
    <t>Green</t>
  </si>
  <si>
    <t>On track / complete</t>
  </si>
  <si>
    <t>CPI ≥ 1.00, approved, present, closed</t>
  </si>
  <si>
    <t>Grey</t>
  </si>
  <si>
    <t>Not started / neutral</t>
  </si>
  <si>
    <t>Planned or not applicable</t>
  </si>
  <si>
    <t>Data Bars</t>
  </si>
  <si>
    <t>Blue bars</t>
  </si>
  <si>
    <t>Relative magnitude within comparable numeric columns</t>
  </si>
  <si>
    <t>Costs, EV, progress, hours, procurement, simulator outputs</t>
  </si>
  <si>
    <t>Scan highs/lows quickly without replacing RAG status colors</t>
  </si>
  <si>
    <t>Bars are only applied to numeric comparison ranges</t>
  </si>
  <si>
    <t>PORTFOLIO &amp; PROJECT GANTT CHARTS</t>
  </si>
  <si>
    <t>Portfolio-level Gantt-of-Gantts plus per-project WBS Gantts. WBS dates are planning estimates allocated within each project window by WBS planned-cost weight because source WBS start/end dates are not available.</t>
  </si>
  <si>
    <t>Project</t>
  </si>
  <si>
    <t>Start Offset</t>
  </si>
  <si>
    <t>Duration Days</t>
  </si>
  <si>
    <t>Start</t>
  </si>
  <si>
    <t>End</t>
  </si>
  <si>
    <t>PRJ-001 Composite Maritime Vessel Construction</t>
  </si>
  <si>
    <t>PRJ-002 Patrol Vessel Carbon Mold Design</t>
  </si>
  <si>
    <t>PRJ-003 Subsea Cable Installation Frame</t>
  </si>
  <si>
    <t>PRJ-004 Autonomous Workboat Hull Weldments</t>
  </si>
  <si>
    <t>PRJ-005 Defense Logistics Pontoon Build</t>
  </si>
  <si>
    <t>PRJ-006 Lightweight Composite Cargo Hatch</t>
  </si>
  <si>
    <t>Task</t>
  </si>
  <si>
    <t>1 Project Management &amp; Engineering</t>
  </si>
  <si>
    <t>🔴 Overrun</t>
  </si>
  <si>
    <t>2 Hull Fabrication &amp; Assembly</t>
  </si>
  <si>
    <t>🟡 Complete/Watch</t>
  </si>
  <si>
    <t>3 Outfitting &amp; Integration</t>
  </si>
  <si>
    <t>4 Sea Trials &amp; Handover</t>
  </si>
  <si>
    <t>1 Design &amp; CFD Analysis</t>
  </si>
  <si>
    <t>2 Material Procurement</t>
  </si>
  <si>
    <t>1 Structural Frame Engineering</t>
  </si>
  <si>
    <t>🟢 On Track</t>
  </si>
  <si>
    <t>2 Steel Fabrication</t>
  </si>
  <si>
    <t>1 Engineering Drawings &amp; Class Approval</t>
  </si>
  <si>
    <t>2 Hull Welding &amp; Assembly</t>
  </si>
  <si>
    <t>1 Project Control &amp; PM</t>
  </si>
  <si>
    <t>2 Pontoon Assembly &amp; Painting</t>
  </si>
  <si>
    <t>🟡 Watch</t>
  </si>
  <si>
    <t>1 Hatch Engineering &amp; FEA</t>
  </si>
  <si>
    <t>2 Molding &amp; Testing</t>
  </si>
  <si>
    <t>Gantt Assumption &amp; Source Notes</t>
  </si>
  <si>
    <t>Portfolio chart uses actual project dates from Schedule &amp; Gantt. Individual project Gantts use WBS elements from EVM Data and allocate each WBS task sequentially across the project date range by planned-cost weight because WBS-level start/end dates are not present in the source data.</t>
  </si>
  <si>
    <t>Gantt Charts</t>
  </si>
  <si>
    <t>Portfolio Gantt-of-Gantts and per-project WBS Gantt charts</t>
  </si>
  <si>
    <t>Visual Style Applied</t>
  </si>
  <si>
    <t>Tufte-style cleanup applied: muted functional colors, reduced chart ink, no decorative frames, minimized gridlines, and hidden Gantt legends where the dummy start series adds no meaning.</t>
  </si>
  <si>
    <t>Visual Style Update</t>
  </si>
  <si>
    <t>Tufte cleanup</t>
  </si>
  <si>
    <t>Muted colors, reduced gridlines, no decorative frames</t>
  </si>
  <si>
    <t>Dashboard + Gantt charts</t>
  </si>
  <si>
    <t>Color meaning</t>
  </si>
  <si>
    <t>Grey = plan/baseline, black = actual, blue = earned/progress</t>
  </si>
  <si>
    <t>Red/amber reserved for RAG risk flags</t>
  </si>
  <si>
    <t>RAG / Today Legend</t>
  </si>
  <si>
    <t>Complete / on track</t>
  </si>
  <si>
    <t>Active / watch / warning</t>
  </si>
  <si>
    <t>Overrun / escalation</t>
  </si>
  <si>
    <t>Planned / not started</t>
  </si>
  <si>
    <t>Blue dotted line</t>
  </si>
  <si>
    <t>Present date: 01-Aug-2026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</si>
</sst>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quot;$&quot;#,##0"/>
  </numFmts>
  <fonts count="15" x14ac:knownFonts="1">
    <font>
      <sz val="11"/>
      <color theme="1"/>
      <name val="Calibri"/>
      <family val="2"/>
      <scheme val="minor"/>
    </font>
    <font>
      <b/>
      <sz val="11"/>
      <color rgb="FFFFFFFF"/>
      <name val="Calibri"/>
      <family val="2"/>
      <scheme val="minor"/>
    </font>
    <font>
      <b/>
      <sz val="10"/>
      <color rgb="FFFFFFFF"/>
      <name val="Aptos"/>
    </font>
    <font>
      <sz val="10"/>
      <color theme="1"/>
      <name val="Aptos"/>
    </font>
    <font>
      <i/>
      <sz val="10"/>
      <color rgb="FF666666"/>
      <name val="Aptos"/>
    </font>
    <font>
      <b/>
      <sz val="10"/>
      <color theme="1"/>
      <name val="Aptos"/>
    </font>
    <font>
      <b/>
      <sz val="11"/>
      <color rgb="FF990000"/>
      <name val="Calibri"/>
      <family val="2"/>
      <scheme val="minor"/>
    </font>
    <font>
      <b/>
      <sz val="11"/>
      <color rgb="FF7F6000"/>
      <name val="Calibri"/>
      <family val="2"/>
      <scheme val="minor"/>
    </font>
    <font>
      <b/>
      <sz val="11"/>
      <color rgb="FF274E13"/>
      <name val="Calibri"/>
      <family val="2"/>
      <scheme val="minor"/>
    </font>
    <font>
      <b/>
      <sz val="10"/>
      <color rgb="FF990000"/>
      <name val="Aptos"/>
    </font>
    <font>
      <b/>
      <sz val="10"/>
      <color rgb="FF7F6000"/>
      <name val="Aptos"/>
    </font>
    <font>
      <b/>
      <sz val="10"/>
      <color rgb="FF274E13"/>
      <name val="Aptos"/>
    </font>
    <font>
      <b/>
      <i/>
      <sz val="10"/>
      <color rgb="FF7F6000"/>
      <name val="Aptos"/>
    </font>
    <font>
      <b/>
      <sz val="11"/>
      <color rgb="FF666666"/>
      <name val="Calibri"/>
      <family val="2"/>
      <scheme val="minor"/>
    </font>
    <font>
      <sz val="11"/>
      <color rgb="FFFFFFFF"/>
      <name val="Calibri"/>
      <family val="2"/>
      <scheme val="minor"/>
    </font>
  </fonts>
  <fills count="15">
    <fill>
      <patternFill patternType="none"/>
    </fill>
    <fill>
      <patternFill patternType="gray125"/>
    </fill>
    <fill>
      <patternFill patternType="solid">
        <fgColor rgb="FF17365D"/>
        <bgColor indexed="64"/>
      </patternFill>
    </fill>
    <fill>
      <patternFill patternType="solid">
        <fgColor rgb="FFEAF2F8"/>
        <bgColor indexed="64"/>
      </patternFill>
    </fill>
    <fill>
      <patternFill patternType="solid">
        <fgColor rgb="FF2F75B5"/>
        <bgColor indexed="64"/>
      </patternFill>
    </fill>
    <fill>
      <patternFill patternType="solid">
        <fgColor rgb="FFFFF2CC"/>
        <bgColor indexed="64"/>
      </patternFill>
    </fill>
    <fill>
      <patternFill patternType="solid">
        <fgColor rgb="FFF4CCCC"/>
        <bgColor indexed="64"/>
      </patternFill>
    </fill>
    <fill>
      <patternFill patternType="solid">
        <fgColor rgb="FFD9EAD3"/>
        <bgColor indexed="64"/>
      </patternFill>
    </fill>
    <fill>
      <patternFill patternType="solid">
        <fgColor rgb="FFE7E6E6"/>
        <bgColor indexed="64"/>
      </patternFill>
    </fill>
    <fill>
      <patternFill patternType="solid">
        <fgColor rgb="FFD9EAF7"/>
        <bgColor indexed="64"/>
      </patternFill>
    </fill>
    <fill>
      <patternFill patternType="solid">
        <fgColor rgb="FF1F4E79"/>
        <bgColor indexed="64"/>
      </patternFill>
    </fill>
    <fill>
      <patternFill patternType="solid">
        <fgColor rgb="FF70AD47"/>
        <bgColor indexed="64"/>
      </patternFill>
    </fill>
    <fill>
      <patternFill patternType="solid">
        <fgColor rgb="FFF4B183"/>
        <bgColor indexed="64"/>
      </patternFill>
    </fill>
    <fill>
      <patternFill patternType="solid">
        <fgColor rgb="FFC00000"/>
        <bgColor indexed="64"/>
      </patternFill>
    </fill>
    <fill>
      <patternFill patternType="solid">
        <fgColor rgb="FFA6A6A6"/>
        <bgColor indexed="64"/>
      </patternFill>
    </fill>
  </fills>
  <borders count="1">
    <border>
      <left/>
      <right/>
      <top/>
      <bottom/>
      <diagonal/>
    </border>
  </borders>
  <cellStyleXfs count="1">
    <xf numFmtId="0" fontId="0" fillId="0" borderId="0"/>
  </cellStyleXfs>
  <cellXfs count="79">
    <xf numFmtId="0" fontId="0" fillId="0" borderId="0" xfId="0"/>
    <xf numFmtId="0" fontId="1" fillId="4" borderId="0" xfId="0" applyFont="1" applyFill="1"/>
    <xf numFmtId="0" fontId="0" fillId="0" borderId="0" xfId="0" applyAlignment="1">
      <alignment wrapText="1"/>
    </xf>
    <xf numFmtId="166" fontId="0" fillId="0" borderId="0" xfId="0" applyNumberFormat="1"/>
    <xf numFmtId="164" fontId="0" fillId="0" borderId="0" xfId="0" applyNumberFormat="1"/>
    <xf numFmtId="2" fontId="0" fillId="0" borderId="0" xfId="0" applyNumberFormat="1"/>
    <xf numFmtId="0" fontId="2" fillId="2" borderId="0" xfId="0" applyFont="1" applyFill="1"/>
    <xf numFmtId="0" fontId="3" fillId="0" borderId="0" xfId="0" applyFont="1"/>
    <xf numFmtId="0" fontId="4" fillId="0" borderId="0" xfId="0" applyFont="1"/>
    <xf numFmtId="0" fontId="2" fillId="4" borderId="0" xfId="0" applyFont="1" applyFill="1"/>
    <xf numFmtId="0" fontId="5" fillId="3" borderId="0" xfId="0" applyFont="1" applyFill="1"/>
    <xf numFmtId="166" fontId="5" fillId="3" borderId="0" xfId="0" applyNumberFormat="1" applyFont="1" applyFill="1"/>
    <xf numFmtId="0" fontId="3" fillId="0" borderId="0" xfId="0" applyFont="1" applyAlignment="1">
      <alignment wrapText="1"/>
    </xf>
    <xf numFmtId="164" fontId="3" fillId="0" borderId="0" xfId="0" applyNumberFormat="1" applyFont="1"/>
    <xf numFmtId="2" fontId="3" fillId="0" borderId="0" xfId="0" applyNumberFormat="1" applyFont="1"/>
    <xf numFmtId="166" fontId="3" fillId="0" borderId="0" xfId="0" applyNumberFormat="1" applyFont="1"/>
    <xf numFmtId="166" fontId="2" fillId="4" borderId="0" xfId="0" applyNumberFormat="1" applyFont="1" applyFill="1"/>
    <xf numFmtId="164" fontId="2" fillId="4" borderId="0" xfId="0" applyNumberFormat="1" applyFont="1" applyFill="1"/>
    <xf numFmtId="17" fontId="2" fillId="4" borderId="0" xfId="0" applyNumberFormat="1" applyFont="1" applyFill="1"/>
    <xf numFmtId="14" fontId="3" fillId="0" borderId="0" xfId="0" applyNumberFormat="1" applyFont="1"/>
    <xf numFmtId="165" fontId="3" fillId="0" borderId="0" xfId="0" applyNumberFormat="1" applyFont="1"/>
    <xf numFmtId="164" fontId="3" fillId="5" borderId="0" xfId="0" applyNumberFormat="1" applyFont="1" applyFill="1"/>
    <xf numFmtId="166" fontId="3" fillId="5" borderId="0" xfId="0" applyNumberFormat="1" applyFont="1" applyFill="1"/>
    <xf numFmtId="0" fontId="3" fillId="5" borderId="0" xfId="0" applyFont="1" applyFill="1"/>
    <xf numFmtId="0" fontId="2" fillId="4" borderId="0" xfId="0" applyFont="1" applyFill="1" applyAlignment="1">
      <alignment wrapText="1"/>
    </xf>
    <xf numFmtId="1" fontId="3" fillId="0" borderId="0" xfId="0" applyNumberFormat="1" applyFont="1"/>
    <xf numFmtId="0" fontId="2" fillId="2" borderId="0" xfId="0" applyFont="1" applyFill="1" applyAlignment="1">
      <alignment wrapText="1"/>
    </xf>
    <xf numFmtId="0" fontId="4" fillId="0" borderId="0" xfId="0" applyFont="1" applyAlignment="1">
      <alignment wrapText="1"/>
    </xf>
    <xf numFmtId="1" fontId="0" fillId="0" borderId="0" xfId="0" applyNumberFormat="1"/>
    <xf numFmtId="0" fontId="6" fillId="6" borderId="0" xfId="0" applyFont="1" applyFill="1"/>
    <xf numFmtId="0" fontId="7" fillId="5" borderId="0" xfId="0" applyFont="1" applyFill="1"/>
    <xf numFmtId="0" fontId="8" fillId="7" borderId="0" xfId="0" applyFont="1" applyFill="1"/>
    <xf numFmtId="2" fontId="6" fillId="6" borderId="0" xfId="0" applyNumberFormat="1" applyFont="1" applyFill="1"/>
    <xf numFmtId="2" fontId="7" fillId="5" borderId="0" xfId="0" applyNumberFormat="1" applyFont="1" applyFill="1"/>
    <xf numFmtId="2" fontId="8" fillId="7" borderId="0" xfId="0" applyNumberFormat="1" applyFont="1" applyFill="1"/>
    <xf numFmtId="0" fontId="9" fillId="6" borderId="0" xfId="0" applyFont="1" applyFill="1"/>
    <xf numFmtId="0" fontId="10" fillId="5" borderId="0" xfId="0" applyFont="1" applyFill="1"/>
    <xf numFmtId="0" fontId="11" fillId="7" borderId="0" xfId="0" applyFont="1" applyFill="1"/>
    <xf numFmtId="164" fontId="9" fillId="6" borderId="0" xfId="0" applyNumberFormat="1" applyFont="1" applyFill="1"/>
    <xf numFmtId="164" fontId="11" fillId="7" borderId="0" xfId="0" applyNumberFormat="1" applyFont="1" applyFill="1"/>
    <xf numFmtId="164" fontId="10" fillId="5" borderId="0" xfId="0" applyNumberFormat="1" applyFont="1" applyFill="1"/>
    <xf numFmtId="166" fontId="9" fillId="6" borderId="0" xfId="0" applyNumberFormat="1" applyFont="1" applyFill="1"/>
    <xf numFmtId="166" fontId="10" fillId="5" borderId="0" xfId="0" applyNumberFormat="1" applyFont="1" applyFill="1"/>
    <xf numFmtId="166" fontId="11" fillId="7" borderId="0" xfId="0" applyNumberFormat="1" applyFont="1" applyFill="1"/>
    <xf numFmtId="0" fontId="8" fillId="7" borderId="0" xfId="0" applyFont="1" applyFill="1" applyAlignment="1">
      <alignment wrapText="1"/>
    </xf>
    <xf numFmtId="0" fontId="6" fillId="6" borderId="0" xfId="0" applyFont="1" applyFill="1" applyAlignment="1">
      <alignment wrapText="1"/>
    </xf>
    <xf numFmtId="0" fontId="7" fillId="5" borderId="0" xfId="0" applyFont="1" applyFill="1" applyAlignment="1">
      <alignment wrapText="1"/>
    </xf>
    <xf numFmtId="2" fontId="10" fillId="5" borderId="0" xfId="0" applyNumberFormat="1" applyFont="1" applyFill="1"/>
    <xf numFmtId="0" fontId="9" fillId="6" borderId="0" xfId="0" applyFont="1" applyFill="1" applyAlignment="1">
      <alignment wrapText="1"/>
    </xf>
    <xf numFmtId="165" fontId="9" fillId="6" borderId="0" xfId="0" applyNumberFormat="1" applyFont="1" applyFill="1"/>
    <xf numFmtId="164" fontId="8" fillId="7" borderId="0" xfId="0" applyNumberFormat="1" applyFont="1" applyFill="1"/>
    <xf numFmtId="164" fontId="6" fillId="6" borderId="0" xfId="0" applyNumberFormat="1" applyFont="1" applyFill="1"/>
    <xf numFmtId="164" fontId="7" fillId="5" borderId="0" xfId="0" applyNumberFormat="1" applyFont="1" applyFill="1"/>
    <xf numFmtId="0" fontId="13" fillId="8" borderId="0" xfId="0" applyFont="1" applyFill="1"/>
    <xf numFmtId="0" fontId="0" fillId="9" borderId="0" xfId="0" applyFill="1"/>
    <xf numFmtId="0" fontId="0" fillId="0" borderId="0" xfId="0" applyAlignment="1">
      <alignment wrapText="1"/>
    </xf>
    <xf numFmtId="0" fontId="0" fillId="0" borderId="0" xfId="0"/>
    <xf numFmtId="0" fontId="2" fillId="2" borderId="0" xfId="0" applyFont="1" applyFill="1"/>
    <xf numFmtId="0" fontId="4" fillId="0" borderId="0" xfId="0" applyFont="1" applyAlignment="1">
      <alignment wrapText="1"/>
    </xf>
    <xf numFmtId="0" fontId="3" fillId="0" borderId="0" xfId="0" applyFont="1" applyAlignment="1">
      <alignment wrapText="1"/>
    </xf>
    <xf numFmtId="0" fontId="2" fillId="4" borderId="0" xfId="0" applyFont="1" applyFill="1"/>
    <xf numFmtId="0" fontId="1" fillId="4" borderId="0" xfId="0" applyFont="1" applyFill="1"/>
    <xf numFmtId="0" fontId="6" fillId="6" borderId="0" xfId="0" applyFont="1" applyFill="1" applyAlignment="1">
      <alignment wrapText="1"/>
    </xf>
    <xf numFmtId="0" fontId="3" fillId="0" borderId="0" xfId="0" applyFont="1"/>
    <xf numFmtId="0" fontId="4" fillId="0" borderId="0" xfId="0" applyFont="1"/>
    <xf numFmtId="0" fontId="6" fillId="6" borderId="0" xfId="0" applyFont="1" applyFill="1"/>
    <xf numFmtId="166" fontId="3" fillId="0" borderId="0" xfId="0" applyNumberFormat="1" applyFont="1"/>
    <xf numFmtId="164" fontId="3" fillId="0" borderId="0" xfId="0" applyNumberFormat="1" applyFont="1"/>
    <xf numFmtId="0" fontId="9" fillId="6" borderId="0" xfId="0" applyFont="1" applyFill="1" applyAlignment="1">
      <alignment wrapText="1"/>
    </xf>
    <xf numFmtId="0" fontId="9" fillId="6" borderId="0" xfId="0" applyFont="1" applyFill="1"/>
    <xf numFmtId="0" fontId="1" fillId="4" borderId="0" xfId="0" applyFont="1" applyFill="1" applyAlignment="1">
      <alignment wrapText="1"/>
    </xf>
    <xf numFmtId="0" fontId="12" fillId="5" borderId="0" xfId="0" applyFont="1" applyFill="1"/>
    <xf numFmtId="0" fontId="10" fillId="5" borderId="0" xfId="0" applyFont="1" applyFill="1"/>
    <xf numFmtId="0" fontId="1" fillId="10" borderId="0" xfId="0" applyFont="1" applyFill="1"/>
    <xf numFmtId="0" fontId="14" fillId="11" borderId="0" xfId="0" applyFont="1" applyFill="1" applyAlignment="1">
      <alignment wrapText="1"/>
    </xf>
    <xf numFmtId="0" fontId="14" fillId="12" borderId="0" xfId="0" applyFont="1" applyFill="1" applyAlignment="1">
      <alignment wrapText="1"/>
    </xf>
    <xf numFmtId="0" fontId="14" fillId="13" borderId="0" xfId="0" applyFont="1" applyFill="1" applyAlignment="1">
      <alignment wrapText="1"/>
    </xf>
    <xf numFmtId="0" fontId="14" fillId="14" borderId="0" xfId="0" applyFont="1" applyFill="1" applyAlignment="1">
      <alignment wrapText="1"/>
    </xf>
    <xf numFmtId="0" fontId="14" fillId="10" borderId="0" xfId="0" applyFont="1" applyFill="1" applyAlignment="1">
      <alignment wrapText="1"/>
    </xf>
  </cellXfs>
  <cellStyles count="1">
    <cellStyle name="Normal" xfId="0" builtinId="0"/>
  </cellStyles>
  <dxfs count="161">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numFmt numFmtId="19" formatCode="m/d/yyyy"/>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numFmt numFmtId="19" formatCode="m/d/yyyy"/>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numFmt numFmtId="19" formatCode="m/d/yyyy"/>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numFmt numFmtId="19" formatCode="m/d/yyyy"/>
    </dxf>
    <dxf>
      <font>
        <sz val="10"/>
        <name val="Aptos"/>
      </font>
      <numFmt numFmtId="19" formatCode="m/d/yyyy"/>
    </dxf>
    <dxf>
      <font>
        <sz val="10"/>
        <name val="Aptos"/>
      </font>
    </dxf>
    <dxf>
      <font>
        <sz val="10"/>
        <name val="Aptos"/>
      </font>
    </dxf>
    <dxf>
      <font>
        <sz val="10"/>
        <name val="Aptos"/>
      </font>
    </dxf>
    <dxf>
      <font>
        <sz val="10"/>
        <name val="Aptos"/>
      </font>
    </dxf>
    <dxf>
      <font>
        <sz val="10"/>
        <name val="Aptos"/>
      </font>
    </dxf>
    <dxf>
      <font>
        <sz val="10"/>
        <name val="Aptos"/>
      </font>
    </dxf>
    <dxf>
      <numFmt numFmtId="0" formatCode="General"/>
    </dxf>
    <dxf>
      <numFmt numFmtId="166" formatCode="&quot;$&quot;#,##0"/>
    </dxf>
    <dxf>
      <numFmt numFmtId="164" formatCode="0.0%"/>
    </dxf>
    <dxf>
      <numFmt numFmtId="2" formatCode="0.00"/>
    </dxf>
    <dxf>
      <numFmt numFmtId="166" formatCode="&quot;$&quot;#,##0"/>
    </dxf>
    <dxf>
      <numFmt numFmtId="166" formatCode="&quot;$&quot;#,##0"/>
    </dxf>
    <dxf>
      <numFmt numFmtId="166" formatCode="&quot;$&quot;#,##0"/>
    </dxf>
    <dxf>
      <numFmt numFmtId="0" formatCode="General"/>
    </dxf>
    <dxf>
      <numFmt numFmtId="166" formatCode="&quot;$&quot;#,##0"/>
    </dxf>
    <dxf>
      <numFmt numFmtId="2" formatCode="0.00"/>
    </dxf>
    <dxf>
      <numFmt numFmtId="166" formatCode="&quot;$&quot;#,##0"/>
    </dxf>
    <dxf>
      <numFmt numFmtId="166" formatCode="&quot;$&quot;#,##0"/>
    </dxf>
    <dxf>
      <numFmt numFmtId="166" formatCode="&quot;$&quot;#,##0"/>
    </dxf>
    <dxf>
      <numFmt numFmtId="166" formatCode="&quot;$&quot;#,##0"/>
    </dxf>
    <dxf>
      <numFmt numFmtId="164" formatCode="0.0%"/>
    </dxf>
    <dxf>
      <numFmt numFmtId="166" formatCode="&quot;$&quot;#,##0"/>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alignment wrapText="1"/>
    </dxf>
    <dxf>
      <font>
        <sz val="10"/>
        <name val="Aptos"/>
      </font>
      <alignment wrapText="1"/>
    </dxf>
    <dxf>
      <font>
        <sz val="10"/>
        <name val="Aptos"/>
      </font>
    </dxf>
    <dxf>
      <font>
        <sz val="10"/>
        <name val="Aptos"/>
      </font>
    </dxf>
    <dxf>
      <font>
        <sz val="10"/>
        <name val="Aptos"/>
      </font>
    </dxf>
    <dxf>
      <font>
        <sz val="10"/>
        <name val="Aptos"/>
      </font>
      <alignment wrapText="1"/>
    </dxf>
    <dxf>
      <font>
        <sz val="10"/>
        <name val="Aptos"/>
      </font>
      <alignment wrapText="1"/>
    </dxf>
    <dxf>
      <font>
        <sz val="10"/>
        <name val="Aptos"/>
      </font>
      <alignment wrapText="1"/>
    </dxf>
    <dxf>
      <font>
        <sz val="10"/>
        <name val="Aptos"/>
      </font>
    </dxf>
    <dxf>
      <font>
        <sz val="10"/>
        <name val="Aptos"/>
      </font>
    </dxf>
    <dxf>
      <font>
        <sz val="10"/>
        <name val="Aptos"/>
      </font>
    </dxf>
    <dxf>
      <font>
        <sz val="10"/>
        <name val="Aptos"/>
      </font>
    </dxf>
    <dxf>
      <font>
        <sz val="10"/>
        <name val="Aptos"/>
      </font>
      <alignment wrapText="1"/>
    </dxf>
    <dxf>
      <font>
        <sz val="10"/>
        <name val="Aptos"/>
      </font>
      <alignment wrapText="1"/>
    </dxf>
    <dxf>
      <font>
        <sz val="10"/>
        <name val="Aptos"/>
      </font>
      <alignment wrapText="1"/>
    </dxf>
    <dxf>
      <font>
        <sz val="10"/>
        <name val="Aptos"/>
      </font>
    </dxf>
    <dxf>
      <font>
        <sz val="10"/>
        <name val="Aptos"/>
      </font>
    </dxf>
    <dxf>
      <font>
        <sz val="10"/>
        <name val="Aptos"/>
      </font>
    </dxf>
    <dxf>
      <font>
        <sz val="10"/>
        <name val="Aptos"/>
      </font>
      <alignment wrapText="1"/>
    </dxf>
    <dxf>
      <font>
        <sz val="10"/>
        <name val="Aptos"/>
      </font>
      <alignment wrapText="1"/>
    </dxf>
    <dxf>
      <font>
        <sz val="10"/>
        <name val="Aptos"/>
      </font>
    </dxf>
    <dxf>
      <font>
        <sz val="10"/>
        <name val="Aptos"/>
      </font>
    </dxf>
    <dxf>
      <font>
        <sz val="10"/>
        <name val="Aptos"/>
      </font>
    </dxf>
    <dxf>
      <font>
        <sz val="10"/>
        <name val="Aptos"/>
      </font>
    </dxf>
    <dxf>
      <font>
        <sz val="10"/>
        <name val="Aptos"/>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font>
      <alignment wrapText="1"/>
    </dxf>
    <dxf>
      <alignment wrapText="1"/>
    </dxf>
    <dxf>
      <alignment wrapText="1"/>
    </dxf>
    <dxf>
      <alignment wrapText="1"/>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b/>
      </font>
      <fill>
        <patternFill patternType="solid">
          <fgColor indexed="64"/>
          <bgColor rgb="FFFFF2CC"/>
        </patternFill>
      </fill>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
      <font>
        <sz val="10"/>
        <name val="Aptos"/>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Portfolio Timeline — All Projects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Charts'!$U$1</c:f>
              <c:strCache>
                <c:ptCount val="1"/>
                <c:pt idx="0">
                  <c:v>Start Offset</c:v>
                </c:pt>
              </c:strCache>
            </c:strRef>
          </c:tx>
          <c:spPr>
            <a:solidFill>
              <a:srgbClr val="FFFFFF"/>
            </a:solidFill>
            <a:ln>
              <a:solidFill>
                <a:srgbClr val="FFFFFF"/>
              </a:solidFill>
              <a:prstDash val="solid"/>
            </a:ln>
            <a:effectLst/>
          </c:spPr>
          <c:invertIfNegative val="0"/>
          <c:cat>
            <c:strRef>
              <c:f>'Gantt Charts'!$T$2:$T$7</c:f>
              <c:strCache>
                <c:ptCount val="6"/>
                <c:pt idx="0">
                  <c:v>PRJ-001 Composite Maritime Vessel Construction</c:v>
                </c:pt>
                <c:pt idx="1">
                  <c:v>PRJ-002 Patrol Vessel Carbon Mold Design</c:v>
                </c:pt>
                <c:pt idx="2">
                  <c:v>PRJ-003 Subsea Cable Installation Frame</c:v>
                </c:pt>
                <c:pt idx="3">
                  <c:v>PRJ-004 Autonomous Workboat Hull Weldments</c:v>
                </c:pt>
                <c:pt idx="4">
                  <c:v>PRJ-005 Defense Logistics Pontoon Build</c:v>
                </c:pt>
                <c:pt idx="5">
                  <c:v>PRJ-006 Lightweight Composite Cargo Hatch</c:v>
                </c:pt>
              </c:strCache>
            </c:strRef>
          </c:cat>
          <c:val>
            <c:numRef>
              <c:f>'Gantt Charts'!$U$2:$U$7</c:f>
              <c:numCache>
                <c:formatCode>General</c:formatCode>
                <c:ptCount val="6"/>
                <c:pt idx="0">
                  <c:v>46023</c:v>
                </c:pt>
                <c:pt idx="1">
                  <c:v>46235</c:v>
                </c:pt>
                <c:pt idx="2">
                  <c:v>46143</c:v>
                </c:pt>
                <c:pt idx="3">
                  <c:v>46082</c:v>
                </c:pt>
                <c:pt idx="4">
                  <c:v>46054</c:v>
                </c:pt>
                <c:pt idx="5">
                  <c:v>46113</c:v>
                </c:pt>
              </c:numCache>
            </c:numRef>
          </c:val>
          <c:extLst>
            <c:ext xmlns:c16="http://schemas.microsoft.com/office/drawing/2014/chart" uri="{C3380CC4-5D6E-409C-BE32-E72D297353CC}">
              <c16:uniqueId val="{00000000-8D22-40DB-859F-CB4891230358}"/>
            </c:ext>
          </c:extLst>
        </c:ser>
        <c:ser>
          <c:idx val="1"/>
          <c:order val="1"/>
          <c:tx>
            <c:strRef>
              <c:f>'Gantt Charts'!$V$1</c:f>
              <c:strCache>
                <c:ptCount val="1"/>
                <c:pt idx="0">
                  <c:v>Duration Days</c:v>
                </c:pt>
              </c:strCache>
            </c:strRef>
          </c:tx>
          <c:spPr>
            <a:solidFill>
              <a:srgbClr val="5B9BD5"/>
            </a:solidFill>
            <a:ln w="3175">
              <a:solidFill>
                <a:srgbClr val="FFFFFF"/>
              </a:solidFill>
              <a:prstDash val="solid"/>
            </a:ln>
            <a:effectLst/>
          </c:spPr>
          <c:invertIfNegative val="0"/>
          <c:dPt>
            <c:idx val="0"/>
            <c:invertIfNegative val="0"/>
            <c:bubble3D val="0"/>
            <c:spPr>
              <a:solidFill>
                <a:srgbClr val="70AD47"/>
              </a:solidFill>
              <a:ln w="3175">
                <a:solidFill>
                  <a:srgbClr val="FFFFFF"/>
                </a:solidFill>
                <a:prstDash val="solid"/>
              </a:ln>
              <a:effectLst/>
            </c:spPr>
            <c:extLst>
              <c:ext xmlns:c16="http://schemas.microsoft.com/office/drawing/2014/chart" uri="{C3380CC4-5D6E-409C-BE32-E72D297353CC}">
                <c16:uniqueId val="{00000000-F7F7-4AF0-B281-9B3FE2D4C333}"/>
              </c:ext>
            </c:extLst>
          </c:dPt>
          <c:dPt>
            <c:idx val="1"/>
            <c:invertIfNegative val="0"/>
            <c:bubble3D val="0"/>
            <c:spPr>
              <a:solidFill>
                <a:srgbClr val="A6A6A6"/>
              </a:solidFill>
              <a:ln w="3175">
                <a:solidFill>
                  <a:srgbClr val="FFFFFF"/>
                </a:solidFill>
                <a:prstDash val="solid"/>
              </a:ln>
              <a:effectLst/>
            </c:spPr>
            <c:extLst>
              <c:ext xmlns:c16="http://schemas.microsoft.com/office/drawing/2014/chart" uri="{C3380CC4-5D6E-409C-BE32-E72D297353CC}">
                <c16:uniqueId val="{00000001-F7F7-4AF0-B281-9B3FE2D4C333}"/>
              </c:ext>
            </c:extLst>
          </c:dPt>
          <c:dPt>
            <c:idx val="2"/>
            <c:invertIfNegative val="0"/>
            <c:bubble3D val="0"/>
            <c:spPr>
              <a:solidFill>
                <a:srgbClr val="F4B183"/>
              </a:solidFill>
              <a:ln w="3175">
                <a:solidFill>
                  <a:srgbClr val="FFFFFF"/>
                </a:solidFill>
                <a:prstDash val="solid"/>
              </a:ln>
              <a:effectLst/>
            </c:spPr>
            <c:extLst>
              <c:ext xmlns:c16="http://schemas.microsoft.com/office/drawing/2014/chart" uri="{C3380CC4-5D6E-409C-BE32-E72D297353CC}">
                <c16:uniqueId val="{00000002-F7F7-4AF0-B281-9B3FE2D4C333}"/>
              </c:ext>
            </c:extLst>
          </c:dPt>
          <c:dPt>
            <c:idx val="3"/>
            <c:invertIfNegative val="0"/>
            <c:bubble3D val="0"/>
            <c:spPr>
              <a:solidFill>
                <a:srgbClr val="F4B183"/>
              </a:solidFill>
              <a:ln w="3175">
                <a:solidFill>
                  <a:srgbClr val="FFFFFF"/>
                </a:solidFill>
                <a:prstDash val="solid"/>
              </a:ln>
              <a:effectLst/>
            </c:spPr>
            <c:extLst>
              <c:ext xmlns:c16="http://schemas.microsoft.com/office/drawing/2014/chart" uri="{C3380CC4-5D6E-409C-BE32-E72D297353CC}">
                <c16:uniqueId val="{00000003-F7F7-4AF0-B281-9B3FE2D4C333}"/>
              </c:ext>
            </c:extLst>
          </c:dPt>
          <c:dPt>
            <c:idx val="4"/>
            <c:invertIfNegative val="0"/>
            <c:bubble3D val="0"/>
            <c:spPr>
              <a:solidFill>
                <a:srgbClr val="F4B183"/>
              </a:solidFill>
              <a:ln w="3175">
                <a:solidFill>
                  <a:srgbClr val="FFFFFF"/>
                </a:solidFill>
                <a:prstDash val="solid"/>
              </a:ln>
              <a:effectLst/>
            </c:spPr>
            <c:extLst>
              <c:ext xmlns:c16="http://schemas.microsoft.com/office/drawing/2014/chart" uri="{C3380CC4-5D6E-409C-BE32-E72D297353CC}">
                <c16:uniqueId val="{00000004-F7F7-4AF0-B281-9B3FE2D4C333}"/>
              </c:ext>
            </c:extLst>
          </c:dPt>
          <c:dPt>
            <c:idx val="5"/>
            <c:invertIfNegative val="0"/>
            <c:bubble3D val="0"/>
            <c:spPr>
              <a:solidFill>
                <a:srgbClr val="70AD47"/>
              </a:solidFill>
              <a:ln w="3175">
                <a:solidFill>
                  <a:srgbClr val="FFFFFF"/>
                </a:solidFill>
                <a:prstDash val="solid"/>
              </a:ln>
              <a:effectLst/>
            </c:spPr>
            <c:extLst>
              <c:ext xmlns:c16="http://schemas.microsoft.com/office/drawing/2014/chart" uri="{C3380CC4-5D6E-409C-BE32-E72D297353CC}">
                <c16:uniqueId val="{00000005-F7F7-4AF0-B281-9B3FE2D4C333}"/>
              </c:ext>
            </c:extLst>
          </c:dPt>
          <c:cat>
            <c:strRef>
              <c:f>'Gantt Charts'!$T$2:$T$7</c:f>
              <c:strCache>
                <c:ptCount val="6"/>
                <c:pt idx="0">
                  <c:v>PRJ-001 Composite Maritime Vessel Construction</c:v>
                </c:pt>
                <c:pt idx="1">
                  <c:v>PRJ-002 Patrol Vessel Carbon Mold Design</c:v>
                </c:pt>
                <c:pt idx="2">
                  <c:v>PRJ-003 Subsea Cable Installation Frame</c:v>
                </c:pt>
                <c:pt idx="3">
                  <c:v>PRJ-004 Autonomous Workboat Hull Weldments</c:v>
                </c:pt>
                <c:pt idx="4">
                  <c:v>PRJ-005 Defense Logistics Pontoon Build</c:v>
                </c:pt>
                <c:pt idx="5">
                  <c:v>PRJ-006 Lightweight Composite Cargo Hatch</c:v>
                </c:pt>
              </c:strCache>
            </c:strRef>
          </c:cat>
          <c:val>
            <c:numRef>
              <c:f>'Gantt Charts'!$V$2:$V$7</c:f>
              <c:numCache>
                <c:formatCode>General</c:formatCode>
                <c:ptCount val="6"/>
                <c:pt idx="0">
                  <c:v>181</c:v>
                </c:pt>
                <c:pt idx="1">
                  <c:v>153</c:v>
                </c:pt>
                <c:pt idx="2">
                  <c:v>184</c:v>
                </c:pt>
                <c:pt idx="3">
                  <c:v>184</c:v>
                </c:pt>
                <c:pt idx="4">
                  <c:v>181</c:v>
                </c:pt>
                <c:pt idx="5">
                  <c:v>61</c:v>
                </c:pt>
              </c:numCache>
            </c:numRef>
          </c:val>
          <c:extLst>
            <c:ext xmlns:c16="http://schemas.microsoft.com/office/drawing/2014/chart" uri="{C3380CC4-5D6E-409C-BE32-E72D297353CC}">
              <c16:uniqueId val="{00000001-8D22-40DB-859F-CB4891230358}"/>
            </c:ext>
          </c:extLst>
        </c:ser>
        <c:dLbls>
          <c:showLegendKey val="0"/>
          <c:showVal val="0"/>
          <c:showCatName val="0"/>
          <c:showSerName val="0"/>
          <c:showPercent val="0"/>
          <c:showBubbleSize val="0"/>
        </c:dLbls>
        <c:gapWidth val="150"/>
        <c:overlap val="100"/>
        <c:axId val="1199324608"/>
        <c:axId val="979034671"/>
      </c:barChart>
      <c:catAx>
        <c:axId val="11993246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34671"/>
        <c:crosses val="autoZero"/>
        <c:auto val="1"/>
        <c:lblAlgn val="ctr"/>
        <c:lblOffset val="100"/>
        <c:noMultiLvlLbl val="0"/>
      </c:catAx>
      <c:valAx>
        <c:axId val="979034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dd\-mmm\-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324608"/>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PRJ-001 — WBS Timeline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manualLayout>
          <c:layoutTarget val="inner"/>
          <c:xMode val="edge"/>
          <c:yMode val="edge"/>
          <c:x val="0.33026815398075243"/>
          <c:y val="0.15366379310344824"/>
          <c:w val="0.61506051326917466"/>
          <c:h val="0.6592529866956286"/>
        </c:manualLayout>
      </c:layout>
      <c:barChart>
        <c:barDir val="bar"/>
        <c:grouping val="stacked"/>
        <c:varyColors val="0"/>
        <c:ser>
          <c:idx val="0"/>
          <c:order val="0"/>
          <c:tx>
            <c:strRef>
              <c:f>'Gantt Charts'!$U$10</c:f>
              <c:strCache>
                <c:ptCount val="1"/>
                <c:pt idx="0">
                  <c:v>Start Offset</c:v>
                </c:pt>
              </c:strCache>
            </c:strRef>
          </c:tx>
          <c:spPr>
            <a:solidFill>
              <a:srgbClr val="FFFFFF"/>
            </a:solidFill>
            <a:ln>
              <a:solidFill>
                <a:srgbClr val="FFFFFF"/>
              </a:solidFill>
              <a:prstDash val="solid"/>
            </a:ln>
            <a:effectLst/>
          </c:spPr>
          <c:invertIfNegative val="0"/>
          <c:cat>
            <c:strRef>
              <c:f>'Gantt Charts'!$T$11:$T$14</c:f>
              <c:strCache>
                <c:ptCount val="4"/>
                <c:pt idx="0">
                  <c:v>1 Project Management &amp; Engineering</c:v>
                </c:pt>
                <c:pt idx="1">
                  <c:v>2 Hull Fabrication &amp; Assembly</c:v>
                </c:pt>
                <c:pt idx="2">
                  <c:v>3 Outfitting &amp; Integration</c:v>
                </c:pt>
                <c:pt idx="3">
                  <c:v>4 Sea Trials &amp; Handover</c:v>
                </c:pt>
              </c:strCache>
            </c:strRef>
          </c:cat>
          <c:val>
            <c:numRef>
              <c:f>'Gantt Charts'!$U$11:$U$14</c:f>
              <c:numCache>
                <c:formatCode>General</c:formatCode>
                <c:ptCount val="4"/>
                <c:pt idx="0">
                  <c:v>46023</c:v>
                </c:pt>
                <c:pt idx="1">
                  <c:v>46059</c:v>
                </c:pt>
                <c:pt idx="2">
                  <c:v>46131</c:v>
                </c:pt>
                <c:pt idx="3">
                  <c:v>46179</c:v>
                </c:pt>
              </c:numCache>
            </c:numRef>
          </c:val>
          <c:extLst>
            <c:ext xmlns:c16="http://schemas.microsoft.com/office/drawing/2014/chart" uri="{C3380CC4-5D6E-409C-BE32-E72D297353CC}">
              <c16:uniqueId val="{00000000-E736-4232-9FB8-EE0F91DDAB81}"/>
            </c:ext>
          </c:extLst>
        </c:ser>
        <c:ser>
          <c:idx val="1"/>
          <c:order val="1"/>
          <c:tx>
            <c:strRef>
              <c:f>'Gantt Charts'!$V$10</c:f>
              <c:strCache>
                <c:ptCount val="1"/>
                <c:pt idx="0">
                  <c:v>Duration Days</c:v>
                </c:pt>
              </c:strCache>
            </c:strRef>
          </c:tx>
          <c:spPr>
            <a:solidFill>
              <a:srgbClr val="5B9BD5"/>
            </a:solidFill>
            <a:ln>
              <a:solidFill>
                <a:srgbClr val="5B9BD5"/>
              </a:solidFill>
              <a:prstDash val="solid"/>
            </a:ln>
            <a:effectLst/>
          </c:spPr>
          <c:invertIfNegative val="0"/>
          <c:dPt>
            <c:idx val="0"/>
            <c:invertIfNegative val="0"/>
            <c:bubble3D val="0"/>
            <c:spPr>
              <a:solidFill>
                <a:srgbClr val="C00000"/>
              </a:solidFill>
              <a:ln>
                <a:solidFill>
                  <a:srgbClr val="5B9BD5"/>
                </a:solidFill>
                <a:prstDash val="solid"/>
              </a:ln>
              <a:effectLst/>
            </c:spPr>
            <c:extLst>
              <c:ext xmlns:c16="http://schemas.microsoft.com/office/drawing/2014/chart" uri="{C3380CC4-5D6E-409C-BE32-E72D297353CC}">
                <c16:uniqueId val="{00000000-2C68-42B6-A112-047895FE681E}"/>
              </c:ext>
            </c:extLst>
          </c:dPt>
          <c:dPt>
            <c:idx val="1"/>
            <c:invertIfNegative val="0"/>
            <c:bubble3D val="0"/>
            <c:spPr>
              <a:solidFill>
                <a:srgbClr val="F4B183"/>
              </a:solidFill>
              <a:ln>
                <a:solidFill>
                  <a:srgbClr val="5B9BD5"/>
                </a:solidFill>
                <a:prstDash val="solid"/>
              </a:ln>
              <a:effectLst/>
            </c:spPr>
            <c:extLst>
              <c:ext xmlns:c16="http://schemas.microsoft.com/office/drawing/2014/chart" uri="{C3380CC4-5D6E-409C-BE32-E72D297353CC}">
                <c16:uniqueId val="{00000001-2C68-42B6-A112-047895FE681E}"/>
              </c:ext>
            </c:extLst>
          </c:dPt>
          <c:dPt>
            <c:idx val="2"/>
            <c:invertIfNegative val="0"/>
            <c:bubble3D val="0"/>
            <c:spPr>
              <a:solidFill>
                <a:srgbClr val="C00000"/>
              </a:solidFill>
              <a:ln>
                <a:solidFill>
                  <a:srgbClr val="5B9BD5"/>
                </a:solidFill>
                <a:prstDash val="solid"/>
              </a:ln>
              <a:effectLst/>
            </c:spPr>
            <c:extLst>
              <c:ext xmlns:c16="http://schemas.microsoft.com/office/drawing/2014/chart" uri="{C3380CC4-5D6E-409C-BE32-E72D297353CC}">
                <c16:uniqueId val="{00000002-2C68-42B6-A112-047895FE681E}"/>
              </c:ext>
            </c:extLst>
          </c:dPt>
          <c:dPt>
            <c:idx val="3"/>
            <c:invertIfNegative val="0"/>
            <c:bubble3D val="0"/>
            <c:spPr>
              <a:solidFill>
                <a:srgbClr val="C00000"/>
              </a:solidFill>
              <a:ln>
                <a:solidFill>
                  <a:srgbClr val="5B9BD5"/>
                </a:solidFill>
                <a:prstDash val="solid"/>
              </a:ln>
              <a:effectLst/>
            </c:spPr>
            <c:extLst>
              <c:ext xmlns:c16="http://schemas.microsoft.com/office/drawing/2014/chart" uri="{C3380CC4-5D6E-409C-BE32-E72D297353CC}">
                <c16:uniqueId val="{00000003-2C68-42B6-A112-047895FE681E}"/>
              </c:ext>
            </c:extLst>
          </c:dPt>
          <c:cat>
            <c:strRef>
              <c:f>'Gantt Charts'!$T$11:$T$14</c:f>
              <c:strCache>
                <c:ptCount val="4"/>
                <c:pt idx="0">
                  <c:v>1 Project Management &amp; Engineering</c:v>
                </c:pt>
                <c:pt idx="1">
                  <c:v>2 Hull Fabrication &amp; Assembly</c:v>
                </c:pt>
                <c:pt idx="2">
                  <c:v>3 Outfitting &amp; Integration</c:v>
                </c:pt>
                <c:pt idx="3">
                  <c:v>4 Sea Trials &amp; Handover</c:v>
                </c:pt>
              </c:strCache>
            </c:strRef>
          </c:cat>
          <c:val>
            <c:numRef>
              <c:f>'Gantt Charts'!$V$11:$V$14</c:f>
              <c:numCache>
                <c:formatCode>General</c:formatCode>
                <c:ptCount val="4"/>
                <c:pt idx="0">
                  <c:v>36</c:v>
                </c:pt>
                <c:pt idx="1">
                  <c:v>72</c:v>
                </c:pt>
                <c:pt idx="2">
                  <c:v>48</c:v>
                </c:pt>
                <c:pt idx="3">
                  <c:v>25</c:v>
                </c:pt>
              </c:numCache>
            </c:numRef>
          </c:val>
          <c:extLst>
            <c:ext xmlns:c16="http://schemas.microsoft.com/office/drawing/2014/chart" uri="{C3380CC4-5D6E-409C-BE32-E72D297353CC}">
              <c16:uniqueId val="{00000001-E736-4232-9FB8-EE0F91DDAB81}"/>
            </c:ext>
          </c:extLst>
        </c:ser>
        <c:dLbls>
          <c:showLegendKey val="0"/>
          <c:showVal val="0"/>
          <c:showCatName val="0"/>
          <c:showSerName val="0"/>
          <c:showPercent val="0"/>
          <c:showBubbleSize val="0"/>
        </c:dLbls>
        <c:gapWidth val="150"/>
        <c:overlap val="100"/>
        <c:axId val="1199240160"/>
        <c:axId val="979081231"/>
      </c:barChart>
      <c:catAx>
        <c:axId val="11992401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81231"/>
        <c:crosses val="autoZero"/>
        <c:auto val="1"/>
        <c:lblAlgn val="ctr"/>
        <c:lblOffset val="100"/>
        <c:noMultiLvlLbl val="0"/>
      </c:catAx>
      <c:valAx>
        <c:axId val="97908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dd\-mmm\-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240160"/>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PRJ-002 — WBS Timeline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Charts'!$U$17</c:f>
              <c:strCache>
                <c:ptCount val="1"/>
                <c:pt idx="0">
                  <c:v>Start Offset</c:v>
                </c:pt>
              </c:strCache>
            </c:strRef>
          </c:tx>
          <c:spPr>
            <a:solidFill>
              <a:srgbClr val="FFFFFF"/>
            </a:solidFill>
            <a:ln>
              <a:solidFill>
                <a:srgbClr val="FFFFFF"/>
              </a:solidFill>
              <a:prstDash val="solid"/>
            </a:ln>
            <a:effectLst/>
          </c:spPr>
          <c:invertIfNegative val="0"/>
          <c:cat>
            <c:strRef>
              <c:f>'Gantt Charts'!$T$18:$T$19</c:f>
              <c:strCache>
                <c:ptCount val="2"/>
                <c:pt idx="0">
                  <c:v>1 Design &amp; CFD Analysis</c:v>
                </c:pt>
                <c:pt idx="1">
                  <c:v>2 Material Procurement</c:v>
                </c:pt>
              </c:strCache>
            </c:strRef>
          </c:cat>
          <c:val>
            <c:numRef>
              <c:f>'Gantt Charts'!$U$18:$U$19</c:f>
              <c:numCache>
                <c:formatCode>General</c:formatCode>
                <c:ptCount val="2"/>
                <c:pt idx="0">
                  <c:v>46235</c:v>
                </c:pt>
                <c:pt idx="1">
                  <c:v>46292</c:v>
                </c:pt>
              </c:numCache>
            </c:numRef>
          </c:val>
          <c:extLst>
            <c:ext xmlns:c16="http://schemas.microsoft.com/office/drawing/2014/chart" uri="{C3380CC4-5D6E-409C-BE32-E72D297353CC}">
              <c16:uniqueId val="{00000000-9850-47A4-BCFB-29972E745538}"/>
            </c:ext>
          </c:extLst>
        </c:ser>
        <c:ser>
          <c:idx val="1"/>
          <c:order val="1"/>
          <c:tx>
            <c:strRef>
              <c:f>'Gantt Charts'!$V$17</c:f>
              <c:strCache>
                <c:ptCount val="1"/>
                <c:pt idx="0">
                  <c:v>Duration Days</c:v>
                </c:pt>
              </c:strCache>
            </c:strRef>
          </c:tx>
          <c:spPr>
            <a:solidFill>
              <a:srgbClr val="5B9BD5"/>
            </a:solidFill>
            <a:ln>
              <a:solidFill>
                <a:srgbClr val="5B9BD5"/>
              </a:solidFill>
              <a:prstDash val="solid"/>
            </a:ln>
            <a:effectLst/>
          </c:spPr>
          <c:invertIfNegative val="0"/>
          <c:dPt>
            <c:idx val="0"/>
            <c:invertIfNegative val="0"/>
            <c:bubble3D val="0"/>
            <c:spPr>
              <a:solidFill>
                <a:srgbClr val="A6A6A6"/>
              </a:solidFill>
              <a:ln>
                <a:solidFill>
                  <a:srgbClr val="5B9BD5"/>
                </a:solidFill>
                <a:prstDash val="solid"/>
              </a:ln>
              <a:effectLst/>
            </c:spPr>
            <c:extLst>
              <c:ext xmlns:c16="http://schemas.microsoft.com/office/drawing/2014/chart" uri="{C3380CC4-5D6E-409C-BE32-E72D297353CC}">
                <c16:uniqueId val="{00000000-6C7A-4D07-8724-EBA85211AA05}"/>
              </c:ext>
            </c:extLst>
          </c:dPt>
          <c:dPt>
            <c:idx val="1"/>
            <c:invertIfNegative val="0"/>
            <c:bubble3D val="0"/>
            <c:spPr>
              <a:solidFill>
                <a:srgbClr val="A6A6A6"/>
              </a:solidFill>
              <a:ln>
                <a:solidFill>
                  <a:srgbClr val="5B9BD5"/>
                </a:solidFill>
                <a:prstDash val="solid"/>
              </a:ln>
              <a:effectLst/>
            </c:spPr>
            <c:extLst>
              <c:ext xmlns:c16="http://schemas.microsoft.com/office/drawing/2014/chart" uri="{C3380CC4-5D6E-409C-BE32-E72D297353CC}">
                <c16:uniqueId val="{00000001-6C7A-4D07-8724-EBA85211AA05}"/>
              </c:ext>
            </c:extLst>
          </c:dPt>
          <c:cat>
            <c:strRef>
              <c:f>'Gantt Charts'!$T$18:$T$19</c:f>
              <c:strCache>
                <c:ptCount val="2"/>
                <c:pt idx="0">
                  <c:v>1 Design &amp; CFD Analysis</c:v>
                </c:pt>
                <c:pt idx="1">
                  <c:v>2 Material Procurement</c:v>
                </c:pt>
              </c:strCache>
            </c:strRef>
          </c:cat>
          <c:val>
            <c:numRef>
              <c:f>'Gantt Charts'!$V$18:$V$19</c:f>
              <c:numCache>
                <c:formatCode>General</c:formatCode>
                <c:ptCount val="2"/>
                <c:pt idx="0">
                  <c:v>57</c:v>
                </c:pt>
                <c:pt idx="1">
                  <c:v>96</c:v>
                </c:pt>
              </c:numCache>
            </c:numRef>
          </c:val>
          <c:extLst>
            <c:ext xmlns:c16="http://schemas.microsoft.com/office/drawing/2014/chart" uri="{C3380CC4-5D6E-409C-BE32-E72D297353CC}">
              <c16:uniqueId val="{00000001-9850-47A4-BCFB-29972E745538}"/>
            </c:ext>
          </c:extLst>
        </c:ser>
        <c:dLbls>
          <c:showLegendKey val="0"/>
          <c:showVal val="0"/>
          <c:showCatName val="0"/>
          <c:showSerName val="0"/>
          <c:showPercent val="0"/>
          <c:showBubbleSize val="0"/>
        </c:dLbls>
        <c:gapWidth val="150"/>
        <c:overlap val="100"/>
        <c:axId val="1199167312"/>
        <c:axId val="979071151"/>
      </c:barChart>
      <c:catAx>
        <c:axId val="1199167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71151"/>
        <c:crosses val="autoZero"/>
        <c:auto val="1"/>
        <c:lblAlgn val="ctr"/>
        <c:lblOffset val="100"/>
        <c:noMultiLvlLbl val="0"/>
      </c:catAx>
      <c:valAx>
        <c:axId val="979071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dd\-mmm\-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167312"/>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PRJ-003 — WBS Timeline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Charts'!$U$22</c:f>
              <c:strCache>
                <c:ptCount val="1"/>
                <c:pt idx="0">
                  <c:v>Start Offset</c:v>
                </c:pt>
              </c:strCache>
            </c:strRef>
          </c:tx>
          <c:spPr>
            <a:solidFill>
              <a:srgbClr val="FFFFFF"/>
            </a:solidFill>
            <a:ln>
              <a:solidFill>
                <a:srgbClr val="FFFFFF"/>
              </a:solidFill>
              <a:prstDash val="solid"/>
            </a:ln>
            <a:effectLst/>
          </c:spPr>
          <c:invertIfNegative val="0"/>
          <c:cat>
            <c:strRef>
              <c:f>'Gantt Charts'!$T$23:$T$24</c:f>
              <c:strCache>
                <c:ptCount val="2"/>
                <c:pt idx="0">
                  <c:v>1 Structural Frame Engineering</c:v>
                </c:pt>
                <c:pt idx="1">
                  <c:v>2 Steel Fabrication</c:v>
                </c:pt>
              </c:strCache>
            </c:strRef>
          </c:cat>
          <c:val>
            <c:numRef>
              <c:f>'Gantt Charts'!$U$23:$U$24</c:f>
              <c:numCache>
                <c:formatCode>General</c:formatCode>
                <c:ptCount val="2"/>
                <c:pt idx="0">
                  <c:v>46143</c:v>
                </c:pt>
                <c:pt idx="1">
                  <c:v>46204</c:v>
                </c:pt>
              </c:numCache>
            </c:numRef>
          </c:val>
          <c:extLst>
            <c:ext xmlns:c16="http://schemas.microsoft.com/office/drawing/2014/chart" uri="{C3380CC4-5D6E-409C-BE32-E72D297353CC}">
              <c16:uniqueId val="{00000000-6F5C-4B7F-9BA7-B7DED9B39960}"/>
            </c:ext>
          </c:extLst>
        </c:ser>
        <c:ser>
          <c:idx val="1"/>
          <c:order val="1"/>
          <c:tx>
            <c:strRef>
              <c:f>'Gantt Charts'!$V$22</c:f>
              <c:strCache>
                <c:ptCount val="1"/>
                <c:pt idx="0">
                  <c:v>Duration Days</c:v>
                </c:pt>
              </c:strCache>
            </c:strRef>
          </c:tx>
          <c:spPr>
            <a:solidFill>
              <a:srgbClr val="5B9BD5"/>
            </a:solidFill>
            <a:ln>
              <a:solidFill>
                <a:srgbClr val="5B9BD5"/>
              </a:solidFill>
              <a:prstDash val="solid"/>
            </a:ln>
            <a:effectLst/>
          </c:spPr>
          <c:invertIfNegative val="0"/>
          <c:dPt>
            <c:idx val="0"/>
            <c:invertIfNegative val="0"/>
            <c:bubble3D val="0"/>
            <c:spPr>
              <a:solidFill>
                <a:srgbClr val="70AD47"/>
              </a:solidFill>
              <a:ln>
                <a:solidFill>
                  <a:srgbClr val="5B9BD5"/>
                </a:solidFill>
                <a:prstDash val="solid"/>
              </a:ln>
              <a:effectLst/>
            </c:spPr>
            <c:extLst>
              <c:ext xmlns:c16="http://schemas.microsoft.com/office/drawing/2014/chart" uri="{C3380CC4-5D6E-409C-BE32-E72D297353CC}">
                <c16:uniqueId val="{00000000-4FFC-4729-BB4E-DE017CABB5A3}"/>
              </c:ext>
            </c:extLst>
          </c:dPt>
          <c:dPt>
            <c:idx val="1"/>
            <c:invertIfNegative val="0"/>
            <c:bubble3D val="0"/>
            <c:spPr>
              <a:solidFill>
                <a:srgbClr val="C00000"/>
              </a:solidFill>
              <a:ln>
                <a:solidFill>
                  <a:srgbClr val="5B9BD5"/>
                </a:solidFill>
                <a:prstDash val="solid"/>
              </a:ln>
              <a:effectLst/>
            </c:spPr>
            <c:extLst>
              <c:ext xmlns:c16="http://schemas.microsoft.com/office/drawing/2014/chart" uri="{C3380CC4-5D6E-409C-BE32-E72D297353CC}">
                <c16:uniqueId val="{00000001-4FFC-4729-BB4E-DE017CABB5A3}"/>
              </c:ext>
            </c:extLst>
          </c:dPt>
          <c:cat>
            <c:strRef>
              <c:f>'Gantt Charts'!$T$23:$T$24</c:f>
              <c:strCache>
                <c:ptCount val="2"/>
                <c:pt idx="0">
                  <c:v>1 Structural Frame Engineering</c:v>
                </c:pt>
                <c:pt idx="1">
                  <c:v>2 Steel Fabrication</c:v>
                </c:pt>
              </c:strCache>
            </c:strRef>
          </c:cat>
          <c:val>
            <c:numRef>
              <c:f>'Gantt Charts'!$V$23:$V$24</c:f>
              <c:numCache>
                <c:formatCode>General</c:formatCode>
                <c:ptCount val="2"/>
                <c:pt idx="0">
                  <c:v>61</c:v>
                </c:pt>
                <c:pt idx="1">
                  <c:v>123</c:v>
                </c:pt>
              </c:numCache>
            </c:numRef>
          </c:val>
          <c:extLst>
            <c:ext xmlns:c16="http://schemas.microsoft.com/office/drawing/2014/chart" uri="{C3380CC4-5D6E-409C-BE32-E72D297353CC}">
              <c16:uniqueId val="{00000001-6F5C-4B7F-9BA7-B7DED9B39960}"/>
            </c:ext>
          </c:extLst>
        </c:ser>
        <c:dLbls>
          <c:showLegendKey val="0"/>
          <c:showVal val="0"/>
          <c:showCatName val="0"/>
          <c:showSerName val="0"/>
          <c:showPercent val="0"/>
          <c:showBubbleSize val="0"/>
        </c:dLbls>
        <c:gapWidth val="150"/>
        <c:overlap val="100"/>
        <c:axId val="1199162208"/>
        <c:axId val="979125871"/>
      </c:barChart>
      <c:catAx>
        <c:axId val="1199162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125871"/>
        <c:crosses val="autoZero"/>
        <c:auto val="1"/>
        <c:lblAlgn val="ctr"/>
        <c:lblOffset val="100"/>
        <c:noMultiLvlLbl val="0"/>
      </c:catAx>
      <c:valAx>
        <c:axId val="979125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dd\-mmm\-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162208"/>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PRJ-004 — WBS Timeline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Charts'!$U$27</c:f>
              <c:strCache>
                <c:ptCount val="1"/>
                <c:pt idx="0">
                  <c:v>Start Offset</c:v>
                </c:pt>
              </c:strCache>
            </c:strRef>
          </c:tx>
          <c:spPr>
            <a:solidFill>
              <a:srgbClr val="FFFFFF"/>
            </a:solidFill>
            <a:ln>
              <a:solidFill>
                <a:srgbClr val="FFFFFF"/>
              </a:solidFill>
              <a:prstDash val="solid"/>
            </a:ln>
            <a:effectLst/>
          </c:spPr>
          <c:invertIfNegative val="0"/>
          <c:cat>
            <c:strRef>
              <c:f>'Gantt Charts'!$T$28:$T$29</c:f>
              <c:strCache>
                <c:ptCount val="2"/>
                <c:pt idx="0">
                  <c:v>1 Engineering Drawings &amp; Class Approval</c:v>
                </c:pt>
                <c:pt idx="1">
                  <c:v>2 Hull Welding &amp; Assembly</c:v>
                </c:pt>
              </c:strCache>
            </c:strRef>
          </c:cat>
          <c:val>
            <c:numRef>
              <c:f>'Gantt Charts'!$U$28:$U$29</c:f>
              <c:numCache>
                <c:formatCode>General</c:formatCode>
                <c:ptCount val="2"/>
                <c:pt idx="0">
                  <c:v>46082</c:v>
                </c:pt>
                <c:pt idx="1">
                  <c:v>46128</c:v>
                </c:pt>
              </c:numCache>
            </c:numRef>
          </c:val>
          <c:extLst>
            <c:ext xmlns:c16="http://schemas.microsoft.com/office/drawing/2014/chart" uri="{C3380CC4-5D6E-409C-BE32-E72D297353CC}">
              <c16:uniqueId val="{00000000-34AE-472D-B765-39D5C466DBF0}"/>
            </c:ext>
          </c:extLst>
        </c:ser>
        <c:ser>
          <c:idx val="1"/>
          <c:order val="1"/>
          <c:tx>
            <c:strRef>
              <c:f>'Gantt Charts'!$V$27</c:f>
              <c:strCache>
                <c:ptCount val="1"/>
                <c:pt idx="0">
                  <c:v>Duration Days</c:v>
                </c:pt>
              </c:strCache>
            </c:strRef>
          </c:tx>
          <c:spPr>
            <a:solidFill>
              <a:srgbClr val="5B9BD5"/>
            </a:solidFill>
            <a:ln>
              <a:solidFill>
                <a:srgbClr val="5B9BD5"/>
              </a:solidFill>
              <a:prstDash val="solid"/>
            </a:ln>
            <a:effectLst/>
          </c:spPr>
          <c:invertIfNegative val="0"/>
          <c:dPt>
            <c:idx val="0"/>
            <c:invertIfNegative val="0"/>
            <c:bubble3D val="0"/>
            <c:spPr>
              <a:solidFill>
                <a:srgbClr val="70AD47"/>
              </a:solidFill>
              <a:ln>
                <a:solidFill>
                  <a:srgbClr val="5B9BD5"/>
                </a:solidFill>
                <a:prstDash val="solid"/>
              </a:ln>
              <a:effectLst/>
            </c:spPr>
            <c:extLst>
              <c:ext xmlns:c16="http://schemas.microsoft.com/office/drawing/2014/chart" uri="{C3380CC4-5D6E-409C-BE32-E72D297353CC}">
                <c16:uniqueId val="{00000000-AEC6-456C-BE44-D4BBA94BF7C4}"/>
              </c:ext>
            </c:extLst>
          </c:dPt>
          <c:dPt>
            <c:idx val="1"/>
            <c:invertIfNegative val="0"/>
            <c:bubble3D val="0"/>
            <c:spPr>
              <a:solidFill>
                <a:srgbClr val="C00000"/>
              </a:solidFill>
              <a:ln>
                <a:solidFill>
                  <a:srgbClr val="5B9BD5"/>
                </a:solidFill>
                <a:prstDash val="solid"/>
              </a:ln>
              <a:effectLst/>
            </c:spPr>
            <c:extLst>
              <c:ext xmlns:c16="http://schemas.microsoft.com/office/drawing/2014/chart" uri="{C3380CC4-5D6E-409C-BE32-E72D297353CC}">
                <c16:uniqueId val="{00000001-AEC6-456C-BE44-D4BBA94BF7C4}"/>
              </c:ext>
            </c:extLst>
          </c:dPt>
          <c:cat>
            <c:strRef>
              <c:f>'Gantt Charts'!$T$28:$T$29</c:f>
              <c:strCache>
                <c:ptCount val="2"/>
                <c:pt idx="0">
                  <c:v>1 Engineering Drawings &amp; Class Approval</c:v>
                </c:pt>
                <c:pt idx="1">
                  <c:v>2 Hull Welding &amp; Assembly</c:v>
                </c:pt>
              </c:strCache>
            </c:strRef>
          </c:cat>
          <c:val>
            <c:numRef>
              <c:f>'Gantt Charts'!$V$28:$V$29</c:f>
              <c:numCache>
                <c:formatCode>General</c:formatCode>
                <c:ptCount val="2"/>
                <c:pt idx="0">
                  <c:v>46</c:v>
                </c:pt>
                <c:pt idx="1">
                  <c:v>138</c:v>
                </c:pt>
              </c:numCache>
            </c:numRef>
          </c:val>
          <c:extLst>
            <c:ext xmlns:c16="http://schemas.microsoft.com/office/drawing/2014/chart" uri="{C3380CC4-5D6E-409C-BE32-E72D297353CC}">
              <c16:uniqueId val="{00000001-34AE-472D-B765-39D5C466DBF0}"/>
            </c:ext>
          </c:extLst>
        </c:ser>
        <c:dLbls>
          <c:showLegendKey val="0"/>
          <c:showVal val="0"/>
          <c:showCatName val="0"/>
          <c:showSerName val="0"/>
          <c:showPercent val="0"/>
          <c:showBubbleSize val="0"/>
        </c:dLbls>
        <c:gapWidth val="150"/>
        <c:overlap val="100"/>
        <c:axId val="1199226240"/>
        <c:axId val="979074031"/>
      </c:barChart>
      <c:catAx>
        <c:axId val="11992262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74031"/>
        <c:crosses val="autoZero"/>
        <c:auto val="1"/>
        <c:lblAlgn val="ctr"/>
        <c:lblOffset val="100"/>
        <c:noMultiLvlLbl val="0"/>
      </c:catAx>
      <c:valAx>
        <c:axId val="979074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dd\-mmm\-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226240"/>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PRJ-005 — WBS Timeline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Charts'!$U$32</c:f>
              <c:strCache>
                <c:ptCount val="1"/>
                <c:pt idx="0">
                  <c:v>Start Offset</c:v>
                </c:pt>
              </c:strCache>
            </c:strRef>
          </c:tx>
          <c:spPr>
            <a:solidFill>
              <a:srgbClr val="FFFFFF"/>
            </a:solidFill>
            <a:ln>
              <a:solidFill>
                <a:srgbClr val="FFFFFF"/>
              </a:solidFill>
              <a:prstDash val="solid"/>
            </a:ln>
            <a:effectLst/>
          </c:spPr>
          <c:invertIfNegative val="0"/>
          <c:cat>
            <c:strRef>
              <c:f>'Gantt Charts'!$T$33:$T$34</c:f>
              <c:strCache>
                <c:ptCount val="2"/>
                <c:pt idx="0">
                  <c:v>1 Project Control &amp; PM</c:v>
                </c:pt>
                <c:pt idx="1">
                  <c:v>2 Pontoon Assembly &amp; Painting</c:v>
                </c:pt>
              </c:strCache>
            </c:strRef>
          </c:cat>
          <c:val>
            <c:numRef>
              <c:f>'Gantt Charts'!$U$33:$U$34</c:f>
              <c:numCache>
                <c:formatCode>General</c:formatCode>
                <c:ptCount val="2"/>
                <c:pt idx="0">
                  <c:v>46054</c:v>
                </c:pt>
                <c:pt idx="1">
                  <c:v>46090</c:v>
                </c:pt>
              </c:numCache>
            </c:numRef>
          </c:val>
          <c:extLst>
            <c:ext xmlns:c16="http://schemas.microsoft.com/office/drawing/2014/chart" uri="{C3380CC4-5D6E-409C-BE32-E72D297353CC}">
              <c16:uniqueId val="{00000000-648A-4709-BB95-7668C2FE2469}"/>
            </c:ext>
          </c:extLst>
        </c:ser>
        <c:ser>
          <c:idx val="1"/>
          <c:order val="1"/>
          <c:tx>
            <c:strRef>
              <c:f>'Gantt Charts'!$V$32</c:f>
              <c:strCache>
                <c:ptCount val="1"/>
                <c:pt idx="0">
                  <c:v>Duration Days</c:v>
                </c:pt>
              </c:strCache>
            </c:strRef>
          </c:tx>
          <c:spPr>
            <a:solidFill>
              <a:srgbClr val="5B9BD5"/>
            </a:solidFill>
            <a:ln>
              <a:solidFill>
                <a:srgbClr val="5B9BD5"/>
              </a:solidFill>
              <a:prstDash val="solid"/>
            </a:ln>
            <a:effectLst/>
          </c:spPr>
          <c:invertIfNegative val="0"/>
          <c:dPt>
            <c:idx val="0"/>
            <c:invertIfNegative val="0"/>
            <c:bubble3D val="0"/>
            <c:spPr>
              <a:solidFill>
                <a:srgbClr val="70AD47"/>
              </a:solidFill>
              <a:ln>
                <a:solidFill>
                  <a:srgbClr val="5B9BD5"/>
                </a:solidFill>
                <a:prstDash val="solid"/>
              </a:ln>
              <a:effectLst/>
            </c:spPr>
            <c:extLst>
              <c:ext xmlns:c16="http://schemas.microsoft.com/office/drawing/2014/chart" uri="{C3380CC4-5D6E-409C-BE32-E72D297353CC}">
                <c16:uniqueId val="{00000000-96EF-4FA7-8750-6D0ECA9010D0}"/>
              </c:ext>
            </c:extLst>
          </c:dPt>
          <c:dPt>
            <c:idx val="1"/>
            <c:invertIfNegative val="0"/>
            <c:bubble3D val="0"/>
            <c:spPr>
              <a:solidFill>
                <a:srgbClr val="F4B183"/>
              </a:solidFill>
              <a:ln>
                <a:solidFill>
                  <a:srgbClr val="5B9BD5"/>
                </a:solidFill>
                <a:prstDash val="solid"/>
              </a:ln>
              <a:effectLst/>
            </c:spPr>
            <c:extLst>
              <c:ext xmlns:c16="http://schemas.microsoft.com/office/drawing/2014/chart" uri="{C3380CC4-5D6E-409C-BE32-E72D297353CC}">
                <c16:uniqueId val="{00000001-96EF-4FA7-8750-6D0ECA9010D0}"/>
              </c:ext>
            </c:extLst>
          </c:dPt>
          <c:cat>
            <c:strRef>
              <c:f>'Gantt Charts'!$T$33:$T$34</c:f>
              <c:strCache>
                <c:ptCount val="2"/>
                <c:pt idx="0">
                  <c:v>1 Project Control &amp; PM</c:v>
                </c:pt>
                <c:pt idx="1">
                  <c:v>2 Pontoon Assembly &amp; Painting</c:v>
                </c:pt>
              </c:strCache>
            </c:strRef>
          </c:cat>
          <c:val>
            <c:numRef>
              <c:f>'Gantt Charts'!$V$33:$V$34</c:f>
              <c:numCache>
                <c:formatCode>General</c:formatCode>
                <c:ptCount val="2"/>
                <c:pt idx="0">
                  <c:v>36</c:v>
                </c:pt>
                <c:pt idx="1">
                  <c:v>145</c:v>
                </c:pt>
              </c:numCache>
            </c:numRef>
          </c:val>
          <c:extLst>
            <c:ext xmlns:c16="http://schemas.microsoft.com/office/drawing/2014/chart" uri="{C3380CC4-5D6E-409C-BE32-E72D297353CC}">
              <c16:uniqueId val="{00000001-648A-4709-BB95-7668C2FE2469}"/>
            </c:ext>
          </c:extLst>
        </c:ser>
        <c:dLbls>
          <c:showLegendKey val="0"/>
          <c:showVal val="0"/>
          <c:showCatName val="0"/>
          <c:showSerName val="0"/>
          <c:showPercent val="0"/>
          <c:showBubbleSize val="0"/>
        </c:dLbls>
        <c:gapWidth val="150"/>
        <c:overlap val="100"/>
        <c:axId val="1199294448"/>
        <c:axId val="979039951"/>
      </c:barChart>
      <c:catAx>
        <c:axId val="1199294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39951"/>
        <c:crosses val="autoZero"/>
        <c:auto val="1"/>
        <c:lblAlgn val="ctr"/>
        <c:lblOffset val="100"/>
        <c:noMultiLvlLbl val="0"/>
      </c:catAx>
      <c:valAx>
        <c:axId val="97903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dd\-mmm\-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294448"/>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PRJ-006 — WBS Timeline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stacked"/>
        <c:varyColors val="0"/>
        <c:ser>
          <c:idx val="0"/>
          <c:order val="0"/>
          <c:tx>
            <c:strRef>
              <c:f>'Gantt Charts'!$U$37</c:f>
              <c:strCache>
                <c:ptCount val="1"/>
                <c:pt idx="0">
                  <c:v>Start Offset</c:v>
                </c:pt>
              </c:strCache>
            </c:strRef>
          </c:tx>
          <c:spPr>
            <a:solidFill>
              <a:srgbClr val="FFFFFF"/>
            </a:solidFill>
            <a:ln>
              <a:solidFill>
                <a:srgbClr val="FFFFFF"/>
              </a:solidFill>
              <a:prstDash val="solid"/>
            </a:ln>
            <a:effectLst/>
          </c:spPr>
          <c:invertIfNegative val="0"/>
          <c:cat>
            <c:strRef>
              <c:f>'Gantt Charts'!$T$38:$T$39</c:f>
              <c:strCache>
                <c:ptCount val="2"/>
                <c:pt idx="0">
                  <c:v>1 Hatch Engineering &amp; FEA</c:v>
                </c:pt>
                <c:pt idx="1">
                  <c:v>2 Molding &amp; Testing</c:v>
                </c:pt>
              </c:strCache>
            </c:strRef>
          </c:cat>
          <c:val>
            <c:numRef>
              <c:f>'Gantt Charts'!$U$38:$U$39</c:f>
              <c:numCache>
                <c:formatCode>General</c:formatCode>
                <c:ptCount val="2"/>
                <c:pt idx="0">
                  <c:v>46113</c:v>
                </c:pt>
                <c:pt idx="1">
                  <c:v>46133</c:v>
                </c:pt>
              </c:numCache>
            </c:numRef>
          </c:val>
          <c:extLst>
            <c:ext xmlns:c16="http://schemas.microsoft.com/office/drawing/2014/chart" uri="{C3380CC4-5D6E-409C-BE32-E72D297353CC}">
              <c16:uniqueId val="{00000000-DEB5-4B7A-B7C9-F5392F588EA4}"/>
            </c:ext>
          </c:extLst>
        </c:ser>
        <c:ser>
          <c:idx val="1"/>
          <c:order val="1"/>
          <c:tx>
            <c:strRef>
              <c:f>'Gantt Charts'!$V$37</c:f>
              <c:strCache>
                <c:ptCount val="1"/>
                <c:pt idx="0">
                  <c:v>Duration Days</c:v>
                </c:pt>
              </c:strCache>
            </c:strRef>
          </c:tx>
          <c:spPr>
            <a:solidFill>
              <a:srgbClr val="5B9BD5"/>
            </a:solidFill>
            <a:ln>
              <a:solidFill>
                <a:srgbClr val="5B9BD5"/>
              </a:solidFill>
              <a:prstDash val="solid"/>
            </a:ln>
            <a:effectLst/>
          </c:spPr>
          <c:invertIfNegative val="0"/>
          <c:dPt>
            <c:idx val="0"/>
            <c:invertIfNegative val="0"/>
            <c:bubble3D val="0"/>
            <c:spPr>
              <a:solidFill>
                <a:srgbClr val="70AD47"/>
              </a:solidFill>
              <a:ln>
                <a:solidFill>
                  <a:srgbClr val="5B9BD5"/>
                </a:solidFill>
                <a:prstDash val="solid"/>
              </a:ln>
              <a:effectLst/>
            </c:spPr>
            <c:extLst>
              <c:ext xmlns:c16="http://schemas.microsoft.com/office/drawing/2014/chart" uri="{C3380CC4-5D6E-409C-BE32-E72D297353CC}">
                <c16:uniqueId val="{00000000-D92F-47AD-AC68-7185A0DCA5A4}"/>
              </c:ext>
            </c:extLst>
          </c:dPt>
          <c:dPt>
            <c:idx val="1"/>
            <c:invertIfNegative val="0"/>
            <c:bubble3D val="0"/>
            <c:spPr>
              <a:solidFill>
                <a:srgbClr val="F4B183"/>
              </a:solidFill>
              <a:ln>
                <a:solidFill>
                  <a:srgbClr val="5B9BD5"/>
                </a:solidFill>
                <a:prstDash val="solid"/>
              </a:ln>
              <a:effectLst/>
            </c:spPr>
            <c:extLst>
              <c:ext xmlns:c16="http://schemas.microsoft.com/office/drawing/2014/chart" uri="{C3380CC4-5D6E-409C-BE32-E72D297353CC}">
                <c16:uniqueId val="{00000001-D92F-47AD-AC68-7185A0DCA5A4}"/>
              </c:ext>
            </c:extLst>
          </c:dPt>
          <c:cat>
            <c:strRef>
              <c:f>'Gantt Charts'!$T$38:$T$39</c:f>
              <c:strCache>
                <c:ptCount val="2"/>
                <c:pt idx="0">
                  <c:v>1 Hatch Engineering &amp; FEA</c:v>
                </c:pt>
                <c:pt idx="1">
                  <c:v>2 Molding &amp; Testing</c:v>
                </c:pt>
              </c:strCache>
            </c:strRef>
          </c:cat>
          <c:val>
            <c:numRef>
              <c:f>'Gantt Charts'!$V$38:$V$39</c:f>
              <c:numCache>
                <c:formatCode>General</c:formatCode>
                <c:ptCount val="2"/>
                <c:pt idx="0">
                  <c:v>20</c:v>
                </c:pt>
                <c:pt idx="1">
                  <c:v>41</c:v>
                </c:pt>
              </c:numCache>
            </c:numRef>
          </c:val>
          <c:extLst>
            <c:ext xmlns:c16="http://schemas.microsoft.com/office/drawing/2014/chart" uri="{C3380CC4-5D6E-409C-BE32-E72D297353CC}">
              <c16:uniqueId val="{00000001-DEB5-4B7A-B7C9-F5392F588EA4}"/>
            </c:ext>
          </c:extLst>
        </c:ser>
        <c:dLbls>
          <c:showLegendKey val="0"/>
          <c:showVal val="0"/>
          <c:showCatName val="0"/>
          <c:showSerName val="0"/>
          <c:showPercent val="0"/>
          <c:showBubbleSize val="0"/>
        </c:dLbls>
        <c:gapWidth val="150"/>
        <c:overlap val="100"/>
        <c:axId val="1199212784"/>
        <c:axId val="979024591"/>
      </c:barChart>
      <c:catAx>
        <c:axId val="11992127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Work item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24591"/>
        <c:crosses val="autoZero"/>
        <c:auto val="1"/>
        <c:lblAlgn val="ctr"/>
        <c:lblOffset val="100"/>
        <c:noMultiLvlLbl val="0"/>
      </c:catAx>
      <c:valAx>
        <c:axId val="979024591"/>
        <c:scaling>
          <c:orientation val="minMax"/>
          <c:max val="462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Timeline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dd\-mmm\-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99212784"/>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Project Budget, Actual Cost, and Earned Value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col"/>
        <c:grouping val="clustered"/>
        <c:varyColors val="0"/>
        <c:ser>
          <c:idx val="0"/>
          <c:order val="0"/>
          <c:tx>
            <c:strRef>
              <c:f>'EVM Data'!$D$24</c:f>
              <c:strCache>
                <c:ptCount val="1"/>
                <c:pt idx="0">
                  <c:v>BAC</c:v>
                </c:pt>
              </c:strCache>
            </c:strRef>
          </c:tx>
          <c:spPr>
            <a:solidFill>
              <a:srgbClr val="D9D9D9"/>
            </a:solidFill>
            <a:ln>
              <a:solidFill>
                <a:srgbClr val="D9D9D9"/>
              </a:solidFill>
              <a:prstDash val="solid"/>
            </a:ln>
            <a:effectLst/>
          </c:spPr>
          <c:invertIfNegative val="0"/>
          <c:cat>
            <c:strRef>
              <c:f>'EVM Data'!$A$25:$A$30</c:f>
              <c:strCache>
                <c:ptCount val="6"/>
                <c:pt idx="0">
                  <c:v>PRJ-001</c:v>
                </c:pt>
                <c:pt idx="1">
                  <c:v>PRJ-002</c:v>
                </c:pt>
                <c:pt idx="2">
                  <c:v>PRJ-003</c:v>
                </c:pt>
                <c:pt idx="3">
                  <c:v>PRJ-004</c:v>
                </c:pt>
                <c:pt idx="4">
                  <c:v>PRJ-005</c:v>
                </c:pt>
                <c:pt idx="5">
                  <c:v>PRJ-006</c:v>
                </c:pt>
              </c:strCache>
            </c:strRef>
          </c:cat>
          <c:val>
            <c:numRef>
              <c:f>'EVM Data'!$D$25:$D$30</c:f>
              <c:numCache>
                <c:formatCode>"$"#,##0</c:formatCode>
                <c:ptCount val="6"/>
                <c:pt idx="0">
                  <c:v>1500000</c:v>
                </c:pt>
                <c:pt idx="1">
                  <c:v>800000</c:v>
                </c:pt>
                <c:pt idx="2">
                  <c:v>1200000</c:v>
                </c:pt>
                <c:pt idx="3">
                  <c:v>2000000</c:v>
                </c:pt>
                <c:pt idx="4">
                  <c:v>1000000</c:v>
                </c:pt>
                <c:pt idx="5">
                  <c:v>600000</c:v>
                </c:pt>
              </c:numCache>
            </c:numRef>
          </c:val>
          <c:extLst>
            <c:ext xmlns:c16="http://schemas.microsoft.com/office/drawing/2014/chart" uri="{C3380CC4-5D6E-409C-BE32-E72D297353CC}">
              <c16:uniqueId val="{00000000-2CEE-4B41-BDBD-60AE756DDF17}"/>
            </c:ext>
          </c:extLst>
        </c:ser>
        <c:ser>
          <c:idx val="1"/>
          <c:order val="1"/>
          <c:tx>
            <c:strRef>
              <c:f>'EVM Data'!$E$24</c:f>
              <c:strCache>
                <c:ptCount val="1"/>
                <c:pt idx="0">
                  <c:v>AC</c:v>
                </c:pt>
              </c:strCache>
            </c:strRef>
          </c:tx>
          <c:spPr>
            <a:solidFill>
              <a:srgbClr val="404040"/>
            </a:solidFill>
            <a:ln>
              <a:solidFill>
                <a:srgbClr val="404040"/>
              </a:solidFill>
              <a:prstDash val="solid"/>
            </a:ln>
            <a:effectLst/>
          </c:spPr>
          <c:invertIfNegative val="0"/>
          <c:cat>
            <c:strRef>
              <c:f>'EVM Data'!$A$25:$A$30</c:f>
              <c:strCache>
                <c:ptCount val="6"/>
                <c:pt idx="0">
                  <c:v>PRJ-001</c:v>
                </c:pt>
                <c:pt idx="1">
                  <c:v>PRJ-002</c:v>
                </c:pt>
                <c:pt idx="2">
                  <c:v>PRJ-003</c:v>
                </c:pt>
                <c:pt idx="3">
                  <c:v>PRJ-004</c:v>
                </c:pt>
                <c:pt idx="4">
                  <c:v>PRJ-005</c:v>
                </c:pt>
                <c:pt idx="5">
                  <c:v>PRJ-006</c:v>
                </c:pt>
              </c:strCache>
            </c:strRef>
          </c:cat>
          <c:val>
            <c:numRef>
              <c:f>'EVM Data'!$E$25:$E$30</c:f>
              <c:numCache>
                <c:formatCode>"$"#,##0</c:formatCode>
                <c:ptCount val="6"/>
                <c:pt idx="0">
                  <c:v>1848810</c:v>
                </c:pt>
                <c:pt idx="1">
                  <c:v>0</c:v>
                </c:pt>
                <c:pt idx="2">
                  <c:v>382500</c:v>
                </c:pt>
                <c:pt idx="3">
                  <c:v>1476000</c:v>
                </c:pt>
                <c:pt idx="4">
                  <c:v>927000</c:v>
                </c:pt>
                <c:pt idx="5">
                  <c:v>586500</c:v>
                </c:pt>
              </c:numCache>
            </c:numRef>
          </c:val>
          <c:extLst>
            <c:ext xmlns:c16="http://schemas.microsoft.com/office/drawing/2014/chart" uri="{C3380CC4-5D6E-409C-BE32-E72D297353CC}">
              <c16:uniqueId val="{00000001-2CEE-4B41-BDBD-60AE756DDF17}"/>
            </c:ext>
          </c:extLst>
        </c:ser>
        <c:ser>
          <c:idx val="2"/>
          <c:order val="2"/>
          <c:tx>
            <c:strRef>
              <c:f>'EVM Data'!$F$24</c:f>
              <c:strCache>
                <c:ptCount val="1"/>
                <c:pt idx="0">
                  <c:v>EV</c:v>
                </c:pt>
              </c:strCache>
            </c:strRef>
          </c:tx>
          <c:spPr>
            <a:solidFill>
              <a:srgbClr val="5B9BD5"/>
            </a:solidFill>
            <a:ln>
              <a:solidFill>
                <a:srgbClr val="5B9BD5"/>
              </a:solidFill>
              <a:prstDash val="solid"/>
            </a:ln>
            <a:effectLst/>
          </c:spPr>
          <c:invertIfNegative val="0"/>
          <c:cat>
            <c:strRef>
              <c:f>'EVM Data'!$A$25:$A$30</c:f>
              <c:strCache>
                <c:ptCount val="6"/>
                <c:pt idx="0">
                  <c:v>PRJ-001</c:v>
                </c:pt>
                <c:pt idx="1">
                  <c:v>PRJ-002</c:v>
                </c:pt>
                <c:pt idx="2">
                  <c:v>PRJ-003</c:v>
                </c:pt>
                <c:pt idx="3">
                  <c:v>PRJ-004</c:v>
                </c:pt>
                <c:pt idx="4">
                  <c:v>PRJ-005</c:v>
                </c:pt>
                <c:pt idx="5">
                  <c:v>PRJ-006</c:v>
                </c:pt>
              </c:strCache>
            </c:strRef>
          </c:cat>
          <c:val>
            <c:numRef>
              <c:f>'EVM Data'!$F$25:$F$30</c:f>
              <c:numCache>
                <c:formatCode>"$"#,##0</c:formatCode>
                <c:ptCount val="6"/>
                <c:pt idx="0">
                  <c:v>1492500</c:v>
                </c:pt>
                <c:pt idx="1">
                  <c:v>0</c:v>
                </c:pt>
                <c:pt idx="2">
                  <c:v>360000</c:v>
                </c:pt>
                <c:pt idx="3">
                  <c:v>1400000</c:v>
                </c:pt>
                <c:pt idx="4">
                  <c:v>900000</c:v>
                </c:pt>
                <c:pt idx="5">
                  <c:v>600000</c:v>
                </c:pt>
              </c:numCache>
            </c:numRef>
          </c:val>
          <c:extLst>
            <c:ext xmlns:c16="http://schemas.microsoft.com/office/drawing/2014/chart" uri="{C3380CC4-5D6E-409C-BE32-E72D297353CC}">
              <c16:uniqueId val="{00000002-2CEE-4B41-BDBD-60AE756DDF17}"/>
            </c:ext>
          </c:extLst>
        </c:ser>
        <c:dLbls>
          <c:showLegendKey val="0"/>
          <c:showVal val="0"/>
          <c:showCatName val="0"/>
          <c:showSerName val="0"/>
          <c:showPercent val="0"/>
          <c:showBubbleSize val="0"/>
        </c:dLbls>
        <c:gapWidth val="219"/>
        <c:overlap val="-27"/>
        <c:axId val="1161461936"/>
        <c:axId val="979079791"/>
      </c:barChart>
      <c:catAx>
        <c:axId val="1161461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Project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79791"/>
        <c:crosses val="autoZero"/>
        <c:auto val="1"/>
        <c:lblAlgn val="ctr"/>
        <c:lblOffset val="100"/>
        <c:noMultiLvlLbl val="0"/>
      </c:catAx>
      <c:valAx>
        <c:axId val="979079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USD,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16146193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dispUnitsLbl>
        </c:dispUnits>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r>
              <a:rPr lang="en-US"/>
              <a:t>Project Cost Efficiency and Progress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333333"/>
              </a:solidFill>
              <a:latin typeface="+mn-lt"/>
              <a:ea typeface="+mn-ea"/>
              <a:cs typeface="+mn-cs"/>
            </a:defRPr>
          </a:pPr>
          <a:endParaRPr lang="nb-NO"/>
        </a:p>
      </c:txPr>
    </c:title>
    <c:autoTitleDeleted val="0"/>
    <c:plotArea>
      <c:layout/>
      <c:barChart>
        <c:barDir val="bar"/>
        <c:grouping val="clustered"/>
        <c:varyColors val="0"/>
        <c:ser>
          <c:idx val="0"/>
          <c:order val="0"/>
          <c:tx>
            <c:strRef>
              <c:f>'EVM Data'!$G$24</c:f>
              <c:strCache>
                <c:ptCount val="1"/>
                <c:pt idx="0">
                  <c:v>CPI</c:v>
                </c:pt>
              </c:strCache>
            </c:strRef>
          </c:tx>
          <c:spPr>
            <a:solidFill>
              <a:srgbClr val="404040"/>
            </a:solidFill>
            <a:ln>
              <a:solidFill>
                <a:srgbClr val="404040"/>
              </a:solidFill>
              <a:prstDash val="solid"/>
            </a:ln>
            <a:effectLst/>
          </c:spPr>
          <c:invertIfNegative val="0"/>
          <c:cat>
            <c:strRef>
              <c:f>'EVM Data'!$A$25:$A$30</c:f>
              <c:strCache>
                <c:ptCount val="6"/>
                <c:pt idx="0">
                  <c:v>PRJ-001</c:v>
                </c:pt>
                <c:pt idx="1">
                  <c:v>PRJ-002</c:v>
                </c:pt>
                <c:pt idx="2">
                  <c:v>PRJ-003</c:v>
                </c:pt>
                <c:pt idx="3">
                  <c:v>PRJ-004</c:v>
                </c:pt>
                <c:pt idx="4">
                  <c:v>PRJ-005</c:v>
                </c:pt>
                <c:pt idx="5">
                  <c:v>PRJ-006</c:v>
                </c:pt>
              </c:strCache>
            </c:strRef>
          </c:cat>
          <c:val>
            <c:numRef>
              <c:f>'EVM Data'!$G$25:$G$30</c:f>
              <c:numCache>
                <c:formatCode>0.00</c:formatCode>
                <c:ptCount val="6"/>
                <c:pt idx="0">
                  <c:v>0.80727603160952177</c:v>
                </c:pt>
                <c:pt idx="1">
                  <c:v>1</c:v>
                </c:pt>
                <c:pt idx="2">
                  <c:v>0.94117647058823528</c:v>
                </c:pt>
                <c:pt idx="3">
                  <c:v>0.948509485094851</c:v>
                </c:pt>
                <c:pt idx="4">
                  <c:v>0.970873786407767</c:v>
                </c:pt>
                <c:pt idx="5">
                  <c:v>1.0230179028132993</c:v>
                </c:pt>
              </c:numCache>
            </c:numRef>
          </c:val>
          <c:extLst>
            <c:ext xmlns:c16="http://schemas.microsoft.com/office/drawing/2014/chart" uri="{C3380CC4-5D6E-409C-BE32-E72D297353CC}">
              <c16:uniqueId val="{00000000-8300-49C6-8E41-FBE1364EE8F8}"/>
            </c:ext>
          </c:extLst>
        </c:ser>
        <c:ser>
          <c:idx val="1"/>
          <c:order val="1"/>
          <c:tx>
            <c:strRef>
              <c:f>'EVM Data'!$H$24</c:f>
              <c:strCache>
                <c:ptCount val="1"/>
                <c:pt idx="0">
                  <c:v>Progress</c:v>
                </c:pt>
              </c:strCache>
            </c:strRef>
          </c:tx>
          <c:spPr>
            <a:solidFill>
              <a:srgbClr val="5B9BD5"/>
            </a:solidFill>
            <a:ln>
              <a:solidFill>
                <a:srgbClr val="5B9BD5"/>
              </a:solidFill>
              <a:prstDash val="solid"/>
            </a:ln>
            <a:effectLst/>
          </c:spPr>
          <c:invertIfNegative val="0"/>
          <c:cat>
            <c:strRef>
              <c:f>'EVM Data'!$A$25:$A$30</c:f>
              <c:strCache>
                <c:ptCount val="6"/>
                <c:pt idx="0">
                  <c:v>PRJ-001</c:v>
                </c:pt>
                <c:pt idx="1">
                  <c:v>PRJ-002</c:v>
                </c:pt>
                <c:pt idx="2">
                  <c:v>PRJ-003</c:v>
                </c:pt>
                <c:pt idx="3">
                  <c:v>PRJ-004</c:v>
                </c:pt>
                <c:pt idx="4">
                  <c:v>PRJ-005</c:v>
                </c:pt>
                <c:pt idx="5">
                  <c:v>PRJ-006</c:v>
                </c:pt>
              </c:strCache>
            </c:strRef>
          </c:cat>
          <c:val>
            <c:numRef>
              <c:f>'EVM Data'!$H$25:$H$30</c:f>
              <c:numCache>
                <c:formatCode>0.0%</c:formatCode>
                <c:ptCount val="6"/>
                <c:pt idx="0">
                  <c:v>0.995</c:v>
                </c:pt>
                <c:pt idx="1">
                  <c:v>0</c:v>
                </c:pt>
                <c:pt idx="2">
                  <c:v>0.3</c:v>
                </c:pt>
                <c:pt idx="3">
                  <c:v>0.7</c:v>
                </c:pt>
                <c:pt idx="4">
                  <c:v>0.9</c:v>
                </c:pt>
                <c:pt idx="5">
                  <c:v>1</c:v>
                </c:pt>
              </c:numCache>
            </c:numRef>
          </c:val>
          <c:extLst>
            <c:ext xmlns:c16="http://schemas.microsoft.com/office/drawing/2014/chart" uri="{C3380CC4-5D6E-409C-BE32-E72D297353CC}">
              <c16:uniqueId val="{00000001-8300-49C6-8E41-FBE1364EE8F8}"/>
            </c:ext>
          </c:extLst>
        </c:ser>
        <c:dLbls>
          <c:showLegendKey val="0"/>
          <c:showVal val="0"/>
          <c:showCatName val="0"/>
          <c:showSerName val="0"/>
          <c:showPercent val="0"/>
          <c:showBubbleSize val="0"/>
        </c:dLbls>
        <c:gapWidth val="182"/>
        <c:axId val="1247969872"/>
        <c:axId val="979041871"/>
      </c:barChart>
      <c:catAx>
        <c:axId val="124796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979041871"/>
        <c:crosses val="autoZero"/>
        <c:auto val="1"/>
        <c:lblAlgn val="ctr"/>
        <c:lblOffset val="100"/>
        <c:noMultiLvlLbl val="0"/>
      </c:catAx>
      <c:valAx>
        <c:axId val="979041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Ratio / progress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247969872"/>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6350</xdr:rowOff>
    </xdr:from>
    <xdr:to>
      <xdr:col>18</xdr:col>
      <xdr:colOff>0</xdr:colOff>
      <xdr:row>22</xdr:row>
      <xdr:rowOff>66675</xdr:rowOff>
    </xdr:to>
    <xdr:graphicFrame macro="">
      <xdr:nvGraphicFramePr>
        <xdr:cNvPr id="2" name="Portfolio Gantt of Gantts">
          <a:extLst>
            <a:ext uri="{FF2B5EF4-FFF2-40B4-BE49-F238E27FC236}">
              <a16:creationId xmlns:a16="http://schemas.microsoft.com/office/drawing/2014/main" id="{A92F9D1F-CA28-EA09-42B2-E5262E364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73025</xdr:rowOff>
    </xdr:from>
    <xdr:to>
      <xdr:col>9</xdr:col>
      <xdr:colOff>0</xdr:colOff>
      <xdr:row>39</xdr:row>
      <xdr:rowOff>120650</xdr:rowOff>
    </xdr:to>
    <xdr:graphicFrame macro="">
      <xdr:nvGraphicFramePr>
        <xdr:cNvPr id="3" name="PRJ-001 WBS Gantt">
          <a:extLst>
            <a:ext uri="{FF2B5EF4-FFF2-40B4-BE49-F238E27FC236}">
              <a16:creationId xmlns:a16="http://schemas.microsoft.com/office/drawing/2014/main" id="{47D8A2CD-9A53-805E-6700-B3729E9CF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23</xdr:row>
      <xdr:rowOff>73025</xdr:rowOff>
    </xdr:from>
    <xdr:to>
      <xdr:col>18</xdr:col>
      <xdr:colOff>0</xdr:colOff>
      <xdr:row>39</xdr:row>
      <xdr:rowOff>120650</xdr:rowOff>
    </xdr:to>
    <xdr:graphicFrame macro="">
      <xdr:nvGraphicFramePr>
        <xdr:cNvPr id="4" name="PRJ-002 WBS Gantt">
          <a:extLst>
            <a:ext uri="{FF2B5EF4-FFF2-40B4-BE49-F238E27FC236}">
              <a16:creationId xmlns:a16="http://schemas.microsoft.com/office/drawing/2014/main" id="{A23E874D-E325-EDC3-7B13-0FDD3972D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41</xdr:row>
      <xdr:rowOff>130175</xdr:rowOff>
    </xdr:from>
    <xdr:to>
      <xdr:col>9</xdr:col>
      <xdr:colOff>0</xdr:colOff>
      <xdr:row>58</xdr:row>
      <xdr:rowOff>0</xdr:rowOff>
    </xdr:to>
    <xdr:graphicFrame macro="">
      <xdr:nvGraphicFramePr>
        <xdr:cNvPr id="5" name="PRJ-003 WBS Gantt">
          <a:extLst>
            <a:ext uri="{FF2B5EF4-FFF2-40B4-BE49-F238E27FC236}">
              <a16:creationId xmlns:a16="http://schemas.microsoft.com/office/drawing/2014/main" id="{B24B26F0-D5A2-D33B-1F1F-8E63C99FD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41</xdr:row>
      <xdr:rowOff>130175</xdr:rowOff>
    </xdr:from>
    <xdr:to>
      <xdr:col>18</xdr:col>
      <xdr:colOff>0</xdr:colOff>
      <xdr:row>58</xdr:row>
      <xdr:rowOff>0</xdr:rowOff>
    </xdr:to>
    <xdr:graphicFrame macro="">
      <xdr:nvGraphicFramePr>
        <xdr:cNvPr id="6" name="PRJ-004 WBS Gantt">
          <a:extLst>
            <a:ext uri="{FF2B5EF4-FFF2-40B4-BE49-F238E27FC236}">
              <a16:creationId xmlns:a16="http://schemas.microsoft.com/office/drawing/2014/main" id="{0F6A91A0-5A97-1008-DD93-7AF9EA27F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60</xdr:row>
      <xdr:rowOff>9525</xdr:rowOff>
    </xdr:from>
    <xdr:to>
      <xdr:col>9</xdr:col>
      <xdr:colOff>0</xdr:colOff>
      <xdr:row>76</xdr:row>
      <xdr:rowOff>57150</xdr:rowOff>
    </xdr:to>
    <xdr:graphicFrame macro="">
      <xdr:nvGraphicFramePr>
        <xdr:cNvPr id="7" name="PRJ-005 WBS Gantt">
          <a:extLst>
            <a:ext uri="{FF2B5EF4-FFF2-40B4-BE49-F238E27FC236}">
              <a16:creationId xmlns:a16="http://schemas.microsoft.com/office/drawing/2014/main" id="{33A4252D-DE87-D422-9EE8-E318C6FEA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60</xdr:row>
      <xdr:rowOff>9525</xdr:rowOff>
    </xdr:from>
    <xdr:to>
      <xdr:col>18</xdr:col>
      <xdr:colOff>0</xdr:colOff>
      <xdr:row>76</xdr:row>
      <xdr:rowOff>57150</xdr:rowOff>
    </xdr:to>
    <xdr:graphicFrame macro="">
      <xdr:nvGraphicFramePr>
        <xdr:cNvPr id="8" name="PRJ-006 WBS Gantt">
          <a:extLst>
            <a:ext uri="{FF2B5EF4-FFF2-40B4-BE49-F238E27FC236}">
              <a16:creationId xmlns:a16="http://schemas.microsoft.com/office/drawing/2014/main" id="{6CF7E7C9-07DC-2C96-313E-C4433485F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631371</xdr:colOff>
      <xdr:row>6</xdr:row>
      <xdr:rowOff>95250</xdr:rowOff>
    </xdr:from>
    <xdr:to>
      <xdr:col>11</xdr:col>
      <xdr:colOff>631371</xdr:colOff>
      <xdr:row>18</xdr:row>
      <xdr:rowOff>158750</xdr:rowOff>
    </xdr:to>
    <xdr:cxnSp macro="">
      <xdr:nvCxnSpPr>
        <xdr:cNvPr id="20" name="Today Marker - Portfolio Gantt of Gantts">
          <a:extLst>
            <a:ext uri="{FF2B5EF4-FFF2-40B4-BE49-F238E27FC236}">
              <a16:creationId xmlns:a16="http://schemas.microsoft.com/office/drawing/2014/main" id="{7A41CF7A-9324-4A1A-8812-E9499DBE106F}"/>
            </a:ext>
          </a:extLst>
        </xdr:cNvPr>
        <xdr:cNvCxnSpPr/>
      </xdr:nvCxnSpPr>
      <xdr:spPr>
        <a:xfrm>
          <a:off x="9013371" y="1181100"/>
          <a:ext cx="0" cy="2238375"/>
        </a:xfrm>
        <a:prstGeom prst="straightConnector1">
          <a:avLst/>
        </a:prstGeom>
        <a:noFill/>
        <a:ln w="9525" cap="rnd" cmpd="sng" algn="ctr">
          <a:solidFill>
            <a:srgbClr val="1F4E79"/>
          </a:solidFill>
          <a:prstDash val="dot"/>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252548</xdr:colOff>
      <xdr:row>26</xdr:row>
      <xdr:rowOff>60452</xdr:rowOff>
    </xdr:from>
    <xdr:to>
      <xdr:col>8</xdr:col>
      <xdr:colOff>252548</xdr:colOff>
      <xdr:row>36</xdr:row>
      <xdr:rowOff>136398</xdr:rowOff>
    </xdr:to>
    <xdr:cxnSp macro="">
      <xdr:nvCxnSpPr>
        <xdr:cNvPr id="21" name="Today Marker - PRJ-001 WBS Gantt">
          <a:extLst>
            <a:ext uri="{FF2B5EF4-FFF2-40B4-BE49-F238E27FC236}">
              <a16:creationId xmlns:a16="http://schemas.microsoft.com/office/drawing/2014/main" id="{631A224B-F00D-495E-AF66-D54F8633C39D}"/>
            </a:ext>
          </a:extLst>
        </xdr:cNvPr>
        <xdr:cNvCxnSpPr/>
      </xdr:nvCxnSpPr>
      <xdr:spPr>
        <a:xfrm>
          <a:off x="6351723" y="4768977"/>
          <a:ext cx="0" cy="1882521"/>
        </a:xfrm>
        <a:prstGeom prst="straightConnector1">
          <a:avLst/>
        </a:prstGeom>
        <a:noFill/>
        <a:ln w="9525" cap="rnd" cmpd="sng" algn="ctr">
          <a:solidFill>
            <a:srgbClr val="1F4E79"/>
          </a:solidFill>
          <a:prstDash val="dot"/>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347471</xdr:colOff>
      <xdr:row>26</xdr:row>
      <xdr:rowOff>60452</xdr:rowOff>
    </xdr:from>
    <xdr:to>
      <xdr:col>13</xdr:col>
      <xdr:colOff>347471</xdr:colOff>
      <xdr:row>36</xdr:row>
      <xdr:rowOff>136398</xdr:rowOff>
    </xdr:to>
    <xdr:cxnSp macro="">
      <xdr:nvCxnSpPr>
        <xdr:cNvPr id="22" name="Today Marker - PRJ-002 WBS Gantt">
          <a:extLst>
            <a:ext uri="{FF2B5EF4-FFF2-40B4-BE49-F238E27FC236}">
              <a16:creationId xmlns:a16="http://schemas.microsoft.com/office/drawing/2014/main" id="{BF72936D-7F87-4801-9CD3-0DEDF35A9506}"/>
            </a:ext>
          </a:extLst>
        </xdr:cNvPr>
        <xdr:cNvCxnSpPr/>
      </xdr:nvCxnSpPr>
      <xdr:spPr>
        <a:xfrm>
          <a:off x="10256646" y="4768977"/>
          <a:ext cx="0" cy="1882521"/>
        </a:xfrm>
        <a:prstGeom prst="straightConnector1">
          <a:avLst/>
        </a:prstGeom>
        <a:noFill/>
        <a:ln w="9525" cap="rnd" cmpd="sng" algn="ctr">
          <a:solidFill>
            <a:srgbClr val="1F4E79"/>
          </a:solidFill>
          <a:prstDash val="dot"/>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670560</xdr:colOff>
      <xdr:row>43</xdr:row>
      <xdr:rowOff>294005</xdr:rowOff>
    </xdr:from>
    <xdr:to>
      <xdr:col>5</xdr:col>
      <xdr:colOff>670560</xdr:colOff>
      <xdr:row>53</xdr:row>
      <xdr:rowOff>7619</xdr:rowOff>
    </xdr:to>
    <xdr:cxnSp macro="">
      <xdr:nvCxnSpPr>
        <xdr:cNvPr id="23" name="Today Marker - PRJ-003 WBS Gantt">
          <a:extLst>
            <a:ext uri="{FF2B5EF4-FFF2-40B4-BE49-F238E27FC236}">
              <a16:creationId xmlns:a16="http://schemas.microsoft.com/office/drawing/2014/main" id="{A45BB6C8-FD82-42EC-836F-B9176896C7CD}"/>
            </a:ext>
          </a:extLst>
        </xdr:cNvPr>
        <xdr:cNvCxnSpPr/>
      </xdr:nvCxnSpPr>
      <xdr:spPr>
        <a:xfrm>
          <a:off x="4483735" y="8450580"/>
          <a:ext cx="0" cy="3190239"/>
        </a:xfrm>
        <a:prstGeom prst="straightConnector1">
          <a:avLst/>
        </a:prstGeom>
        <a:noFill/>
        <a:ln w="9525" cap="rnd" cmpd="sng" algn="ctr">
          <a:solidFill>
            <a:srgbClr val="1F4E79"/>
          </a:solidFill>
          <a:prstDash val="dot"/>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374468</xdr:colOff>
      <xdr:row>43</xdr:row>
      <xdr:rowOff>294005</xdr:rowOff>
    </xdr:from>
    <xdr:to>
      <xdr:col>16</xdr:col>
      <xdr:colOff>374468</xdr:colOff>
      <xdr:row>53</xdr:row>
      <xdr:rowOff>7619</xdr:rowOff>
    </xdr:to>
    <xdr:cxnSp macro="">
      <xdr:nvCxnSpPr>
        <xdr:cNvPr id="24" name="Today Marker - PRJ-004 WBS Gantt">
          <a:extLst>
            <a:ext uri="{FF2B5EF4-FFF2-40B4-BE49-F238E27FC236}">
              <a16:creationId xmlns:a16="http://schemas.microsoft.com/office/drawing/2014/main" id="{1ED26891-4AC6-4D09-BCBF-E47A51D72383}"/>
            </a:ext>
          </a:extLst>
        </xdr:cNvPr>
        <xdr:cNvCxnSpPr/>
      </xdr:nvCxnSpPr>
      <xdr:spPr>
        <a:xfrm>
          <a:off x="12563293" y="8450580"/>
          <a:ext cx="0" cy="3190239"/>
        </a:xfrm>
        <a:prstGeom prst="straightConnector1">
          <a:avLst/>
        </a:prstGeom>
        <a:noFill/>
        <a:ln w="9525" cap="rnd" cmpd="sng" algn="ctr">
          <a:solidFill>
            <a:srgbClr val="1F4E79"/>
          </a:solidFill>
          <a:prstDash val="dot"/>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213359</xdr:colOff>
      <xdr:row>62</xdr:row>
      <xdr:rowOff>174752</xdr:rowOff>
    </xdr:from>
    <xdr:to>
      <xdr:col>8</xdr:col>
      <xdr:colOff>213359</xdr:colOff>
      <xdr:row>73</xdr:row>
      <xdr:rowOff>69723</xdr:rowOff>
    </xdr:to>
    <xdr:cxnSp macro="">
      <xdr:nvCxnSpPr>
        <xdr:cNvPr id="25" name="Today Marker - PRJ-005 WBS Gantt">
          <a:extLst>
            <a:ext uri="{FF2B5EF4-FFF2-40B4-BE49-F238E27FC236}">
              <a16:creationId xmlns:a16="http://schemas.microsoft.com/office/drawing/2014/main" id="{B86E41C7-7D21-4BA0-989F-7EDCE58D07CB}"/>
            </a:ext>
          </a:extLst>
        </xdr:cNvPr>
        <xdr:cNvCxnSpPr/>
      </xdr:nvCxnSpPr>
      <xdr:spPr>
        <a:xfrm>
          <a:off x="6312534" y="13436727"/>
          <a:ext cx="0" cy="1879346"/>
        </a:xfrm>
        <a:prstGeom prst="straightConnector1">
          <a:avLst/>
        </a:prstGeom>
        <a:noFill/>
        <a:ln w="9525" cap="rnd" cmpd="sng" algn="ctr">
          <a:solidFill>
            <a:srgbClr val="1F4E79"/>
          </a:solidFill>
          <a:prstDash val="dot"/>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225552</xdr:colOff>
      <xdr:row>62</xdr:row>
      <xdr:rowOff>174752</xdr:rowOff>
    </xdr:from>
    <xdr:to>
      <xdr:col>17</xdr:col>
      <xdr:colOff>225552</xdr:colOff>
      <xdr:row>73</xdr:row>
      <xdr:rowOff>69723</xdr:rowOff>
    </xdr:to>
    <xdr:cxnSp macro="">
      <xdr:nvCxnSpPr>
        <xdr:cNvPr id="26" name="Today Marker - PRJ-006 WBS Gantt">
          <a:extLst>
            <a:ext uri="{FF2B5EF4-FFF2-40B4-BE49-F238E27FC236}">
              <a16:creationId xmlns:a16="http://schemas.microsoft.com/office/drawing/2014/main" id="{B4A5BC93-F6A4-47AF-AC6E-75E19721AE18}"/>
            </a:ext>
          </a:extLst>
        </xdr:cNvPr>
        <xdr:cNvCxnSpPr/>
      </xdr:nvCxnSpPr>
      <xdr:spPr>
        <a:xfrm>
          <a:off x="13179552" y="13436727"/>
          <a:ext cx="0" cy="1879346"/>
        </a:xfrm>
        <a:prstGeom prst="straightConnector1">
          <a:avLst/>
        </a:prstGeom>
        <a:noFill/>
        <a:ln w="9525" cap="rnd" cmpd="sng" algn="ctr">
          <a:solidFill>
            <a:srgbClr val="1F4E79"/>
          </a:solidFill>
          <a:prstDash val="dot"/>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640098</xdr:colOff>
      <xdr:row>26</xdr:row>
      <xdr:rowOff>131165</xdr:rowOff>
    </xdr:from>
    <xdr:to>
      <xdr:col>7</xdr:col>
      <xdr:colOff>125748</xdr:colOff>
      <xdr:row>28</xdr:row>
      <xdr:rowOff>99211</xdr:rowOff>
    </xdr:to>
    <xdr:sp macro="" textlink="">
      <xdr:nvSpPr>
        <xdr:cNvPr id="27" name="Bar Comment - PRJ-001 - 1">
          <a:extLst>
            <a:ext uri="{FF2B5EF4-FFF2-40B4-BE49-F238E27FC236}">
              <a16:creationId xmlns:a16="http://schemas.microsoft.com/office/drawing/2014/main" id="{D51176C3-1B69-1858-E66D-6FEB3E23A790}"/>
            </a:ext>
          </a:extLst>
        </xdr:cNvPr>
        <xdr:cNvSpPr txBox="1"/>
      </xdr:nvSpPr>
      <xdr:spPr>
        <a:xfrm>
          <a:off x="3684923" y="4836515"/>
          <a:ext cx="1771650" cy="333171"/>
        </a:xfrm>
        <a:prstGeom prst="rect">
          <a:avLst/>
        </a:prstGeom>
        <a:solidFill>
          <a:srgbClr val="FFFFFF">
            <a:alpha val="92000"/>
          </a:srgbClr>
        </a:solidFill>
        <a:ln>
          <a:solidFill>
            <a:srgbClr val="C00000"/>
          </a:solidFill>
        </a:ln>
      </xdr:spPr>
      <xdr:txBody>
        <a:bodyPr vertOverflow="overflow" vert="horz" wrap="square" rtlCol="0" anchor="t">
          <a:spAutoFit/>
        </a:bodyPr>
        <a:lstStyle/>
        <a:p>
          <a:pPr algn="l"/>
          <a:r>
            <a:rPr kumimoji="0" lang="nb-NO" sz="800" b="0" i="0" u="none" strike="noStrike" kern="0" cap="none" spc="0" normalizeH="0" baseline="0" noProof="0">
              <a:ln>
                <a:noFill/>
              </a:ln>
              <a:solidFill>
                <a:srgbClr val="333333"/>
              </a:solidFill>
              <a:effectLst/>
              <a:uLnTx/>
              <a:uFillTx/>
              <a:latin typeface="Calibri"/>
            </a:rPr>
            <a:t>Overrun — review cost/schedule recovery.</a:t>
          </a:r>
        </a:p>
      </xdr:txBody>
    </xdr:sp>
    <xdr:clientData/>
  </xdr:twoCellAnchor>
  <xdr:twoCellAnchor>
    <xdr:from>
      <xdr:col>3</xdr:col>
      <xdr:colOff>724154</xdr:colOff>
      <xdr:row>29</xdr:row>
      <xdr:rowOff>40614</xdr:rowOff>
    </xdr:from>
    <xdr:to>
      <xdr:col>6</xdr:col>
      <xdr:colOff>216154</xdr:colOff>
      <xdr:row>31</xdr:row>
      <xdr:rowOff>11835</xdr:rowOff>
    </xdr:to>
    <xdr:sp macro="" textlink="">
      <xdr:nvSpPr>
        <xdr:cNvPr id="28" name="Bar Comment - PRJ-001 - 2">
          <a:extLst>
            <a:ext uri="{FF2B5EF4-FFF2-40B4-BE49-F238E27FC236}">
              <a16:creationId xmlns:a16="http://schemas.microsoft.com/office/drawing/2014/main" id="{55D8C593-3871-E356-AF5B-9C9FF9559F76}"/>
            </a:ext>
          </a:extLst>
        </xdr:cNvPr>
        <xdr:cNvSpPr txBox="1"/>
      </xdr:nvSpPr>
      <xdr:spPr>
        <a:xfrm>
          <a:off x="3010154" y="5288889"/>
          <a:ext cx="1778000" cy="333171"/>
        </a:xfrm>
        <a:prstGeom prst="rect">
          <a:avLst/>
        </a:prstGeom>
        <a:solidFill>
          <a:srgbClr val="FFFFFF">
            <a:alpha val="92000"/>
          </a:srgbClr>
        </a:solidFill>
        <a:ln>
          <a:solidFill>
            <a:srgbClr val="F4B183"/>
          </a:solidFill>
        </a:ln>
      </xdr:spPr>
      <xdr:txBody>
        <a:bodyPr vertOverflow="overflow" vert="horz" wrap="square" rtlCol="0" anchor="t">
          <a:spAutoFit/>
        </a:bodyPr>
        <a:lstStyle/>
        <a:p>
          <a:pPr algn="l"/>
          <a:r>
            <a:rPr kumimoji="0" lang="nb-NO" sz="800" b="0" i="0" u="none" strike="noStrike" kern="0" cap="none" spc="0" normalizeH="0" baseline="0" noProof="0">
              <a:ln>
                <a:noFill/>
              </a:ln>
              <a:solidFill>
                <a:srgbClr val="333333"/>
              </a:solidFill>
              <a:effectLst/>
              <a:uLnTx/>
              <a:uFillTx/>
              <a:latin typeface="Calibri"/>
            </a:rPr>
            <a:t>Complete/watch — closed but monitor final cost.</a:t>
          </a:r>
        </a:p>
      </xdr:txBody>
    </xdr:sp>
    <xdr:clientData/>
  </xdr:twoCellAnchor>
  <xdr:twoCellAnchor>
    <xdr:from>
      <xdr:col>3</xdr:col>
      <xdr:colOff>47625</xdr:colOff>
      <xdr:row>31</xdr:row>
      <xdr:rowOff>131038</xdr:rowOff>
    </xdr:from>
    <xdr:to>
      <xdr:col>5</xdr:col>
      <xdr:colOff>301625</xdr:colOff>
      <xdr:row>33</xdr:row>
      <xdr:rowOff>102259</xdr:rowOff>
    </xdr:to>
    <xdr:sp macro="" textlink="">
      <xdr:nvSpPr>
        <xdr:cNvPr id="29" name="Bar Comment - PRJ-001 - 3">
          <a:extLst>
            <a:ext uri="{FF2B5EF4-FFF2-40B4-BE49-F238E27FC236}">
              <a16:creationId xmlns:a16="http://schemas.microsoft.com/office/drawing/2014/main" id="{948C45D5-8BE0-B57C-9D24-62B415ABB534}"/>
            </a:ext>
          </a:extLst>
        </xdr:cNvPr>
        <xdr:cNvSpPr txBox="1"/>
      </xdr:nvSpPr>
      <xdr:spPr>
        <a:xfrm>
          <a:off x="2333625" y="5741263"/>
          <a:ext cx="1778000" cy="333171"/>
        </a:xfrm>
        <a:prstGeom prst="rect">
          <a:avLst/>
        </a:prstGeom>
        <a:solidFill>
          <a:srgbClr val="FFFFFF">
            <a:alpha val="92000"/>
          </a:srgbClr>
        </a:solidFill>
        <a:ln>
          <a:solidFill>
            <a:srgbClr val="C00000"/>
          </a:solidFill>
        </a:ln>
      </xdr:spPr>
      <xdr:txBody>
        <a:bodyPr vertOverflow="overflow" vert="horz" wrap="square" rtlCol="0" anchor="t">
          <a:spAutoFit/>
        </a:bodyPr>
        <a:lstStyle/>
        <a:p>
          <a:pPr algn="l"/>
          <a:r>
            <a:rPr kumimoji="0" lang="nb-NO" sz="800" b="0" i="0" u="none" strike="noStrike" kern="0" cap="none" spc="0" normalizeH="0" baseline="0" noProof="0">
              <a:ln>
                <a:noFill/>
              </a:ln>
              <a:solidFill>
                <a:srgbClr val="333333"/>
              </a:solidFill>
              <a:effectLst/>
              <a:uLnTx/>
              <a:uFillTx/>
              <a:latin typeface="Calibri"/>
            </a:rPr>
            <a:t>Overrun — review cost/schedule recovery.</a:t>
          </a:r>
        </a:p>
      </xdr:txBody>
    </xdr:sp>
    <xdr:clientData/>
  </xdr:twoCellAnchor>
  <xdr:twoCellAnchor>
    <xdr:from>
      <xdr:col>5</xdr:col>
      <xdr:colOff>666750</xdr:colOff>
      <xdr:row>34</xdr:row>
      <xdr:rowOff>97637</xdr:rowOff>
    </xdr:from>
    <xdr:to>
      <xdr:col>8</xdr:col>
      <xdr:colOff>158750</xdr:colOff>
      <xdr:row>36</xdr:row>
      <xdr:rowOff>68858</xdr:rowOff>
    </xdr:to>
    <xdr:sp macro="" textlink="">
      <xdr:nvSpPr>
        <xdr:cNvPr id="30" name="Bar Comment - PRJ-001 - 4">
          <a:extLst>
            <a:ext uri="{FF2B5EF4-FFF2-40B4-BE49-F238E27FC236}">
              <a16:creationId xmlns:a16="http://schemas.microsoft.com/office/drawing/2014/main" id="{5DCE2A06-52FE-DD59-42D7-613D176FDE74}"/>
            </a:ext>
          </a:extLst>
        </xdr:cNvPr>
        <xdr:cNvSpPr txBox="1"/>
      </xdr:nvSpPr>
      <xdr:spPr>
        <a:xfrm>
          <a:off x="4476750" y="6250787"/>
          <a:ext cx="1778000" cy="333171"/>
        </a:xfrm>
        <a:prstGeom prst="rect">
          <a:avLst/>
        </a:prstGeom>
        <a:solidFill>
          <a:srgbClr val="FFFFFF">
            <a:alpha val="92000"/>
          </a:srgbClr>
        </a:solidFill>
        <a:ln>
          <a:solidFill>
            <a:srgbClr val="C00000"/>
          </a:solidFill>
        </a:ln>
      </xdr:spPr>
      <xdr:txBody>
        <a:bodyPr vertOverflow="overflow" vert="horz" wrap="square" rtlCol="0" anchor="t">
          <a:spAutoFit/>
        </a:bodyPr>
        <a:lstStyle/>
        <a:p>
          <a:pPr algn="l"/>
          <a:r>
            <a:rPr kumimoji="0" lang="nb-NO" sz="800" b="0" i="0" u="none" strike="noStrike" kern="0" cap="none" spc="0" normalizeH="0" baseline="0" noProof="0">
              <a:ln>
                <a:noFill/>
              </a:ln>
              <a:solidFill>
                <a:srgbClr val="333333"/>
              </a:solidFill>
              <a:effectLst/>
              <a:uLnTx/>
              <a:uFillTx/>
              <a:latin typeface="Calibri"/>
            </a:rPr>
            <a:t>Overrun — review cost/schedule recovery.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22</xdr:row>
      <xdr:rowOff>168275</xdr:rowOff>
    </xdr:from>
    <xdr:to>
      <xdr:col>15</xdr:col>
      <xdr:colOff>349250</xdr:colOff>
      <xdr:row>40</xdr:row>
      <xdr:rowOff>38100</xdr:rowOff>
    </xdr:to>
    <xdr:graphicFrame macro="">
      <xdr:nvGraphicFramePr>
        <xdr:cNvPr id="4" name="BAC AC EV by Project">
          <a:extLst>
            <a:ext uri="{FF2B5EF4-FFF2-40B4-BE49-F238E27FC236}">
              <a16:creationId xmlns:a16="http://schemas.microsoft.com/office/drawing/2014/main" id="{BFE5DC4E-9682-D718-B355-5292D3D74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158750</xdr:colOff>
      <xdr:row>41</xdr:row>
      <xdr:rowOff>53975</xdr:rowOff>
    </xdr:from>
    <xdr:to>
      <xdr:col>17</xdr:col>
      <xdr:colOff>57150</xdr:colOff>
      <xdr:row>58</xdr:row>
      <xdr:rowOff>101600</xdr:rowOff>
    </xdr:to>
    <xdr:graphicFrame macro="">
      <xdr:nvGraphicFramePr>
        <xdr:cNvPr id="5" name="CPI and Progress by Project">
          <a:extLst>
            <a:ext uri="{FF2B5EF4-FFF2-40B4-BE49-F238E27FC236}">
              <a16:creationId xmlns:a16="http://schemas.microsoft.com/office/drawing/2014/main" id="{1005E82A-CE93-208D-1F16-491AA6938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A6D06CC-EC65-44AC-8FF8-9D3F66602DAF}" name="Twelve_Step_Checklist" displayName="Twelve_Step_Checklist" ref="A10:F22" totalsRowShown="0" headerRowDxfId="160" dataDxfId="159">
  <autoFilter ref="A10:F22" xr:uid="{AA6D06CC-EC65-44AC-8FF8-9D3F66602DAF}"/>
  <tableColumns count="6">
    <tableColumn id="1" xr3:uid="{FF352E70-3A52-44A7-9B8B-71C061EC9EC4}" name="Step" dataDxfId="158"/>
    <tableColumn id="2" xr3:uid="{0971C77D-3D18-4A14-A906-967A9E483BEA}" name="Croft Step" dataDxfId="157"/>
    <tableColumn id="3" xr3:uid="{BF601028-21A8-4832-B331-9F15914B8C54}" name="Controller Interpretation" dataDxfId="156"/>
    <tableColumn id="4" xr3:uid="{CE5AF5C5-1C6F-471D-9F9F-BD0BB49A2A73}" name="Workbook Evidence" dataDxfId="155"/>
    <tableColumn id="5" xr3:uid="{E2043D3C-26CB-4415-830F-301A987251B0}" name="Primary KPI" dataDxfId="154"/>
    <tableColumn id="6" xr3:uid="{32E391FD-72A6-4899-8DAB-E797E6E031CB}" name="Current Integration Note" dataDxfId="15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C4F5910-4144-4AD7-B935-C047DE8E526B}" name="Project_CFO_Directives" displayName="Project_CFO_Directives" ref="A40:D44" totalsRowShown="0">
  <autoFilter ref="A40:D44" xr:uid="{7C4F5910-4144-4AD7-B935-C047DE8E526B}"/>
  <tableColumns count="4">
    <tableColumn id="1" xr3:uid="{71B9B506-79E3-438B-8268-E2D1F8501514}" name="CFO Directive"/>
    <tableColumn id="2" xr3:uid="{7DF4EB74-8528-41D9-A3A5-473066E789EB}" name="Rule from SKILL.md"/>
    <tableColumn id="3" xr3:uid="{F322E186-C506-489E-A22D-E4448A67F70B}" name="Workbook Implementation"/>
    <tableColumn id="4" xr3:uid="{6FBFDB97-E570-46EA-AD34-6114DFD4DA09}" name="Primary Loc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A4DF772-BCB2-4ADB-B6AC-DD082AD091BD}" name="Project_CFO_KPI_Triggers" displayName="Project_CFO_KPI_Triggers" ref="A48:E53" totalsRowShown="0">
  <autoFilter ref="A48:E53" xr:uid="{5A4DF772-BCB2-4ADB-B6AC-DD082AD091BD}"/>
  <tableColumns count="5">
    <tableColumn id="1" xr3:uid="{00D33F4A-0C0F-4C30-A42A-80DB9E01374C}" name="Trigger"/>
    <tableColumn id="2" xr3:uid="{191E0FE9-792D-4222-B2C2-24D227879DAD}" name="Live Signal"/>
    <tableColumn id="3" xr3:uid="{5F6A0662-CD69-4A65-A46A-2638FADC0FD6}" name="Threshold / Rule"/>
    <tableColumn id="4" xr3:uid="{2C5E4F19-7204-4779-8EEC-1EC413583E88}" name="Current Status" dataDxfId="152"/>
    <tableColumn id="5" xr3:uid="{FD2E96FC-3F09-4C75-B747-D48144D85DB6}" name="Recommended Executive Action"/>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F1E639B-3240-4BBA-B32B-66FFFBE313AF}" name="Controller_Cadence" displayName="Controller_Cadence" ref="A10:E16" totalsRowShown="0" headerRowDxfId="151" dataDxfId="150">
  <autoFilter ref="A10:E16" xr:uid="{0F1E639B-3240-4BBA-B32B-66FFFBE313AF}"/>
  <tableColumns count="5">
    <tableColumn id="1" xr3:uid="{E3E3006A-0C2F-44F3-A76F-81E0EB8B20D1}" name="Cadence" dataDxfId="149"/>
    <tableColumn id="2" xr3:uid="{90B95CB7-24BA-47B1-AE4D-E6BD2182EA54}" name="Controller Activity" dataDxfId="148"/>
    <tableColumn id="3" xr3:uid="{E3DA0F49-19AD-490E-90D4-4D05A69EE320}" name="Workbook Location" dataDxfId="147"/>
    <tableColumn id="4" xr3:uid="{A9584FA9-A49B-4774-BACD-3B62AE6D48C6}" name="Decision / Output" dataDxfId="146"/>
    <tableColumn id="5" xr3:uid="{CA83DCC6-F376-4BA5-8B83-94A656AC492E}" name="Escalation Rule" dataDxfId="14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A4BF08F-990B-4BE5-9004-BB297531B6C9}" name="KPI_Definitions" displayName="KPI_Definitions" ref="A20:D26" totalsRowShown="0" headerRowDxfId="144" dataDxfId="143">
  <autoFilter ref="A20:D26" xr:uid="{1A4BF08F-990B-4BE5-9004-BB297531B6C9}"/>
  <tableColumns count="4">
    <tableColumn id="1" xr3:uid="{D9BAABFB-A7D4-492C-84C2-7757F13B3A2D}" name="KPI" dataDxfId="142"/>
    <tableColumn id="2" xr3:uid="{EBAFFE41-0B45-475F-B24B-8739E7D34781}" name="Definition" dataDxfId="141"/>
    <tableColumn id="3" xr3:uid="{DFD89F3A-5B17-4A70-90E0-3FBC75AE79FA}" name="Workbook Formula Pattern" dataDxfId="140"/>
    <tableColumn id="4" xr3:uid="{AC79AEBD-1BFB-417C-A869-72EE3FBE7F4C}" name="Management Meaning" dataDxfId="13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54AA2F2-A7FC-4B83-85E4-0CDA11AE07B3}" name="Role_Split" displayName="Role_Split" ref="A31:C34" totalsRowShown="0" headerRowDxfId="138" dataDxfId="137">
  <autoFilter ref="A31:C34" xr:uid="{854AA2F2-A7FC-4B83-85E4-0CDA11AE07B3}"/>
  <tableColumns count="3">
    <tableColumn id="1" xr3:uid="{C5B5DAA6-0224-44F1-B3AA-9190A4C6C49D}" name="Role" dataDxfId="136"/>
    <tableColumn id="2" xr3:uid="{46EF08A7-31AA-4ADD-9708-EAE0C6B561DA}" name="Primary Responsibility" dataDxfId="135"/>
    <tableColumn id="3" xr3:uid="{E8579201-4A1A-4373-9660-332AE3CA8767}" name="Workbook Usage" dataDxfId="13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48A51EF-3F8B-4834-A4CD-E05DC1D2D02F}" name="CFO_Agent_Operating_Rules" displayName="CFO_Agent_Operating_Rules" ref="A42:E46" totalsRowShown="0">
  <autoFilter ref="A42:E46" xr:uid="{448A51EF-3F8B-4834-A4CD-E05DC1D2D02F}"/>
  <tableColumns count="5">
    <tableColumn id="1" xr3:uid="{D60954C6-772E-40CD-A22C-2031863B3F7C}" name="Rule"/>
    <tableColumn id="2" xr3:uid="{2F07542B-CD39-49F9-9DC0-030BBA8FEE16}" name="Controller Question"/>
    <tableColumn id="3" xr3:uid="{2CF89536-1202-49A3-BFBE-99A9B976CBFC}" name="Required Workbook Evidence"/>
    <tableColumn id="4" xr3:uid="{8169605E-4409-427B-9CF8-3A29763DA6B0}" name="Decision Output"/>
    <tableColumn id="5" xr3:uid="{3F504CD5-6E58-470A-B1B3-E46F41668B1C}" name="Escalation Trigg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9C6D8E3-C179-4420-8BAD-EE962A4D53EE}" name="CFO_Board_Brief_Template" displayName="CFO_Board_Brief_Template" ref="A50:D55" totalsRowShown="0">
  <autoFilter ref="A50:D55" xr:uid="{79C6D8E3-C179-4420-8BAD-EE962A4D53EE}"/>
  <tableColumns count="4">
    <tableColumn id="1" xr3:uid="{97283A95-B4D0-4DB9-968D-C74840F93EC7}" name="Board Brief Component"/>
    <tableColumn id="2" xr3:uid="{2BB68E0C-F460-4720-A921-DB44555E959C}" name="Required Wording"/>
    <tableColumn id="3" xr3:uid="{88753B77-2C9E-4F34-A33D-FC0F1519BB81}" name="Workbook Source"/>
    <tableColumn id="4" xr3:uid="{6676E48F-BF80-416B-955B-26741FC19EFD}" name="Example for Current Portfolio"/>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5F5C90D-0EFF-408E-8B1E-89DDB1F087F3}" name="ERD_Entities" displayName="ERD_Entities" ref="A9:E17" totalsRowShown="0" headerRowDxfId="133" dataDxfId="132">
  <autoFilter ref="A9:E17" xr:uid="{05F5C90D-0EFF-408E-8B1E-89DDB1F087F3}"/>
  <tableColumns count="5">
    <tableColumn id="1" xr3:uid="{834E1497-CDC9-4201-B712-D1538235ED94}" name="Entity / Table" dataDxfId="131"/>
    <tableColumn id="2" xr3:uid="{455D20EA-C32E-4C7E-9349-25A75CE75D12}" name="Primary Key" dataDxfId="130"/>
    <tableColumn id="3" xr3:uid="{421D3D75-E371-4885-8662-B3F56CF09121}" name="Key Foreign Keys" dataDxfId="129"/>
    <tableColumn id="4" xr3:uid="{8B2ACD6D-892A-4982-9710-810FDCAEC719}" name="Purpose" dataDxfId="128"/>
    <tableColumn id="5" xr3:uid="{E44BE9CA-00B2-4B17-9172-AE5734999790}" name="Workbook Location" dataDxfId="12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F9E389F-EA36-4ABE-B1D3-9CF445CA04BE}" name="Integrity_Rules" displayName="Integrity_Rules" ref="A22:C29" totalsRowShown="0" headerRowDxfId="126" dataDxfId="125">
  <autoFilter ref="A22:C29" xr:uid="{8F9E389F-EA36-4ABE-B1D3-9CF445CA04BE}"/>
  <tableColumns count="3">
    <tableColumn id="1" xr3:uid="{9EDC22BA-F802-49E7-9331-207BC0D17466}" name="Rule" dataDxfId="124"/>
    <tableColumn id="2" xr3:uid="{8B7C30E3-0CCE-4680-947B-DE5D4AFC606B}" name="Relationship / Logic" dataDxfId="123"/>
    <tableColumn id="3" xr3:uid="{8F4B3A22-0458-4959-A4A8-F9DA1129C9BE}" name="Workbook Check" dataDxfId="12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32828B6-8E2B-4AB7-B851-A112D9B0B441}" name="Modern_PM_Readiness_Audit" displayName="Modern_PM_Readiness_Audit" ref="A48:D60" totalsRowShown="0" headerRowDxfId="121" dataDxfId="120">
  <autoFilter ref="A48:D60" xr:uid="{632828B6-8E2B-4AB7-B851-A112D9B0B441}"/>
  <tableColumns count="4">
    <tableColumn id="1" xr3:uid="{99FBB398-7BB9-41E0-81EC-12FA4AAD412B}" name="Modern PM Requirement" dataDxfId="119"/>
    <tableColumn id="2" xr3:uid="{09E20A16-3239-4D02-884C-A11D0E9B9760}" name="Readiness" dataDxfId="118"/>
    <tableColumn id="3" xr3:uid="{776DE4CE-1B02-4869-85AB-2725E42C3A06}" name="Evidence in Current Workbook" dataDxfId="117"/>
    <tableColumn id="4" xr3:uid="{FE22D22B-5874-4888-B670-267EF1C54C0B}" name="Data Model / Workbook Action"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87D7CC8-C1B1-477E-BD42-1D1C4CF53689}" name="Modern_PM_KPI_Gaps" displayName="Modern_PM_KPI_Gaps" ref="A64:D72" totalsRowShown="0" headerRowDxfId="115" dataDxfId="114">
  <autoFilter ref="A64:D72" xr:uid="{E87D7CC8-C1B1-477E-BD42-1D1C4CF53689}"/>
  <tableColumns count="4">
    <tableColumn id="1" xr3:uid="{334F14D3-4AA9-490D-9602-8D2E005E43C3}" name="KPI / Field" dataDxfId="113"/>
    <tableColumn id="2" xr3:uid="{C34FA7A9-4306-455C-ADFD-4A1D675ABFDE}" name="Full Name" dataDxfId="112"/>
    <tableColumn id="3" xr3:uid="{FDFB6E8F-514F-4FD7-843B-A54B8DC483EF}" name="Formula / Definition" dataDxfId="111"/>
    <tableColumn id="4" xr3:uid="{FA53010F-B2A0-4542-8724-F7BFA6CB1D13}" name="Why It Matters" dataDxfId="110"/>
  </tableColumns>
  <tableStyleInfo name="TableStyleMedium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147ADCB-B48B-460E-B8FC-4B88A4735890}" name="Stakeholder_Data_Needs" displayName="Stakeholder_Data_Needs" ref="A76:D81" totalsRowShown="0" headerRowDxfId="109" dataDxfId="108">
  <autoFilter ref="A76:D81" xr:uid="{B147ADCB-B48B-460E-B8FC-4B88A4735890}"/>
  <tableColumns count="4">
    <tableColumn id="1" xr3:uid="{1647BEDA-8459-4B1C-AE78-169D66206A67}" name="Stakeholder" dataDxfId="107"/>
    <tableColumn id="2" xr3:uid="{251E3ACE-E7F9-40B6-BE0C-39CFDAB43890}" name="Reporting Cadence" dataDxfId="106"/>
    <tableColumn id="3" xr3:uid="{E3DD214D-4C54-43D9-9EDA-B9124B5DE7AC}" name="Core Data Need" dataDxfId="105"/>
    <tableColumn id="4" xr3:uid="{E81947A4-8706-4FF1-B9C4-034E3E063497}" name="Current Gap / Action" dataDxfId="10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2932CB0-1D3A-4BD0-AFF9-15955CFA0764}" name="Three_Statement_Readiness" displayName="Three_Statement_Readiness" ref="A18:E33" totalsRowShown="0" headerRowDxfId="103" dataDxfId="102">
  <autoFilter ref="A18:E33" xr:uid="{E2932CB0-1D3A-4BD0-AFF9-15955CFA0764}"/>
  <tableColumns count="5">
    <tableColumn id="1" xr3:uid="{D20CD229-6337-482F-AA9B-F1F06900DDE7}" name="Statement Area" dataDxfId="101"/>
    <tableColumn id="2" xr3:uid="{DEF87C2E-D62B-4BBD-84A9-E4CFB0356E34}" name="Required Component" dataDxfId="100"/>
    <tableColumn id="3" xr3:uid="{C8B606C5-9660-4D13-80D1-81FEEB36014F}" name="Readiness" dataDxfId="99"/>
    <tableColumn id="4" xr3:uid="{A5C211C4-E9E0-4C25-842F-F94EC2EA950D}" name="Workbook Evidence" dataDxfId="98"/>
    <tableColumn id="5" xr3:uid="{573DA398-18DB-4E7D-869A-1F6C3F127696}" name="Next Action" dataDxfId="9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A4648C7-CDC1-4112-A3BA-695B75C59F1D}" name="Three_Statement_Blueprint" displayName="Three_Statement_Blueprint" ref="A6:E14" totalsRowShown="0" headerRowDxfId="96" dataDxfId="95">
  <autoFilter ref="A6:E14" xr:uid="{7A4648C7-CDC1-4112-A3BA-695B75C59F1D}"/>
  <tableColumns count="5">
    <tableColumn id="1" xr3:uid="{373B9722-6581-4BC6-981A-D94CF32C572E}" name="Proposed Sheet" dataDxfId="94"/>
    <tableColumn id="2" xr3:uid="{8CDAD4DF-4994-48B8-BA64-519244F9ED5C}" name="Purpose" dataDxfId="93"/>
    <tableColumn id="3" xr3:uid="{7DCA4885-FE8D-4AC9-A296-EFB5B4EB5BA3}" name="Primary Inputs" dataDxfId="92"/>
    <tableColumn id="4" xr3:uid="{7F6ABE67-9EA5-4F2B-96FA-4175826BBDA9}" name="Key Outputs" dataDxfId="91"/>
    <tableColumn id="5" xr3:uid="{E6AD1CA4-8475-4E36-9797-186DAE08FC29}" name="Build Priority" dataDxfId="9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E7D34B4-E1E5-4598-923E-015DD66197D2}" name="Three_Statement_Source_Map" displayName="Three_Statement_Source_Map" ref="A20:D27" totalsRowShown="0" headerRowDxfId="89" dataDxfId="88">
  <autoFilter ref="A20:D27" xr:uid="{4E7D34B4-E1E5-4598-923E-015DD66197D2}"/>
  <tableColumns count="4">
    <tableColumn id="1" xr3:uid="{67C15052-282B-4DA0-9380-22A777B22D40}" name="Existing Workbook Source" dataDxfId="87"/>
    <tableColumn id="2" xr3:uid="{CF1E8964-16EF-4C30-BEC7-8CBAFB13E070}" name="Can Feed 3S Line Item" dataDxfId="86"/>
    <tableColumn id="3" xr3:uid="{264B7060-A6E8-41E1-8971-F1B2754888D6}" name="Limitation / Assumption Needed" dataDxfId="85"/>
    <tableColumn id="4" xr3:uid="{C03534D1-8F41-44B2-B889-4AF08583748E}" name="Suggested Formula Logic" dataDxfId="8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E179DB8-BE1F-40EF-A4B2-85CCF463CC20}" name="Three_Statement_Checks_To_Add" displayName="Three_Statement_Checks_To_Add" ref="A33:C39" totalsRowShown="0" headerRowDxfId="83" dataDxfId="82">
  <autoFilter ref="A33:C39" xr:uid="{5E179DB8-BE1F-40EF-A4B2-85CCF463CC20}"/>
  <tableColumns count="3">
    <tableColumn id="1" xr3:uid="{7413B3D7-73B3-4BA2-B25C-C03959A30AEF}" name="Check" dataDxfId="81"/>
    <tableColumn id="2" xr3:uid="{3C0704BB-DE0A-4FA5-B7AD-3D9EEE1CB651}" name="Formula Pattern" dataDxfId="80"/>
    <tableColumn id="3" xr3:uid="{12A097CA-0F9F-44C7-A7CF-90376164C9C2}" name="Expected Result" dataDxfId="79"/>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041D49D-F295-4A0C-A504-751227E41FAA}" name="Weekly_Overtime" displayName="Weekly_Overtime" ref="Q17:T25" totalsRowShown="0" headerRowDxfId="78" dataDxfId="77">
  <autoFilter ref="Q17:T25" xr:uid="{D041D49D-F295-4A0C-A504-751227E41FAA}"/>
  <tableColumns count="4">
    <tableColumn id="1" xr3:uid="{ABB1B6F0-776B-42BF-8E7A-E818E762ADB6}" name="WBS-012" dataDxfId="76"/>
    <tableColumn id="2" xr3:uid="{C767804A-3FE4-4EEC-B0A9-EEF885B5FAE9}" name="0.875" dataDxfId="75"/>
    <tableColumn id="3" xr3:uid="{23B2FE14-0B87-4A82-8DB4-5BE62EA9A841}" name="560000" dataDxfId="74"/>
    <tableColumn id="4" xr3:uid="{3B9363F1-B31C-488A-A5FF-729918D45E6B}" name="180000" dataDxfId="73"/>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298F8EA-2CE2-4EAE-A068-8DADABB36DAF}" name="WBS_Performance" displayName="WBS_Performance" ref="A5:O19" totalsRowShown="0">
  <autoFilter ref="A5:O19" xr:uid="{A298F8EA-2CE2-4EAE-A068-8DADABB36DAF}"/>
  <tableColumns count="15">
    <tableColumn id="1" xr3:uid="{064D46E3-94D2-4434-B767-44D5A1513C8D}" name="WBS_ID"/>
    <tableColumn id="2" xr3:uid="{B381566D-CAD6-4780-919A-197415405D60}" name="ProjectID"/>
    <tableColumn id="3" xr3:uid="{CD12DD37-C6F1-479F-8FE9-98336375FE4A}" name="WBS Code"/>
    <tableColumn id="4" xr3:uid="{E19AB0C9-2313-4D27-A8D5-C42BB1DFB962}" name="Element Name"/>
    <tableColumn id="5" xr3:uid="{163027A4-2A0E-4E5E-ADF7-041086C57688}" name="Project Name"/>
    <tableColumn id="6" xr3:uid="{57B8A2AF-40EC-4B76-93D5-0E1E8F103A51}" name="Manager"/>
    <tableColumn id="7" xr3:uid="{8C50439A-BB51-4386-B4BB-4F0742CD464D}" name="BAC" dataDxfId="72"/>
    <tableColumn id="8" xr3:uid="{EC0DFF0A-D612-4E2A-A626-57F0B81DA783}" name="Latest Progress" dataDxfId="71">
      <calculatedColumnFormula>INDEX(WBS_Source_Summary[LatestProgress],MATCH(WBS_Performance[[#This Row],[WBS_ID]],WBS_Source_Summary[WBS_ID],0))</calculatedColumnFormula>
    </tableColumn>
    <tableColumn id="9" xr3:uid="{6ABF8845-AFE3-4C64-9D71-AC8E1540CC24}" name="Labor Cost" dataDxfId="70">
      <calculatedColumnFormula>INDEX(WBS_Source_Summary[LaborCost],MATCH(WBS_Performance[[#This Row],[WBS_ID]],WBS_Source_Summary[WBS_ID],0))</calculatedColumnFormula>
    </tableColumn>
    <tableColumn id="10" xr3:uid="{72DD7621-18B6-45D9-A555-E8B7E4CA546C}" name="Material Cost" dataDxfId="69">
      <calculatedColumnFormula>INDEX(WBS_Source_Summary[MaterialCost],MATCH(WBS_Performance[[#This Row],[WBS_ID]],WBS_Source_Summary[WBS_ID],0))</calculatedColumnFormula>
    </tableColumn>
    <tableColumn id="11" xr3:uid="{D3320344-9D99-4D20-BA0B-128DFB08C462}" name="AC" dataDxfId="68">
      <calculatedColumnFormula>WBS_Performance[[#This Row],[Labor Cost]]+WBS_Performance[[#This Row],[Material Cost]]</calculatedColumnFormula>
    </tableColumn>
    <tableColumn id="12" xr3:uid="{60079BA6-E3F7-4694-92CD-174327CBC4EB}" name="EV" dataDxfId="67">
      <calculatedColumnFormula>WBS_Performance[[#This Row],[BAC]]*WBS_Performance[[#This Row],[Latest Progress]]</calculatedColumnFormula>
    </tableColumn>
    <tableColumn id="13" xr3:uid="{54C58976-EC33-460B-8713-BCDEF64593D5}" name="CPI" dataDxfId="66">
      <calculatedColumnFormula>IF(WBS_Performance[[#This Row],[AC]]=0,IF(WBS_Performance[[#This Row],[EV]]=0,1,""),WBS_Performance[[#This Row],[EV]]/WBS_Performance[[#This Row],[AC]])</calculatedColumnFormula>
    </tableColumn>
    <tableColumn id="14" xr3:uid="{845436F4-82B3-4823-B7B0-5508E35D9E6C}" name="EAC Typical" dataDxfId="65">
      <calculatedColumnFormula>IF(AND(WBS_Performance[[#This Row],[EV]]&gt;0,WBS_Performance[[#This Row],[CPI]]&gt;0),WBS_Performance[[#This Row],[BAC]]/WBS_Performance[[#This Row],[CPI]],"")</calculatedColumnFormula>
    </tableColumn>
    <tableColumn id="15" xr3:uid="{0DD25E11-0B1D-4B39-A638-AD6CD383984A}" name="Status" dataDxfId="64">
      <calculatedColumnFormula>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3637A42-6300-4799-9762-585745E72781}" name="WBS_Source_Summary" displayName="WBS_Source_Summary" ref="U5:X19" totalsRowShown="0">
  <autoFilter ref="U5:X19" xr:uid="{43637A42-6300-4799-9762-585745E72781}"/>
  <tableColumns count="4">
    <tableColumn id="1" xr3:uid="{6116C1B3-1737-413D-AD89-23A39CF1D55A}" name="WBS_ID"/>
    <tableColumn id="2" xr3:uid="{AC90C19D-0725-48DD-B541-AC46C00456F8}" name="LatestProgress"/>
    <tableColumn id="3" xr3:uid="{29901084-80CD-4801-9A64-92E38657BE22}" name="LaborCost"/>
    <tableColumn id="4" xr3:uid="{00C1F2AE-D73B-4713-9187-B5A37479BF64}" name="MaterialCost"/>
  </tableColumns>
  <tableStyleInfo name="TableStyleMedium4"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8202816-D2B1-4D56-8E20-1BC4A50F326E}" name="Project_Summary" displayName="Project_Summary" ref="A24:J30" totalsRowShown="0">
  <autoFilter ref="A24:J30" xr:uid="{58202816-D2B1-4D56-8E20-1BC4A50F326E}"/>
  <tableColumns count="10">
    <tableColumn id="1" xr3:uid="{5F733DA3-CD5B-4E0E-9DC0-C40148463BBA}" name="Project ID"/>
    <tableColumn id="2" xr3:uid="{908C97A5-F7C4-4B35-BF5C-82B3A0DB2634}" name="Project Name"/>
    <tableColumn id="3" xr3:uid="{779DFC12-FAAF-470C-857E-B9CE22A28594}" name="Project Manager"/>
    <tableColumn id="4" xr3:uid="{0F079B43-FA0F-48BC-9F3C-2F8B0B4B35AB}" name="BAC" dataDxfId="63"/>
    <tableColumn id="5" xr3:uid="{D51138FD-DBF2-4674-85BE-954CD3A04A28}" name="AC" dataDxfId="62">
      <calculatedColumnFormula>SUMIFS(WBS_Performance[AC],WBS_Performance[ProjectID],Project_Summary[[#This Row],[Project ID]])</calculatedColumnFormula>
    </tableColumn>
    <tableColumn id="6" xr3:uid="{A4CA1003-DF0A-4BD1-B14A-5BFCFD87045C}" name="EV" dataDxfId="61">
      <calculatedColumnFormula>SUMIFS(WBS_Performance[EV],WBS_Performance[ProjectID],Project_Summary[[#This Row],[Project ID]])</calculatedColumnFormula>
    </tableColumn>
    <tableColumn id="7" xr3:uid="{FF339B53-1EE5-4D3D-8CE8-7E5F7824B318}" name="CPI" dataDxfId="60">
      <calculatedColumnFormula>IF(Project_Summary[[#This Row],[AC]]=0,IF(Project_Summary[[#This Row],[EV]]=0,1,""),Project_Summary[[#This Row],[EV]]/Project_Summary[[#This Row],[AC]])</calculatedColumnFormula>
    </tableColumn>
    <tableColumn id="8" xr3:uid="{2E8CD454-357F-4EE5-8217-EAA6A3796D08}" name="Progress" dataDxfId="59">
      <calculatedColumnFormula>IF(Project_Summary[[#This Row],[BAC]]=0,0,Project_Summary[[#This Row],[EV]]/Project_Summary[[#This Row],[BAC]])</calculatedColumnFormula>
    </tableColumn>
    <tableColumn id="9" xr3:uid="{822E1B73-FCB1-40E3-957F-A078A1F85A82}" name="EAC Typical" dataDxfId="58">
      <calculatedColumnFormula>IF(AND(Project_Summary[[#This Row],[EV]]&gt;0,Project_Summary[[#This Row],[CPI]]&gt;0),Project_Summary[[#This Row],[BAC]]/Project_Summary[[#This Row],[CPI]],"")</calculatedColumnFormula>
    </tableColumn>
    <tableColumn id="10" xr3:uid="{16589F22-917D-4204-B58A-B4A153614FA3}" name="Status" dataDxfId="57">
      <calculatedColumnFormula>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4184F5-0159-4CDB-928C-6A951C47E446}" name="Projects" displayName="Projects" ref="A5:G11" totalsRowShown="0" headerRowDxfId="56" dataDxfId="55">
  <autoFilter ref="A5:G11" xr:uid="{434184F5-0159-4CDB-928C-6A951C47E446}"/>
  <tableColumns count="7">
    <tableColumn id="1" xr3:uid="{6A2D477D-2C99-4C1F-9D4B-F5168BF66DCC}" name="ProjectID" dataDxfId="54"/>
    <tableColumn id="2" xr3:uid="{11284B92-FD9A-497B-9AC4-6E3F4DCE3C7B}" name="ProjectName" dataDxfId="53"/>
    <tableColumn id="3" xr3:uid="{4B042CD4-0481-4629-B056-49846A0338B9}" name="ProjectManager" dataDxfId="52"/>
    <tableColumn id="4" xr3:uid="{8BCA716B-4D9B-4D27-A44F-D48069F84B75}" name="BudgetAtCompletion_BAC" dataDxfId="51"/>
    <tableColumn id="5" xr3:uid="{A823DCFA-C905-447C-B319-9DF2051E49C2}" name="StartDate" dataDxfId="50"/>
    <tableColumn id="6" xr3:uid="{2ECF1492-9FC0-446B-920E-39B89FB4FCBE}" name="EndDate" dataDxfId="49"/>
    <tableColumn id="7" xr3:uid="{FFB2CFB8-D612-42C3-B0E3-1B01DB3E0F1D}" name="Status" dataDxfId="48"/>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64A652-2F35-4509-8BC6-0B58BDB61772}" name="WBS" displayName="WBS" ref="A15:F30" totalsRowShown="0" headerRowDxfId="47" dataDxfId="46">
  <autoFilter ref="A15:F30" xr:uid="{2B64A652-2F35-4509-8BC6-0B58BDB61772}"/>
  <tableColumns count="6">
    <tableColumn id="1" xr3:uid="{FF9C8871-42E3-4C46-8348-BEE45FEEA3F1}" name="WBS_ID" dataDxfId="45"/>
    <tableColumn id="2" xr3:uid="{CE2D8561-B81C-41D3-A2AA-751E50C550EE}" name="ProjectID" dataDxfId="44"/>
    <tableColumn id="3" xr3:uid="{82DC03EF-D2B1-42EC-9FEF-32E4A50752A9}" name="WBS_Code" dataDxfId="43"/>
    <tableColumn id="4" xr3:uid="{9A04ABE3-04B4-480F-9FC7-6CF55C113864}" name="ElementName" dataDxfId="42"/>
    <tableColumn id="5" xr3:uid="{CDE89EAF-22DC-4624-A19F-0323FEAAA93A}" name="PlannedCost" dataDxfId="41"/>
    <tableColumn id="6" xr3:uid="{00A32297-6304-41C4-AAB3-52C269A20E20}" name="PlannedHours" dataDxfId="4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3B3150-F6A8-48ED-9801-7789FCB6B2C2}" name="Progress" displayName="Progress" ref="A34:E91" totalsRowShown="0" headerRowDxfId="39" dataDxfId="38">
  <autoFilter ref="A34:E91" xr:uid="{233B3150-F6A8-48ED-9801-7789FCB6B2C2}"/>
  <tableColumns count="5">
    <tableColumn id="1" xr3:uid="{FE5D6A67-2C81-4AC4-94E5-AB4E2D82BCAF}" name="ProgressID" dataDxfId="37"/>
    <tableColumn id="2" xr3:uid="{1938988B-50BB-4287-9CF4-36FECEA75C4D}" name="WBS_ID" dataDxfId="36"/>
    <tableColumn id="3" xr3:uid="{88A7DC32-BE09-4DAC-B873-9D9D4C387E4E}" name="RecordDate" dataDxfId="35"/>
    <tableColumn id="4" xr3:uid="{5747C39E-311D-40C4-A22E-1CDB1217ECBF}" name="PercentComplete" dataDxfId="34"/>
    <tableColumn id="5" xr3:uid="{0CB7F567-798A-491B-B631-E33074CD73CA}" name="ReportedBy" dataDxfId="33"/>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A7AC4D-2DDD-44C7-9224-E143B8B40D49}" name="Resources" displayName="Resources" ref="A95:D100" totalsRowShown="0" headerRowDxfId="32" dataDxfId="31">
  <autoFilter ref="A95:D100" xr:uid="{BDA7AC4D-2DDD-44C7-9224-E143B8B40D49}"/>
  <tableColumns count="4">
    <tableColumn id="1" xr3:uid="{98C74F1C-B82C-4A68-983E-CAB0BC3B9CD3}" name="ResourceID" dataDxfId="30"/>
    <tableColumn id="2" xr3:uid="{BE008BCB-0E02-4AF8-B156-5B4ABC5D11C6}" name="ResourceName" dataDxfId="29"/>
    <tableColumn id="3" xr3:uid="{675BB93D-D34E-4F94-A487-64B21055B903}" name="Role" dataDxfId="28"/>
    <tableColumn id="4" xr3:uid="{14B2B8D2-9A23-404A-ACCD-20F4320D51C9}" name="HourlyRate" dataDxfId="27"/>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94D7588-7B67-47A2-B755-BEAD7F436876}" name="Timesheets" displayName="Timesheets" ref="A104:F148" totalsRowShown="0" headerRowDxfId="26" dataDxfId="25">
  <autoFilter ref="A104:F148" xr:uid="{C94D7588-7B67-47A2-B755-BEAD7F436876}"/>
  <tableColumns count="6">
    <tableColumn id="1" xr3:uid="{689169A6-CED1-4200-A883-52DF173DF49C}" name="TimesheetID" dataDxfId="24"/>
    <tableColumn id="2" xr3:uid="{EB04D4DA-00B1-48FF-90D4-05BE2865419B}" name="ResourceID" dataDxfId="23"/>
    <tableColumn id="3" xr3:uid="{B459E162-89EF-4FA2-9E19-C6FB2F37F4DC}" name="WBS_ID" dataDxfId="22"/>
    <tableColumn id="4" xr3:uid="{3AFA0D48-572F-4925-80A6-644CCEE2C2B3}" name="WorkDate" dataDxfId="21"/>
    <tableColumn id="5" xr3:uid="{CABAFCBE-7348-4A3F-BBF7-94D7A93A6D51}" name="HoursWorked" dataDxfId="20"/>
    <tableColumn id="6" xr3:uid="{4A89F426-8F52-4AFA-BEA4-70CDED00DDC6}" name="ApprovalStatus" dataDxfId="19"/>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443FA0-C7F1-478E-90AC-7B1BFDE71621}" name="Materials" displayName="Materials" ref="A152:G166" totalsRowShown="0" headerRowDxfId="18" dataDxfId="17">
  <autoFilter ref="A152:G166" xr:uid="{C0443FA0-C7F1-478E-90AC-7B1BFDE71621}"/>
  <tableColumns count="7">
    <tableColumn id="1" xr3:uid="{BC2B0828-E84A-415D-AA53-A705D751C037}" name="PurchaseID" dataDxfId="16"/>
    <tableColumn id="2" xr3:uid="{4E458EAF-B6B3-4AD4-AAC0-EFE1176954A3}" name="WBS_ID" dataDxfId="15"/>
    <tableColumn id="3" xr3:uid="{2B20672A-42C6-44F0-A660-781C41DBFD70}" name="PurchaseDate" dataDxfId="14"/>
    <tableColumn id="4" xr3:uid="{9D2CBB8E-1794-4F7C-93DD-D9DC6EC27294}" name="Description" dataDxfId="13"/>
    <tableColumn id="5" xr3:uid="{023FC80F-577E-4B07-8F93-198060E5B6B3}" name="Quantity" dataDxfId="12"/>
    <tableColumn id="6" xr3:uid="{71D67029-94E3-49CD-8E37-64244486BECE}" name="UnitPrice" dataDxfId="11"/>
    <tableColumn id="7" xr3:uid="{70FDB595-6720-4857-8704-E2C629ADB907}" name="TotalActualCost" dataDxfId="10"/>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8E9C6F-2851-44F6-96CE-154009CB9EE4}" name="RAID" displayName="RAID" ref="A170:H174" totalsRowShown="0" headerRowDxfId="9" dataDxfId="8">
  <autoFilter ref="A170:H174" xr:uid="{C98E9C6F-2851-44F6-96CE-154009CB9EE4}"/>
  <tableColumns count="8">
    <tableColumn id="1" xr3:uid="{53C03476-E9ED-4643-B9D4-296C13ACC6B5}" name="RiskID" dataDxfId="7"/>
    <tableColumn id="2" xr3:uid="{E26C10A9-4961-47F8-B4FE-D965EF5B2EAF}" name="Type" dataDxfId="6"/>
    <tableColumn id="3" xr3:uid="{FEE45ABD-BA7B-442B-AA0E-5A470684DA42}" name="Description" dataDxfId="5"/>
    <tableColumn id="4" xr3:uid="{B170B334-1BA1-4CEB-9154-F5F6C66D43FF}" name="Impact" dataDxfId="4"/>
    <tableColumn id="5" xr3:uid="{8C695699-23F4-49E0-BA87-5DA565B964BB}" name="Probability" dataDxfId="3"/>
    <tableColumn id="6" xr3:uid="{1D49CAA4-C582-41ED-9C40-AC6BFCB66017}" name="MitigationStrategy" dataDxfId="2"/>
    <tableColumn id="7" xr3:uid="{B5C6C0D1-AA7A-4B80-A113-E5546E7267F8}" name="Owner" dataDxfId="1"/>
    <tableColumn id="8" xr3:uid="{E59CD6C3-2F4C-409B-8350-DA4A9DC435B3}"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5" Type="http://schemas.openxmlformats.org/officeDocument/2006/relationships/table" Target="../tables/table8.xml"/><Relationship Id="rId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5" Type="http://schemas.openxmlformats.org/officeDocument/2006/relationships/table" Target="../tables/table13.xml"/><Relationship Id="rId4"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table" Target="../tables/table18.xml"/><Relationship Id="rId4" Type="http://schemas.openxmlformats.org/officeDocument/2006/relationships/table" Target="../tables/table21.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4.xml"/><Relationship Id="rId7" Type="http://schemas.openxmlformats.org/officeDocument/2006/relationships/table" Target="../tables/table28.xml"/><Relationship Id="rId2" Type="http://schemas.openxmlformats.org/officeDocument/2006/relationships/table" Target="../tables/table23.xml"/><Relationship Id="rId1" Type="http://schemas.openxmlformats.org/officeDocument/2006/relationships/table" Target="../tables/table22.xml"/><Relationship Id="rId6" Type="http://schemas.openxmlformats.org/officeDocument/2006/relationships/table" Target="../tables/table27.xml"/><Relationship Id="rId5" Type="http://schemas.openxmlformats.org/officeDocument/2006/relationships/table" Target="../tables/table26.xml"/><Relationship Id="rId4"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95E6B-ABD3-4D7D-84EF-79B53206253C}">
  <dimension ref="A1:H53"/>
  <sheetViews>
    <sheetView topLeftCell="B25" workbookViewId="0">
      <selection sqref="A1:H1"/>
    </sheetView>
  </sheetViews>
  <sheetFormatPr defaultRowHeight="14.5" x14ac:dyDescent="0.35"/>
  <cols>
    <col min="1" max="1" width="18.90625" bestFit="1" customWidth="1"/>
    <col min="2" max="2" width="88.453125" bestFit="1" customWidth="1"/>
    <col min="3" max="3" width="38.1796875" customWidth="1"/>
    <col min="4" max="5" width="32.7265625" customWidth="1"/>
    <col min="6" max="6" width="36.36328125" customWidth="1"/>
  </cols>
  <sheetData>
    <row r="1" spans="1:8" x14ac:dyDescent="0.35">
      <c r="A1" s="57" t="s">
        <v>383</v>
      </c>
      <c r="B1" s="63"/>
      <c r="C1" s="63"/>
      <c r="D1" s="63"/>
      <c r="E1" s="63"/>
      <c r="F1" s="63"/>
      <c r="G1" s="63"/>
      <c r="H1" s="63"/>
    </row>
    <row r="2" spans="1:8" x14ac:dyDescent="0.35">
      <c r="A2" s="64" t="s">
        <v>384</v>
      </c>
      <c r="B2" s="63"/>
      <c r="C2" s="63"/>
      <c r="D2" s="63"/>
      <c r="E2" s="63"/>
      <c r="F2" s="63"/>
      <c r="G2" s="63"/>
      <c r="H2" s="63"/>
    </row>
    <row r="3" spans="1:8" x14ac:dyDescent="0.35">
      <c r="A3" s="7"/>
      <c r="B3" s="7"/>
      <c r="C3" s="7"/>
      <c r="D3" s="7"/>
      <c r="E3" s="7"/>
      <c r="F3" s="7"/>
      <c r="G3" s="7"/>
      <c r="H3" s="7"/>
    </row>
    <row r="4" spans="1:8" x14ac:dyDescent="0.35">
      <c r="A4" s="60" t="s">
        <v>385</v>
      </c>
      <c r="B4" s="63"/>
      <c r="C4" s="63"/>
      <c r="D4" s="63"/>
      <c r="E4" s="63"/>
      <c r="F4" s="63"/>
      <c r="G4" s="63"/>
      <c r="H4" s="63"/>
    </row>
    <row r="5" spans="1:8" ht="12.5" customHeight="1" x14ac:dyDescent="0.35">
      <c r="A5" s="59" t="s">
        <v>386</v>
      </c>
      <c r="B5" s="59"/>
      <c r="C5" s="59"/>
      <c r="D5" s="59"/>
      <c r="E5" s="59"/>
      <c r="F5" s="59"/>
      <c r="G5" s="59"/>
      <c r="H5" s="59"/>
    </row>
    <row r="6" spans="1:8" ht="75" hidden="1" customHeight="1" x14ac:dyDescent="0.35">
      <c r="A6" s="59"/>
      <c r="B6" s="59"/>
      <c r="C6" s="59"/>
      <c r="D6" s="59"/>
      <c r="E6" s="59"/>
      <c r="F6" s="59"/>
      <c r="G6" s="59"/>
      <c r="H6" s="59"/>
    </row>
    <row r="7" spans="1:8" ht="75" hidden="1" customHeight="1" x14ac:dyDescent="0.35">
      <c r="A7" s="59"/>
      <c r="B7" s="59"/>
      <c r="C7" s="59"/>
      <c r="D7" s="59"/>
      <c r="E7" s="59"/>
      <c r="F7" s="59"/>
      <c r="G7" s="59"/>
      <c r="H7" s="59"/>
    </row>
    <row r="8" spans="1:8" ht="75" hidden="1" customHeight="1" x14ac:dyDescent="0.35">
      <c r="A8" s="59"/>
      <c r="B8" s="59"/>
      <c r="C8" s="59"/>
      <c r="D8" s="59"/>
      <c r="E8" s="59"/>
      <c r="F8" s="59"/>
      <c r="G8" s="59"/>
      <c r="H8" s="59"/>
    </row>
    <row r="9" spans="1:8" x14ac:dyDescent="0.35">
      <c r="A9" s="7"/>
      <c r="B9" s="7"/>
      <c r="C9" s="7"/>
      <c r="D9" s="7"/>
      <c r="E9" s="7"/>
      <c r="F9" s="7"/>
      <c r="G9" s="7"/>
      <c r="H9" s="7"/>
    </row>
    <row r="10" spans="1:8" x14ac:dyDescent="0.35">
      <c r="A10" s="7" t="s">
        <v>387</v>
      </c>
      <c r="B10" s="7" t="s">
        <v>388</v>
      </c>
      <c r="C10" s="7" t="s">
        <v>389</v>
      </c>
      <c r="D10" s="7" t="s">
        <v>390</v>
      </c>
      <c r="E10" s="7" t="s">
        <v>391</v>
      </c>
      <c r="F10" s="7" t="s">
        <v>392</v>
      </c>
      <c r="G10" s="7"/>
      <c r="H10" s="7"/>
    </row>
    <row r="11" spans="1:8" x14ac:dyDescent="0.35">
      <c r="A11" s="7">
        <v>1</v>
      </c>
      <c r="B11" s="7" t="s">
        <v>393</v>
      </c>
      <c r="C11" s="7" t="s">
        <v>394</v>
      </c>
      <c r="D11" s="7" t="s">
        <v>395</v>
      </c>
      <c r="E11" s="7" t="s">
        <v>396</v>
      </c>
      <c r="F11" s="7" t="s">
        <v>397</v>
      </c>
      <c r="G11" s="7"/>
      <c r="H11" s="7"/>
    </row>
    <row r="12" spans="1:8" x14ac:dyDescent="0.35">
      <c r="A12" s="7">
        <v>2</v>
      </c>
      <c r="B12" s="7" t="s">
        <v>398</v>
      </c>
      <c r="C12" s="7" t="s">
        <v>399</v>
      </c>
      <c r="D12" s="7" t="s">
        <v>400</v>
      </c>
      <c r="E12" s="36" t="s">
        <v>401</v>
      </c>
      <c r="F12" s="7" t="s">
        <v>402</v>
      </c>
      <c r="G12" s="7"/>
      <c r="H12" s="7"/>
    </row>
    <row r="13" spans="1:8" x14ac:dyDescent="0.35">
      <c r="A13" s="7">
        <v>3</v>
      </c>
      <c r="B13" s="7" t="s">
        <v>403</v>
      </c>
      <c r="C13" s="7" t="s">
        <v>404</v>
      </c>
      <c r="D13" s="7" t="s">
        <v>367</v>
      </c>
      <c r="E13" s="7" t="s">
        <v>405</v>
      </c>
      <c r="F13" s="7" t="s">
        <v>406</v>
      </c>
      <c r="G13" s="7"/>
      <c r="H13" s="7"/>
    </row>
    <row r="14" spans="1:8" x14ac:dyDescent="0.35">
      <c r="A14" s="7">
        <v>4</v>
      </c>
      <c r="B14" s="7" t="s">
        <v>407</v>
      </c>
      <c r="C14" s="7" t="s">
        <v>408</v>
      </c>
      <c r="D14" s="7" t="s">
        <v>409</v>
      </c>
      <c r="E14" s="36" t="s">
        <v>410</v>
      </c>
      <c r="F14" s="7" t="s">
        <v>411</v>
      </c>
      <c r="G14" s="7"/>
      <c r="H14" s="7"/>
    </row>
    <row r="15" spans="1:8" x14ac:dyDescent="0.35">
      <c r="A15" s="7">
        <v>5</v>
      </c>
      <c r="B15" s="7" t="s">
        <v>412</v>
      </c>
      <c r="C15" s="7" t="s">
        <v>413</v>
      </c>
      <c r="D15" s="36" t="s">
        <v>373</v>
      </c>
      <c r="E15" s="7" t="s">
        <v>414</v>
      </c>
      <c r="F15" s="7" t="s">
        <v>415</v>
      </c>
      <c r="G15" s="7"/>
      <c r="H15" s="7"/>
    </row>
    <row r="16" spans="1:8" x14ac:dyDescent="0.35">
      <c r="A16" s="7">
        <v>6</v>
      </c>
      <c r="B16" s="7" t="s">
        <v>416</v>
      </c>
      <c r="C16" s="35" t="s">
        <v>417</v>
      </c>
      <c r="D16" s="7" t="s">
        <v>367</v>
      </c>
      <c r="E16" s="7" t="s">
        <v>418</v>
      </c>
      <c r="F16" s="7" t="s">
        <v>419</v>
      </c>
      <c r="G16" s="7"/>
      <c r="H16" s="7"/>
    </row>
    <row r="17" spans="1:8" x14ac:dyDescent="0.35">
      <c r="A17" s="7">
        <v>7</v>
      </c>
      <c r="B17" s="7" t="s">
        <v>420</v>
      </c>
      <c r="C17" s="36" t="s">
        <v>421</v>
      </c>
      <c r="D17" s="7" t="s">
        <v>422</v>
      </c>
      <c r="E17" s="7" t="s">
        <v>423</v>
      </c>
      <c r="F17" s="7" t="s">
        <v>424</v>
      </c>
      <c r="G17" s="7"/>
      <c r="H17" s="7"/>
    </row>
    <row r="18" spans="1:8" x14ac:dyDescent="0.35">
      <c r="A18" s="7">
        <v>8</v>
      </c>
      <c r="B18" s="7" t="s">
        <v>425</v>
      </c>
      <c r="C18" s="7" t="s">
        <v>426</v>
      </c>
      <c r="D18" s="7" t="s">
        <v>371</v>
      </c>
      <c r="E18" s="36" t="s">
        <v>427</v>
      </c>
      <c r="F18" s="36" t="s">
        <v>428</v>
      </c>
      <c r="G18" s="7"/>
      <c r="H18" s="7"/>
    </row>
    <row r="19" spans="1:8" x14ac:dyDescent="0.35">
      <c r="A19" s="7">
        <v>9</v>
      </c>
      <c r="B19" s="7" t="s">
        <v>429</v>
      </c>
      <c r="C19" s="7" t="s">
        <v>430</v>
      </c>
      <c r="D19" s="7" t="s">
        <v>431</v>
      </c>
      <c r="E19" s="7" t="s">
        <v>432</v>
      </c>
      <c r="F19" s="7" t="s">
        <v>433</v>
      </c>
      <c r="G19" s="7"/>
      <c r="H19" s="7"/>
    </row>
    <row r="20" spans="1:8" x14ac:dyDescent="0.35">
      <c r="A20" s="7">
        <v>10</v>
      </c>
      <c r="B20" s="7" t="s">
        <v>434</v>
      </c>
      <c r="C20" s="7" t="s">
        <v>435</v>
      </c>
      <c r="D20" s="7" t="s">
        <v>436</v>
      </c>
      <c r="E20" s="7" t="s">
        <v>437</v>
      </c>
      <c r="F20" s="7" t="s">
        <v>438</v>
      </c>
      <c r="G20" s="7"/>
      <c r="H20" s="7"/>
    </row>
    <row r="21" spans="1:8" x14ac:dyDescent="0.35">
      <c r="A21" s="7">
        <v>11</v>
      </c>
      <c r="B21" s="7" t="s">
        <v>439</v>
      </c>
      <c r="C21" s="7" t="s">
        <v>440</v>
      </c>
      <c r="D21" s="7" t="s">
        <v>441</v>
      </c>
      <c r="E21" s="7" t="s">
        <v>442</v>
      </c>
      <c r="F21" s="7" t="s">
        <v>443</v>
      </c>
      <c r="G21" s="7"/>
      <c r="H21" s="7"/>
    </row>
    <row r="22" spans="1:8" x14ac:dyDescent="0.35">
      <c r="A22" s="7">
        <v>12</v>
      </c>
      <c r="B22" s="7" t="s">
        <v>444</v>
      </c>
      <c r="C22" s="7" t="s">
        <v>445</v>
      </c>
      <c r="D22" s="7" t="s">
        <v>446</v>
      </c>
      <c r="E22" s="7" t="s">
        <v>447</v>
      </c>
      <c r="F22" s="7" t="s">
        <v>448</v>
      </c>
      <c r="G22" s="7"/>
      <c r="H22" s="7"/>
    </row>
    <row r="23" spans="1:8" x14ac:dyDescent="0.35">
      <c r="A23" s="7"/>
      <c r="B23" s="7"/>
      <c r="C23" s="7"/>
      <c r="D23" s="7"/>
      <c r="E23" s="7"/>
      <c r="F23" s="7"/>
      <c r="G23" s="7"/>
      <c r="H23" s="7"/>
    </row>
    <row r="24" spans="1:8" x14ac:dyDescent="0.35">
      <c r="A24" s="7"/>
      <c r="B24" s="7"/>
      <c r="C24" s="7"/>
      <c r="D24" s="7"/>
      <c r="E24" s="7"/>
      <c r="F24" s="7"/>
      <c r="G24" s="7"/>
      <c r="H24" s="7"/>
    </row>
    <row r="25" spans="1:8" x14ac:dyDescent="0.35">
      <c r="A25" s="60" t="s">
        <v>449</v>
      </c>
      <c r="B25" s="63"/>
      <c r="C25" s="63"/>
      <c r="D25" s="63"/>
      <c r="E25" s="63"/>
      <c r="F25" s="63"/>
      <c r="G25" s="63"/>
      <c r="H25" s="63"/>
    </row>
    <row r="26" spans="1:8" x14ac:dyDescent="0.35">
      <c r="A26" s="9" t="s">
        <v>450</v>
      </c>
      <c r="B26" s="9" t="s">
        <v>451</v>
      </c>
      <c r="C26" s="9" t="s">
        <v>452</v>
      </c>
      <c r="D26" s="9" t="s">
        <v>453</v>
      </c>
      <c r="E26" s="7"/>
      <c r="F26" s="7"/>
      <c r="G26" s="7"/>
      <c r="H26" s="7"/>
    </row>
    <row r="27" spans="1:8" x14ac:dyDescent="0.35">
      <c r="A27" s="7" t="s">
        <v>454</v>
      </c>
      <c r="B27" s="14">
        <f>'Control Tower Dashboard'!G5</f>
        <v>0.91029935967790443</v>
      </c>
      <c r="C27" s="7" t="s">
        <v>455</v>
      </c>
      <c r="D27" s="7" t="s">
        <v>456</v>
      </c>
      <c r="E27" s="7"/>
      <c r="F27" s="7"/>
      <c r="G27" s="7"/>
      <c r="H27" s="7"/>
    </row>
    <row r="28" spans="1:8" x14ac:dyDescent="0.35">
      <c r="A28" s="7" t="s">
        <v>11</v>
      </c>
      <c r="B28" s="13">
        <f>'Control Tower Dashboard'!I5</f>
        <v>0.66936619718309864</v>
      </c>
      <c r="C28" s="7" t="s">
        <v>457</v>
      </c>
      <c r="D28" s="7" t="s">
        <v>458</v>
      </c>
      <c r="E28" s="7"/>
      <c r="F28" s="7"/>
      <c r="G28" s="7"/>
      <c r="H28" s="7"/>
    </row>
    <row r="29" spans="1:8" x14ac:dyDescent="0.35">
      <c r="A29" s="7" t="s">
        <v>459</v>
      </c>
      <c r="B29" s="25">
        <f>'Control Tower Dashboard'!L6</f>
        <v>8</v>
      </c>
      <c r="C29" s="7" t="s">
        <v>460</v>
      </c>
      <c r="D29" s="7" t="s">
        <v>461</v>
      </c>
      <c r="E29" s="7"/>
      <c r="F29" s="7"/>
      <c r="G29" s="7"/>
      <c r="H29" s="7"/>
    </row>
    <row r="30" spans="1:8" x14ac:dyDescent="0.35">
      <c r="A30" s="7" t="s">
        <v>462</v>
      </c>
      <c r="B30" s="25">
        <f>'Control Tower Dashboard'!L5</f>
        <v>3</v>
      </c>
      <c r="C30" s="36" t="s">
        <v>463</v>
      </c>
      <c r="D30" s="36" t="s">
        <v>464</v>
      </c>
      <c r="E30" s="7"/>
      <c r="F30" s="7"/>
      <c r="G30" s="7"/>
      <c r="H30" s="7"/>
    </row>
    <row r="31" spans="1:8" x14ac:dyDescent="0.35">
      <c r="A31" s="7" t="s">
        <v>465</v>
      </c>
      <c r="B31" s="14">
        <f>'Interactive Simulator'!B19</f>
        <v>0.96670792168577591</v>
      </c>
      <c r="C31" s="7" t="s">
        <v>466</v>
      </c>
      <c r="D31" s="7" t="s">
        <v>467</v>
      </c>
      <c r="E31" s="7"/>
      <c r="F31" s="7"/>
      <c r="G31" s="7"/>
      <c r="H31" s="7"/>
    </row>
    <row r="32" spans="1:8" x14ac:dyDescent="0.35">
      <c r="C32" s="29"/>
    </row>
    <row r="33" spans="1:8" x14ac:dyDescent="0.35">
      <c r="C33" s="29"/>
    </row>
    <row r="34" spans="1:8" x14ac:dyDescent="0.35">
      <c r="A34" s="61" t="s">
        <v>793</v>
      </c>
      <c r="B34" s="61"/>
      <c r="C34" s="65"/>
      <c r="D34" s="61"/>
      <c r="E34" s="61"/>
      <c r="F34" s="61"/>
      <c r="G34" s="61"/>
      <c r="H34" s="61"/>
    </row>
    <row r="35" spans="1:8" ht="51" customHeight="1" x14ac:dyDescent="0.35">
      <c r="A35" s="55" t="s">
        <v>794</v>
      </c>
      <c r="B35" s="55"/>
      <c r="C35" s="62"/>
      <c r="D35" s="55"/>
      <c r="E35" s="55"/>
      <c r="F35" s="55"/>
      <c r="G35" s="55"/>
      <c r="H35" s="55"/>
    </row>
    <row r="36" spans="1:8" ht="72" hidden="1" customHeight="1" x14ac:dyDescent="0.35">
      <c r="A36" s="62"/>
      <c r="B36" s="55"/>
      <c r="C36" s="62"/>
      <c r="D36" s="55"/>
      <c r="E36" s="55"/>
      <c r="F36" s="55"/>
      <c r="G36" s="55"/>
      <c r="H36" s="55"/>
    </row>
    <row r="37" spans="1:8" ht="72" hidden="1" customHeight="1" x14ac:dyDescent="0.35">
      <c r="A37" s="62"/>
      <c r="B37" s="55"/>
      <c r="C37" s="62"/>
      <c r="D37" s="55"/>
      <c r="E37" s="55"/>
      <c r="F37" s="55"/>
      <c r="G37" s="55"/>
      <c r="H37" s="55"/>
    </row>
    <row r="38" spans="1:8" ht="72" hidden="1" customHeight="1" x14ac:dyDescent="0.35">
      <c r="A38" s="62"/>
      <c r="B38" s="55"/>
      <c r="C38" s="62"/>
      <c r="D38" s="55"/>
      <c r="E38" s="55"/>
      <c r="F38" s="55"/>
      <c r="G38" s="55"/>
      <c r="H38" s="55"/>
    </row>
    <row r="39" spans="1:8" x14ac:dyDescent="0.35">
      <c r="A39" s="29"/>
      <c r="C39" s="29"/>
    </row>
    <row r="40" spans="1:8" x14ac:dyDescent="0.35">
      <c r="A40" t="s">
        <v>795</v>
      </c>
      <c r="B40" t="s">
        <v>796</v>
      </c>
      <c r="C40" t="s">
        <v>797</v>
      </c>
      <c r="D40" t="s">
        <v>798</v>
      </c>
    </row>
    <row r="41" spans="1:8" x14ac:dyDescent="0.35">
      <c r="A41" t="s">
        <v>799</v>
      </c>
      <c r="B41" t="s">
        <v>800</v>
      </c>
      <c r="C41" t="s">
        <v>801</v>
      </c>
      <c r="D41" s="30" t="s">
        <v>802</v>
      </c>
    </row>
    <row r="42" spans="1:8" x14ac:dyDescent="0.35">
      <c r="A42" t="s">
        <v>803</v>
      </c>
      <c r="B42" t="s">
        <v>804</v>
      </c>
      <c r="C42" t="s">
        <v>805</v>
      </c>
      <c r="D42" t="s">
        <v>806</v>
      </c>
    </row>
    <row r="43" spans="1:8" x14ac:dyDescent="0.35">
      <c r="A43" t="s">
        <v>807</v>
      </c>
      <c r="B43" t="s">
        <v>808</v>
      </c>
      <c r="C43" s="29" t="s">
        <v>809</v>
      </c>
      <c r="D43" t="s">
        <v>810</v>
      </c>
    </row>
    <row r="44" spans="1:8" x14ac:dyDescent="0.35">
      <c r="A44" t="s">
        <v>811</v>
      </c>
      <c r="B44" t="s">
        <v>812</v>
      </c>
      <c r="C44" t="s">
        <v>813</v>
      </c>
      <c r="D44" t="s">
        <v>814</v>
      </c>
    </row>
    <row r="47" spans="1:8" x14ac:dyDescent="0.35">
      <c r="A47" s="61" t="s">
        <v>815</v>
      </c>
      <c r="B47" s="61"/>
      <c r="C47" s="61"/>
      <c r="D47" s="61"/>
      <c r="E47" s="61"/>
      <c r="F47" s="61"/>
      <c r="G47" s="61"/>
      <c r="H47" s="61"/>
    </row>
    <row r="48" spans="1:8" x14ac:dyDescent="0.35">
      <c r="A48" t="s">
        <v>816</v>
      </c>
      <c r="B48" t="s">
        <v>817</v>
      </c>
      <c r="C48" t="s">
        <v>818</v>
      </c>
      <c r="D48" t="s">
        <v>819</v>
      </c>
      <c r="E48" t="s">
        <v>820</v>
      </c>
    </row>
    <row r="49" spans="1:5" x14ac:dyDescent="0.35">
      <c r="A49" t="s">
        <v>821</v>
      </c>
      <c r="B49" s="5">
        <f>'Control Tower Dashboard'!G5</f>
        <v>0.91029935967790443</v>
      </c>
      <c r="C49" t="s">
        <v>822</v>
      </c>
      <c r="D49" s="29" t="str">
        <f>IF(B49&lt;1,"⚠ Margin pressure","✓ Stable")</f>
        <v>⚠ Margin pressure</v>
      </c>
      <c r="E49" s="29" t="s">
        <v>823</v>
      </c>
    </row>
    <row r="50" spans="1:5" x14ac:dyDescent="0.35">
      <c r="A50" t="s">
        <v>824</v>
      </c>
      <c r="B50" s="5">
        <f>'Control Tower Dashboard'!L10</f>
        <v>0.80727603160952177</v>
      </c>
      <c r="C50" t="s">
        <v>825</v>
      </c>
      <c r="D50" s="29" t="str">
        <f>IF(B50&lt;0.95,"⚠ Reforecast required","✓ Within tolerance")</f>
        <v>⚠ Reforecast required</v>
      </c>
      <c r="E50" s="29" t="s">
        <v>826</v>
      </c>
    </row>
    <row r="51" spans="1:5" x14ac:dyDescent="0.35">
      <c r="A51" t="s">
        <v>827</v>
      </c>
      <c r="B51" s="4">
        <f>'Control Tower Dashboard'!L8</f>
        <v>0.79466787720679355</v>
      </c>
      <c r="C51" t="s">
        <v>828</v>
      </c>
      <c r="D51" s="30" t="str">
        <f>IF(B51&gt;0.75,"⚠ Labor-heavy outflow","✓ Balanced mix")</f>
        <v>⚠ Labor-heavy outflow</v>
      </c>
      <c r="E51" t="s">
        <v>829</v>
      </c>
    </row>
    <row r="52" spans="1:5" x14ac:dyDescent="0.35">
      <c r="A52" t="s">
        <v>830</v>
      </c>
      <c r="B52" s="28">
        <f>'Control Tower Dashboard'!L6</f>
        <v>8</v>
      </c>
      <c r="C52" t="s">
        <v>831</v>
      </c>
      <c r="D52" s="29" t="str">
        <f>IF(B52&gt;0,"⚠ Capacity risk","✓ No overtime flag")</f>
        <v>⚠ Capacity risk</v>
      </c>
      <c r="E52" t="s">
        <v>832</v>
      </c>
    </row>
    <row r="53" spans="1:5" x14ac:dyDescent="0.35">
      <c r="A53" t="s">
        <v>833</v>
      </c>
      <c r="B53" s="28">
        <f>'Control Tower Dashboard'!L7</f>
        <v>5</v>
      </c>
      <c r="C53" t="s">
        <v>834</v>
      </c>
      <c r="D53" s="29" t="str">
        <f>IF(B53&gt;0,"⚠ Procurement cash risk","✓ No large-purchase flag")</f>
        <v>⚠ Procurement cash risk</v>
      </c>
      <c r="E53" t="s">
        <v>835</v>
      </c>
    </row>
  </sheetData>
  <mergeCells count="8">
    <mergeCell ref="A35:H38"/>
    <mergeCell ref="A47:H47"/>
    <mergeCell ref="A1:H1"/>
    <mergeCell ref="A2:H2"/>
    <mergeCell ref="A4:H4"/>
    <mergeCell ref="A5:H8"/>
    <mergeCell ref="A25:H25"/>
    <mergeCell ref="A34:H34"/>
  </mergeCells>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D6077-525D-40F9-BF16-0501CF60315A}">
  <dimension ref="A1:H55"/>
  <sheetViews>
    <sheetView topLeftCell="A8" workbookViewId="0">
      <selection sqref="A1:H1"/>
    </sheetView>
  </sheetViews>
  <sheetFormatPr defaultRowHeight="14.5" x14ac:dyDescent="0.35"/>
  <cols>
    <col min="1" max="1" width="23.453125" bestFit="1" customWidth="1"/>
    <col min="2" max="5" width="32.7265625" customWidth="1"/>
    <col min="6" max="6" width="27.26953125" customWidth="1"/>
  </cols>
  <sheetData>
    <row r="1" spans="1:8" x14ac:dyDescent="0.35">
      <c r="A1" s="57" t="s">
        <v>468</v>
      </c>
      <c r="B1" s="63"/>
      <c r="C1" s="63"/>
      <c r="D1" s="63"/>
      <c r="E1" s="63"/>
      <c r="F1" s="63"/>
      <c r="G1" s="63"/>
      <c r="H1" s="63"/>
    </row>
    <row r="2" spans="1:8" x14ac:dyDescent="0.35">
      <c r="A2" s="64" t="s">
        <v>469</v>
      </c>
      <c r="B2" s="63"/>
      <c r="C2" s="63"/>
      <c r="D2" s="63"/>
      <c r="E2" s="63"/>
      <c r="F2" s="63"/>
      <c r="G2" s="63"/>
      <c r="H2" s="63"/>
    </row>
    <row r="3" spans="1:8" x14ac:dyDescent="0.35">
      <c r="A3" s="7"/>
      <c r="B3" s="7"/>
      <c r="C3" s="7"/>
      <c r="D3" s="7"/>
      <c r="E3" s="7"/>
      <c r="F3" s="7"/>
      <c r="G3" s="7"/>
      <c r="H3" s="7"/>
    </row>
    <row r="4" spans="1:8" x14ac:dyDescent="0.35">
      <c r="A4" s="60" t="s">
        <v>470</v>
      </c>
      <c r="B4" s="63"/>
      <c r="C4" s="63"/>
      <c r="D4" s="63"/>
      <c r="E4" s="63"/>
      <c r="F4" s="63"/>
      <c r="G4" s="63"/>
      <c r="H4" s="63"/>
    </row>
    <row r="5" spans="1:8" ht="75" customHeight="1" x14ac:dyDescent="0.35">
      <c r="A5" s="59" t="s">
        <v>471</v>
      </c>
      <c r="B5" s="59"/>
      <c r="C5" s="59"/>
      <c r="D5" s="59"/>
      <c r="E5" s="59"/>
      <c r="F5" s="59"/>
      <c r="G5" s="59"/>
      <c r="H5" s="59"/>
    </row>
    <row r="6" spans="1:8" ht="75" customHeight="1" x14ac:dyDescent="0.35">
      <c r="A6" s="59"/>
      <c r="B6" s="59"/>
      <c r="C6" s="59"/>
      <c r="D6" s="59"/>
      <c r="E6" s="59"/>
      <c r="F6" s="59"/>
      <c r="G6" s="59"/>
      <c r="H6" s="59"/>
    </row>
    <row r="7" spans="1:8" ht="75" customHeight="1" x14ac:dyDescent="0.35">
      <c r="A7" s="59"/>
      <c r="B7" s="59"/>
      <c r="C7" s="59"/>
      <c r="D7" s="59"/>
      <c r="E7" s="59"/>
      <c r="F7" s="59"/>
      <c r="G7" s="59"/>
      <c r="H7" s="59"/>
    </row>
    <row r="8" spans="1:8" ht="75" customHeight="1" x14ac:dyDescent="0.35">
      <c r="A8" s="59"/>
      <c r="B8" s="59"/>
      <c r="C8" s="59"/>
      <c r="D8" s="59"/>
      <c r="E8" s="59"/>
      <c r="F8" s="59"/>
      <c r="G8" s="59"/>
      <c r="H8" s="59"/>
    </row>
    <row r="9" spans="1:8" x14ac:dyDescent="0.35">
      <c r="A9" s="7"/>
      <c r="B9" s="7"/>
      <c r="C9" s="7"/>
      <c r="D9" s="7"/>
      <c r="E9" s="7"/>
      <c r="F9" s="7"/>
      <c r="G9" s="7"/>
      <c r="H9" s="7"/>
    </row>
    <row r="10" spans="1:8" x14ac:dyDescent="0.35">
      <c r="A10" s="7" t="s">
        <v>472</v>
      </c>
      <c r="B10" s="7" t="s">
        <v>473</v>
      </c>
      <c r="C10" s="7" t="s">
        <v>474</v>
      </c>
      <c r="D10" s="7" t="s">
        <v>475</v>
      </c>
      <c r="E10" s="7" t="s">
        <v>476</v>
      </c>
      <c r="F10" s="7"/>
      <c r="G10" s="7"/>
      <c r="H10" s="7"/>
    </row>
    <row r="11" spans="1:8" x14ac:dyDescent="0.35">
      <c r="A11" s="7" t="s">
        <v>477</v>
      </c>
      <c r="B11" s="7" t="s">
        <v>478</v>
      </c>
      <c r="C11" s="7" t="s">
        <v>371</v>
      </c>
      <c r="D11" s="7" t="s">
        <v>479</v>
      </c>
      <c r="E11" s="7" t="s">
        <v>480</v>
      </c>
      <c r="F11" s="7"/>
      <c r="G11" s="7"/>
      <c r="H11" s="7"/>
    </row>
    <row r="12" spans="1:8" x14ac:dyDescent="0.35">
      <c r="A12" s="7" t="s">
        <v>477</v>
      </c>
      <c r="B12" s="7" t="s">
        <v>481</v>
      </c>
      <c r="C12" s="7" t="s">
        <v>482</v>
      </c>
      <c r="D12" s="7" t="s">
        <v>483</v>
      </c>
      <c r="E12" s="7" t="s">
        <v>484</v>
      </c>
      <c r="F12" s="7"/>
      <c r="G12" s="7"/>
      <c r="H12" s="7"/>
    </row>
    <row r="13" spans="1:8" x14ac:dyDescent="0.35">
      <c r="A13" s="7" t="s">
        <v>485</v>
      </c>
      <c r="B13" s="7" t="s">
        <v>486</v>
      </c>
      <c r="C13" s="7" t="s">
        <v>369</v>
      </c>
      <c r="D13" s="7" t="s">
        <v>487</v>
      </c>
      <c r="E13" s="7" t="s">
        <v>488</v>
      </c>
      <c r="F13" s="7"/>
      <c r="G13" s="7"/>
      <c r="H13" s="7"/>
    </row>
    <row r="14" spans="1:8" x14ac:dyDescent="0.35">
      <c r="A14" s="7" t="s">
        <v>485</v>
      </c>
      <c r="B14" s="7" t="s">
        <v>489</v>
      </c>
      <c r="C14" s="7" t="s">
        <v>365</v>
      </c>
      <c r="D14" s="7" t="s">
        <v>490</v>
      </c>
      <c r="E14" s="7" t="s">
        <v>491</v>
      </c>
      <c r="F14" s="7"/>
      <c r="G14" s="7"/>
      <c r="H14" s="7"/>
    </row>
    <row r="15" spans="1:8" x14ac:dyDescent="0.35">
      <c r="A15" s="7" t="s">
        <v>492</v>
      </c>
      <c r="B15" s="37" t="s">
        <v>493</v>
      </c>
      <c r="C15" s="7" t="s">
        <v>363</v>
      </c>
      <c r="D15" s="7" t="s">
        <v>494</v>
      </c>
      <c r="E15" s="7" t="s">
        <v>495</v>
      </c>
      <c r="F15" s="7"/>
      <c r="G15" s="7"/>
      <c r="H15" s="7"/>
    </row>
    <row r="16" spans="1:8" x14ac:dyDescent="0.35">
      <c r="A16" s="7" t="s">
        <v>496</v>
      </c>
      <c r="B16" s="7" t="s">
        <v>497</v>
      </c>
      <c r="C16" s="7" t="s">
        <v>498</v>
      </c>
      <c r="D16" s="7" t="s">
        <v>499</v>
      </c>
      <c r="E16" s="37" t="s">
        <v>500</v>
      </c>
      <c r="F16" s="7"/>
      <c r="G16" s="7"/>
      <c r="H16" s="7"/>
    </row>
    <row r="17" spans="1:8" x14ac:dyDescent="0.35">
      <c r="A17" s="7"/>
      <c r="B17" s="7"/>
      <c r="C17" s="7"/>
      <c r="D17" s="7"/>
      <c r="E17" s="7"/>
      <c r="F17" s="7"/>
      <c r="G17" s="7"/>
      <c r="H17" s="7"/>
    </row>
    <row r="18" spans="1:8" x14ac:dyDescent="0.35">
      <c r="A18" s="7"/>
      <c r="B18" s="7"/>
      <c r="C18" s="7"/>
      <c r="D18" s="7"/>
      <c r="E18" s="7"/>
      <c r="F18" s="7"/>
      <c r="G18" s="7"/>
      <c r="H18" s="7"/>
    </row>
    <row r="19" spans="1:8" x14ac:dyDescent="0.35">
      <c r="A19" s="60" t="s">
        <v>501</v>
      </c>
      <c r="B19" s="63"/>
      <c r="C19" s="63"/>
      <c r="D19" s="63"/>
      <c r="E19" s="63"/>
      <c r="F19" s="63"/>
      <c r="G19" s="63"/>
      <c r="H19" s="63"/>
    </row>
    <row r="20" spans="1:8" x14ac:dyDescent="0.35">
      <c r="A20" s="7" t="s">
        <v>502</v>
      </c>
      <c r="B20" s="7" t="s">
        <v>503</v>
      </c>
      <c r="C20" s="7" t="s">
        <v>504</v>
      </c>
      <c r="D20" s="7" t="s">
        <v>505</v>
      </c>
      <c r="E20" s="7"/>
      <c r="F20" s="7"/>
      <c r="G20" s="7"/>
      <c r="H20" s="7"/>
    </row>
    <row r="21" spans="1:8" x14ac:dyDescent="0.35">
      <c r="A21" s="7" t="s">
        <v>327</v>
      </c>
      <c r="B21" s="7" t="s">
        <v>506</v>
      </c>
      <c r="C21" s="7" t="s">
        <v>507</v>
      </c>
      <c r="D21" s="7" t="s">
        <v>508</v>
      </c>
      <c r="E21" s="7"/>
      <c r="F21" s="7"/>
      <c r="G21" s="7"/>
      <c r="H21" s="7"/>
    </row>
    <row r="22" spans="1:8" x14ac:dyDescent="0.35">
      <c r="A22" s="7" t="s">
        <v>328</v>
      </c>
      <c r="B22" s="7" t="s">
        <v>509</v>
      </c>
      <c r="C22" s="7" t="s">
        <v>510</v>
      </c>
      <c r="D22" s="7" t="s">
        <v>511</v>
      </c>
      <c r="E22" s="7"/>
      <c r="F22" s="7"/>
      <c r="G22" s="7"/>
      <c r="H22" s="7"/>
    </row>
    <row r="23" spans="1:8" x14ac:dyDescent="0.35">
      <c r="A23" s="7" t="s">
        <v>4</v>
      </c>
      <c r="B23" s="7" t="s">
        <v>512</v>
      </c>
      <c r="C23" s="7" t="s">
        <v>513</v>
      </c>
      <c r="D23" s="7" t="s">
        <v>514</v>
      </c>
      <c r="E23" s="7"/>
      <c r="F23" s="7"/>
      <c r="G23" s="7"/>
      <c r="H23" s="7"/>
    </row>
    <row r="24" spans="1:8" x14ac:dyDescent="0.35">
      <c r="A24" s="7" t="s">
        <v>329</v>
      </c>
      <c r="B24" s="7" t="s">
        <v>515</v>
      </c>
      <c r="C24" s="7" t="s">
        <v>516</v>
      </c>
      <c r="D24" s="7" t="s">
        <v>517</v>
      </c>
      <c r="E24" s="7"/>
      <c r="F24" s="7"/>
      <c r="G24" s="7"/>
      <c r="H24" s="7"/>
    </row>
    <row r="25" spans="1:8" x14ac:dyDescent="0.35">
      <c r="A25" s="7" t="s">
        <v>11</v>
      </c>
      <c r="B25" s="7" t="s">
        <v>518</v>
      </c>
      <c r="C25" s="7" t="s">
        <v>519</v>
      </c>
      <c r="D25" s="7" t="s">
        <v>520</v>
      </c>
      <c r="E25" s="7"/>
      <c r="F25" s="7"/>
      <c r="G25" s="7"/>
      <c r="H25" s="7"/>
    </row>
    <row r="26" spans="1:8" x14ac:dyDescent="0.35">
      <c r="A26" s="7" t="s">
        <v>521</v>
      </c>
      <c r="B26" s="7" t="s">
        <v>522</v>
      </c>
      <c r="C26" s="7" t="s">
        <v>523</v>
      </c>
      <c r="D26" s="7" t="s">
        <v>524</v>
      </c>
      <c r="E26" s="7"/>
      <c r="F26" s="7"/>
      <c r="G26" s="7"/>
      <c r="H26" s="7"/>
    </row>
    <row r="27" spans="1:8" x14ac:dyDescent="0.35">
      <c r="A27" s="7"/>
      <c r="B27" s="7"/>
      <c r="C27" s="7"/>
      <c r="D27" s="7"/>
      <c r="E27" s="7"/>
      <c r="F27" s="7"/>
      <c r="G27" s="7"/>
      <c r="H27" s="7"/>
    </row>
    <row r="28" spans="1:8" x14ac:dyDescent="0.35">
      <c r="A28" s="7"/>
      <c r="B28" s="7"/>
      <c r="C28" s="7"/>
      <c r="D28" s="7"/>
      <c r="E28" s="7"/>
      <c r="F28" s="7"/>
      <c r="G28" s="7"/>
      <c r="H28" s="7"/>
    </row>
    <row r="29" spans="1:8" x14ac:dyDescent="0.35">
      <c r="A29" s="7"/>
      <c r="B29" s="7"/>
      <c r="C29" s="7"/>
      <c r="D29" s="7"/>
      <c r="E29" s="7"/>
      <c r="F29" s="7"/>
      <c r="G29" s="7"/>
      <c r="H29" s="7"/>
    </row>
    <row r="30" spans="1:8" x14ac:dyDescent="0.35">
      <c r="A30" s="60" t="s">
        <v>525</v>
      </c>
      <c r="B30" s="63"/>
      <c r="C30" s="63"/>
      <c r="D30" s="63"/>
      <c r="E30" s="63"/>
      <c r="F30" s="63"/>
      <c r="G30" s="63"/>
      <c r="H30" s="63"/>
    </row>
    <row r="31" spans="1:8" x14ac:dyDescent="0.35">
      <c r="A31" s="7" t="s">
        <v>64</v>
      </c>
      <c r="B31" s="7" t="s">
        <v>526</v>
      </c>
      <c r="C31" s="7" t="s">
        <v>527</v>
      </c>
      <c r="D31" s="7"/>
      <c r="E31" s="7"/>
      <c r="F31" s="7"/>
      <c r="G31" s="7"/>
      <c r="H31" s="7"/>
    </row>
    <row r="32" spans="1:8" x14ac:dyDescent="0.35">
      <c r="A32" s="7" t="s">
        <v>10</v>
      </c>
      <c r="B32" s="7" t="s">
        <v>528</v>
      </c>
      <c r="C32" s="7" t="s">
        <v>529</v>
      </c>
      <c r="D32" s="7"/>
      <c r="E32" s="7"/>
      <c r="F32" s="7"/>
      <c r="G32" s="7"/>
      <c r="H32" s="7"/>
    </row>
    <row r="33" spans="1:8" x14ac:dyDescent="0.35">
      <c r="A33" s="7" t="s">
        <v>530</v>
      </c>
      <c r="B33" s="7" t="s">
        <v>531</v>
      </c>
      <c r="C33" s="7" t="s">
        <v>532</v>
      </c>
      <c r="D33" s="7"/>
      <c r="E33" s="7"/>
      <c r="F33" s="7"/>
      <c r="G33" s="7"/>
      <c r="H33" s="7"/>
    </row>
    <row r="34" spans="1:8" x14ac:dyDescent="0.35">
      <c r="A34" s="7" t="s">
        <v>72</v>
      </c>
      <c r="B34" s="7" t="s">
        <v>533</v>
      </c>
      <c r="C34" s="7" t="s">
        <v>534</v>
      </c>
      <c r="D34" s="7"/>
      <c r="E34" s="7"/>
      <c r="F34" s="7"/>
      <c r="G34" s="7"/>
      <c r="H34" s="7"/>
    </row>
    <row r="37" spans="1:8" x14ac:dyDescent="0.35">
      <c r="A37" s="61" t="s">
        <v>836</v>
      </c>
      <c r="B37" s="61"/>
      <c r="C37" s="61"/>
      <c r="D37" s="61"/>
      <c r="E37" s="61"/>
      <c r="F37" s="61"/>
      <c r="G37" s="61"/>
      <c r="H37" s="61"/>
    </row>
    <row r="38" spans="1:8" ht="60" customHeight="1" x14ac:dyDescent="0.35">
      <c r="A38" s="55" t="s">
        <v>837</v>
      </c>
      <c r="B38" s="55"/>
      <c r="C38" s="55"/>
      <c r="D38" s="55"/>
      <c r="E38" s="55"/>
      <c r="F38" s="55"/>
      <c r="G38" s="55"/>
      <c r="H38" s="55"/>
    </row>
    <row r="39" spans="1:8" ht="60" customHeight="1" x14ac:dyDescent="0.35">
      <c r="A39" s="55"/>
      <c r="B39" s="55"/>
      <c r="C39" s="55"/>
      <c r="D39" s="55"/>
      <c r="E39" s="55"/>
      <c r="F39" s="55"/>
      <c r="G39" s="55"/>
      <c r="H39" s="55"/>
    </row>
    <row r="40" spans="1:8" ht="60" customHeight="1" x14ac:dyDescent="0.35">
      <c r="A40" s="55"/>
      <c r="B40" s="55"/>
      <c r="C40" s="55"/>
      <c r="D40" s="55"/>
      <c r="E40" s="55"/>
      <c r="F40" s="55"/>
      <c r="G40" s="55"/>
      <c r="H40" s="55"/>
    </row>
    <row r="42" spans="1:8" x14ac:dyDescent="0.35">
      <c r="A42" t="s">
        <v>565</v>
      </c>
      <c r="B42" t="s">
        <v>838</v>
      </c>
      <c r="C42" s="29" t="s">
        <v>839</v>
      </c>
      <c r="D42" t="s">
        <v>840</v>
      </c>
      <c r="E42" t="s">
        <v>841</v>
      </c>
    </row>
    <row r="43" spans="1:8" x14ac:dyDescent="0.35">
      <c r="A43" t="s">
        <v>799</v>
      </c>
      <c r="B43" t="s">
        <v>842</v>
      </c>
      <c r="C43" t="s">
        <v>843</v>
      </c>
      <c r="D43" t="s">
        <v>844</v>
      </c>
      <c r="E43" t="s">
        <v>845</v>
      </c>
    </row>
    <row r="44" spans="1:8" x14ac:dyDescent="0.35">
      <c r="A44" t="s">
        <v>846</v>
      </c>
      <c r="B44" t="s">
        <v>847</v>
      </c>
      <c r="C44" t="s">
        <v>848</v>
      </c>
      <c r="D44" t="s">
        <v>849</v>
      </c>
      <c r="E44" t="s">
        <v>850</v>
      </c>
    </row>
    <row r="45" spans="1:8" x14ac:dyDescent="0.35">
      <c r="A45" t="s">
        <v>807</v>
      </c>
      <c r="B45" t="s">
        <v>851</v>
      </c>
      <c r="C45" t="s">
        <v>852</v>
      </c>
      <c r="D45" t="s">
        <v>853</v>
      </c>
      <c r="E45" t="s">
        <v>854</v>
      </c>
    </row>
    <row r="46" spans="1:8" x14ac:dyDescent="0.35">
      <c r="A46" t="s">
        <v>811</v>
      </c>
      <c r="B46" t="s">
        <v>855</v>
      </c>
      <c r="C46" t="s">
        <v>856</v>
      </c>
      <c r="D46" t="s">
        <v>857</v>
      </c>
      <c r="E46" t="s">
        <v>858</v>
      </c>
    </row>
    <row r="49" spans="1:8" x14ac:dyDescent="0.35">
      <c r="A49" s="61" t="s">
        <v>859</v>
      </c>
      <c r="B49" s="61"/>
      <c r="C49" s="61"/>
      <c r="D49" s="61"/>
      <c r="E49" s="61"/>
      <c r="F49" s="61"/>
      <c r="G49" s="61"/>
      <c r="H49" s="61"/>
    </row>
    <row r="50" spans="1:8" x14ac:dyDescent="0.35">
      <c r="A50" t="s">
        <v>860</v>
      </c>
      <c r="B50" t="s">
        <v>861</v>
      </c>
      <c r="C50" t="s">
        <v>862</v>
      </c>
      <c r="D50" t="s">
        <v>863</v>
      </c>
    </row>
    <row r="51" spans="1:8" x14ac:dyDescent="0.35">
      <c r="A51" t="s">
        <v>864</v>
      </c>
      <c r="B51" t="s">
        <v>865</v>
      </c>
      <c r="C51" t="s">
        <v>866</v>
      </c>
      <c r="D51" s="29" t="s">
        <v>867</v>
      </c>
    </row>
    <row r="52" spans="1:8" x14ac:dyDescent="0.35">
      <c r="A52" t="s">
        <v>868</v>
      </c>
      <c r="B52" t="s">
        <v>869</v>
      </c>
      <c r="C52" t="s">
        <v>870</v>
      </c>
      <c r="D52" t="s">
        <v>871</v>
      </c>
    </row>
    <row r="53" spans="1:8" x14ac:dyDescent="0.35">
      <c r="A53" t="s">
        <v>101</v>
      </c>
      <c r="B53" t="s">
        <v>872</v>
      </c>
      <c r="C53" t="s">
        <v>873</v>
      </c>
      <c r="D53" t="s">
        <v>874</v>
      </c>
    </row>
    <row r="54" spans="1:8" x14ac:dyDescent="0.35">
      <c r="A54" t="s">
        <v>875</v>
      </c>
      <c r="B54" t="s">
        <v>876</v>
      </c>
      <c r="C54" t="s">
        <v>877</v>
      </c>
      <c r="D54" t="s">
        <v>878</v>
      </c>
    </row>
    <row r="55" spans="1:8" x14ac:dyDescent="0.35">
      <c r="A55" t="s">
        <v>879</v>
      </c>
      <c r="B55" t="s">
        <v>880</v>
      </c>
      <c r="C55" t="s">
        <v>881</v>
      </c>
      <c r="D55" t="s">
        <v>882</v>
      </c>
    </row>
  </sheetData>
  <mergeCells count="9">
    <mergeCell ref="A37:H37"/>
    <mergeCell ref="A38:H40"/>
    <mergeCell ref="A49:H49"/>
    <mergeCell ref="A1:H1"/>
    <mergeCell ref="A2:H2"/>
    <mergeCell ref="A4:H4"/>
    <mergeCell ref="A5:H8"/>
    <mergeCell ref="A19:H19"/>
    <mergeCell ref="A30:H30"/>
  </mergeCells>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F1132-F782-454A-8905-1EC522BF8318}">
  <dimension ref="A1:H17"/>
  <sheetViews>
    <sheetView workbookViewId="0">
      <selection sqref="A1:H1"/>
    </sheetView>
  </sheetViews>
  <sheetFormatPr defaultRowHeight="14.5" x14ac:dyDescent="0.35"/>
  <cols>
    <col min="1" max="1" width="36.36328125" customWidth="1"/>
    <col min="2" max="2" width="63.6328125" customWidth="1"/>
    <col min="4" max="4" width="11.1796875" bestFit="1" customWidth="1"/>
    <col min="5" max="5" width="28.6328125" bestFit="1" customWidth="1"/>
    <col min="6" max="6" width="32.54296875" bestFit="1" customWidth="1"/>
  </cols>
  <sheetData>
    <row r="1" spans="1:8" x14ac:dyDescent="0.35">
      <c r="A1" s="57" t="s">
        <v>360</v>
      </c>
      <c r="B1" s="63"/>
      <c r="C1" s="63"/>
      <c r="D1" s="63"/>
      <c r="E1" s="63"/>
      <c r="F1" s="63"/>
      <c r="G1" s="63"/>
      <c r="H1" s="63"/>
    </row>
    <row r="2" spans="1:8" x14ac:dyDescent="0.35">
      <c r="A2" s="64" t="s">
        <v>361</v>
      </c>
      <c r="B2" s="63"/>
      <c r="C2" s="63"/>
      <c r="D2" s="63"/>
      <c r="E2" s="63"/>
      <c r="F2" s="63"/>
      <c r="G2" s="63"/>
      <c r="H2" s="63"/>
    </row>
    <row r="3" spans="1:8" x14ac:dyDescent="0.35">
      <c r="A3" s="7"/>
      <c r="B3" s="7"/>
      <c r="C3" s="7"/>
      <c r="D3" s="7"/>
      <c r="E3" s="7"/>
      <c r="F3" s="7"/>
      <c r="G3" s="7"/>
      <c r="H3" s="7"/>
    </row>
    <row r="4" spans="1:8" x14ac:dyDescent="0.35">
      <c r="A4" s="1" t="s">
        <v>362</v>
      </c>
      <c r="B4" s="1" t="s">
        <v>84</v>
      </c>
      <c r="C4" s="7"/>
      <c r="D4" s="1" t="s">
        <v>990</v>
      </c>
      <c r="E4" s="1"/>
      <c r="F4" s="1"/>
      <c r="G4" s="7"/>
      <c r="H4" s="7"/>
    </row>
    <row r="5" spans="1:8" x14ac:dyDescent="0.35">
      <c r="A5" t="s">
        <v>363</v>
      </c>
      <c r="B5" s="2" t="s">
        <v>364</v>
      </c>
      <c r="C5" s="7"/>
      <c r="D5" s="29" t="s">
        <v>991</v>
      </c>
      <c r="E5" s="2" t="s">
        <v>992</v>
      </c>
      <c r="F5" s="2" t="s">
        <v>993</v>
      </c>
      <c r="G5" s="7"/>
      <c r="H5" s="7"/>
    </row>
    <row r="6" spans="1:8" x14ac:dyDescent="0.35">
      <c r="A6" t="s">
        <v>1043</v>
      </c>
      <c r="B6" s="2" t="s">
        <v>1044</v>
      </c>
      <c r="C6" s="7"/>
      <c r="D6" s="30" t="s">
        <v>994</v>
      </c>
      <c r="E6" s="2" t="s">
        <v>995</v>
      </c>
      <c r="F6" s="2" t="s">
        <v>996</v>
      </c>
      <c r="G6" s="7"/>
      <c r="H6" s="7"/>
    </row>
    <row r="7" spans="1:8" x14ac:dyDescent="0.35">
      <c r="A7" t="s">
        <v>498</v>
      </c>
      <c r="B7" s="2" t="s">
        <v>883</v>
      </c>
      <c r="C7" s="7"/>
      <c r="D7" s="31" t="s">
        <v>997</v>
      </c>
      <c r="E7" s="2" t="s">
        <v>998</v>
      </c>
      <c r="F7" s="2" t="s">
        <v>999</v>
      </c>
      <c r="G7" s="7"/>
      <c r="H7" s="7"/>
    </row>
    <row r="8" spans="1:8" ht="29" x14ac:dyDescent="0.35">
      <c r="A8" t="s">
        <v>446</v>
      </c>
      <c r="B8" s="2" t="s">
        <v>884</v>
      </c>
      <c r="C8" s="7"/>
      <c r="D8" s="53" t="s">
        <v>1000</v>
      </c>
      <c r="E8" s="2" t="s">
        <v>1001</v>
      </c>
      <c r="F8" s="2" t="s">
        <v>1002</v>
      </c>
      <c r="G8" s="7"/>
      <c r="H8" s="7"/>
    </row>
    <row r="9" spans="1:8" x14ac:dyDescent="0.35">
      <c r="A9" t="s">
        <v>608</v>
      </c>
      <c r="B9" s="2" t="s">
        <v>989</v>
      </c>
      <c r="C9" s="7"/>
      <c r="D9" s="7"/>
      <c r="E9" s="7"/>
      <c r="F9" s="7"/>
      <c r="G9" s="7"/>
      <c r="H9" s="7"/>
    </row>
    <row r="10" spans="1:8" x14ac:dyDescent="0.35">
      <c r="A10" t="s">
        <v>789</v>
      </c>
      <c r="B10" s="2" t="s">
        <v>790</v>
      </c>
      <c r="C10" s="7"/>
      <c r="D10" s="1" t="s">
        <v>1003</v>
      </c>
      <c r="E10" s="1"/>
      <c r="F10" s="1"/>
      <c r="G10" s="7"/>
      <c r="H10" s="7"/>
    </row>
    <row r="11" spans="1:8" ht="29" x14ac:dyDescent="0.35">
      <c r="A11" t="s">
        <v>791</v>
      </c>
      <c r="B11" s="2" t="s">
        <v>792</v>
      </c>
      <c r="C11" s="7"/>
      <c r="D11" s="54" t="s">
        <v>1004</v>
      </c>
      <c r="E11" s="2" t="s">
        <v>1005</v>
      </c>
      <c r="F11" s="2" t="s">
        <v>1006</v>
      </c>
      <c r="G11" s="7"/>
      <c r="H11" s="7"/>
    </row>
    <row r="12" spans="1:8" ht="29" x14ac:dyDescent="0.35">
      <c r="A12" t="s">
        <v>365</v>
      </c>
      <c r="B12" s="2" t="s">
        <v>366</v>
      </c>
      <c r="D12" s="54" t="s">
        <v>541</v>
      </c>
      <c r="E12" s="2" t="s">
        <v>1007</v>
      </c>
      <c r="F12" s="2" t="s">
        <v>1008</v>
      </c>
    </row>
    <row r="13" spans="1:8" x14ac:dyDescent="0.35">
      <c r="A13" t="s">
        <v>367</v>
      </c>
      <c r="B13" s="2" t="s">
        <v>368</v>
      </c>
    </row>
    <row r="14" spans="1:8" x14ac:dyDescent="0.35">
      <c r="A14" t="s">
        <v>369</v>
      </c>
      <c r="B14" s="2" t="s">
        <v>370</v>
      </c>
      <c r="D14" s="1" t="s">
        <v>1047</v>
      </c>
      <c r="E14" s="1"/>
      <c r="F14" s="1"/>
    </row>
    <row r="15" spans="1:8" ht="29" x14ac:dyDescent="0.35">
      <c r="A15" t="s">
        <v>371</v>
      </c>
      <c r="B15" s="2" t="s">
        <v>372</v>
      </c>
      <c r="D15" t="s">
        <v>1048</v>
      </c>
      <c r="E15" s="2" t="s">
        <v>1049</v>
      </c>
      <c r="F15" s="2" t="s">
        <v>1050</v>
      </c>
    </row>
    <row r="16" spans="1:8" ht="29" x14ac:dyDescent="0.35">
      <c r="A16" t="s">
        <v>373</v>
      </c>
      <c r="B16" s="2" t="s">
        <v>374</v>
      </c>
      <c r="D16" t="s">
        <v>1051</v>
      </c>
      <c r="E16" s="2" t="s">
        <v>1052</v>
      </c>
      <c r="F16" s="2" t="s">
        <v>1053</v>
      </c>
    </row>
    <row r="17" spans="1:2" x14ac:dyDescent="0.35">
      <c r="A17" t="s">
        <v>375</v>
      </c>
      <c r="B17" s="2" t="s">
        <v>376</v>
      </c>
    </row>
  </sheetData>
  <mergeCells count="2">
    <mergeCell ref="A1:H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E1D7D-D1A8-4165-88DB-5022B7E04952}">
  <dimension ref="A1:Y87"/>
  <sheetViews>
    <sheetView tabSelected="1" topLeftCell="A7" workbookViewId="0">
      <selection activeCell="J40" sqref="J40"/>
    </sheetView>
  </sheetViews>
  <sheetFormatPr defaultRowHeight="14.5" x14ac:dyDescent="0.35"/>
  <cols>
    <col min="1" max="18" width="10.90625" customWidth="1"/>
    <col min="20" max="20" width="40.81640625" bestFit="1" customWidth="1"/>
    <col min="21" max="21" width="10.453125" bestFit="1" customWidth="1"/>
    <col min="22" max="22" width="12.54296875" bestFit="1" customWidth="1"/>
    <col min="23" max="23" width="9.08984375" bestFit="1" customWidth="1"/>
    <col min="24" max="24" width="10.08984375" bestFit="1" customWidth="1"/>
    <col min="25" max="25" width="17.36328125" bestFit="1" customWidth="1"/>
  </cols>
  <sheetData>
    <row r="1" spans="1:25" x14ac:dyDescent="0.35">
      <c r="A1" s="57" t="s">
        <v>1009</v>
      </c>
      <c r="B1" s="57"/>
      <c r="C1" s="57"/>
      <c r="D1" s="57"/>
      <c r="E1" s="57"/>
      <c r="F1" s="57"/>
      <c r="G1" s="57"/>
      <c r="H1" s="57"/>
      <c r="I1" s="57"/>
      <c r="J1" s="57"/>
      <c r="K1" s="57"/>
      <c r="L1" s="57"/>
      <c r="M1" s="57"/>
      <c r="N1" s="57"/>
      <c r="O1" s="57"/>
      <c r="P1" s="57"/>
      <c r="Q1" s="57"/>
      <c r="R1" s="57"/>
      <c r="S1" s="7"/>
      <c r="T1" s="9" t="s">
        <v>1011</v>
      </c>
      <c r="U1" s="9" t="s">
        <v>1012</v>
      </c>
      <c r="V1" s="9" t="s">
        <v>1013</v>
      </c>
      <c r="W1" s="9" t="s">
        <v>1014</v>
      </c>
      <c r="X1" s="9" t="s">
        <v>1015</v>
      </c>
      <c r="Y1" s="9" t="s">
        <v>12</v>
      </c>
    </row>
    <row r="2" spans="1:25" x14ac:dyDescent="0.35">
      <c r="A2" s="58" t="s">
        <v>1010</v>
      </c>
      <c r="B2" s="59"/>
      <c r="C2" s="59"/>
      <c r="D2" s="59"/>
      <c r="E2" s="59"/>
      <c r="F2" s="59"/>
      <c r="G2" s="59"/>
      <c r="H2" s="59"/>
      <c r="I2" s="59"/>
      <c r="J2" s="59"/>
      <c r="K2" s="59"/>
      <c r="L2" s="59"/>
      <c r="M2" s="59"/>
      <c r="N2" s="59"/>
      <c r="O2" s="59"/>
      <c r="P2" s="59"/>
      <c r="Q2" s="59"/>
      <c r="R2" s="59"/>
      <c r="S2" s="7"/>
      <c r="T2" s="7" t="s">
        <v>1016</v>
      </c>
      <c r="U2" s="7">
        <v>46023</v>
      </c>
      <c r="V2" s="7">
        <v>181</v>
      </c>
      <c r="W2" s="19">
        <v>46023</v>
      </c>
      <c r="X2" s="19">
        <v>46203</v>
      </c>
      <c r="Y2" s="7" t="s">
        <v>143</v>
      </c>
    </row>
    <row r="3" spans="1:25" x14ac:dyDescent="0.35">
      <c r="A3" s="7"/>
      <c r="B3" s="7"/>
      <c r="C3" s="7"/>
      <c r="D3" s="7"/>
      <c r="E3" s="7"/>
      <c r="F3" s="7"/>
      <c r="G3" s="7"/>
      <c r="H3" s="7"/>
      <c r="I3" s="7"/>
      <c r="J3" s="7"/>
      <c r="K3" s="7"/>
      <c r="L3" s="7"/>
      <c r="M3" s="7"/>
      <c r="N3" s="7"/>
      <c r="O3" s="7"/>
      <c r="P3" s="7"/>
      <c r="Q3" s="7"/>
      <c r="R3" s="7"/>
      <c r="S3" s="7"/>
      <c r="T3" s="7" t="s">
        <v>1017</v>
      </c>
      <c r="U3" s="7">
        <v>46235</v>
      </c>
      <c r="V3" s="7">
        <v>153</v>
      </c>
      <c r="W3" s="19">
        <v>46235</v>
      </c>
      <c r="X3" s="19">
        <v>46387</v>
      </c>
      <c r="Y3" s="7" t="s">
        <v>144</v>
      </c>
    </row>
    <row r="4" spans="1:25" x14ac:dyDescent="0.35">
      <c r="A4" s="7"/>
      <c r="B4" s="7"/>
      <c r="C4" s="7"/>
      <c r="D4" s="7"/>
      <c r="E4" s="7"/>
      <c r="F4" s="7"/>
      <c r="G4" s="7"/>
      <c r="H4" s="7"/>
      <c r="I4" s="7"/>
      <c r="J4" s="7"/>
      <c r="K4" s="7"/>
      <c r="L4" s="7"/>
      <c r="M4" s="7"/>
      <c r="N4" s="7"/>
      <c r="O4" s="7"/>
      <c r="P4" s="7"/>
      <c r="Q4" s="7"/>
      <c r="R4" s="7"/>
      <c r="S4" s="7"/>
      <c r="T4" s="7" t="s">
        <v>1018</v>
      </c>
      <c r="U4" s="7">
        <v>46143</v>
      </c>
      <c r="V4" s="7">
        <v>184</v>
      </c>
      <c r="W4" s="19">
        <v>46143</v>
      </c>
      <c r="X4" s="19">
        <v>46326</v>
      </c>
      <c r="Y4" s="7" t="s">
        <v>108</v>
      </c>
    </row>
    <row r="5" spans="1:25" x14ac:dyDescent="0.35">
      <c r="A5" s="7"/>
      <c r="B5" s="7"/>
      <c r="C5" s="7"/>
      <c r="D5" s="7"/>
      <c r="E5" s="7"/>
      <c r="F5" s="7"/>
      <c r="G5" s="7"/>
      <c r="H5" s="7"/>
      <c r="I5" s="7"/>
      <c r="J5" s="7"/>
      <c r="K5" s="7"/>
      <c r="L5" s="7"/>
      <c r="M5" s="7"/>
      <c r="N5" s="7"/>
      <c r="O5" s="7"/>
      <c r="P5" s="7"/>
      <c r="Q5" s="7"/>
      <c r="R5" s="7"/>
      <c r="S5" s="7"/>
      <c r="T5" s="7" t="s">
        <v>1019</v>
      </c>
      <c r="U5" s="7">
        <v>46082</v>
      </c>
      <c r="V5" s="7">
        <v>184</v>
      </c>
      <c r="W5" s="19">
        <v>46082</v>
      </c>
      <c r="X5" s="19">
        <v>46265</v>
      </c>
      <c r="Y5" s="7" t="s">
        <v>108</v>
      </c>
    </row>
    <row r="6" spans="1:25" x14ac:dyDescent="0.35">
      <c r="A6" s="7"/>
      <c r="B6" s="7"/>
      <c r="C6" s="7"/>
      <c r="D6" s="7"/>
      <c r="E6" s="7"/>
      <c r="F6" s="7"/>
      <c r="G6" s="7"/>
      <c r="H6" s="7"/>
      <c r="I6" s="7"/>
      <c r="J6" s="7"/>
      <c r="K6" s="7"/>
      <c r="L6" s="7"/>
      <c r="M6" s="7"/>
      <c r="N6" s="7"/>
      <c r="O6" s="7"/>
      <c r="P6" s="7"/>
      <c r="Q6" s="7"/>
      <c r="R6" s="7"/>
      <c r="S6" s="7"/>
      <c r="T6" s="7" t="s">
        <v>1020</v>
      </c>
      <c r="U6" s="7">
        <v>46054</v>
      </c>
      <c r="V6" s="7">
        <v>181</v>
      </c>
      <c r="W6" s="19">
        <v>46054</v>
      </c>
      <c r="X6" s="19">
        <v>46234</v>
      </c>
      <c r="Y6" s="7" t="s">
        <v>108</v>
      </c>
    </row>
    <row r="7" spans="1:25" x14ac:dyDescent="0.35">
      <c r="A7" s="7"/>
      <c r="B7" s="7"/>
      <c r="C7" s="7"/>
      <c r="D7" s="7"/>
      <c r="E7" s="7"/>
      <c r="F7" s="7"/>
      <c r="G7" s="7"/>
      <c r="H7" s="7"/>
      <c r="I7" s="7"/>
      <c r="J7" s="7"/>
      <c r="K7" s="7"/>
      <c r="L7" s="7"/>
      <c r="M7" s="7"/>
      <c r="N7" s="7"/>
      <c r="O7" s="7"/>
      <c r="P7" s="7"/>
      <c r="Q7" s="7"/>
      <c r="R7" s="7"/>
      <c r="S7" s="7"/>
      <c r="T7" s="7" t="s">
        <v>1021</v>
      </c>
      <c r="U7" s="7">
        <v>46113</v>
      </c>
      <c r="V7" s="7">
        <v>61</v>
      </c>
      <c r="W7" s="19">
        <v>46113</v>
      </c>
      <c r="X7" s="19">
        <v>46173</v>
      </c>
      <c r="Y7" s="7" t="s">
        <v>143</v>
      </c>
    </row>
    <row r="8" spans="1:25" x14ac:dyDescent="0.35">
      <c r="A8" s="7"/>
      <c r="B8" s="7"/>
      <c r="C8" s="7"/>
      <c r="D8" s="7"/>
      <c r="E8" s="7"/>
      <c r="F8" s="7"/>
      <c r="G8" s="7"/>
      <c r="H8" s="7"/>
      <c r="I8" s="7"/>
      <c r="J8" s="7"/>
      <c r="K8" s="7"/>
      <c r="L8" s="7"/>
      <c r="M8" s="7"/>
      <c r="N8" s="7"/>
      <c r="O8" s="7"/>
      <c r="P8" s="7"/>
      <c r="Q8" s="7"/>
      <c r="R8" s="7"/>
      <c r="S8" s="7"/>
      <c r="T8" s="7"/>
      <c r="U8" s="7"/>
      <c r="V8" s="7"/>
      <c r="W8" s="7"/>
      <c r="X8" s="7"/>
      <c r="Y8" s="7"/>
    </row>
    <row r="9" spans="1:25" x14ac:dyDescent="0.35">
      <c r="A9" s="7"/>
      <c r="B9" s="7"/>
      <c r="C9" s="7"/>
      <c r="D9" s="7"/>
      <c r="E9" s="7"/>
      <c r="F9" s="7"/>
      <c r="G9" s="7"/>
      <c r="H9" s="7"/>
      <c r="I9" s="7"/>
      <c r="J9" s="7"/>
      <c r="K9" s="7"/>
      <c r="L9" s="7"/>
      <c r="M9" s="7"/>
      <c r="N9" s="7"/>
      <c r="O9" s="7"/>
      <c r="P9" s="7"/>
      <c r="Q9" s="7"/>
      <c r="R9" s="7"/>
      <c r="S9" s="7"/>
      <c r="T9" s="7"/>
      <c r="U9" s="7"/>
      <c r="V9" s="7"/>
      <c r="W9" s="7"/>
      <c r="X9" s="7"/>
      <c r="Y9" s="7"/>
    </row>
    <row r="10" spans="1:25" x14ac:dyDescent="0.35">
      <c r="A10" s="7"/>
      <c r="B10" s="7"/>
      <c r="C10" s="7"/>
      <c r="D10" s="7"/>
      <c r="E10" s="7"/>
      <c r="F10" s="7"/>
      <c r="G10" s="7"/>
      <c r="H10" s="7"/>
      <c r="I10" s="7"/>
      <c r="J10" s="7"/>
      <c r="K10" s="7"/>
      <c r="L10" s="7"/>
      <c r="M10" s="7"/>
      <c r="N10" s="7"/>
      <c r="O10" s="7"/>
      <c r="P10" s="7"/>
      <c r="Q10" s="7"/>
      <c r="R10" s="7"/>
      <c r="S10" s="7"/>
      <c r="T10" s="9" t="s">
        <v>1022</v>
      </c>
      <c r="U10" s="9" t="s">
        <v>1012</v>
      </c>
      <c r="V10" s="9" t="s">
        <v>1013</v>
      </c>
      <c r="W10" s="9" t="s">
        <v>1014</v>
      </c>
      <c r="X10" s="9" t="s">
        <v>1015</v>
      </c>
      <c r="Y10" s="9" t="s">
        <v>12</v>
      </c>
    </row>
    <row r="11" spans="1:25" x14ac:dyDescent="0.35">
      <c r="A11" s="7"/>
      <c r="B11" s="7"/>
      <c r="C11" s="7"/>
      <c r="D11" s="7"/>
      <c r="E11" s="7"/>
      <c r="F11" s="7"/>
      <c r="G11" s="7"/>
      <c r="H11" s="7"/>
      <c r="I11" s="7"/>
      <c r="J11" s="7"/>
      <c r="K11" s="7"/>
      <c r="L11" s="7"/>
      <c r="M11" s="7"/>
      <c r="N11" s="7"/>
      <c r="O11" s="7"/>
      <c r="P11" s="7"/>
      <c r="Q11" s="7"/>
      <c r="R11" s="7"/>
      <c r="S11" s="7"/>
      <c r="T11" s="7" t="s">
        <v>1023</v>
      </c>
      <c r="U11" s="7">
        <v>46023</v>
      </c>
      <c r="V11" s="7">
        <v>36</v>
      </c>
      <c r="W11" s="19">
        <v>46023</v>
      </c>
      <c r="X11" s="19">
        <v>46058</v>
      </c>
      <c r="Y11" s="7" t="s">
        <v>1024</v>
      </c>
    </row>
    <row r="12" spans="1:25" x14ac:dyDescent="0.35">
      <c r="A12" s="7"/>
      <c r="B12" s="7"/>
      <c r="C12" s="7"/>
      <c r="D12" s="7"/>
      <c r="E12" s="7"/>
      <c r="F12" s="7"/>
      <c r="G12" s="7"/>
      <c r="H12" s="7"/>
      <c r="I12" s="7"/>
      <c r="J12" s="7"/>
      <c r="K12" s="7"/>
      <c r="L12" s="7"/>
      <c r="M12" s="7"/>
      <c r="N12" s="7"/>
      <c r="O12" s="7"/>
      <c r="P12" s="7"/>
      <c r="Q12" s="7"/>
      <c r="R12" s="7"/>
      <c r="S12" s="7"/>
      <c r="T12" s="7" t="s">
        <v>1025</v>
      </c>
      <c r="U12" s="7">
        <v>46059</v>
      </c>
      <c r="V12" s="7">
        <v>72</v>
      </c>
      <c r="W12" s="19">
        <v>46059</v>
      </c>
      <c r="X12" s="19">
        <v>46130</v>
      </c>
      <c r="Y12" s="7" t="s">
        <v>1026</v>
      </c>
    </row>
    <row r="13" spans="1:25" x14ac:dyDescent="0.35">
      <c r="A13" s="7"/>
      <c r="B13" s="7"/>
      <c r="C13" s="7"/>
      <c r="D13" s="7"/>
      <c r="E13" s="7"/>
      <c r="F13" s="7"/>
      <c r="G13" s="7"/>
      <c r="H13" s="7"/>
      <c r="I13" s="7"/>
      <c r="J13" s="7"/>
      <c r="K13" s="7"/>
      <c r="L13" s="7"/>
      <c r="M13" s="7"/>
      <c r="N13" s="7"/>
      <c r="O13" s="7"/>
      <c r="P13" s="7"/>
      <c r="Q13" s="7"/>
      <c r="R13" s="7"/>
      <c r="S13" s="7"/>
      <c r="T13" s="7" t="s">
        <v>1027</v>
      </c>
      <c r="U13" s="7">
        <v>46131</v>
      </c>
      <c r="V13" s="7">
        <v>48</v>
      </c>
      <c r="W13" s="19">
        <v>46131</v>
      </c>
      <c r="X13" s="19">
        <v>46178</v>
      </c>
      <c r="Y13" s="7" t="s">
        <v>1024</v>
      </c>
    </row>
    <row r="14" spans="1:25" x14ac:dyDescent="0.35">
      <c r="A14" s="7"/>
      <c r="B14" s="7"/>
      <c r="C14" s="7"/>
      <c r="D14" s="7"/>
      <c r="E14" s="7"/>
      <c r="F14" s="7"/>
      <c r="G14" s="7"/>
      <c r="H14" s="7"/>
      <c r="I14" s="7"/>
      <c r="J14" s="7"/>
      <c r="K14" s="7"/>
      <c r="L14" s="7"/>
      <c r="M14" s="7"/>
      <c r="N14" s="7"/>
      <c r="O14" s="7"/>
      <c r="P14" s="7"/>
      <c r="Q14" s="7"/>
      <c r="R14" s="7"/>
      <c r="S14" s="7"/>
      <c r="T14" s="7" t="s">
        <v>1028</v>
      </c>
      <c r="U14" s="7">
        <v>46179</v>
      </c>
      <c r="V14" s="7">
        <v>25</v>
      </c>
      <c r="W14" s="19">
        <v>46179</v>
      </c>
      <c r="X14" s="19">
        <v>46203</v>
      </c>
      <c r="Y14" s="7" t="s">
        <v>1024</v>
      </c>
    </row>
    <row r="15" spans="1:25" x14ac:dyDescent="0.35">
      <c r="A15" s="7"/>
      <c r="B15" s="7"/>
      <c r="C15" s="7"/>
      <c r="D15" s="7"/>
      <c r="E15" s="7"/>
      <c r="F15" s="7"/>
      <c r="G15" s="7"/>
      <c r="H15" s="7"/>
      <c r="I15" s="7"/>
      <c r="J15" s="7"/>
      <c r="K15" s="7"/>
      <c r="L15" s="7"/>
      <c r="M15" s="7"/>
      <c r="N15" s="7"/>
      <c r="O15" s="7"/>
      <c r="P15" s="7"/>
      <c r="Q15" s="7"/>
      <c r="R15" s="7"/>
      <c r="S15" s="7"/>
      <c r="T15" s="7"/>
      <c r="U15" s="7"/>
      <c r="V15" s="7"/>
      <c r="W15" s="7"/>
      <c r="X15" s="7"/>
      <c r="Y15" s="7"/>
    </row>
    <row r="16" spans="1:25" x14ac:dyDescent="0.35">
      <c r="A16" s="7"/>
      <c r="B16" s="7"/>
      <c r="C16" s="7"/>
      <c r="D16" s="7"/>
      <c r="E16" s="7"/>
      <c r="F16" s="7"/>
      <c r="G16" s="7"/>
      <c r="H16" s="7"/>
      <c r="I16" s="7"/>
      <c r="J16" s="7"/>
      <c r="K16" s="7"/>
      <c r="L16" s="7"/>
      <c r="M16" s="7"/>
      <c r="N16" s="7"/>
      <c r="O16" s="7"/>
      <c r="P16" s="7"/>
      <c r="Q16" s="7"/>
      <c r="R16" s="7"/>
      <c r="S16" s="7"/>
      <c r="T16" s="7"/>
      <c r="U16" s="7"/>
      <c r="V16" s="7"/>
      <c r="W16" s="7"/>
      <c r="X16" s="7"/>
      <c r="Y16" s="7"/>
    </row>
    <row r="17" spans="1:25" x14ac:dyDescent="0.35">
      <c r="A17" s="7"/>
      <c r="B17" s="7"/>
      <c r="C17" s="7"/>
      <c r="D17" s="7"/>
      <c r="E17" s="7"/>
      <c r="F17" s="7"/>
      <c r="G17" s="7"/>
      <c r="H17" s="7"/>
      <c r="I17" s="7"/>
      <c r="J17" s="7"/>
      <c r="K17" s="7"/>
      <c r="L17" s="7"/>
      <c r="M17" s="7"/>
      <c r="N17" s="7"/>
      <c r="O17" s="7"/>
      <c r="P17" s="7"/>
      <c r="Q17" s="7"/>
      <c r="R17" s="7"/>
      <c r="S17" s="7"/>
      <c r="T17" s="9" t="s">
        <v>1022</v>
      </c>
      <c r="U17" s="9" t="s">
        <v>1012</v>
      </c>
      <c r="V17" s="9" t="s">
        <v>1013</v>
      </c>
      <c r="W17" s="9" t="s">
        <v>1014</v>
      </c>
      <c r="X17" s="9" t="s">
        <v>1015</v>
      </c>
      <c r="Y17" s="9" t="s">
        <v>12</v>
      </c>
    </row>
    <row r="18" spans="1:25" x14ac:dyDescent="0.35">
      <c r="A18" s="7"/>
      <c r="B18" s="7"/>
      <c r="C18" s="7"/>
      <c r="D18" s="7"/>
      <c r="E18" s="7"/>
      <c r="F18" s="7"/>
      <c r="G18" s="7"/>
      <c r="H18" s="7"/>
      <c r="I18" s="7"/>
      <c r="J18" s="7"/>
      <c r="K18" s="7"/>
      <c r="L18" s="7"/>
      <c r="M18" s="7"/>
      <c r="N18" s="7"/>
      <c r="O18" s="7"/>
      <c r="P18" s="7"/>
      <c r="Q18" s="7"/>
      <c r="R18" s="7"/>
      <c r="S18" s="7"/>
      <c r="T18" s="7" t="s">
        <v>1029</v>
      </c>
      <c r="U18" s="7">
        <v>46235</v>
      </c>
      <c r="V18" s="7">
        <v>57</v>
      </c>
      <c r="W18" s="19">
        <v>46235</v>
      </c>
      <c r="X18" s="19">
        <v>46291</v>
      </c>
      <c r="Y18" s="7" t="s">
        <v>18</v>
      </c>
    </row>
    <row r="19" spans="1:25" x14ac:dyDescent="0.35">
      <c r="A19" s="7"/>
      <c r="B19" s="7"/>
      <c r="C19" s="7"/>
      <c r="D19" s="7"/>
      <c r="E19" s="7"/>
      <c r="F19" s="7"/>
      <c r="G19" s="7"/>
      <c r="H19" s="7"/>
      <c r="I19" s="7"/>
      <c r="J19" s="7"/>
      <c r="K19" s="7"/>
      <c r="L19" s="7"/>
      <c r="M19" s="7"/>
      <c r="N19" s="7"/>
      <c r="O19" s="7"/>
      <c r="P19" s="7"/>
      <c r="Q19" s="7"/>
      <c r="R19" s="7"/>
      <c r="S19" s="7"/>
      <c r="T19" s="7" t="s">
        <v>1030</v>
      </c>
      <c r="U19" s="7">
        <v>46292</v>
      </c>
      <c r="V19" s="7">
        <v>96</v>
      </c>
      <c r="W19" s="19">
        <v>46292</v>
      </c>
      <c r="X19" s="19">
        <v>46387</v>
      </c>
      <c r="Y19" s="7" t="s">
        <v>18</v>
      </c>
    </row>
    <row r="20" spans="1:25" x14ac:dyDescent="0.35">
      <c r="A20" s="7"/>
      <c r="B20" s="7"/>
      <c r="C20" s="7"/>
      <c r="D20" s="7"/>
      <c r="E20" s="7"/>
      <c r="F20" s="7"/>
      <c r="G20" s="7"/>
      <c r="H20" s="7"/>
      <c r="I20" s="7"/>
      <c r="J20" s="7"/>
      <c r="K20" s="7"/>
      <c r="L20" s="7"/>
      <c r="M20" s="7"/>
      <c r="N20" s="7"/>
      <c r="O20" s="7"/>
      <c r="P20" s="7"/>
      <c r="Q20" s="7"/>
      <c r="R20" s="7"/>
      <c r="S20" s="7"/>
      <c r="T20" s="7"/>
      <c r="U20" s="7"/>
      <c r="V20" s="7"/>
      <c r="W20" s="7"/>
      <c r="X20" s="7"/>
      <c r="Y20" s="7"/>
    </row>
    <row r="21" spans="1:25" x14ac:dyDescent="0.35">
      <c r="A21" s="7"/>
      <c r="B21" s="7"/>
      <c r="C21" s="7"/>
      <c r="D21" s="7"/>
      <c r="E21" s="7"/>
      <c r="F21" s="7"/>
      <c r="G21" s="7"/>
      <c r="H21" s="7"/>
      <c r="I21" s="7"/>
      <c r="J21" s="7"/>
      <c r="K21" s="7"/>
      <c r="L21" s="7"/>
      <c r="M21" s="7"/>
      <c r="N21" s="7"/>
      <c r="O21" s="7"/>
      <c r="P21" s="7"/>
      <c r="Q21" s="7"/>
      <c r="R21" s="7"/>
      <c r="S21" s="7"/>
      <c r="T21" s="7"/>
      <c r="U21" s="7"/>
      <c r="V21" s="7"/>
      <c r="W21" s="7"/>
      <c r="X21" s="7"/>
      <c r="Y21" s="7"/>
    </row>
    <row r="22" spans="1:25" x14ac:dyDescent="0.35">
      <c r="A22" s="7"/>
      <c r="B22" s="7"/>
      <c r="C22" s="7"/>
      <c r="D22" s="7"/>
      <c r="E22" s="7"/>
      <c r="F22" s="7"/>
      <c r="G22" s="7"/>
      <c r="H22" s="7"/>
      <c r="I22" s="7"/>
      <c r="J22" s="7"/>
      <c r="K22" s="7"/>
      <c r="L22" s="7"/>
      <c r="M22" s="7"/>
      <c r="N22" s="7"/>
      <c r="O22" s="7"/>
      <c r="P22" s="7"/>
      <c r="Q22" s="7"/>
      <c r="R22" s="7"/>
      <c r="S22" s="7"/>
      <c r="T22" s="9" t="s">
        <v>1022</v>
      </c>
      <c r="U22" s="9" t="s">
        <v>1012</v>
      </c>
      <c r="V22" s="9" t="s">
        <v>1013</v>
      </c>
      <c r="W22" s="9" t="s">
        <v>1014</v>
      </c>
      <c r="X22" s="9" t="s">
        <v>1015</v>
      </c>
      <c r="Y22" s="9" t="s">
        <v>12</v>
      </c>
    </row>
    <row r="23" spans="1:25" x14ac:dyDescent="0.35">
      <c r="A23" s="7"/>
      <c r="B23" s="7"/>
      <c r="C23" s="7"/>
      <c r="D23" s="7"/>
      <c r="E23" s="7"/>
      <c r="F23" s="7"/>
      <c r="G23" s="7"/>
      <c r="H23" s="7"/>
      <c r="I23" s="7"/>
      <c r="J23" s="7"/>
      <c r="K23" s="7"/>
      <c r="L23" s="7"/>
      <c r="M23" s="7"/>
      <c r="N23" s="7"/>
      <c r="O23" s="7"/>
      <c r="P23" s="7"/>
      <c r="Q23" s="7"/>
      <c r="R23" s="7"/>
      <c r="S23" s="7"/>
      <c r="T23" s="7" t="s">
        <v>1031</v>
      </c>
      <c r="U23" s="7">
        <v>46143</v>
      </c>
      <c r="V23" s="7">
        <v>61</v>
      </c>
      <c r="W23" s="19">
        <v>46143</v>
      </c>
      <c r="X23" s="19">
        <v>46203</v>
      </c>
      <c r="Y23" s="7" t="s">
        <v>1032</v>
      </c>
    </row>
    <row r="24" spans="1:25" x14ac:dyDescent="0.35">
      <c r="A24" s="7"/>
      <c r="B24" s="7"/>
      <c r="C24" s="7"/>
      <c r="D24" s="7"/>
      <c r="E24" s="7"/>
      <c r="F24" s="7"/>
      <c r="G24" s="7"/>
      <c r="H24" s="7"/>
      <c r="I24" s="7"/>
      <c r="J24" s="7"/>
      <c r="K24" s="7"/>
      <c r="L24" s="7"/>
      <c r="M24" s="7"/>
      <c r="N24" s="7"/>
      <c r="O24" s="7"/>
      <c r="P24" s="7"/>
      <c r="Q24" s="7"/>
      <c r="R24" s="7"/>
      <c r="S24" s="7"/>
      <c r="T24" s="7" t="s">
        <v>1033</v>
      </c>
      <c r="U24" s="7">
        <v>46204</v>
      </c>
      <c r="V24" s="7">
        <v>123</v>
      </c>
      <c r="W24" s="19">
        <v>46204</v>
      </c>
      <c r="X24" s="19">
        <v>46326</v>
      </c>
      <c r="Y24" s="7" t="s">
        <v>1024</v>
      </c>
    </row>
    <row r="25" spans="1:25" x14ac:dyDescent="0.35">
      <c r="A25" s="7"/>
      <c r="B25" s="7"/>
      <c r="C25" s="7"/>
      <c r="D25" s="7"/>
      <c r="E25" s="7"/>
      <c r="F25" s="7"/>
      <c r="G25" s="7"/>
      <c r="H25" s="7"/>
      <c r="I25" s="7"/>
      <c r="J25" s="7"/>
      <c r="K25" s="7"/>
      <c r="L25" s="7"/>
      <c r="M25" s="7"/>
      <c r="N25" s="7"/>
      <c r="O25" s="7"/>
      <c r="P25" s="7"/>
      <c r="Q25" s="7"/>
      <c r="R25" s="7"/>
      <c r="S25" s="7"/>
      <c r="T25" s="7"/>
      <c r="U25" s="7"/>
      <c r="V25" s="7"/>
      <c r="W25" s="7"/>
      <c r="X25" s="7"/>
      <c r="Y25" s="7"/>
    </row>
    <row r="26" spans="1:25" x14ac:dyDescent="0.35">
      <c r="A26" s="7"/>
      <c r="B26" s="7"/>
      <c r="C26" s="7"/>
      <c r="D26" s="7"/>
      <c r="E26" s="7"/>
      <c r="F26" s="7"/>
      <c r="G26" s="7"/>
      <c r="H26" s="7"/>
      <c r="I26" s="7"/>
      <c r="J26" s="7"/>
      <c r="K26" s="7"/>
      <c r="L26" s="7"/>
      <c r="M26" s="7"/>
      <c r="N26" s="7"/>
      <c r="O26" s="7"/>
      <c r="P26" s="7"/>
      <c r="Q26" s="7"/>
      <c r="R26" s="7"/>
      <c r="S26" s="7"/>
      <c r="T26" s="7"/>
      <c r="U26" s="7"/>
      <c r="V26" s="7"/>
      <c r="W26" s="7"/>
      <c r="X26" s="7"/>
      <c r="Y26" s="7"/>
    </row>
    <row r="27" spans="1:25" x14ac:dyDescent="0.35">
      <c r="A27" s="7"/>
      <c r="B27" s="7"/>
      <c r="C27" s="7"/>
      <c r="D27" s="7"/>
      <c r="E27" s="7"/>
      <c r="F27" s="7"/>
      <c r="G27" s="7"/>
      <c r="H27" s="7"/>
      <c r="I27" s="7"/>
      <c r="J27" s="7"/>
      <c r="K27" s="7"/>
      <c r="L27" s="7"/>
      <c r="M27" s="7"/>
      <c r="N27" s="7"/>
      <c r="O27" s="7"/>
      <c r="P27" s="7"/>
      <c r="Q27" s="7"/>
      <c r="R27" s="7"/>
      <c r="S27" s="7"/>
      <c r="T27" s="9" t="s">
        <v>1022</v>
      </c>
      <c r="U27" s="9" t="s">
        <v>1012</v>
      </c>
      <c r="V27" s="9" t="s">
        <v>1013</v>
      </c>
      <c r="W27" s="9" t="s">
        <v>1014</v>
      </c>
      <c r="X27" s="9" t="s">
        <v>1015</v>
      </c>
      <c r="Y27" s="9" t="s">
        <v>12</v>
      </c>
    </row>
    <row r="28" spans="1:25" x14ac:dyDescent="0.35">
      <c r="A28" s="7"/>
      <c r="B28" s="7"/>
      <c r="C28" s="7"/>
      <c r="D28" s="7"/>
      <c r="E28" s="7"/>
      <c r="F28" s="7"/>
      <c r="G28" s="7"/>
      <c r="H28" s="7"/>
      <c r="I28" s="7"/>
      <c r="J28" s="7"/>
      <c r="K28" s="7"/>
      <c r="L28" s="7"/>
      <c r="M28" s="7"/>
      <c r="N28" s="7"/>
      <c r="O28" s="7"/>
      <c r="P28" s="7"/>
      <c r="Q28" s="7"/>
      <c r="R28" s="7"/>
      <c r="S28" s="7"/>
      <c r="T28" s="7" t="s">
        <v>1034</v>
      </c>
      <c r="U28" s="7">
        <v>46082</v>
      </c>
      <c r="V28" s="7">
        <v>46</v>
      </c>
      <c r="W28" s="19">
        <v>46082</v>
      </c>
      <c r="X28" s="19">
        <v>46127</v>
      </c>
      <c r="Y28" s="7" t="s">
        <v>30</v>
      </c>
    </row>
    <row r="29" spans="1:25" x14ac:dyDescent="0.35">
      <c r="A29" s="7"/>
      <c r="B29" s="7"/>
      <c r="C29" s="7"/>
      <c r="D29" s="7"/>
      <c r="E29" s="7"/>
      <c r="F29" s="7"/>
      <c r="G29" s="7"/>
      <c r="H29" s="7"/>
      <c r="I29" s="7"/>
      <c r="J29" s="7"/>
      <c r="K29" s="7"/>
      <c r="L29" s="7"/>
      <c r="M29" s="7"/>
      <c r="N29" s="7"/>
      <c r="O29" s="7"/>
      <c r="P29" s="7"/>
      <c r="Q29" s="7"/>
      <c r="R29" s="7"/>
      <c r="S29" s="7"/>
      <c r="T29" s="7" t="s">
        <v>1035</v>
      </c>
      <c r="U29" s="7">
        <v>46128</v>
      </c>
      <c r="V29" s="7">
        <v>138</v>
      </c>
      <c r="W29" s="19">
        <v>46128</v>
      </c>
      <c r="X29" s="19">
        <v>46265</v>
      </c>
      <c r="Y29" s="7" t="s">
        <v>1024</v>
      </c>
    </row>
    <row r="30" spans="1:25" x14ac:dyDescent="0.35">
      <c r="A30" s="7"/>
      <c r="B30" s="7"/>
      <c r="C30" s="7"/>
      <c r="D30" s="7"/>
      <c r="E30" s="7"/>
      <c r="F30" s="7"/>
      <c r="G30" s="7"/>
      <c r="H30" s="7"/>
      <c r="I30" s="7"/>
      <c r="J30" s="7"/>
      <c r="K30" s="7"/>
      <c r="L30" s="7"/>
      <c r="M30" s="7"/>
      <c r="N30" s="7"/>
      <c r="O30" s="7"/>
      <c r="P30" s="7"/>
      <c r="Q30" s="7"/>
      <c r="R30" s="7"/>
      <c r="S30" s="7"/>
      <c r="T30" s="7"/>
      <c r="U30" s="7"/>
      <c r="V30" s="7"/>
      <c r="W30" s="7"/>
      <c r="X30" s="7"/>
      <c r="Y30" s="7"/>
    </row>
    <row r="31" spans="1:25" x14ac:dyDescent="0.35">
      <c r="A31" s="7"/>
      <c r="B31" s="7"/>
      <c r="C31" s="7"/>
      <c r="D31" s="7"/>
      <c r="E31" s="7"/>
      <c r="F31" s="7"/>
      <c r="G31" s="7"/>
      <c r="H31" s="7"/>
      <c r="I31" s="7"/>
      <c r="J31" s="7"/>
      <c r="K31" s="7"/>
      <c r="L31" s="7"/>
      <c r="M31" s="7"/>
      <c r="N31" s="7"/>
      <c r="O31" s="7"/>
      <c r="P31" s="7"/>
      <c r="Q31" s="7"/>
      <c r="R31" s="7"/>
      <c r="S31" s="7"/>
      <c r="T31" s="7"/>
      <c r="U31" s="7"/>
      <c r="V31" s="7"/>
      <c r="W31" s="7"/>
      <c r="X31" s="7"/>
      <c r="Y31" s="7"/>
    </row>
    <row r="32" spans="1:25" x14ac:dyDescent="0.35">
      <c r="A32" s="7"/>
      <c r="B32" s="7"/>
      <c r="C32" s="7"/>
      <c r="D32" s="7"/>
      <c r="E32" s="7"/>
      <c r="F32" s="7"/>
      <c r="G32" s="7"/>
      <c r="H32" s="7"/>
      <c r="I32" s="7"/>
      <c r="J32" s="7"/>
      <c r="K32" s="7"/>
      <c r="L32" s="7"/>
      <c r="M32" s="7"/>
      <c r="N32" s="7"/>
      <c r="O32" s="7"/>
      <c r="P32" s="7"/>
      <c r="Q32" s="7"/>
      <c r="R32" s="7"/>
      <c r="S32" s="7"/>
      <c r="T32" s="9" t="s">
        <v>1022</v>
      </c>
      <c r="U32" s="9" t="s">
        <v>1012</v>
      </c>
      <c r="V32" s="9" t="s">
        <v>1013</v>
      </c>
      <c r="W32" s="9" t="s">
        <v>1014</v>
      </c>
      <c r="X32" s="9" t="s">
        <v>1015</v>
      </c>
      <c r="Y32" s="9" t="s">
        <v>12</v>
      </c>
    </row>
    <row r="33" spans="1:25" x14ac:dyDescent="0.35">
      <c r="A33" s="7"/>
      <c r="B33" s="7"/>
      <c r="C33" s="7"/>
      <c r="D33" s="7"/>
      <c r="E33" s="7"/>
      <c r="F33" s="7"/>
      <c r="G33" s="7"/>
      <c r="H33" s="7"/>
      <c r="I33" s="7"/>
      <c r="J33" s="7"/>
      <c r="K33" s="7"/>
      <c r="L33" s="7"/>
      <c r="M33" s="7"/>
      <c r="N33" s="7"/>
      <c r="O33" s="7"/>
      <c r="P33" s="7"/>
      <c r="Q33" s="7"/>
      <c r="R33" s="7"/>
      <c r="S33" s="7"/>
      <c r="T33" s="7" t="s">
        <v>1036</v>
      </c>
      <c r="U33" s="7">
        <v>46054</v>
      </c>
      <c r="V33" s="7">
        <v>36</v>
      </c>
      <c r="W33" s="19">
        <v>46054</v>
      </c>
      <c r="X33" s="19">
        <v>46089</v>
      </c>
      <c r="Y33" s="7" t="s">
        <v>30</v>
      </c>
    </row>
    <row r="34" spans="1:25" x14ac:dyDescent="0.35">
      <c r="A34" s="7"/>
      <c r="B34" s="7"/>
      <c r="C34" s="7"/>
      <c r="D34" s="7"/>
      <c r="E34" s="7"/>
      <c r="F34" s="7"/>
      <c r="G34" s="7"/>
      <c r="H34" s="7"/>
      <c r="I34" s="7"/>
      <c r="J34" s="7"/>
      <c r="K34" s="7"/>
      <c r="L34" s="7"/>
      <c r="M34" s="7"/>
      <c r="N34" s="7"/>
      <c r="O34" s="7"/>
      <c r="P34" s="7"/>
      <c r="Q34" s="7"/>
      <c r="R34" s="7"/>
      <c r="S34" s="7"/>
      <c r="T34" s="7" t="s">
        <v>1037</v>
      </c>
      <c r="U34" s="7">
        <v>46090</v>
      </c>
      <c r="V34" s="7">
        <v>145</v>
      </c>
      <c r="W34" s="19">
        <v>46090</v>
      </c>
      <c r="X34" s="19">
        <v>46234</v>
      </c>
      <c r="Y34" s="7" t="s">
        <v>1038</v>
      </c>
    </row>
    <row r="35" spans="1:25" x14ac:dyDescent="0.35">
      <c r="A35" s="7"/>
      <c r="B35" s="7"/>
      <c r="C35" s="7"/>
      <c r="D35" s="7"/>
      <c r="E35" s="7"/>
      <c r="F35" s="7"/>
      <c r="G35" s="7"/>
      <c r="H35" s="7"/>
      <c r="I35" s="7"/>
      <c r="J35" s="7"/>
      <c r="K35" s="7"/>
      <c r="L35" s="7"/>
      <c r="M35" s="7"/>
      <c r="N35" s="7"/>
      <c r="O35" s="7"/>
      <c r="P35" s="7"/>
      <c r="Q35" s="7"/>
      <c r="R35" s="7"/>
      <c r="S35" s="7"/>
      <c r="T35" s="7"/>
      <c r="U35" s="7"/>
      <c r="V35" s="7"/>
      <c r="W35" s="7"/>
      <c r="X35" s="7"/>
      <c r="Y35" s="7"/>
    </row>
    <row r="36" spans="1:25" x14ac:dyDescent="0.35">
      <c r="A36" s="7"/>
      <c r="B36" s="7"/>
      <c r="C36" s="7"/>
      <c r="D36" s="7"/>
      <c r="E36" s="7"/>
      <c r="F36" s="7"/>
      <c r="G36" s="7"/>
      <c r="H36" s="7"/>
      <c r="I36" s="7"/>
      <c r="J36" s="7"/>
      <c r="K36" s="7"/>
      <c r="L36" s="7"/>
      <c r="M36" s="7"/>
      <c r="N36" s="7"/>
      <c r="O36" s="7"/>
      <c r="P36" s="7"/>
      <c r="Q36" s="7"/>
      <c r="R36" s="7"/>
      <c r="S36" s="7"/>
      <c r="T36" s="7"/>
      <c r="U36" s="7"/>
      <c r="V36" s="7"/>
      <c r="W36" s="7"/>
      <c r="X36" s="7"/>
      <c r="Y36" s="7"/>
    </row>
    <row r="37" spans="1:25" x14ac:dyDescent="0.35">
      <c r="A37" s="7"/>
      <c r="B37" s="7"/>
      <c r="C37" s="7"/>
      <c r="D37" s="7"/>
      <c r="E37" s="7"/>
      <c r="F37" s="7"/>
      <c r="G37" s="7"/>
      <c r="H37" s="7"/>
      <c r="I37" s="7"/>
      <c r="J37" s="7"/>
      <c r="K37" s="7"/>
      <c r="L37" s="7"/>
      <c r="M37" s="7"/>
      <c r="N37" s="7"/>
      <c r="O37" s="7"/>
      <c r="P37" s="7"/>
      <c r="Q37" s="7"/>
      <c r="R37" s="7"/>
      <c r="S37" s="7"/>
      <c r="T37" s="9" t="s">
        <v>1022</v>
      </c>
      <c r="U37" s="9" t="s">
        <v>1012</v>
      </c>
      <c r="V37" s="9" t="s">
        <v>1013</v>
      </c>
      <c r="W37" s="9" t="s">
        <v>1014</v>
      </c>
      <c r="X37" s="9" t="s">
        <v>1015</v>
      </c>
      <c r="Y37" s="9" t="s">
        <v>12</v>
      </c>
    </row>
    <row r="38" spans="1:25" x14ac:dyDescent="0.35">
      <c r="A38" s="7"/>
      <c r="B38" s="7"/>
      <c r="C38" s="7"/>
      <c r="D38" s="7"/>
      <c r="E38" s="7"/>
      <c r="F38" s="7"/>
      <c r="G38" s="7"/>
      <c r="H38" s="7"/>
      <c r="I38" s="7"/>
      <c r="J38" s="7"/>
      <c r="K38" s="7"/>
      <c r="L38" s="7"/>
      <c r="M38" s="7"/>
      <c r="N38" s="7"/>
      <c r="O38" s="7"/>
      <c r="P38" s="7"/>
      <c r="Q38" s="7"/>
      <c r="R38" s="7"/>
      <c r="S38" s="7"/>
      <c r="T38" s="7" t="s">
        <v>1039</v>
      </c>
      <c r="U38" s="7">
        <v>46113</v>
      </c>
      <c r="V38" s="7">
        <v>20</v>
      </c>
      <c r="W38" s="19">
        <v>46113</v>
      </c>
      <c r="X38" s="19">
        <v>46132</v>
      </c>
      <c r="Y38" s="7" t="s">
        <v>30</v>
      </c>
    </row>
    <row r="39" spans="1:25" x14ac:dyDescent="0.35">
      <c r="A39" s="7"/>
      <c r="B39" s="7"/>
      <c r="C39" s="7"/>
      <c r="D39" s="7"/>
      <c r="E39" s="7"/>
      <c r="F39" s="7"/>
      <c r="G39" s="7"/>
      <c r="H39" s="7"/>
      <c r="I39" s="7"/>
      <c r="J39" s="7"/>
      <c r="K39" s="7"/>
      <c r="L39" s="7"/>
      <c r="M39" s="7"/>
      <c r="N39" s="7"/>
      <c r="O39" s="7"/>
      <c r="P39" s="7"/>
      <c r="Q39" s="7"/>
      <c r="R39" s="7"/>
      <c r="S39" s="7"/>
      <c r="T39" s="7" t="s">
        <v>1040</v>
      </c>
      <c r="U39" s="7">
        <v>46133</v>
      </c>
      <c r="V39" s="7">
        <v>41</v>
      </c>
      <c r="W39" s="19">
        <v>46133</v>
      </c>
      <c r="X39" s="19">
        <v>46173</v>
      </c>
      <c r="Y39" s="7" t="s">
        <v>1026</v>
      </c>
    </row>
    <row r="40" spans="1:25" x14ac:dyDescent="0.35">
      <c r="A40" s="7"/>
      <c r="B40" s="7"/>
      <c r="C40" s="7"/>
      <c r="D40" s="7"/>
      <c r="E40" s="7"/>
      <c r="F40" s="7"/>
      <c r="G40" s="7"/>
      <c r="H40" s="7"/>
      <c r="I40" s="7"/>
      <c r="J40" s="7"/>
      <c r="K40" s="7"/>
      <c r="L40" s="7"/>
      <c r="M40" s="7"/>
      <c r="N40" s="7"/>
      <c r="O40" s="7"/>
      <c r="P40" s="7"/>
      <c r="Q40" s="7"/>
      <c r="R40" s="7"/>
      <c r="S40" s="7"/>
      <c r="T40" s="7"/>
      <c r="U40" s="7"/>
      <c r="V40" s="7"/>
      <c r="W40" s="7"/>
      <c r="X40" s="7"/>
      <c r="Y40" s="7"/>
    </row>
    <row r="41" spans="1:25" x14ac:dyDescent="0.35">
      <c r="A41" s="7"/>
      <c r="B41" s="7"/>
      <c r="C41" s="7"/>
      <c r="D41" s="7"/>
      <c r="E41" s="7"/>
      <c r="F41" s="7"/>
      <c r="G41" s="7"/>
      <c r="H41" s="7"/>
      <c r="I41" s="7"/>
      <c r="J41" s="7"/>
      <c r="K41" s="7"/>
      <c r="L41" s="7"/>
      <c r="M41" s="7"/>
      <c r="N41" s="7"/>
      <c r="O41" s="7"/>
      <c r="P41" s="7"/>
      <c r="Q41" s="7"/>
      <c r="R41" s="7"/>
      <c r="S41" s="7"/>
      <c r="T41" s="7"/>
      <c r="U41" s="7"/>
      <c r="V41" s="7"/>
      <c r="W41" s="7"/>
      <c r="X41" s="7"/>
      <c r="Y41" s="7"/>
    </row>
    <row r="42" spans="1:25" x14ac:dyDescent="0.35">
      <c r="A42" s="7"/>
      <c r="B42" s="7"/>
      <c r="C42" s="7"/>
      <c r="D42" s="7"/>
      <c r="E42" s="7"/>
      <c r="F42" s="7"/>
      <c r="G42" s="7"/>
      <c r="H42" s="7"/>
      <c r="I42" s="7"/>
      <c r="J42" s="7"/>
      <c r="K42" s="7"/>
      <c r="L42" s="7"/>
      <c r="M42" s="7"/>
      <c r="N42" s="7"/>
      <c r="O42" s="7"/>
      <c r="P42" s="7"/>
      <c r="Q42" s="7"/>
      <c r="R42" s="7"/>
      <c r="S42" s="7"/>
      <c r="T42" s="73" t="s">
        <v>1054</v>
      </c>
      <c r="U42" s="73"/>
      <c r="V42" s="73"/>
      <c r="W42" s="73"/>
      <c r="X42" s="73"/>
      <c r="Y42" s="73"/>
    </row>
    <row r="43" spans="1:25" ht="43.5" x14ac:dyDescent="0.35">
      <c r="A43" s="7"/>
      <c r="B43" s="7"/>
      <c r="C43" s="7"/>
      <c r="D43" s="7"/>
      <c r="E43" s="7"/>
      <c r="F43" s="7"/>
      <c r="G43" s="7"/>
      <c r="H43" s="7"/>
      <c r="I43" s="7"/>
      <c r="J43" s="7"/>
      <c r="K43" s="7"/>
      <c r="L43" s="7"/>
      <c r="M43" s="7"/>
      <c r="N43" s="7"/>
      <c r="O43" s="7"/>
      <c r="P43" s="7"/>
      <c r="Q43" s="7"/>
      <c r="R43" s="7"/>
      <c r="S43" s="7"/>
      <c r="T43" s="74" t="s">
        <v>997</v>
      </c>
      <c r="U43" s="2" t="s">
        <v>1055</v>
      </c>
      <c r="V43" s="2"/>
      <c r="W43" s="2"/>
      <c r="X43" s="2"/>
      <c r="Y43" s="2"/>
    </row>
    <row r="44" spans="1:25" ht="43.5" x14ac:dyDescent="0.35">
      <c r="A44" s="7"/>
      <c r="B44" s="7"/>
      <c r="C44" s="7"/>
      <c r="D44" s="7"/>
      <c r="E44" s="7"/>
      <c r="F44" s="7"/>
      <c r="G44" s="7"/>
      <c r="H44" s="7"/>
      <c r="I44" s="7"/>
      <c r="J44" s="7"/>
      <c r="K44" s="7"/>
      <c r="L44" s="7"/>
      <c r="M44" s="7"/>
      <c r="N44" s="7"/>
      <c r="O44" s="7"/>
      <c r="P44" s="7"/>
      <c r="Q44" s="7"/>
      <c r="R44" s="7"/>
      <c r="S44" s="7"/>
      <c r="T44" s="75" t="s">
        <v>994</v>
      </c>
      <c r="U44" s="2" t="s">
        <v>1056</v>
      </c>
      <c r="V44" s="2"/>
      <c r="W44" s="2"/>
      <c r="X44" s="2"/>
      <c r="Y44" s="2"/>
    </row>
    <row r="45" spans="1:25" ht="58" x14ac:dyDescent="0.35">
      <c r="A45" s="7"/>
      <c r="B45" s="7"/>
      <c r="C45" s="7"/>
      <c r="D45" s="7"/>
      <c r="E45" s="7"/>
      <c r="F45" s="7"/>
      <c r="G45" s="7"/>
      <c r="H45" s="7"/>
      <c r="I45" s="7"/>
      <c r="J45" s="7"/>
      <c r="K45" s="7"/>
      <c r="L45" s="7"/>
      <c r="M45" s="7"/>
      <c r="N45" s="7"/>
      <c r="O45" s="7"/>
      <c r="P45" s="7"/>
      <c r="Q45" s="7"/>
      <c r="R45" s="7"/>
      <c r="S45" s="7"/>
      <c r="T45" s="76" t="s">
        <v>991</v>
      </c>
      <c r="U45" s="2" t="s">
        <v>1057</v>
      </c>
      <c r="V45" s="2"/>
      <c r="W45" s="2"/>
      <c r="X45" s="2"/>
      <c r="Y45" s="2"/>
    </row>
    <row r="46" spans="1:25" ht="43.5" x14ac:dyDescent="0.35">
      <c r="A46" s="7"/>
      <c r="B46" s="7"/>
      <c r="C46" s="7"/>
      <c r="D46" s="7"/>
      <c r="E46" s="7"/>
      <c r="F46" s="7"/>
      <c r="G46" s="7"/>
      <c r="H46" s="7"/>
      <c r="I46" s="7"/>
      <c r="J46" s="7"/>
      <c r="K46" s="7"/>
      <c r="L46" s="7"/>
      <c r="M46" s="7"/>
      <c r="N46" s="7"/>
      <c r="O46" s="7"/>
      <c r="P46" s="7"/>
      <c r="Q46" s="7"/>
      <c r="R46" s="7"/>
      <c r="S46" s="7"/>
      <c r="T46" s="77" t="s">
        <v>1000</v>
      </c>
      <c r="U46" s="2" t="s">
        <v>1058</v>
      </c>
      <c r="V46" s="2"/>
      <c r="W46" s="2"/>
      <c r="X46" s="2"/>
      <c r="Y46" s="2"/>
    </row>
    <row r="47" spans="1:25" ht="43.5" x14ac:dyDescent="0.35">
      <c r="A47" s="7"/>
      <c r="B47" s="7"/>
      <c r="C47" s="7"/>
      <c r="D47" s="7"/>
      <c r="E47" s="7"/>
      <c r="F47" s="7"/>
      <c r="G47" s="7"/>
      <c r="H47" s="7"/>
      <c r="I47" s="7"/>
      <c r="J47" s="7"/>
      <c r="K47" s="7"/>
      <c r="L47" s="7"/>
      <c r="M47" s="7"/>
      <c r="N47" s="7"/>
      <c r="O47" s="7"/>
      <c r="P47" s="7"/>
      <c r="Q47" s="7"/>
      <c r="R47" s="7"/>
      <c r="S47" s="7"/>
      <c r="T47" s="78" t="s">
        <v>1059</v>
      </c>
      <c r="U47" s="2" t="s">
        <v>1060</v>
      </c>
      <c r="V47" s="2"/>
      <c r="W47" s="2"/>
      <c r="X47" s="2"/>
      <c r="Y47" s="2"/>
    </row>
    <row r="48" spans="1:25" x14ac:dyDescent="0.35">
      <c r="A48" s="7"/>
      <c r="B48" s="7"/>
      <c r="C48" s="7"/>
      <c r="D48" s="7"/>
      <c r="E48" s="7"/>
      <c r="F48" s="7"/>
      <c r="G48" s="7"/>
      <c r="H48" s="7"/>
      <c r="I48" s="7"/>
      <c r="J48" s="7"/>
      <c r="K48" s="7"/>
      <c r="L48" s="7"/>
      <c r="M48" s="7"/>
      <c r="N48" s="7"/>
      <c r="O48" s="7"/>
      <c r="P48" s="7"/>
      <c r="Q48" s="7"/>
      <c r="R48" s="7"/>
      <c r="S48" s="7"/>
      <c r="T48" s="7"/>
      <c r="U48" s="7"/>
      <c r="V48" s="7"/>
      <c r="W48" s="7"/>
      <c r="X48" s="7"/>
      <c r="Y48" s="7"/>
    </row>
    <row r="49" spans="1:25" x14ac:dyDescent="0.35">
      <c r="A49" s="7"/>
      <c r="B49" s="7"/>
      <c r="C49" s="7"/>
      <c r="D49" s="7"/>
      <c r="E49" s="7"/>
      <c r="F49" s="7"/>
      <c r="G49" s="7"/>
      <c r="H49" s="7"/>
      <c r="I49" s="7"/>
      <c r="J49" s="7"/>
      <c r="K49" s="7"/>
      <c r="L49" s="7"/>
      <c r="M49" s="7"/>
      <c r="N49" s="7"/>
      <c r="O49" s="7"/>
      <c r="P49" s="7"/>
      <c r="Q49" s="7"/>
      <c r="R49" s="7"/>
      <c r="S49" s="7"/>
      <c r="T49" s="7"/>
      <c r="U49" s="7"/>
      <c r="V49" s="7"/>
      <c r="W49" s="7"/>
      <c r="X49" s="7"/>
      <c r="Y49" s="7"/>
    </row>
    <row r="50" spans="1:25" x14ac:dyDescent="0.35">
      <c r="A50" s="7"/>
      <c r="B50" s="7"/>
      <c r="C50" s="7"/>
      <c r="D50" s="7"/>
      <c r="E50" s="7"/>
      <c r="F50" s="7"/>
      <c r="G50" s="7"/>
      <c r="H50" s="7"/>
      <c r="I50" s="7"/>
      <c r="J50" s="7"/>
      <c r="K50" s="7"/>
      <c r="L50" s="7"/>
      <c r="M50" s="7"/>
      <c r="N50" s="7"/>
      <c r="O50" s="7"/>
      <c r="P50" s="7"/>
      <c r="Q50" s="7"/>
      <c r="R50" s="7"/>
      <c r="S50" s="7"/>
      <c r="T50" s="7"/>
      <c r="U50" s="7"/>
      <c r="V50" s="7"/>
      <c r="W50" s="7"/>
      <c r="X50" s="7"/>
      <c r="Y50" s="7"/>
    </row>
    <row r="51" spans="1:25" x14ac:dyDescent="0.35">
      <c r="A51" s="7"/>
      <c r="B51" s="7"/>
      <c r="C51" s="7"/>
      <c r="D51" s="7"/>
      <c r="E51" s="7"/>
      <c r="F51" s="7"/>
      <c r="G51" s="7"/>
      <c r="H51" s="7"/>
      <c r="I51" s="7"/>
      <c r="J51" s="7"/>
      <c r="K51" s="7"/>
      <c r="L51" s="7"/>
      <c r="M51" s="7"/>
      <c r="N51" s="7"/>
      <c r="O51" s="7"/>
      <c r="P51" s="7"/>
      <c r="Q51" s="7"/>
      <c r="R51" s="7"/>
      <c r="S51" s="7"/>
      <c r="T51" s="7"/>
      <c r="U51" s="7"/>
      <c r="V51" s="7"/>
      <c r="W51" s="7"/>
      <c r="X51" s="7"/>
      <c r="Y51" s="7"/>
    </row>
    <row r="52" spans="1:25" x14ac:dyDescent="0.35">
      <c r="A52" s="7"/>
      <c r="B52" s="7"/>
      <c r="C52" s="7"/>
      <c r="D52" s="7"/>
      <c r="E52" s="7"/>
      <c r="F52" s="7"/>
      <c r="G52" s="7"/>
      <c r="H52" s="7"/>
      <c r="I52" s="7"/>
      <c r="J52" s="7"/>
      <c r="K52" s="7"/>
      <c r="L52" s="7"/>
      <c r="M52" s="7"/>
      <c r="N52" s="7"/>
      <c r="O52" s="7"/>
      <c r="P52" s="7"/>
      <c r="Q52" s="7"/>
      <c r="R52" s="7"/>
      <c r="S52" s="7"/>
      <c r="T52" s="7"/>
      <c r="U52" s="7"/>
      <c r="V52" s="7"/>
      <c r="W52" s="7"/>
      <c r="X52" s="7"/>
      <c r="Y52" s="7"/>
    </row>
    <row r="53" spans="1:25" x14ac:dyDescent="0.35">
      <c r="A53" s="7"/>
      <c r="B53" s="7"/>
      <c r="C53" s="7"/>
      <c r="D53" s="7"/>
      <c r="E53" s="7"/>
      <c r="F53" s="7"/>
      <c r="G53" s="7"/>
      <c r="H53" s="7"/>
      <c r="I53" s="7"/>
      <c r="J53" s="7"/>
      <c r="K53" s="7"/>
      <c r="L53" s="7"/>
      <c r="M53" s="7"/>
      <c r="N53" s="7"/>
      <c r="O53" s="7"/>
      <c r="P53" s="7"/>
      <c r="Q53" s="7"/>
      <c r="R53" s="7"/>
      <c r="S53" s="7"/>
      <c r="T53" s="7"/>
      <c r="U53" s="7"/>
      <c r="V53" s="7"/>
      <c r="W53" s="7"/>
      <c r="X53" s="7"/>
      <c r="Y53" s="7"/>
    </row>
    <row r="54" spans="1:25" x14ac:dyDescent="0.35">
      <c r="A54" s="7"/>
      <c r="B54" s="7"/>
      <c r="C54" s="7"/>
      <c r="D54" s="7"/>
      <c r="E54" s="7"/>
      <c r="F54" s="7"/>
      <c r="G54" s="7"/>
      <c r="H54" s="7"/>
      <c r="I54" s="7"/>
      <c r="J54" s="7"/>
      <c r="K54" s="7"/>
      <c r="L54" s="7"/>
      <c r="M54" s="7"/>
      <c r="N54" s="7"/>
      <c r="O54" s="7"/>
      <c r="P54" s="7"/>
      <c r="Q54" s="7"/>
      <c r="R54" s="7"/>
      <c r="S54" s="7"/>
      <c r="T54" s="7"/>
      <c r="U54" s="7"/>
      <c r="V54" s="7"/>
      <c r="W54" s="7"/>
      <c r="X54" s="7"/>
      <c r="Y54" s="7"/>
    </row>
    <row r="55" spans="1:25" x14ac:dyDescent="0.35">
      <c r="A55" s="7"/>
      <c r="B55" s="7"/>
      <c r="C55" s="7"/>
      <c r="D55" s="7"/>
      <c r="E55" s="7"/>
      <c r="F55" s="7"/>
      <c r="G55" s="7"/>
      <c r="H55" s="7"/>
      <c r="I55" s="7"/>
      <c r="J55" s="7"/>
      <c r="K55" s="7"/>
      <c r="L55" s="7"/>
      <c r="M55" s="7"/>
      <c r="N55" s="7"/>
      <c r="O55" s="7"/>
      <c r="P55" s="7"/>
      <c r="Q55" s="7"/>
      <c r="R55" s="7"/>
      <c r="S55" s="7"/>
      <c r="T55" s="7"/>
      <c r="U55" s="7"/>
      <c r="V55" s="7"/>
      <c r="W55" s="7"/>
      <c r="X55" s="7"/>
      <c r="Y55" s="7"/>
    </row>
    <row r="56" spans="1:25" x14ac:dyDescent="0.35">
      <c r="A56" s="7"/>
      <c r="B56" s="7"/>
      <c r="C56" s="7"/>
      <c r="D56" s="7"/>
      <c r="E56" s="7"/>
      <c r="F56" s="7"/>
      <c r="G56" s="7"/>
      <c r="H56" s="7"/>
      <c r="I56" s="7"/>
      <c r="J56" s="7"/>
      <c r="K56" s="7"/>
      <c r="L56" s="7"/>
      <c r="M56" s="7"/>
      <c r="N56" s="7"/>
      <c r="O56" s="7"/>
      <c r="P56" s="7"/>
      <c r="Q56" s="7"/>
      <c r="R56" s="7"/>
      <c r="S56" s="7"/>
      <c r="T56" s="7"/>
      <c r="U56" s="7"/>
      <c r="V56" s="7"/>
      <c r="W56" s="7"/>
      <c r="X56" s="7"/>
      <c r="Y56" s="7"/>
    </row>
    <row r="57" spans="1:25" x14ac:dyDescent="0.35">
      <c r="A57" s="7"/>
      <c r="B57" s="7"/>
      <c r="C57" s="7"/>
      <c r="D57" s="7"/>
      <c r="E57" s="7"/>
      <c r="F57" s="7"/>
      <c r="G57" s="7"/>
      <c r="H57" s="7"/>
      <c r="I57" s="7"/>
      <c r="J57" s="7"/>
      <c r="K57" s="7"/>
      <c r="L57" s="7"/>
      <c r="M57" s="7"/>
      <c r="N57" s="7"/>
      <c r="O57" s="7"/>
      <c r="P57" s="7"/>
      <c r="Q57" s="7"/>
      <c r="R57" s="7"/>
      <c r="S57" s="7"/>
      <c r="T57" s="7"/>
      <c r="U57" s="7"/>
      <c r="V57" s="7"/>
      <c r="W57" s="7"/>
      <c r="X57" s="7"/>
      <c r="Y57" s="7"/>
    </row>
    <row r="58" spans="1:25" x14ac:dyDescent="0.35">
      <c r="A58" s="7"/>
      <c r="B58" s="7"/>
      <c r="C58" s="7"/>
      <c r="D58" s="7"/>
      <c r="E58" s="7"/>
      <c r="F58" s="7"/>
      <c r="G58" s="7"/>
      <c r="H58" s="7"/>
      <c r="I58" s="7"/>
      <c r="J58" s="7"/>
      <c r="K58" s="7"/>
      <c r="L58" s="7"/>
      <c r="M58" s="7"/>
      <c r="N58" s="7"/>
      <c r="O58" s="7"/>
      <c r="P58" s="7"/>
      <c r="Q58" s="7"/>
      <c r="R58" s="7"/>
      <c r="S58" s="7"/>
      <c r="T58" s="7"/>
      <c r="U58" s="7"/>
      <c r="V58" s="7"/>
      <c r="W58" s="7"/>
      <c r="X58" s="7"/>
      <c r="Y58" s="7"/>
    </row>
    <row r="59" spans="1:25" x14ac:dyDescent="0.35">
      <c r="A59" s="7"/>
      <c r="B59" s="7"/>
      <c r="C59" s="7"/>
      <c r="D59" s="7"/>
      <c r="E59" s="7"/>
      <c r="F59" s="7"/>
      <c r="G59" s="7"/>
      <c r="H59" s="7"/>
      <c r="I59" s="7"/>
      <c r="J59" s="7"/>
      <c r="K59" s="7"/>
      <c r="L59" s="7"/>
      <c r="M59" s="7"/>
      <c r="N59" s="7"/>
      <c r="O59" s="7"/>
      <c r="P59" s="7"/>
      <c r="Q59" s="7"/>
      <c r="R59" s="7"/>
      <c r="S59" s="7"/>
      <c r="T59" s="7"/>
      <c r="U59" s="7"/>
      <c r="V59" s="7"/>
      <c r="W59" s="7"/>
      <c r="X59" s="7"/>
      <c r="Y59" s="7"/>
    </row>
    <row r="60" spans="1:25" x14ac:dyDescent="0.35">
      <c r="A60" s="7"/>
      <c r="B60" s="7"/>
      <c r="C60" s="7"/>
      <c r="D60" s="7"/>
      <c r="E60" s="7"/>
      <c r="F60" s="7"/>
      <c r="G60" s="7"/>
      <c r="H60" s="7"/>
      <c r="I60" s="7"/>
      <c r="J60" s="7"/>
      <c r="K60" s="7"/>
      <c r="L60" s="7"/>
      <c r="M60" s="7"/>
      <c r="N60" s="7"/>
      <c r="O60" s="7"/>
      <c r="P60" s="7"/>
      <c r="Q60" s="7"/>
      <c r="R60" s="7"/>
      <c r="S60" s="7"/>
      <c r="T60" s="7"/>
      <c r="U60" s="7"/>
      <c r="V60" s="7"/>
      <c r="W60" s="7"/>
      <c r="X60" s="7"/>
      <c r="Y60" s="7"/>
    </row>
    <row r="61" spans="1:25" x14ac:dyDescent="0.35">
      <c r="A61" s="7"/>
      <c r="B61" s="7"/>
      <c r="C61" s="7"/>
      <c r="D61" s="7"/>
      <c r="E61" s="7"/>
      <c r="F61" s="7"/>
      <c r="G61" s="7"/>
      <c r="H61" s="7"/>
      <c r="I61" s="7"/>
      <c r="J61" s="7"/>
      <c r="K61" s="7"/>
      <c r="L61" s="7"/>
      <c r="M61" s="7"/>
      <c r="N61" s="7"/>
      <c r="O61" s="7"/>
      <c r="P61" s="7"/>
      <c r="Q61" s="7"/>
      <c r="R61" s="7"/>
      <c r="S61" s="7"/>
      <c r="T61" s="7"/>
      <c r="U61" s="7"/>
      <c r="V61" s="7"/>
      <c r="W61" s="7"/>
      <c r="X61" s="7"/>
      <c r="Y61" s="7"/>
    </row>
    <row r="62" spans="1:25" x14ac:dyDescent="0.35">
      <c r="A62" s="7"/>
      <c r="B62" s="7"/>
      <c r="C62" s="7"/>
      <c r="D62" s="7"/>
      <c r="E62" s="7"/>
      <c r="F62" s="7"/>
      <c r="G62" s="7"/>
      <c r="H62" s="7"/>
      <c r="I62" s="7"/>
      <c r="J62" s="7"/>
      <c r="K62" s="7"/>
      <c r="L62" s="7"/>
      <c r="M62" s="7"/>
      <c r="N62" s="7"/>
      <c r="O62" s="7"/>
      <c r="P62" s="7"/>
      <c r="Q62" s="7"/>
      <c r="R62" s="7"/>
      <c r="S62" s="7"/>
      <c r="T62" s="7"/>
      <c r="U62" s="7"/>
      <c r="V62" s="7"/>
      <c r="W62" s="7"/>
      <c r="X62" s="7"/>
      <c r="Y62" s="7"/>
    </row>
    <row r="63" spans="1:25" x14ac:dyDescent="0.35">
      <c r="A63" s="7"/>
      <c r="B63" s="7"/>
      <c r="C63" s="7"/>
      <c r="D63" s="7"/>
      <c r="E63" s="7"/>
      <c r="F63" s="7"/>
      <c r="G63" s="7"/>
      <c r="H63" s="7"/>
      <c r="I63" s="7"/>
      <c r="J63" s="7"/>
      <c r="K63" s="7"/>
      <c r="L63" s="7"/>
      <c r="M63" s="7"/>
      <c r="N63" s="7"/>
      <c r="O63" s="7"/>
      <c r="P63" s="7"/>
      <c r="Q63" s="7"/>
      <c r="R63" s="7"/>
      <c r="S63" s="7"/>
      <c r="T63" s="7"/>
      <c r="U63" s="7"/>
      <c r="V63" s="7"/>
      <c r="W63" s="7"/>
      <c r="X63" s="7"/>
      <c r="Y63" s="7"/>
    </row>
    <row r="64" spans="1:25" x14ac:dyDescent="0.35">
      <c r="A64" s="7"/>
      <c r="B64" s="7"/>
      <c r="C64" s="7"/>
      <c r="D64" s="7"/>
      <c r="E64" s="7"/>
      <c r="F64" s="7"/>
      <c r="G64" s="7"/>
      <c r="H64" s="7"/>
      <c r="I64" s="7"/>
      <c r="J64" s="7"/>
      <c r="K64" s="7"/>
      <c r="L64" s="7"/>
      <c r="M64" s="7"/>
      <c r="N64" s="7"/>
      <c r="O64" s="7"/>
      <c r="P64" s="7"/>
      <c r="Q64" s="7"/>
      <c r="R64" s="7"/>
      <c r="S64" s="7"/>
      <c r="T64" s="7"/>
      <c r="U64" s="7"/>
      <c r="V64" s="7"/>
      <c r="W64" s="7"/>
      <c r="X64" s="7"/>
      <c r="Y64" s="7"/>
    </row>
    <row r="65" spans="1:25" x14ac:dyDescent="0.35">
      <c r="A65" s="7"/>
      <c r="B65" s="7"/>
      <c r="C65" s="7"/>
      <c r="D65" s="7"/>
      <c r="E65" s="7"/>
      <c r="F65" s="7"/>
      <c r="G65" s="7"/>
      <c r="H65" s="7"/>
      <c r="I65" s="7"/>
      <c r="J65" s="7"/>
      <c r="K65" s="7"/>
      <c r="L65" s="7"/>
      <c r="M65" s="7"/>
      <c r="N65" s="7"/>
      <c r="O65" s="7"/>
      <c r="P65" s="7"/>
      <c r="Q65" s="7"/>
      <c r="R65" s="7"/>
      <c r="S65" s="7"/>
      <c r="T65" s="7"/>
      <c r="U65" s="7"/>
      <c r="V65" s="7"/>
      <c r="W65" s="7"/>
      <c r="X65" s="7"/>
      <c r="Y65" s="7"/>
    </row>
    <row r="66" spans="1:25" x14ac:dyDescent="0.35">
      <c r="A66" s="7"/>
      <c r="B66" s="7"/>
      <c r="C66" s="7"/>
      <c r="D66" s="7"/>
      <c r="E66" s="7"/>
      <c r="F66" s="7"/>
      <c r="G66" s="7"/>
      <c r="H66" s="7"/>
      <c r="I66" s="7"/>
      <c r="J66" s="7"/>
      <c r="K66" s="7"/>
      <c r="L66" s="7"/>
      <c r="M66" s="7"/>
      <c r="N66" s="7"/>
      <c r="O66" s="7"/>
      <c r="P66" s="7"/>
      <c r="Q66" s="7"/>
      <c r="R66" s="7"/>
      <c r="S66" s="7"/>
      <c r="T66" s="7"/>
      <c r="U66" s="7"/>
      <c r="V66" s="7"/>
      <c r="W66" s="7"/>
      <c r="X66" s="7"/>
      <c r="Y66" s="7"/>
    </row>
    <row r="67" spans="1:25" x14ac:dyDescent="0.35">
      <c r="A67" s="7"/>
      <c r="B67" s="7"/>
      <c r="C67" s="7"/>
      <c r="D67" s="7"/>
      <c r="E67" s="7"/>
      <c r="F67" s="7"/>
      <c r="G67" s="7"/>
      <c r="H67" s="7"/>
      <c r="I67" s="7"/>
      <c r="J67" s="7"/>
      <c r="K67" s="7"/>
      <c r="L67" s="7"/>
      <c r="M67" s="7"/>
      <c r="N67" s="7"/>
      <c r="O67" s="7"/>
      <c r="P67" s="7"/>
      <c r="Q67" s="7"/>
      <c r="R67" s="7"/>
      <c r="S67" s="7"/>
      <c r="T67" s="7"/>
      <c r="U67" s="7"/>
      <c r="V67" s="7"/>
      <c r="W67" s="7"/>
      <c r="X67" s="7"/>
      <c r="Y67" s="7"/>
    </row>
    <row r="68" spans="1:25" x14ac:dyDescent="0.35">
      <c r="A68" s="7"/>
      <c r="B68" s="7"/>
      <c r="C68" s="7"/>
      <c r="D68" s="7"/>
      <c r="E68" s="7"/>
      <c r="F68" s="7"/>
      <c r="G68" s="7"/>
      <c r="H68" s="7"/>
      <c r="I68" s="7"/>
      <c r="J68" s="7"/>
      <c r="K68" s="7"/>
      <c r="L68" s="7"/>
      <c r="M68" s="7"/>
      <c r="N68" s="7"/>
      <c r="O68" s="7"/>
      <c r="P68" s="7"/>
      <c r="Q68" s="7"/>
      <c r="R68" s="7"/>
      <c r="S68" s="7"/>
      <c r="T68" s="7"/>
      <c r="U68" s="7"/>
      <c r="V68" s="7"/>
      <c r="W68" s="7"/>
      <c r="X68" s="7"/>
      <c r="Y68" s="7"/>
    </row>
    <row r="69" spans="1:25" x14ac:dyDescent="0.35">
      <c r="A69" s="7"/>
      <c r="B69" s="7"/>
      <c r="C69" s="7"/>
      <c r="D69" s="7"/>
      <c r="E69" s="7"/>
      <c r="F69" s="7"/>
      <c r="G69" s="7"/>
      <c r="H69" s="7"/>
      <c r="I69" s="7"/>
      <c r="J69" s="7"/>
      <c r="K69" s="7"/>
      <c r="L69" s="7"/>
      <c r="M69" s="7"/>
      <c r="N69" s="7"/>
      <c r="O69" s="7"/>
      <c r="P69" s="7"/>
      <c r="Q69" s="7"/>
      <c r="R69" s="7"/>
      <c r="S69" s="7"/>
      <c r="T69" s="7"/>
      <c r="U69" s="7"/>
      <c r="V69" s="7"/>
      <c r="W69" s="7"/>
      <c r="X69" s="7"/>
      <c r="Y69" s="7"/>
    </row>
    <row r="70" spans="1:25" x14ac:dyDescent="0.35">
      <c r="A70" s="7"/>
      <c r="B70" s="7"/>
      <c r="C70" s="7"/>
      <c r="D70" s="7"/>
      <c r="E70" s="7"/>
      <c r="F70" s="7"/>
      <c r="G70" s="7"/>
      <c r="H70" s="7"/>
      <c r="I70" s="7"/>
      <c r="J70" s="7"/>
      <c r="K70" s="7"/>
      <c r="L70" s="7"/>
      <c r="M70" s="7"/>
      <c r="N70" s="7"/>
      <c r="O70" s="7"/>
      <c r="P70" s="7"/>
      <c r="Q70" s="7"/>
      <c r="R70" s="7"/>
      <c r="S70" s="7"/>
      <c r="T70" s="7"/>
      <c r="U70" s="7"/>
      <c r="V70" s="7"/>
      <c r="W70" s="7"/>
      <c r="X70" s="7"/>
      <c r="Y70" s="7"/>
    </row>
    <row r="71" spans="1:25" x14ac:dyDescent="0.35">
      <c r="A71" s="7"/>
      <c r="B71" s="7"/>
      <c r="C71" s="7"/>
      <c r="D71" s="7"/>
      <c r="E71" s="7"/>
      <c r="F71" s="7"/>
      <c r="G71" s="7"/>
      <c r="H71" s="7"/>
      <c r="I71" s="7"/>
      <c r="J71" s="7"/>
      <c r="K71" s="7"/>
      <c r="L71" s="7"/>
      <c r="M71" s="7"/>
      <c r="N71" s="7"/>
      <c r="O71" s="7"/>
      <c r="P71" s="7"/>
      <c r="Q71" s="7"/>
      <c r="R71" s="7"/>
      <c r="S71" s="7"/>
      <c r="T71" s="7"/>
      <c r="U71" s="7"/>
      <c r="V71" s="7"/>
      <c r="W71" s="7"/>
      <c r="X71" s="7"/>
      <c r="Y71" s="7"/>
    </row>
    <row r="72" spans="1:25" x14ac:dyDescent="0.35">
      <c r="A72" s="7"/>
      <c r="B72" s="7"/>
      <c r="C72" s="7"/>
      <c r="D72" s="7"/>
      <c r="E72" s="7"/>
      <c r="F72" s="7"/>
      <c r="G72" s="7"/>
      <c r="H72" s="7"/>
      <c r="I72" s="7"/>
      <c r="J72" s="7"/>
      <c r="K72" s="7"/>
      <c r="L72" s="7"/>
      <c r="M72" s="7"/>
      <c r="N72" s="7"/>
      <c r="O72" s="7"/>
      <c r="P72" s="7"/>
      <c r="Q72" s="7"/>
      <c r="R72" s="7"/>
      <c r="S72" s="7"/>
      <c r="T72" s="7"/>
      <c r="U72" s="7"/>
      <c r="V72" s="7"/>
      <c r="W72" s="7"/>
      <c r="X72" s="7"/>
      <c r="Y72" s="7"/>
    </row>
    <row r="73" spans="1:25" x14ac:dyDescent="0.35">
      <c r="A73" s="7"/>
      <c r="B73" s="7"/>
      <c r="C73" s="7"/>
      <c r="D73" s="7"/>
      <c r="E73" s="7"/>
      <c r="F73" s="7"/>
      <c r="G73" s="7"/>
      <c r="H73" s="7"/>
      <c r="I73" s="7"/>
      <c r="J73" s="7"/>
      <c r="K73" s="7"/>
      <c r="L73" s="7"/>
      <c r="M73" s="7"/>
      <c r="N73" s="7"/>
      <c r="O73" s="7"/>
      <c r="P73" s="7"/>
      <c r="Q73" s="7"/>
      <c r="R73" s="7"/>
      <c r="S73" s="7"/>
      <c r="T73" s="7"/>
      <c r="U73" s="7"/>
      <c r="V73" s="7"/>
      <c r="W73" s="7"/>
      <c r="X73" s="7"/>
      <c r="Y73" s="7"/>
    </row>
    <row r="74" spans="1:25" x14ac:dyDescent="0.35">
      <c r="A74" s="7"/>
      <c r="B74" s="7"/>
      <c r="C74" s="7"/>
      <c r="D74" s="7"/>
      <c r="E74" s="7"/>
      <c r="F74" s="7"/>
      <c r="G74" s="7"/>
      <c r="H74" s="7"/>
      <c r="I74" s="7"/>
      <c r="J74" s="7"/>
      <c r="K74" s="7"/>
      <c r="L74" s="7"/>
      <c r="M74" s="7"/>
      <c r="N74" s="7"/>
      <c r="O74" s="7"/>
      <c r="P74" s="7"/>
      <c r="Q74" s="7"/>
      <c r="R74" s="7"/>
      <c r="S74" s="7"/>
      <c r="T74" s="7"/>
      <c r="U74" s="7"/>
      <c r="V74" s="7"/>
      <c r="W74" s="7"/>
      <c r="X74" s="7"/>
      <c r="Y74" s="7"/>
    </row>
    <row r="75" spans="1:25" x14ac:dyDescent="0.35">
      <c r="A75" s="7"/>
      <c r="B75" s="7"/>
      <c r="C75" s="7"/>
      <c r="D75" s="7"/>
      <c r="E75" s="7"/>
      <c r="F75" s="7"/>
      <c r="G75" s="7"/>
      <c r="H75" s="7"/>
      <c r="I75" s="7"/>
      <c r="J75" s="7"/>
      <c r="K75" s="7"/>
      <c r="L75" s="7"/>
      <c r="M75" s="7"/>
      <c r="N75" s="7"/>
      <c r="O75" s="7"/>
      <c r="P75" s="7"/>
      <c r="Q75" s="7"/>
      <c r="R75" s="7"/>
      <c r="S75" s="7"/>
      <c r="T75" s="7"/>
      <c r="U75" s="7"/>
      <c r="V75" s="7"/>
      <c r="W75" s="7"/>
      <c r="X75" s="7"/>
      <c r="Y75" s="7"/>
    </row>
    <row r="76" spans="1:25" x14ac:dyDescent="0.35">
      <c r="A76" s="7"/>
      <c r="B76" s="7"/>
      <c r="C76" s="7"/>
      <c r="D76" s="7"/>
      <c r="E76" s="7"/>
      <c r="F76" s="7"/>
      <c r="G76" s="7"/>
      <c r="H76" s="7"/>
      <c r="I76" s="7"/>
      <c r="J76" s="7"/>
      <c r="K76" s="7"/>
      <c r="L76" s="7"/>
      <c r="M76" s="7"/>
      <c r="N76" s="7"/>
      <c r="O76" s="7"/>
      <c r="P76" s="7"/>
      <c r="Q76" s="7"/>
      <c r="R76" s="7"/>
      <c r="S76" s="7"/>
      <c r="T76" s="7"/>
      <c r="U76" s="7"/>
      <c r="V76" s="7"/>
      <c r="W76" s="7"/>
      <c r="X76" s="7"/>
      <c r="Y76" s="7"/>
    </row>
    <row r="77" spans="1:25" x14ac:dyDescent="0.35">
      <c r="A77" s="7"/>
      <c r="B77" s="7"/>
      <c r="C77" s="7"/>
      <c r="D77" s="7"/>
      <c r="E77" s="7"/>
      <c r="F77" s="7"/>
      <c r="G77" s="7"/>
      <c r="H77" s="7"/>
      <c r="I77" s="7"/>
      <c r="J77" s="7"/>
      <c r="K77" s="7"/>
      <c r="L77" s="7"/>
      <c r="M77" s="7"/>
      <c r="N77" s="7"/>
      <c r="O77" s="7"/>
      <c r="P77" s="7"/>
      <c r="Q77" s="7"/>
      <c r="R77" s="7"/>
      <c r="S77" s="7"/>
      <c r="T77" s="7"/>
      <c r="U77" s="7"/>
      <c r="V77" s="7"/>
      <c r="W77" s="7"/>
      <c r="X77" s="7"/>
      <c r="Y77" s="7"/>
    </row>
    <row r="78" spans="1:25" x14ac:dyDescent="0.35">
      <c r="A78" s="60" t="s">
        <v>1041</v>
      </c>
      <c r="B78" s="60"/>
      <c r="C78" s="60"/>
      <c r="D78" s="60"/>
      <c r="E78" s="60"/>
      <c r="F78" s="60"/>
      <c r="G78" s="60"/>
      <c r="H78" s="60"/>
      <c r="I78" s="60"/>
      <c r="J78" s="60"/>
      <c r="K78" s="60"/>
      <c r="L78" s="60"/>
      <c r="M78" s="60"/>
      <c r="N78" s="60"/>
      <c r="O78" s="60"/>
      <c r="P78" s="60"/>
      <c r="Q78" s="60"/>
      <c r="R78" s="60"/>
      <c r="S78" s="7"/>
      <c r="T78" s="7"/>
      <c r="U78" s="7"/>
      <c r="V78" s="7"/>
      <c r="W78" s="7"/>
      <c r="X78" s="7"/>
      <c r="Y78" s="7"/>
    </row>
    <row r="79" spans="1:25" x14ac:dyDescent="0.35">
      <c r="A79" s="59" t="s">
        <v>1042</v>
      </c>
      <c r="B79" s="59"/>
      <c r="C79" s="59"/>
      <c r="D79" s="59"/>
      <c r="E79" s="59"/>
      <c r="F79" s="59"/>
      <c r="G79" s="59"/>
      <c r="H79" s="59"/>
      <c r="I79" s="59"/>
      <c r="J79" s="59"/>
      <c r="K79" s="59"/>
      <c r="L79" s="59"/>
      <c r="M79" s="59"/>
      <c r="N79" s="59"/>
      <c r="O79" s="59"/>
      <c r="P79" s="59"/>
      <c r="Q79" s="59"/>
      <c r="R79" s="59"/>
      <c r="S79" s="7"/>
      <c r="T79" s="7"/>
      <c r="U79" s="7"/>
      <c r="V79" s="7"/>
      <c r="W79" s="7"/>
      <c r="X79" s="7"/>
      <c r="Y79" s="7"/>
    </row>
    <row r="80" spans="1:25" x14ac:dyDescent="0.35">
      <c r="A80" s="59"/>
      <c r="B80" s="59"/>
      <c r="C80" s="59"/>
      <c r="D80" s="59"/>
      <c r="E80" s="59"/>
      <c r="F80" s="59"/>
      <c r="G80" s="59"/>
      <c r="H80" s="59"/>
      <c r="I80" s="59"/>
      <c r="J80" s="59"/>
      <c r="K80" s="59"/>
      <c r="L80" s="59"/>
      <c r="M80" s="59"/>
      <c r="N80" s="59"/>
      <c r="O80" s="59"/>
      <c r="P80" s="59"/>
      <c r="Q80" s="59"/>
      <c r="R80" s="59"/>
      <c r="S80" s="7"/>
      <c r="T80" s="7"/>
      <c r="U80" s="7"/>
      <c r="V80" s="7"/>
      <c r="W80" s="7"/>
      <c r="X80" s="7"/>
      <c r="Y80" s="7"/>
    </row>
    <row r="81" spans="1:25" x14ac:dyDescent="0.35">
      <c r="A81" s="59"/>
      <c r="B81" s="59"/>
      <c r="C81" s="59"/>
      <c r="D81" s="59"/>
      <c r="E81" s="59"/>
      <c r="F81" s="59"/>
      <c r="G81" s="59"/>
      <c r="H81" s="59"/>
      <c r="I81" s="59"/>
      <c r="J81" s="59"/>
      <c r="K81" s="59"/>
      <c r="L81" s="59"/>
      <c r="M81" s="59"/>
      <c r="N81" s="59"/>
      <c r="O81" s="59"/>
      <c r="P81" s="59"/>
      <c r="Q81" s="59"/>
      <c r="R81" s="59"/>
      <c r="S81" s="7"/>
      <c r="T81" s="7"/>
      <c r="U81" s="7"/>
      <c r="V81" s="7"/>
      <c r="W81" s="7"/>
      <c r="X81" s="7"/>
      <c r="Y81" s="7"/>
    </row>
    <row r="82" spans="1:25" x14ac:dyDescent="0.35">
      <c r="A82" s="59"/>
      <c r="B82" s="59"/>
      <c r="C82" s="59"/>
      <c r="D82" s="59"/>
      <c r="E82" s="59"/>
      <c r="F82" s="59"/>
      <c r="G82" s="59"/>
      <c r="H82" s="59"/>
      <c r="I82" s="59"/>
      <c r="J82" s="59"/>
      <c r="K82" s="59"/>
      <c r="L82" s="59"/>
      <c r="M82" s="59"/>
      <c r="N82" s="59"/>
      <c r="O82" s="59"/>
      <c r="P82" s="59"/>
      <c r="Q82" s="59"/>
      <c r="R82" s="59"/>
      <c r="S82" s="7"/>
      <c r="T82" s="7"/>
      <c r="U82" s="7"/>
      <c r="V82" s="7"/>
      <c r="W82" s="7"/>
      <c r="X82" s="7"/>
      <c r="Y82" s="7"/>
    </row>
    <row r="84" spans="1:25" x14ac:dyDescent="0.35">
      <c r="A84" s="61" t="s">
        <v>1045</v>
      </c>
      <c r="B84" s="61"/>
      <c r="C84" s="61"/>
      <c r="D84" s="61"/>
      <c r="E84" s="61"/>
      <c r="F84" s="61"/>
      <c r="G84" s="61"/>
      <c r="H84" s="61"/>
      <c r="I84" s="61"/>
      <c r="J84" s="61"/>
      <c r="K84" s="61"/>
      <c r="L84" s="61"/>
      <c r="M84" s="61"/>
      <c r="N84" s="61"/>
      <c r="O84" s="61"/>
      <c r="P84" s="61"/>
      <c r="Q84" s="61"/>
      <c r="R84" s="61"/>
    </row>
    <row r="85" spans="1:25" x14ac:dyDescent="0.35">
      <c r="A85" s="55" t="s">
        <v>1046</v>
      </c>
      <c r="B85" s="56"/>
      <c r="C85" s="56"/>
      <c r="D85" s="56"/>
      <c r="E85" s="56"/>
      <c r="F85" s="56"/>
      <c r="G85" s="56"/>
      <c r="H85" s="56"/>
      <c r="I85" s="56"/>
      <c r="J85" s="56"/>
      <c r="K85" s="56"/>
      <c r="L85" s="56"/>
      <c r="M85" s="56"/>
      <c r="N85" s="56"/>
      <c r="O85" s="56"/>
      <c r="P85" s="56"/>
      <c r="Q85" s="56"/>
      <c r="R85" s="56"/>
    </row>
    <row r="86" spans="1:25" x14ac:dyDescent="0.35">
      <c r="A86" s="56"/>
      <c r="B86" s="56"/>
      <c r="C86" s="56"/>
      <c r="D86" s="56"/>
      <c r="E86" s="56"/>
      <c r="F86" s="56"/>
      <c r="G86" s="56"/>
      <c r="H86" s="56"/>
      <c r="I86" s="56"/>
      <c r="J86" s="56"/>
      <c r="K86" s="56"/>
      <c r="L86" s="56"/>
      <c r="M86" s="56"/>
      <c r="N86" s="56"/>
      <c r="O86" s="56"/>
      <c r="P86" s="56"/>
      <c r="Q86" s="56"/>
      <c r="R86" s="56"/>
    </row>
    <row r="87" spans="1:25" x14ac:dyDescent="0.35">
      <c r="A87" s="56"/>
      <c r="B87" s="56"/>
      <c r="C87" s="56"/>
      <c r="D87" s="56"/>
      <c r="E87" s="56"/>
      <c r="F87" s="56"/>
      <c r="G87" s="56"/>
      <c r="H87" s="56"/>
      <c r="I87" s="56"/>
      <c r="J87" s="56"/>
      <c r="K87" s="56"/>
      <c r="L87" s="56"/>
      <c r="M87" s="56"/>
      <c r="N87" s="56"/>
      <c r="O87" s="56"/>
      <c r="P87" s="56"/>
      <c r="Q87" s="56"/>
      <c r="R87" s="56"/>
    </row>
  </sheetData>
  <mergeCells count="7">
    <mergeCell ref="T42:Y42"/>
    <mergeCell ref="A85:R87"/>
    <mergeCell ref="A1:R1"/>
    <mergeCell ref="A2:R2"/>
    <mergeCell ref="A78:R78"/>
    <mergeCell ref="A79:R82"/>
    <mergeCell ref="A84:R8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
  <sheetViews>
    <sheetView topLeftCell="F13" workbookViewId="0">
      <selection sqref="A1:I1"/>
    </sheetView>
  </sheetViews>
  <sheetFormatPr defaultRowHeight="14.5" x14ac:dyDescent="0.35"/>
  <cols>
    <col min="1" max="8" width="14.54296875" customWidth="1"/>
    <col min="9" max="9" width="16.90625" customWidth="1"/>
    <col min="10" max="10" width="25.6328125" customWidth="1"/>
    <col min="11" max="14" width="16.36328125" customWidth="1"/>
  </cols>
  <sheetData>
    <row r="1" spans="1:14" x14ac:dyDescent="0.35">
      <c r="A1" s="57" t="s">
        <v>0</v>
      </c>
      <c r="B1" s="63"/>
      <c r="C1" s="63"/>
      <c r="D1" s="63"/>
      <c r="E1" s="63"/>
      <c r="F1" s="63"/>
      <c r="G1" s="63"/>
      <c r="H1" s="63"/>
      <c r="I1" s="63"/>
      <c r="J1" s="7"/>
      <c r="K1" s="7"/>
      <c r="L1" s="7"/>
      <c r="M1" s="7"/>
      <c r="N1" s="7"/>
    </row>
    <row r="2" spans="1:14" x14ac:dyDescent="0.35">
      <c r="A2" s="64" t="s">
        <v>330</v>
      </c>
      <c r="B2" s="63"/>
      <c r="C2" s="63"/>
      <c r="D2" s="63"/>
      <c r="E2" s="63"/>
      <c r="F2" s="63"/>
      <c r="G2" s="63"/>
      <c r="H2" s="63"/>
      <c r="I2" s="63"/>
      <c r="J2" s="7"/>
      <c r="K2" s="7"/>
      <c r="L2" s="7"/>
      <c r="M2" s="7"/>
      <c r="N2" s="7"/>
    </row>
    <row r="3" spans="1:14" x14ac:dyDescent="0.35">
      <c r="A3" s="7"/>
      <c r="B3" s="7"/>
      <c r="C3" s="7"/>
      <c r="D3" s="7"/>
      <c r="E3" s="7"/>
      <c r="F3" s="7"/>
      <c r="G3" s="7"/>
      <c r="H3" s="7"/>
      <c r="I3" s="7"/>
      <c r="J3" s="7"/>
      <c r="K3" s="7"/>
      <c r="L3" s="7"/>
      <c r="M3" s="7"/>
      <c r="N3" s="7"/>
    </row>
    <row r="4" spans="1:14" x14ac:dyDescent="0.35">
      <c r="A4" s="10" t="s">
        <v>1</v>
      </c>
      <c r="B4" s="10"/>
      <c r="C4" s="10" t="s">
        <v>2</v>
      </c>
      <c r="D4" s="10"/>
      <c r="E4" s="10" t="s">
        <v>3</v>
      </c>
      <c r="F4" s="10"/>
      <c r="G4" s="10" t="s">
        <v>4</v>
      </c>
      <c r="H4" s="10"/>
      <c r="I4" s="10" t="s">
        <v>5</v>
      </c>
      <c r="J4" s="7"/>
      <c r="K4" s="9" t="s">
        <v>331</v>
      </c>
      <c r="L4" s="9" t="s">
        <v>332</v>
      </c>
      <c r="M4" s="9" t="s">
        <v>333</v>
      </c>
      <c r="N4" s="9" t="s">
        <v>101</v>
      </c>
    </row>
    <row r="5" spans="1:14" x14ac:dyDescent="0.35">
      <c r="A5" s="11">
        <f>SUM(Project_Summary[BAC])</f>
        <v>7100000</v>
      </c>
      <c r="B5" s="11"/>
      <c r="C5" s="11">
        <f>SUM(Project_Summary[AC])</f>
        <v>5220810</v>
      </c>
      <c r="D5" s="10"/>
      <c r="E5" s="11">
        <f>SUM(Project_Summary[EV])</f>
        <v>4752500</v>
      </c>
      <c r="F5" s="10"/>
      <c r="G5" s="47">
        <f>E5/C5</f>
        <v>0.91029935967790443</v>
      </c>
      <c r="H5" s="10"/>
      <c r="I5" s="40">
        <f>E5/A5</f>
        <v>0.66936619718309864</v>
      </c>
      <c r="J5" s="7"/>
      <c r="K5" s="36" t="s">
        <v>334</v>
      </c>
      <c r="L5" s="7">
        <f>COUNTIF('Contract &amp; RAID Risk Audit'!H27:H29,"Active")</f>
        <v>3</v>
      </c>
      <c r="M5" s="7" t="s">
        <v>335</v>
      </c>
      <c r="N5" s="7" t="s">
        <v>336</v>
      </c>
    </row>
    <row r="6" spans="1:14" x14ac:dyDescent="0.35">
      <c r="A6" s="7"/>
      <c r="B6" s="7"/>
      <c r="C6" s="7"/>
      <c r="D6" s="7"/>
      <c r="E6" s="7"/>
      <c r="F6" s="7"/>
      <c r="G6" s="7"/>
      <c r="H6" s="7"/>
      <c r="I6" s="7"/>
      <c r="J6" s="7"/>
      <c r="K6" s="7" t="s">
        <v>337</v>
      </c>
      <c r="L6" s="7">
        <f>COUNTA('EVM Data'!T18:T25)</f>
        <v>8</v>
      </c>
      <c r="M6" s="7" t="s">
        <v>338</v>
      </c>
      <c r="N6" s="7" t="s">
        <v>336</v>
      </c>
    </row>
    <row r="7" spans="1:14" x14ac:dyDescent="0.35">
      <c r="A7" s="60" t="s">
        <v>6</v>
      </c>
      <c r="B7" s="63"/>
      <c r="C7" s="63"/>
      <c r="D7" s="63"/>
      <c r="E7" s="63"/>
      <c r="F7" s="63"/>
      <c r="G7" s="63"/>
      <c r="H7" s="63"/>
      <c r="I7" s="63"/>
      <c r="J7" s="7"/>
      <c r="K7" s="7" t="s">
        <v>339</v>
      </c>
      <c r="L7" s="7">
        <f>COUNTA('Contract &amp; RAID Risk Audit'!D19:D23)</f>
        <v>5</v>
      </c>
      <c r="M7" s="7" t="s">
        <v>340</v>
      </c>
      <c r="N7" s="7" t="s">
        <v>336</v>
      </c>
    </row>
    <row r="8" spans="1:14" x14ac:dyDescent="0.35">
      <c r="A8" s="68" t="str">
        <f>"The portfolio contains "&amp;COUNTA(Project_Summary[Project ID])&amp;" projects with a total BAC of "&amp;TEXT(A5,"$#,##0")&amp;", actual cost of "&amp;TEXT(C5,"$#,##0")&amp;", and earned value of "&amp;TEXT(E5,"$#,##0")&amp;". Current CPI is "&amp;TEXT(G5,"0.00")&amp;", meaning the portfolio is earning about "&amp;TEXT(G5,"$0.00")&amp;" for every $1.00 spent. The largest executive pressure is cost control: PRJ-001 is over budget, while three active projects remain below CPI 1.00."</f>
        <v>The portfolio contains 6 projects with a total BAC of $7,100,000, actual cost of $5,220,810, and earned value of $4,752,500. Current CPI is 0.91, meaning the portfolio is earning about $0.91 for every $1.00 spent. The largest executive pressure is cost control: PRJ-001 is over budget, while three active projects remain below CPI 1.00.</v>
      </c>
      <c r="B8" s="63"/>
      <c r="C8" s="63"/>
      <c r="D8" s="63"/>
      <c r="E8" s="63"/>
      <c r="F8" s="63"/>
      <c r="G8" s="63"/>
      <c r="H8" s="63"/>
      <c r="I8" s="63"/>
      <c r="J8" s="7"/>
      <c r="K8" s="7" t="s">
        <v>341</v>
      </c>
      <c r="L8" s="13">
        <f>SUM('EVM Data'!I6:I19)/SUM('EVM Data'!K6:K19)</f>
        <v>0.79466787720679355</v>
      </c>
      <c r="M8" s="7" t="s">
        <v>342</v>
      </c>
      <c r="N8" s="7" t="s">
        <v>343</v>
      </c>
    </row>
    <row r="9" spans="1:14" x14ac:dyDescent="0.35">
      <c r="A9" s="69"/>
      <c r="B9" s="63"/>
      <c r="C9" s="63"/>
      <c r="D9" s="63"/>
      <c r="E9" s="63"/>
      <c r="F9" s="63"/>
      <c r="G9" s="63"/>
      <c r="H9" s="63"/>
      <c r="I9" s="63"/>
      <c r="J9" s="7"/>
      <c r="K9" s="7" t="s">
        <v>344</v>
      </c>
      <c r="L9" s="13">
        <f>SUM('EVM Data'!J6:J19)/SUM('EVM Data'!K6:K19)</f>
        <v>0.20533212279320642</v>
      </c>
      <c r="M9" s="7" t="s">
        <v>342</v>
      </c>
      <c r="N9" s="7" t="s">
        <v>343</v>
      </c>
    </row>
    <row r="10" spans="1:14" x14ac:dyDescent="0.35">
      <c r="A10" s="69"/>
      <c r="B10" s="63"/>
      <c r="C10" s="63"/>
      <c r="D10" s="63"/>
      <c r="E10" s="63"/>
      <c r="F10" s="63"/>
      <c r="G10" s="63"/>
      <c r="H10" s="63"/>
      <c r="I10" s="63"/>
      <c r="J10" s="7"/>
      <c r="K10" s="7" t="s">
        <v>345</v>
      </c>
      <c r="L10" s="14">
        <f>MIN('EVM Data'!G25:G30)</f>
        <v>0.80727603160952177</v>
      </c>
      <c r="M10" s="7" t="s">
        <v>346</v>
      </c>
      <c r="N10" s="7" t="s">
        <v>347</v>
      </c>
    </row>
    <row r="11" spans="1:14" x14ac:dyDescent="0.35">
      <c r="A11" s="35"/>
      <c r="B11" s="7"/>
      <c r="C11" s="7"/>
      <c r="D11" s="7"/>
      <c r="E11" s="7"/>
      <c r="F11" s="7"/>
      <c r="G11" s="7"/>
      <c r="H11" s="7"/>
      <c r="I11" s="7"/>
      <c r="J11" s="7"/>
      <c r="K11" s="35"/>
      <c r="L11" s="7"/>
      <c r="M11" s="7"/>
      <c r="N11" s="7"/>
    </row>
    <row r="12" spans="1:14" x14ac:dyDescent="0.35">
      <c r="A12" s="60" t="s">
        <v>7</v>
      </c>
      <c r="B12" s="63"/>
      <c r="C12" s="63"/>
      <c r="D12" s="63"/>
      <c r="E12" s="63"/>
      <c r="F12" s="63"/>
      <c r="G12" s="63"/>
      <c r="H12" s="63"/>
      <c r="I12" s="63"/>
      <c r="J12" s="7"/>
      <c r="K12" s="35"/>
      <c r="L12" s="7"/>
      <c r="M12" s="7"/>
      <c r="N12" s="7"/>
    </row>
    <row r="13" spans="1:14" x14ac:dyDescent="0.35">
      <c r="A13" s="9" t="s">
        <v>8</v>
      </c>
      <c r="B13" s="9" t="s">
        <v>9</v>
      </c>
      <c r="C13" s="9" t="s">
        <v>322</v>
      </c>
      <c r="D13" s="9" t="s">
        <v>323</v>
      </c>
      <c r="E13" s="9" t="s">
        <v>327</v>
      </c>
      <c r="F13" s="9" t="s">
        <v>328</v>
      </c>
      <c r="G13" s="9" t="s">
        <v>4</v>
      </c>
      <c r="H13" s="9" t="s">
        <v>11</v>
      </c>
      <c r="I13" s="9" t="s">
        <v>12</v>
      </c>
      <c r="J13" s="7"/>
      <c r="K13" s="35"/>
      <c r="L13" s="7"/>
      <c r="M13" s="7"/>
      <c r="N13" s="7"/>
    </row>
    <row r="14" spans="1:14" x14ac:dyDescent="0.35">
      <c r="A14" s="7" t="str" cm="1">
        <f t="array" ref="A14:J19">Project_Summary[[Project ID]:[Status]]</f>
        <v>PRJ-001</v>
      </c>
      <c r="B14" s="7" t="str">
        <v>Composite Maritime Vessel Construction</v>
      </c>
      <c r="C14" s="7" t="str">
        <v>Morten Hansen</v>
      </c>
      <c r="D14" s="15">
        <v>1500000</v>
      </c>
      <c r="E14" s="15">
        <v>1848810</v>
      </c>
      <c r="F14" s="15">
        <v>1492500</v>
      </c>
      <c r="G14" s="38">
        <v>0.80727603160952177</v>
      </c>
      <c r="H14" s="39">
        <v>0.995</v>
      </c>
      <c r="I14" s="7">
        <v>1858100.5025125628</v>
      </c>
      <c r="J14" s="35" t="str">
        <v>🔴 Over Budget</v>
      </c>
      <c r="K14" s="35"/>
      <c r="L14" s="7"/>
      <c r="M14" s="7"/>
      <c r="N14" s="7"/>
    </row>
    <row r="15" spans="1:14" x14ac:dyDescent="0.35">
      <c r="A15" s="7" t="str">
        <v>PRJ-002</v>
      </c>
      <c r="B15" s="7" t="str">
        <v>PRJ-002: Patrol Vessel Carbon Mold Design</v>
      </c>
      <c r="C15" s="7" t="str">
        <v>Morten Hansen</v>
      </c>
      <c r="D15" s="15">
        <v>800000</v>
      </c>
      <c r="E15" s="15">
        <v>0</v>
      </c>
      <c r="F15" s="15">
        <v>0</v>
      </c>
      <c r="G15" s="39">
        <v>1</v>
      </c>
      <c r="H15" s="13">
        <v>0</v>
      </c>
      <c r="I15" s="7" t="str">
        <v/>
      </c>
      <c r="J15" s="36" t="str">
        <v>⚪ Planned</v>
      </c>
      <c r="K15" s="35"/>
      <c r="L15" s="7"/>
      <c r="M15" s="7"/>
      <c r="N15" s="7"/>
    </row>
    <row r="16" spans="1:14" x14ac:dyDescent="0.35">
      <c r="A16" s="7" t="str">
        <v>PRJ-003</v>
      </c>
      <c r="B16" s="7" t="str">
        <v>PRJ-003: Subsea Cable Installation Frame</v>
      </c>
      <c r="C16" s="7" t="str">
        <v>Erik Johansen</v>
      </c>
      <c r="D16" s="15">
        <v>1200000</v>
      </c>
      <c r="E16" s="15">
        <v>382500</v>
      </c>
      <c r="F16" s="15">
        <v>360000</v>
      </c>
      <c r="G16" s="40">
        <v>0.94117647058823528</v>
      </c>
      <c r="H16" s="13">
        <v>0.3</v>
      </c>
      <c r="I16" s="7">
        <v>1275000</v>
      </c>
      <c r="J16" s="35" t="str">
        <v>🔴 Overrun Warn</v>
      </c>
      <c r="K16" s="35"/>
      <c r="L16" s="7"/>
      <c r="M16" s="7"/>
      <c r="N16" s="7"/>
    </row>
    <row r="17" spans="1:14" x14ac:dyDescent="0.35">
      <c r="A17" s="7" t="str">
        <v>PRJ-004</v>
      </c>
      <c r="B17" s="7" t="str">
        <v>PRJ-004: Autonomous Workboat Hull Weldments</v>
      </c>
      <c r="C17" s="7" t="str">
        <v>Astrid Nilsen</v>
      </c>
      <c r="D17" s="15">
        <v>2000000</v>
      </c>
      <c r="E17" s="15">
        <v>1476000</v>
      </c>
      <c r="F17" s="15">
        <v>1400000</v>
      </c>
      <c r="G17" s="40">
        <v>0.948509485094851</v>
      </c>
      <c r="H17" s="13">
        <v>0.7</v>
      </c>
      <c r="I17" s="7">
        <v>2108571.4285714286</v>
      </c>
      <c r="J17" s="35" t="str">
        <v>🔴 Overrun Warn</v>
      </c>
      <c r="K17" s="35"/>
      <c r="L17" s="7"/>
      <c r="M17" s="7"/>
      <c r="N17" s="7"/>
    </row>
    <row r="18" spans="1:14" x14ac:dyDescent="0.35">
      <c r="A18" s="7" t="str">
        <v>PRJ-005</v>
      </c>
      <c r="B18" s="7" t="str">
        <v>PRJ-005: Defense Logistics Pontoon Build</v>
      </c>
      <c r="C18" s="7" t="str">
        <v>Frank Ellingsen</v>
      </c>
      <c r="D18" s="15">
        <v>1000000</v>
      </c>
      <c r="E18" s="15">
        <v>927000</v>
      </c>
      <c r="F18" s="15">
        <v>900000</v>
      </c>
      <c r="G18" s="40">
        <v>0.970873786407767</v>
      </c>
      <c r="H18" s="13">
        <v>0.9</v>
      </c>
      <c r="I18" s="7">
        <v>1030000</v>
      </c>
      <c r="J18" s="36" t="str">
        <v>🟡 Within Margins</v>
      </c>
      <c r="K18" s="35"/>
      <c r="L18" s="7"/>
      <c r="M18" s="7"/>
      <c r="N18" s="7"/>
    </row>
    <row r="19" spans="1:14" x14ac:dyDescent="0.35">
      <c r="A19" s="7" t="str">
        <v>PRJ-006</v>
      </c>
      <c r="B19" s="7" t="str">
        <v>PRJ-006: Lightweight Composite Cargo Hatch</v>
      </c>
      <c r="C19" s="7" t="str">
        <v>Morten Hansen</v>
      </c>
      <c r="D19" s="15">
        <v>600000</v>
      </c>
      <c r="E19" s="15">
        <v>586500</v>
      </c>
      <c r="F19" s="15">
        <v>600000</v>
      </c>
      <c r="G19" s="39">
        <v>1.0230179028132993</v>
      </c>
      <c r="H19" s="13">
        <v>1</v>
      </c>
      <c r="I19" s="7">
        <v>586500</v>
      </c>
      <c r="J19" s="37" t="str">
        <v>🟢 Completed</v>
      </c>
      <c r="K19" s="7"/>
      <c r="L19" s="7"/>
      <c r="M19" s="7"/>
      <c r="N19" s="7"/>
    </row>
    <row r="20" spans="1:14" x14ac:dyDescent="0.35">
      <c r="A20" s="7"/>
      <c r="B20" s="7"/>
      <c r="C20" s="7"/>
      <c r="D20" s="15"/>
      <c r="E20" s="15"/>
      <c r="F20" s="15"/>
      <c r="G20" s="13"/>
      <c r="H20" s="13"/>
      <c r="I20" s="7"/>
      <c r="J20" s="7"/>
      <c r="K20" s="7"/>
      <c r="L20" s="7"/>
      <c r="M20" s="7"/>
      <c r="N20" s="7"/>
    </row>
    <row r="21" spans="1:14" x14ac:dyDescent="0.35">
      <c r="A21" s="7"/>
      <c r="B21" s="7"/>
      <c r="C21" s="7"/>
      <c r="D21" s="15"/>
      <c r="E21" s="15"/>
      <c r="F21" s="15"/>
      <c r="G21" s="13"/>
      <c r="H21" s="13"/>
      <c r="I21" s="7"/>
      <c r="J21" s="7"/>
      <c r="K21" s="7"/>
      <c r="L21" s="7"/>
      <c r="M21" s="7"/>
      <c r="N21" s="7"/>
    </row>
    <row r="22" spans="1:14" x14ac:dyDescent="0.35">
      <c r="A22" s="60" t="s">
        <v>31</v>
      </c>
      <c r="B22" s="63"/>
      <c r="C22" s="63"/>
      <c r="D22" s="66"/>
      <c r="E22" s="66"/>
      <c r="F22" s="66"/>
      <c r="G22" s="67"/>
      <c r="H22" s="67"/>
      <c r="I22" s="63"/>
      <c r="J22" s="7"/>
      <c r="K22" s="7"/>
      <c r="L22" s="7"/>
      <c r="M22" s="7"/>
      <c r="N22" s="7"/>
    </row>
    <row r="23" spans="1:14" x14ac:dyDescent="0.35">
      <c r="A23" s="9" t="s">
        <v>32</v>
      </c>
      <c r="B23" s="9" t="s">
        <v>321</v>
      </c>
      <c r="C23" s="9" t="s">
        <v>323</v>
      </c>
      <c r="D23" s="16" t="s">
        <v>327</v>
      </c>
      <c r="E23" s="16" t="s">
        <v>328</v>
      </c>
      <c r="F23" s="16" t="s">
        <v>4</v>
      </c>
      <c r="G23" s="17" t="s">
        <v>11</v>
      </c>
      <c r="H23" s="17" t="s">
        <v>329</v>
      </c>
      <c r="I23" s="9" t="s">
        <v>12</v>
      </c>
      <c r="J23" s="7"/>
      <c r="K23" s="7"/>
      <c r="L23" s="7"/>
      <c r="M23" s="7"/>
      <c r="N23" s="7"/>
    </row>
    <row r="24" spans="1:14" x14ac:dyDescent="0.35">
      <c r="A24" s="7" cm="1">
        <f t="array" ref="A24:I37">_xlfn.CHOOSECOLS(WBS_Performance[],3,4,7,11,12,13,8,14,15)</f>
        <v>1</v>
      </c>
      <c r="B24" s="7" t="str">
        <v>Project Management &amp; Engineering</v>
      </c>
      <c r="C24" s="7">
        <v>300000</v>
      </c>
      <c r="D24" s="15">
        <v>419230</v>
      </c>
      <c r="E24" s="15">
        <v>292500</v>
      </c>
      <c r="F24" s="41">
        <v>0.69770770221596734</v>
      </c>
      <c r="G24" s="39">
        <v>0.97499999999999998</v>
      </c>
      <c r="H24" s="13">
        <v>429979.48717948719</v>
      </c>
      <c r="I24" s="35" t="str">
        <v>🔴 Overrun</v>
      </c>
      <c r="J24" s="7"/>
      <c r="K24" s="7"/>
      <c r="L24" s="7"/>
      <c r="M24" s="7"/>
      <c r="N24" s="7"/>
    </row>
    <row r="25" spans="1:14" x14ac:dyDescent="0.35">
      <c r="A25" s="7">
        <v>2</v>
      </c>
      <c r="B25" s="7" t="str">
        <v>Hull Fabrication &amp; Assembly</v>
      </c>
      <c r="C25" s="7">
        <v>600000</v>
      </c>
      <c r="D25" s="15">
        <v>620450</v>
      </c>
      <c r="E25" s="15">
        <v>600000</v>
      </c>
      <c r="F25" s="42">
        <v>0.96704005157546946</v>
      </c>
      <c r="G25" s="13">
        <v>1</v>
      </c>
      <c r="H25" s="13">
        <v>620450</v>
      </c>
      <c r="I25" s="36" t="str">
        <v>🟡 Complete/Watch</v>
      </c>
      <c r="J25" s="7"/>
      <c r="K25" s="7"/>
      <c r="L25" s="7"/>
      <c r="M25" s="7"/>
      <c r="N25" s="7"/>
    </row>
    <row r="26" spans="1:14" x14ac:dyDescent="0.35">
      <c r="A26" s="7">
        <v>3</v>
      </c>
      <c r="B26" s="7" t="str">
        <v>Outfitting &amp; Integration</v>
      </c>
      <c r="C26" s="7">
        <v>400000</v>
      </c>
      <c r="D26" s="15">
        <v>540445</v>
      </c>
      <c r="E26" s="15">
        <v>400000</v>
      </c>
      <c r="F26" s="41">
        <v>0.74013081812210313</v>
      </c>
      <c r="G26" s="13">
        <v>1</v>
      </c>
      <c r="H26" s="13">
        <v>540445</v>
      </c>
      <c r="I26" s="35" t="str">
        <v>🔴 Overrun</v>
      </c>
      <c r="J26" s="7"/>
      <c r="K26" s="7"/>
      <c r="L26" s="7"/>
      <c r="M26" s="7"/>
      <c r="N26" s="7"/>
    </row>
    <row r="27" spans="1:14" x14ac:dyDescent="0.35">
      <c r="A27" s="7">
        <v>4</v>
      </c>
      <c r="B27" s="7" t="str">
        <v>Sea Trials &amp; Handover</v>
      </c>
      <c r="C27" s="7">
        <v>200000</v>
      </c>
      <c r="D27" s="15">
        <v>268685</v>
      </c>
      <c r="E27" s="15">
        <v>200000</v>
      </c>
      <c r="F27" s="41">
        <v>0.7443660792377691</v>
      </c>
      <c r="G27" s="13">
        <v>1</v>
      </c>
      <c r="H27" s="13">
        <v>268685</v>
      </c>
      <c r="I27" s="35" t="str">
        <v>🔴 Overrun</v>
      </c>
      <c r="J27" s="7"/>
      <c r="K27" s="7"/>
      <c r="L27" s="7"/>
      <c r="M27" s="7"/>
      <c r="N27" s="7"/>
    </row>
    <row r="28" spans="1:14" x14ac:dyDescent="0.35">
      <c r="A28" s="7">
        <v>1</v>
      </c>
      <c r="B28" s="7" t="str">
        <v>Design &amp; CFD Analysis</v>
      </c>
      <c r="C28" s="7">
        <v>300000</v>
      </c>
      <c r="D28" s="15">
        <v>0</v>
      </c>
      <c r="E28" s="15">
        <v>0</v>
      </c>
      <c r="F28" s="43">
        <v>1</v>
      </c>
      <c r="G28" s="13">
        <v>0</v>
      </c>
      <c r="H28" s="13" t="str">
        <v/>
      </c>
      <c r="I28" s="36" t="str">
        <v>⚪ Planned</v>
      </c>
      <c r="J28" s="7"/>
      <c r="K28" s="7"/>
      <c r="L28" s="7"/>
      <c r="M28" s="7"/>
      <c r="N28" s="7"/>
    </row>
    <row r="29" spans="1:14" x14ac:dyDescent="0.35">
      <c r="A29" s="7">
        <v>2</v>
      </c>
      <c r="B29" s="7" t="str">
        <v>Material Procurement</v>
      </c>
      <c r="C29" s="7">
        <v>500000</v>
      </c>
      <c r="D29" s="15">
        <v>0</v>
      </c>
      <c r="E29" s="15">
        <v>0</v>
      </c>
      <c r="F29" s="43">
        <v>1</v>
      </c>
      <c r="G29" s="13">
        <v>0</v>
      </c>
      <c r="H29" s="13" t="str">
        <v/>
      </c>
      <c r="I29" s="36" t="str">
        <v>⚪ Planned</v>
      </c>
      <c r="J29" s="7"/>
      <c r="K29" s="7"/>
      <c r="L29" s="7"/>
      <c r="M29" s="7"/>
      <c r="N29" s="7"/>
    </row>
    <row r="30" spans="1:14" x14ac:dyDescent="0.35">
      <c r="A30" s="7">
        <v>1</v>
      </c>
      <c r="B30" s="7" t="str">
        <v>Structural Frame Engineering</v>
      </c>
      <c r="C30" s="7">
        <v>400000</v>
      </c>
      <c r="D30" s="15">
        <v>332500</v>
      </c>
      <c r="E30" s="15">
        <v>360000</v>
      </c>
      <c r="F30" s="43">
        <v>1.0827067669172932</v>
      </c>
      <c r="G30" s="13">
        <v>0.9</v>
      </c>
      <c r="H30" s="13">
        <v>369444.44444444444</v>
      </c>
      <c r="I30" s="37" t="str">
        <v>🟢 On Track</v>
      </c>
      <c r="J30" s="7"/>
      <c r="K30" s="7"/>
      <c r="L30" s="7"/>
      <c r="M30" s="7"/>
      <c r="N30" s="7"/>
    </row>
    <row r="31" spans="1:14" x14ac:dyDescent="0.35">
      <c r="A31" s="7">
        <v>2</v>
      </c>
      <c r="B31" s="7" t="str">
        <v>Steel Fabrication</v>
      </c>
      <c r="C31" s="7">
        <v>800000</v>
      </c>
      <c r="D31" s="15">
        <v>50000</v>
      </c>
      <c r="E31" s="15">
        <v>0</v>
      </c>
      <c r="F31" s="41">
        <v>0</v>
      </c>
      <c r="G31" s="13">
        <v>0</v>
      </c>
      <c r="H31" s="13" t="str">
        <v/>
      </c>
      <c r="I31" s="35" t="str">
        <v>🔴 Overrun</v>
      </c>
      <c r="J31" s="7"/>
      <c r="K31" s="7"/>
      <c r="L31" s="7"/>
      <c r="M31" s="7"/>
      <c r="N31" s="7"/>
    </row>
    <row r="32" spans="1:14" x14ac:dyDescent="0.35">
      <c r="A32" s="7">
        <v>1</v>
      </c>
      <c r="B32" s="7" t="str">
        <v>Engineering Drawings &amp; Class Approval</v>
      </c>
      <c r="C32" s="7">
        <v>500000</v>
      </c>
      <c r="D32" s="15">
        <v>456000</v>
      </c>
      <c r="E32" s="15">
        <v>500000</v>
      </c>
      <c r="F32" s="43">
        <v>1.0964912280701755</v>
      </c>
      <c r="G32" s="13">
        <v>1</v>
      </c>
      <c r="H32" s="13">
        <v>455999.99999999994</v>
      </c>
      <c r="I32" s="37" t="str">
        <v>🟢 Completed</v>
      </c>
      <c r="J32" s="7"/>
      <c r="K32" s="7"/>
      <c r="L32" s="7"/>
      <c r="M32" s="7"/>
      <c r="N32" s="7"/>
    </row>
    <row r="33" spans="1:14" x14ac:dyDescent="0.35">
      <c r="A33" s="7">
        <v>2</v>
      </c>
      <c r="B33" s="7" t="str">
        <v>Hull Welding &amp; Assembly</v>
      </c>
      <c r="C33" s="7">
        <v>1500000</v>
      </c>
      <c r="D33" s="15">
        <v>1020000</v>
      </c>
      <c r="E33" s="15">
        <v>900000</v>
      </c>
      <c r="F33" s="41">
        <v>0.88235294117647056</v>
      </c>
      <c r="G33" s="13">
        <v>0.6</v>
      </c>
      <c r="H33" s="13">
        <v>1700000</v>
      </c>
      <c r="I33" s="35" t="str">
        <v>🔴 Overrun</v>
      </c>
      <c r="J33" s="7"/>
      <c r="K33" s="7"/>
      <c r="L33" s="7"/>
      <c r="M33" s="7"/>
      <c r="N33" s="7"/>
    </row>
    <row r="34" spans="1:14" x14ac:dyDescent="0.35">
      <c r="A34" s="7">
        <v>1</v>
      </c>
      <c r="B34" s="7" t="str">
        <v>Project Control &amp; PM</v>
      </c>
      <c r="C34" s="7">
        <v>200000</v>
      </c>
      <c r="D34" s="15">
        <v>187000</v>
      </c>
      <c r="E34" s="15">
        <v>200000</v>
      </c>
      <c r="F34" s="43">
        <v>1.0695187165775402</v>
      </c>
      <c r="G34" s="13">
        <v>1</v>
      </c>
      <c r="H34" s="13">
        <v>187000</v>
      </c>
      <c r="I34" s="37" t="str">
        <v>🟢 Completed</v>
      </c>
      <c r="J34" s="7"/>
      <c r="K34" s="7"/>
      <c r="L34" s="7"/>
      <c r="M34" s="7"/>
      <c r="N34" s="7"/>
    </row>
    <row r="35" spans="1:14" x14ac:dyDescent="0.35">
      <c r="A35" s="7">
        <v>2</v>
      </c>
      <c r="B35" s="7" t="str">
        <v>Pontoon Assembly &amp; Painting</v>
      </c>
      <c r="C35" s="7">
        <v>800000</v>
      </c>
      <c r="D35" s="15">
        <v>740000</v>
      </c>
      <c r="E35" s="15">
        <v>700000</v>
      </c>
      <c r="F35" s="42">
        <v>0.94594594594594594</v>
      </c>
      <c r="G35" s="13">
        <v>0.875</v>
      </c>
      <c r="H35" s="13">
        <v>845714.28571428568</v>
      </c>
      <c r="I35" s="36" t="str">
        <v>🟡 Watch</v>
      </c>
      <c r="J35" s="7"/>
      <c r="K35" s="7"/>
      <c r="L35" s="7"/>
      <c r="M35" s="7"/>
      <c r="N35" s="7"/>
    </row>
    <row r="36" spans="1:14" x14ac:dyDescent="0.35">
      <c r="A36" s="7">
        <v>1</v>
      </c>
      <c r="B36" s="7" t="str">
        <v>Hatch Engineering &amp; FEA</v>
      </c>
      <c r="C36" s="7">
        <v>200000</v>
      </c>
      <c r="D36" s="15">
        <v>180500</v>
      </c>
      <c r="E36" s="15">
        <v>200000</v>
      </c>
      <c r="F36" s="43">
        <v>1.10803324099723</v>
      </c>
      <c r="G36" s="13">
        <v>1</v>
      </c>
      <c r="H36" s="13">
        <v>180500</v>
      </c>
      <c r="I36" s="37" t="str">
        <v>🟢 Completed</v>
      </c>
      <c r="J36" s="7"/>
      <c r="K36" s="7"/>
      <c r="L36" s="7"/>
      <c r="M36" s="7"/>
      <c r="N36" s="7"/>
    </row>
    <row r="37" spans="1:14" x14ac:dyDescent="0.35">
      <c r="A37" s="7">
        <v>2</v>
      </c>
      <c r="B37" s="7" t="str">
        <v>Molding &amp; Testing</v>
      </c>
      <c r="C37" s="7">
        <v>400000</v>
      </c>
      <c r="D37" s="15">
        <v>406000</v>
      </c>
      <c r="E37" s="15">
        <v>400000</v>
      </c>
      <c r="F37" s="42">
        <v>0.98522167487684731</v>
      </c>
      <c r="G37" s="13">
        <v>1</v>
      </c>
      <c r="H37" s="13">
        <v>406000</v>
      </c>
      <c r="I37" s="36" t="str">
        <v>🟡 Complete/Watch</v>
      </c>
      <c r="J37" s="7"/>
      <c r="K37" s="7"/>
      <c r="L37" s="7"/>
      <c r="M37" s="7"/>
      <c r="N37" s="7"/>
    </row>
    <row r="38" spans="1:14" x14ac:dyDescent="0.35">
      <c r="A38" s="7"/>
      <c r="B38" s="7"/>
      <c r="C38" s="7"/>
      <c r="D38" s="15"/>
      <c r="E38" s="15"/>
      <c r="F38" s="15"/>
      <c r="G38" s="13"/>
      <c r="H38" s="13"/>
      <c r="I38" s="7"/>
      <c r="J38" s="7"/>
      <c r="K38" s="7"/>
      <c r="L38" s="7"/>
      <c r="M38" s="7"/>
      <c r="N38" s="7"/>
    </row>
  </sheetData>
  <mergeCells count="6">
    <mergeCell ref="A12:I12"/>
    <mergeCell ref="A22:I22"/>
    <mergeCell ref="A1:I1"/>
    <mergeCell ref="A2:I2"/>
    <mergeCell ref="A7:I7"/>
    <mergeCell ref="A8:I10"/>
  </mergeCells>
  <conditionalFormatting sqref="C24:E37">
    <cfRule type="dataBar" priority="3">
      <dataBar>
        <cfvo type="min"/>
        <cfvo type="max"/>
        <color rgb="FF5B9BD5"/>
      </dataBar>
      <extLst>
        <ext xmlns:x14="http://schemas.microsoft.com/office/spreadsheetml/2009/9/main" uri="{B025F937-C7B1-47D3-B67F-A62EFF666E3E}">
          <x14:id>{29D1CA13-EAB3-466C-8523-8DF98BDFD3B9}</x14:id>
        </ext>
      </extLst>
    </cfRule>
  </conditionalFormatting>
  <conditionalFormatting sqref="D14:F19">
    <cfRule type="dataBar" priority="1">
      <dataBar>
        <cfvo type="min"/>
        <cfvo type="max"/>
        <color rgb="FF5B9BD5"/>
      </dataBar>
      <extLst>
        <ext xmlns:x14="http://schemas.microsoft.com/office/spreadsheetml/2009/9/main" uri="{B025F937-C7B1-47D3-B67F-A62EFF666E3E}">
          <x14:id>{74C9744B-EE60-4BA7-BD3E-8B1C09CD70FD}</x14:id>
        </ext>
      </extLst>
    </cfRule>
  </conditionalFormatting>
  <conditionalFormatting sqref="G24:G37">
    <cfRule type="dataBar" priority="4">
      <dataBar>
        <cfvo type="min"/>
        <cfvo type="max"/>
        <color rgb="FF5B9BD5"/>
      </dataBar>
      <extLst>
        <ext xmlns:x14="http://schemas.microsoft.com/office/spreadsheetml/2009/9/main" uri="{B025F937-C7B1-47D3-B67F-A62EFF666E3E}">
          <x14:id>{1F1020BE-1C6E-4023-91EF-1FADD1D658A7}</x14:id>
        </ext>
      </extLst>
    </cfRule>
  </conditionalFormatting>
  <conditionalFormatting sqref="H14:H19">
    <cfRule type="dataBar" priority="2">
      <dataBar>
        <cfvo type="min"/>
        <cfvo type="max"/>
        <color rgb="FF5B9BD5"/>
      </dataBar>
      <extLst>
        <ext xmlns:x14="http://schemas.microsoft.com/office/spreadsheetml/2009/9/main" uri="{B025F937-C7B1-47D3-B67F-A62EFF666E3E}">
          <x14:id>{8851E1B7-B771-4550-A3AB-D2E711203AAE}</x14:id>
        </ext>
      </extLst>
    </cfRule>
  </conditionalFormatting>
  <conditionalFormatting sqref="H24:H37">
    <cfRule type="dataBar" priority="5">
      <dataBar>
        <cfvo type="min"/>
        <cfvo type="max"/>
        <color rgb="FF5B9BD5"/>
      </dataBar>
      <extLst>
        <ext xmlns:x14="http://schemas.microsoft.com/office/spreadsheetml/2009/9/main" uri="{B025F937-C7B1-47D3-B67F-A62EFF666E3E}">
          <x14:id>{787356B8-CDB4-4B42-9F3D-93281FE135D8}</x14:id>
        </ext>
      </extLst>
    </cfRule>
  </conditionalFormatting>
  <conditionalFormatting sqref="L5:L10">
    <cfRule type="dataBar" priority="6">
      <dataBar>
        <cfvo type="min"/>
        <cfvo type="max"/>
        <color rgb="FF5B9BD5"/>
      </dataBar>
      <extLst>
        <ext xmlns:x14="http://schemas.microsoft.com/office/spreadsheetml/2009/9/main" uri="{B025F937-C7B1-47D3-B67F-A62EFF666E3E}">
          <x14:id>{F5790CC5-307D-430F-A0E9-131F31E66998}</x14:id>
        </ext>
      </extLst>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29D1CA13-EAB3-466C-8523-8DF98BDFD3B9}">
            <x14:dataBar minLength="0" maxLength="100" axisPosition="none">
              <x14:cfvo type="min"/>
              <x14:cfvo type="max"/>
              <x14:negativeFillColor rgb="FFC00000"/>
            </x14:dataBar>
          </x14:cfRule>
          <xm:sqref>C24:E37</xm:sqref>
        </x14:conditionalFormatting>
        <x14:conditionalFormatting xmlns:xm="http://schemas.microsoft.com/office/excel/2006/main">
          <x14:cfRule type="dataBar" id="{74C9744B-EE60-4BA7-BD3E-8B1C09CD70FD}">
            <x14:dataBar minLength="0" maxLength="100" axisPosition="none">
              <x14:cfvo type="min"/>
              <x14:cfvo type="max"/>
              <x14:negativeFillColor rgb="FFC00000"/>
            </x14:dataBar>
          </x14:cfRule>
          <xm:sqref>D14:F19</xm:sqref>
        </x14:conditionalFormatting>
        <x14:conditionalFormatting xmlns:xm="http://schemas.microsoft.com/office/excel/2006/main">
          <x14:cfRule type="dataBar" id="{1F1020BE-1C6E-4023-91EF-1FADD1D658A7}">
            <x14:dataBar minLength="0" maxLength="100" axisPosition="none">
              <x14:cfvo type="min"/>
              <x14:cfvo type="max"/>
              <x14:negativeFillColor rgb="FFC00000"/>
            </x14:dataBar>
          </x14:cfRule>
          <xm:sqref>G24:G37</xm:sqref>
        </x14:conditionalFormatting>
        <x14:conditionalFormatting xmlns:xm="http://schemas.microsoft.com/office/excel/2006/main">
          <x14:cfRule type="dataBar" id="{8851E1B7-B771-4550-A3AB-D2E711203AAE}">
            <x14:dataBar minLength="0" maxLength="100" axisPosition="none">
              <x14:cfvo type="min"/>
              <x14:cfvo type="max"/>
              <x14:negativeFillColor rgb="FFC00000"/>
            </x14:dataBar>
          </x14:cfRule>
          <xm:sqref>H14:H19</xm:sqref>
        </x14:conditionalFormatting>
        <x14:conditionalFormatting xmlns:xm="http://schemas.microsoft.com/office/excel/2006/main">
          <x14:cfRule type="dataBar" id="{787356B8-CDB4-4B42-9F3D-93281FE135D8}">
            <x14:dataBar minLength="0" maxLength="100" axisPosition="none">
              <x14:cfvo type="min"/>
              <x14:cfvo type="max"/>
              <x14:negativeFillColor rgb="FFC00000"/>
            </x14:dataBar>
          </x14:cfRule>
          <xm:sqref>H24:H37</xm:sqref>
        </x14:conditionalFormatting>
        <x14:conditionalFormatting xmlns:xm="http://schemas.microsoft.com/office/excel/2006/main">
          <x14:cfRule type="dataBar" id="{F5790CC5-307D-430F-A0E9-131F31E66998}">
            <x14:dataBar minLength="0" maxLength="100" axisPosition="none">
              <x14:cfvo type="min"/>
              <x14:cfvo type="max"/>
              <x14:negativeFillColor rgb="FFC00000"/>
            </x14:dataBar>
          </x14:cfRule>
          <xm:sqref>L5:L10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CBE69-9A9A-45A7-9E38-478AB2C175B2}">
  <dimension ref="A1:H81"/>
  <sheetViews>
    <sheetView workbookViewId="0">
      <selection sqref="A1:H1"/>
    </sheetView>
  </sheetViews>
  <sheetFormatPr defaultRowHeight="14.5" x14ac:dyDescent="0.35"/>
  <cols>
    <col min="1" max="1" width="28.1796875" customWidth="1"/>
    <col min="2" max="2" width="20" customWidth="1"/>
    <col min="3" max="4" width="41.81640625" customWidth="1"/>
    <col min="5" max="5" width="34.54296875" customWidth="1"/>
    <col min="6" max="6" width="27.26953125" customWidth="1"/>
  </cols>
  <sheetData>
    <row r="1" spans="1:8" x14ac:dyDescent="0.35">
      <c r="A1" s="57" t="s">
        <v>535</v>
      </c>
      <c r="B1" s="63"/>
      <c r="C1" s="63"/>
      <c r="D1" s="63"/>
      <c r="E1" s="63"/>
      <c r="F1" s="63"/>
      <c r="G1" s="63"/>
      <c r="H1" s="63"/>
    </row>
    <row r="2" spans="1:8" x14ac:dyDescent="0.35">
      <c r="A2" s="64" t="s">
        <v>536</v>
      </c>
      <c r="B2" s="63"/>
      <c r="C2" s="63"/>
      <c r="D2" s="63"/>
      <c r="E2" s="63"/>
      <c r="F2" s="63"/>
      <c r="G2" s="63"/>
      <c r="H2" s="63"/>
    </row>
    <row r="3" spans="1:8" x14ac:dyDescent="0.35">
      <c r="A3" s="7"/>
      <c r="B3" s="7"/>
      <c r="C3" s="7"/>
      <c r="D3" s="7"/>
      <c r="E3" s="7"/>
      <c r="F3" s="7"/>
      <c r="G3" s="7"/>
      <c r="H3" s="7"/>
    </row>
    <row r="4" spans="1:8" x14ac:dyDescent="0.35">
      <c r="A4" s="60" t="s">
        <v>537</v>
      </c>
      <c r="B4" s="63"/>
      <c r="C4" s="63"/>
      <c r="D4" s="63"/>
      <c r="E4" s="63"/>
      <c r="F4" s="63"/>
      <c r="G4" s="63"/>
      <c r="H4" s="63"/>
    </row>
    <row r="5" spans="1:8" ht="63.5" customHeight="1" x14ac:dyDescent="0.35">
      <c r="A5" s="68" t="s">
        <v>988</v>
      </c>
      <c r="B5" s="59"/>
      <c r="C5" s="59"/>
      <c r="D5" s="59"/>
      <c r="E5" s="59"/>
      <c r="F5" s="59"/>
      <c r="G5" s="59"/>
      <c r="H5" s="59"/>
    </row>
    <row r="6" spans="1:8" ht="75" hidden="1" customHeight="1" x14ac:dyDescent="0.35">
      <c r="A6" s="68"/>
      <c r="B6" s="59"/>
      <c r="C6" s="59"/>
      <c r="D6" s="59"/>
      <c r="E6" s="59"/>
      <c r="F6" s="59"/>
      <c r="G6" s="59"/>
      <c r="H6" s="59"/>
    </row>
    <row r="7" spans="1:8" ht="75" hidden="1" customHeight="1" x14ac:dyDescent="0.35">
      <c r="A7" s="68"/>
      <c r="B7" s="59"/>
      <c r="C7" s="59"/>
      <c r="D7" s="59"/>
      <c r="E7" s="59"/>
      <c r="F7" s="59"/>
      <c r="G7" s="59"/>
      <c r="H7" s="59"/>
    </row>
    <row r="8" spans="1:8" ht="75" customHeight="1" x14ac:dyDescent="0.35">
      <c r="A8" s="48"/>
      <c r="B8" s="12"/>
      <c r="C8" s="12"/>
      <c r="D8" s="12"/>
      <c r="E8" s="12"/>
      <c r="F8" s="12"/>
      <c r="G8" s="12"/>
      <c r="H8" s="12"/>
    </row>
    <row r="9" spans="1:8" x14ac:dyDescent="0.35">
      <c r="A9" s="7" t="s">
        <v>538</v>
      </c>
      <c r="B9" s="7" t="s">
        <v>539</v>
      </c>
      <c r="C9" s="7" t="s">
        <v>540</v>
      </c>
      <c r="D9" s="7" t="s">
        <v>541</v>
      </c>
      <c r="E9" s="7" t="s">
        <v>474</v>
      </c>
      <c r="F9" s="7"/>
      <c r="G9" s="7"/>
      <c r="H9" s="7"/>
    </row>
    <row r="10" spans="1:8" x14ac:dyDescent="0.35">
      <c r="A10" s="7" t="s">
        <v>136</v>
      </c>
      <c r="B10" s="7" t="s">
        <v>137</v>
      </c>
      <c r="C10" s="7" t="s">
        <v>542</v>
      </c>
      <c r="D10" s="7" t="s">
        <v>543</v>
      </c>
      <c r="E10" s="7" t="s">
        <v>544</v>
      </c>
      <c r="F10" s="7"/>
      <c r="G10" s="7"/>
      <c r="H10" s="7"/>
    </row>
    <row r="11" spans="1:8" x14ac:dyDescent="0.35">
      <c r="A11" s="7" t="s">
        <v>545</v>
      </c>
      <c r="B11" s="7" t="s">
        <v>145</v>
      </c>
      <c r="C11" s="7" t="s">
        <v>137</v>
      </c>
      <c r="D11" s="36" t="s">
        <v>546</v>
      </c>
      <c r="E11" s="7" t="s">
        <v>547</v>
      </c>
      <c r="F11" s="7"/>
      <c r="G11" s="7"/>
      <c r="H11" s="7"/>
    </row>
    <row r="12" spans="1:8" x14ac:dyDescent="0.35">
      <c r="A12" s="7" t="s">
        <v>226</v>
      </c>
      <c r="B12" s="7" t="s">
        <v>227</v>
      </c>
      <c r="C12" s="7" t="s">
        <v>542</v>
      </c>
      <c r="D12" s="7" t="s">
        <v>548</v>
      </c>
      <c r="E12" s="7" t="s">
        <v>549</v>
      </c>
      <c r="F12" s="7"/>
      <c r="G12" s="7"/>
      <c r="H12" s="7"/>
    </row>
    <row r="13" spans="1:8" x14ac:dyDescent="0.35">
      <c r="A13" s="7" t="s">
        <v>550</v>
      </c>
      <c r="B13" s="7" t="s">
        <v>551</v>
      </c>
      <c r="C13" s="7" t="s">
        <v>552</v>
      </c>
      <c r="D13" s="36" t="s">
        <v>553</v>
      </c>
      <c r="E13" s="7" t="s">
        <v>375</v>
      </c>
      <c r="F13" s="7"/>
      <c r="G13" s="7"/>
      <c r="H13" s="7"/>
    </row>
    <row r="14" spans="1:8" x14ac:dyDescent="0.35">
      <c r="A14" s="7" t="s">
        <v>235</v>
      </c>
      <c r="B14" s="7" t="s">
        <v>236</v>
      </c>
      <c r="C14" s="7" t="s">
        <v>552</v>
      </c>
      <c r="D14" s="7" t="s">
        <v>554</v>
      </c>
      <c r="E14" s="7" t="s">
        <v>555</v>
      </c>
      <c r="F14" s="7"/>
      <c r="G14" s="7"/>
      <c r="H14" s="7"/>
    </row>
    <row r="15" spans="1:8" x14ac:dyDescent="0.35">
      <c r="A15" s="7" t="s">
        <v>556</v>
      </c>
      <c r="B15" s="7" t="s">
        <v>286</v>
      </c>
      <c r="C15" s="7" t="s">
        <v>145</v>
      </c>
      <c r="D15" s="7" t="s">
        <v>557</v>
      </c>
      <c r="E15" s="7" t="s">
        <v>558</v>
      </c>
      <c r="F15" s="7"/>
      <c r="G15" s="7"/>
      <c r="H15" s="7"/>
    </row>
    <row r="16" spans="1:8" x14ac:dyDescent="0.35">
      <c r="A16" s="7" t="s">
        <v>559</v>
      </c>
      <c r="B16" s="7" t="s">
        <v>165</v>
      </c>
      <c r="C16" s="7" t="s">
        <v>145</v>
      </c>
      <c r="D16" s="7" t="s">
        <v>560</v>
      </c>
      <c r="E16" s="7" t="s">
        <v>561</v>
      </c>
      <c r="F16" s="7"/>
      <c r="G16" s="7"/>
      <c r="H16" s="7"/>
    </row>
    <row r="17" spans="1:8" x14ac:dyDescent="0.35">
      <c r="A17" s="7" t="s">
        <v>562</v>
      </c>
      <c r="B17" s="7" t="s">
        <v>310</v>
      </c>
      <c r="C17" s="7" t="s">
        <v>542</v>
      </c>
      <c r="D17" s="7" t="s">
        <v>563</v>
      </c>
      <c r="E17" s="7" t="s">
        <v>558</v>
      </c>
      <c r="F17" s="7"/>
      <c r="G17" s="7"/>
      <c r="H17" s="7"/>
    </row>
    <row r="18" spans="1:8" x14ac:dyDescent="0.35">
      <c r="A18" s="7"/>
      <c r="B18" s="7"/>
      <c r="C18" s="7"/>
      <c r="D18" s="7"/>
      <c r="E18" s="7"/>
      <c r="F18" s="7"/>
      <c r="G18" s="7"/>
      <c r="H18" s="7"/>
    </row>
    <row r="19" spans="1:8" x14ac:dyDescent="0.35">
      <c r="A19" s="7"/>
      <c r="B19" s="7"/>
      <c r="C19" s="7"/>
      <c r="D19" s="7"/>
      <c r="E19" s="7"/>
      <c r="F19" s="7"/>
      <c r="G19" s="7"/>
      <c r="H19" s="7"/>
    </row>
    <row r="20" spans="1:8" x14ac:dyDescent="0.35">
      <c r="A20" s="7"/>
      <c r="B20" s="7"/>
      <c r="C20" s="7"/>
      <c r="D20" s="7"/>
      <c r="E20" s="7"/>
      <c r="F20" s="7"/>
      <c r="G20" s="7"/>
      <c r="H20" s="7"/>
    </row>
    <row r="21" spans="1:8" x14ac:dyDescent="0.35">
      <c r="A21" s="60" t="s">
        <v>564</v>
      </c>
      <c r="B21" s="63"/>
      <c r="C21" s="63"/>
      <c r="D21" s="63"/>
      <c r="E21" s="63"/>
      <c r="F21" s="63"/>
      <c r="G21" s="63"/>
      <c r="H21" s="63"/>
    </row>
    <row r="22" spans="1:8" x14ac:dyDescent="0.35">
      <c r="A22" s="7" t="s">
        <v>565</v>
      </c>
      <c r="B22" s="7" t="s">
        <v>566</v>
      </c>
      <c r="C22" s="7" t="s">
        <v>567</v>
      </c>
      <c r="D22" s="7"/>
      <c r="E22" s="7"/>
      <c r="F22" s="7"/>
      <c r="G22" s="7"/>
      <c r="H22" s="7"/>
    </row>
    <row r="23" spans="1:8" x14ac:dyDescent="0.35">
      <c r="A23" s="7" t="s">
        <v>568</v>
      </c>
      <c r="B23" s="7" t="s">
        <v>569</v>
      </c>
      <c r="C23" s="7" t="s">
        <v>570</v>
      </c>
      <c r="D23" s="7"/>
      <c r="E23" s="7"/>
      <c r="F23" s="7"/>
      <c r="G23" s="7"/>
      <c r="H23" s="7"/>
    </row>
    <row r="24" spans="1:8" x14ac:dyDescent="0.35">
      <c r="A24" s="7" t="s">
        <v>571</v>
      </c>
      <c r="B24" s="7" t="s">
        <v>572</v>
      </c>
      <c r="C24" s="7" t="s">
        <v>573</v>
      </c>
      <c r="D24" s="7"/>
      <c r="E24" s="7"/>
      <c r="F24" s="7"/>
      <c r="G24" s="7"/>
      <c r="H24" s="7"/>
    </row>
    <row r="25" spans="1:8" x14ac:dyDescent="0.35">
      <c r="A25" s="7" t="s">
        <v>574</v>
      </c>
      <c r="B25" s="7" t="s">
        <v>575</v>
      </c>
      <c r="C25" s="7" t="s">
        <v>576</v>
      </c>
      <c r="D25" s="7"/>
      <c r="E25" s="7"/>
      <c r="F25" s="7"/>
      <c r="G25" s="7"/>
      <c r="H25" s="7"/>
    </row>
    <row r="26" spans="1:8" x14ac:dyDescent="0.35">
      <c r="A26" s="7" t="s">
        <v>577</v>
      </c>
      <c r="B26" s="7" t="s">
        <v>578</v>
      </c>
      <c r="C26" s="7" t="s">
        <v>579</v>
      </c>
      <c r="D26" s="7"/>
      <c r="E26" s="7"/>
      <c r="F26" s="7"/>
      <c r="G26" s="7"/>
      <c r="H26" s="7"/>
    </row>
    <row r="27" spans="1:8" x14ac:dyDescent="0.35">
      <c r="A27" s="7" t="s">
        <v>580</v>
      </c>
      <c r="B27" s="7" t="s">
        <v>581</v>
      </c>
      <c r="C27" s="7" t="s">
        <v>582</v>
      </c>
      <c r="D27" s="7"/>
      <c r="E27" s="7"/>
      <c r="F27" s="7"/>
      <c r="G27" s="7"/>
      <c r="H27" s="7"/>
    </row>
    <row r="28" spans="1:8" x14ac:dyDescent="0.35">
      <c r="A28" s="7" t="s">
        <v>583</v>
      </c>
      <c r="B28" s="36" t="s">
        <v>584</v>
      </c>
      <c r="C28" s="7" t="s">
        <v>585</v>
      </c>
      <c r="D28" s="7"/>
      <c r="E28" s="7"/>
      <c r="F28" s="7"/>
      <c r="G28" s="7"/>
      <c r="H28" s="7"/>
    </row>
    <row r="29" spans="1:8" x14ac:dyDescent="0.35">
      <c r="A29" s="7" t="s">
        <v>586</v>
      </c>
      <c r="B29" s="7" t="s">
        <v>587</v>
      </c>
      <c r="C29" s="7" t="s">
        <v>588</v>
      </c>
      <c r="D29" s="7"/>
      <c r="E29" s="7"/>
      <c r="F29" s="7"/>
      <c r="G29" s="7"/>
      <c r="H29" s="7"/>
    </row>
    <row r="30" spans="1:8" x14ac:dyDescent="0.35">
      <c r="A30" s="7"/>
      <c r="B30" s="35"/>
      <c r="C30" s="7"/>
      <c r="D30" s="7"/>
      <c r="E30" s="7"/>
      <c r="F30" s="7"/>
      <c r="G30" s="7"/>
      <c r="H30" s="7"/>
    </row>
    <row r="31" spans="1:8" x14ac:dyDescent="0.35">
      <c r="A31" s="7"/>
      <c r="B31" s="35"/>
      <c r="C31" s="7"/>
      <c r="D31" s="7"/>
      <c r="E31" s="7"/>
      <c r="F31" s="7"/>
      <c r="G31" s="7"/>
      <c r="H31" s="7"/>
    </row>
    <row r="32" spans="1:8" x14ac:dyDescent="0.35">
      <c r="A32" s="60" t="s">
        <v>589</v>
      </c>
      <c r="B32" s="69"/>
      <c r="C32" s="63"/>
      <c r="D32" s="63"/>
      <c r="E32" s="63"/>
      <c r="F32" s="63"/>
      <c r="G32" s="63"/>
      <c r="H32" s="63"/>
    </row>
    <row r="33" spans="1:8" x14ac:dyDescent="0.35">
      <c r="A33" s="9" t="s">
        <v>590</v>
      </c>
      <c r="B33" s="9" t="s">
        <v>591</v>
      </c>
      <c r="C33" s="9" t="s">
        <v>592</v>
      </c>
      <c r="D33" s="7"/>
      <c r="E33" s="7"/>
      <c r="F33" s="7"/>
      <c r="G33" s="7"/>
      <c r="H33" s="7"/>
    </row>
    <row r="34" spans="1:8" x14ac:dyDescent="0.35">
      <c r="A34" s="7" t="s">
        <v>593</v>
      </c>
      <c r="B34" s="7" t="s">
        <v>594</v>
      </c>
      <c r="C34" s="7" t="s">
        <v>595</v>
      </c>
      <c r="D34" s="7"/>
      <c r="E34" s="7"/>
      <c r="F34" s="7"/>
      <c r="G34" s="7"/>
      <c r="H34" s="7"/>
    </row>
    <row r="35" spans="1:8" x14ac:dyDescent="0.35">
      <c r="A35" s="7" t="s">
        <v>596</v>
      </c>
      <c r="B35" s="7" t="s">
        <v>597</v>
      </c>
      <c r="C35" s="7" t="s">
        <v>598</v>
      </c>
      <c r="D35" s="7"/>
      <c r="E35" s="7"/>
      <c r="F35" s="7"/>
      <c r="G35" s="7"/>
      <c r="H35" s="7"/>
    </row>
    <row r="36" spans="1:8" x14ac:dyDescent="0.35">
      <c r="A36" s="7" t="s">
        <v>586</v>
      </c>
      <c r="B36" s="7" t="s">
        <v>599</v>
      </c>
      <c r="C36" s="7" t="s">
        <v>600</v>
      </c>
      <c r="D36" s="7"/>
      <c r="E36" s="7"/>
      <c r="F36" s="7"/>
      <c r="G36" s="7"/>
      <c r="H36" s="7"/>
    </row>
    <row r="37" spans="1:8" x14ac:dyDescent="0.35">
      <c r="A37" s="7" t="s">
        <v>601</v>
      </c>
      <c r="B37" s="7" t="s">
        <v>363</v>
      </c>
      <c r="C37" s="7" t="s">
        <v>602</v>
      </c>
      <c r="D37" s="7"/>
      <c r="E37" s="7"/>
      <c r="F37" s="7"/>
      <c r="G37" s="7"/>
      <c r="H37" s="7"/>
    </row>
    <row r="38" spans="1:8" x14ac:dyDescent="0.35">
      <c r="A38" s="7" t="s">
        <v>603</v>
      </c>
      <c r="B38" s="7" t="s">
        <v>604</v>
      </c>
      <c r="C38" s="7" t="s">
        <v>605</v>
      </c>
      <c r="D38" s="7"/>
      <c r="E38" s="7"/>
      <c r="F38" s="7"/>
      <c r="G38" s="7"/>
      <c r="H38" s="7"/>
    </row>
    <row r="39" spans="1:8" x14ac:dyDescent="0.35">
      <c r="A39" s="7" t="s">
        <v>606</v>
      </c>
      <c r="B39" s="36" t="s">
        <v>373</v>
      </c>
      <c r="C39" s="7" t="s">
        <v>607</v>
      </c>
      <c r="D39" s="7"/>
      <c r="E39" s="7"/>
      <c r="F39" s="7"/>
      <c r="G39" s="7"/>
      <c r="H39" s="7"/>
    </row>
    <row r="42" spans="1:8" x14ac:dyDescent="0.35">
      <c r="A42" s="61" t="s">
        <v>885</v>
      </c>
      <c r="B42" s="61"/>
      <c r="C42" s="61"/>
      <c r="D42" s="61"/>
      <c r="E42" s="61"/>
      <c r="F42" s="61"/>
      <c r="G42" s="61"/>
      <c r="H42" s="61"/>
    </row>
    <row r="43" spans="1:8" ht="72" customHeight="1" x14ac:dyDescent="0.35">
      <c r="A43" s="62" t="s">
        <v>886</v>
      </c>
      <c r="B43" s="55"/>
      <c r="C43" s="55"/>
      <c r="D43" s="55"/>
      <c r="E43" s="55"/>
      <c r="F43" s="55"/>
      <c r="G43" s="55"/>
      <c r="H43" s="55"/>
    </row>
    <row r="44" spans="1:8" ht="72" customHeight="1" x14ac:dyDescent="0.35">
      <c r="A44" s="62"/>
      <c r="B44" s="55"/>
      <c r="C44" s="55"/>
      <c r="D44" s="55"/>
      <c r="E44" s="55"/>
      <c r="F44" s="55"/>
      <c r="G44" s="55"/>
      <c r="H44" s="55"/>
    </row>
    <row r="45" spans="1:8" ht="72" customHeight="1" x14ac:dyDescent="0.35">
      <c r="A45" s="62"/>
      <c r="B45" s="55"/>
      <c r="C45" s="55"/>
      <c r="D45" s="55"/>
      <c r="E45" s="55"/>
      <c r="F45" s="55"/>
      <c r="G45" s="55"/>
      <c r="H45" s="55"/>
    </row>
    <row r="46" spans="1:8" ht="72" customHeight="1" x14ac:dyDescent="0.35">
      <c r="A46" s="62"/>
      <c r="B46" s="55"/>
      <c r="C46" s="55"/>
      <c r="D46" s="55"/>
      <c r="E46" s="55"/>
      <c r="F46" s="55"/>
      <c r="G46" s="55"/>
      <c r="H46" s="55"/>
    </row>
    <row r="47" spans="1:8" x14ac:dyDescent="0.35">
      <c r="A47" s="29"/>
    </row>
    <row r="48" spans="1:8" x14ac:dyDescent="0.35">
      <c r="A48" s="2" t="s">
        <v>887</v>
      </c>
      <c r="B48" s="2" t="s">
        <v>626</v>
      </c>
      <c r="C48" s="2" t="s">
        <v>888</v>
      </c>
      <c r="D48" s="2" t="s">
        <v>889</v>
      </c>
    </row>
    <row r="49" spans="1:8" ht="29" x14ac:dyDescent="0.35">
      <c r="A49" s="2" t="s">
        <v>890</v>
      </c>
      <c r="B49" s="44" t="s">
        <v>891</v>
      </c>
      <c r="C49" s="2" t="s">
        <v>892</v>
      </c>
      <c r="D49" s="2" t="s">
        <v>893</v>
      </c>
    </row>
    <row r="50" spans="1:8" ht="43.5" x14ac:dyDescent="0.35">
      <c r="A50" s="2" t="s">
        <v>894</v>
      </c>
      <c r="B50" s="45" t="s">
        <v>895</v>
      </c>
      <c r="C50" s="2" t="s">
        <v>896</v>
      </c>
      <c r="D50" s="46" t="s">
        <v>897</v>
      </c>
    </row>
    <row r="51" spans="1:8" ht="43.5" x14ac:dyDescent="0.35">
      <c r="A51" s="2" t="s">
        <v>898</v>
      </c>
      <c r="B51" s="46" t="s">
        <v>634</v>
      </c>
      <c r="C51" s="2" t="s">
        <v>899</v>
      </c>
      <c r="D51" s="2" t="s">
        <v>900</v>
      </c>
    </row>
    <row r="52" spans="1:8" ht="29" x14ac:dyDescent="0.35">
      <c r="A52" s="2" t="s">
        <v>901</v>
      </c>
      <c r="B52" s="46" t="s">
        <v>634</v>
      </c>
      <c r="C52" s="2" t="s">
        <v>902</v>
      </c>
      <c r="D52" s="2" t="s">
        <v>903</v>
      </c>
    </row>
    <row r="53" spans="1:8" ht="43.5" x14ac:dyDescent="0.35">
      <c r="A53" s="2" t="s">
        <v>904</v>
      </c>
      <c r="B53" s="45" t="s">
        <v>895</v>
      </c>
      <c r="C53" s="2" t="s">
        <v>905</v>
      </c>
      <c r="D53" s="2" t="s">
        <v>906</v>
      </c>
    </row>
    <row r="54" spans="1:8" ht="43.5" x14ac:dyDescent="0.35">
      <c r="A54" s="2" t="s">
        <v>907</v>
      </c>
      <c r="B54" s="46" t="s">
        <v>634</v>
      </c>
      <c r="C54" s="45" t="s">
        <v>908</v>
      </c>
      <c r="D54" s="2" t="s">
        <v>909</v>
      </c>
    </row>
    <row r="55" spans="1:8" ht="29" x14ac:dyDescent="0.35">
      <c r="A55" s="2" t="s">
        <v>910</v>
      </c>
      <c r="B55" s="46" t="s">
        <v>634</v>
      </c>
      <c r="C55" s="2" t="s">
        <v>911</v>
      </c>
      <c r="D55" s="2" t="s">
        <v>912</v>
      </c>
    </row>
    <row r="56" spans="1:8" ht="29" x14ac:dyDescent="0.35">
      <c r="A56" s="2" t="s">
        <v>913</v>
      </c>
      <c r="B56" s="46" t="s">
        <v>634</v>
      </c>
      <c r="C56" s="45" t="s">
        <v>914</v>
      </c>
      <c r="D56" s="2" t="s">
        <v>915</v>
      </c>
    </row>
    <row r="57" spans="1:8" ht="29" x14ac:dyDescent="0.35">
      <c r="A57" s="2" t="s">
        <v>916</v>
      </c>
      <c r="B57" s="46" t="s">
        <v>634</v>
      </c>
      <c r="C57" s="2" t="s">
        <v>917</v>
      </c>
      <c r="D57" s="2" t="s">
        <v>918</v>
      </c>
    </row>
    <row r="58" spans="1:8" ht="43.5" x14ac:dyDescent="0.35">
      <c r="A58" s="2" t="s">
        <v>919</v>
      </c>
      <c r="B58" s="45" t="s">
        <v>895</v>
      </c>
      <c r="C58" s="2" t="s">
        <v>920</v>
      </c>
      <c r="D58" s="2" t="s">
        <v>921</v>
      </c>
    </row>
    <row r="59" spans="1:8" ht="29" x14ac:dyDescent="0.35">
      <c r="A59" s="2" t="s">
        <v>922</v>
      </c>
      <c r="B59" s="45" t="s">
        <v>895</v>
      </c>
      <c r="C59" s="2" t="s">
        <v>923</v>
      </c>
      <c r="D59" s="2" t="s">
        <v>924</v>
      </c>
    </row>
    <row r="60" spans="1:8" ht="29" x14ac:dyDescent="0.35">
      <c r="A60" s="2" t="s">
        <v>925</v>
      </c>
      <c r="B60" s="45" t="s">
        <v>895</v>
      </c>
      <c r="C60" s="2" t="s">
        <v>926</v>
      </c>
      <c r="D60" s="2" t="s">
        <v>927</v>
      </c>
    </row>
    <row r="61" spans="1:8" x14ac:dyDescent="0.35">
      <c r="A61" s="2"/>
      <c r="B61" s="2"/>
      <c r="C61" s="2"/>
      <c r="D61" s="2"/>
    </row>
    <row r="62" spans="1:8" x14ac:dyDescent="0.35">
      <c r="A62" s="2"/>
      <c r="B62" s="2"/>
      <c r="C62" s="2"/>
      <c r="D62" s="2"/>
    </row>
    <row r="63" spans="1:8" x14ac:dyDescent="0.35">
      <c r="A63" s="62" t="s">
        <v>928</v>
      </c>
      <c r="B63" s="70"/>
      <c r="C63" s="70"/>
      <c r="D63" s="70"/>
      <c r="E63" s="61"/>
      <c r="F63" s="61"/>
      <c r="G63" s="61"/>
      <c r="H63" s="61"/>
    </row>
    <row r="64" spans="1:8" x14ac:dyDescent="0.35">
      <c r="A64" s="2" t="s">
        <v>929</v>
      </c>
      <c r="B64" s="2" t="s">
        <v>930</v>
      </c>
      <c r="C64" s="2" t="s">
        <v>931</v>
      </c>
      <c r="D64" s="2" t="s">
        <v>932</v>
      </c>
    </row>
    <row r="65" spans="1:8" x14ac:dyDescent="0.35">
      <c r="A65" s="2" t="s">
        <v>933</v>
      </c>
      <c r="B65" s="46" t="s">
        <v>934</v>
      </c>
      <c r="C65" s="2" t="s">
        <v>935</v>
      </c>
      <c r="D65" s="2" t="s">
        <v>936</v>
      </c>
    </row>
    <row r="66" spans="1:8" ht="29" x14ac:dyDescent="0.35">
      <c r="A66" s="2" t="s">
        <v>937</v>
      </c>
      <c r="B66" s="2" t="s">
        <v>938</v>
      </c>
      <c r="C66" s="2" t="s">
        <v>939</v>
      </c>
      <c r="D66" s="2" t="s">
        <v>940</v>
      </c>
    </row>
    <row r="67" spans="1:8" ht="29" x14ac:dyDescent="0.35">
      <c r="A67" s="2" t="s">
        <v>941</v>
      </c>
      <c r="B67" s="2" t="s">
        <v>942</v>
      </c>
      <c r="C67" s="2" t="s">
        <v>943</v>
      </c>
      <c r="D67" s="2" t="s">
        <v>944</v>
      </c>
    </row>
    <row r="68" spans="1:8" x14ac:dyDescent="0.35">
      <c r="A68" s="2" t="s">
        <v>945</v>
      </c>
      <c r="B68" s="2" t="s">
        <v>946</v>
      </c>
      <c r="C68" s="2" t="s">
        <v>947</v>
      </c>
      <c r="D68" s="2" t="s">
        <v>948</v>
      </c>
    </row>
    <row r="69" spans="1:8" ht="29" x14ac:dyDescent="0.35">
      <c r="A69" s="2" t="s">
        <v>949</v>
      </c>
      <c r="B69" s="2" t="s">
        <v>950</v>
      </c>
      <c r="C69" s="2" t="s">
        <v>951</v>
      </c>
      <c r="D69" s="45" t="s">
        <v>952</v>
      </c>
    </row>
    <row r="70" spans="1:8" ht="29" x14ac:dyDescent="0.35">
      <c r="A70" s="2" t="s">
        <v>953</v>
      </c>
      <c r="B70" s="2" t="s">
        <v>954</v>
      </c>
      <c r="C70" s="2" t="s">
        <v>955</v>
      </c>
      <c r="D70" s="2" t="s">
        <v>956</v>
      </c>
    </row>
    <row r="71" spans="1:8" ht="29" x14ac:dyDescent="0.35">
      <c r="A71" s="2" t="s">
        <v>957</v>
      </c>
      <c r="B71" s="2" t="s">
        <v>958</v>
      </c>
      <c r="C71" s="2" t="s">
        <v>959</v>
      </c>
      <c r="D71" s="2" t="s">
        <v>960</v>
      </c>
    </row>
    <row r="72" spans="1:8" ht="29" x14ac:dyDescent="0.35">
      <c r="A72" s="2" t="s">
        <v>961</v>
      </c>
      <c r="B72" s="2" t="s">
        <v>962</v>
      </c>
      <c r="C72" s="2" t="s">
        <v>963</v>
      </c>
      <c r="D72" s="2" t="s">
        <v>964</v>
      </c>
    </row>
    <row r="73" spans="1:8" x14ac:dyDescent="0.35">
      <c r="A73" s="2"/>
      <c r="B73" s="2"/>
      <c r="C73" s="2"/>
      <c r="D73" s="2"/>
    </row>
    <row r="74" spans="1:8" x14ac:dyDescent="0.35">
      <c r="A74" s="2"/>
      <c r="B74" s="2"/>
      <c r="C74" s="2"/>
      <c r="D74" s="2"/>
    </row>
    <row r="75" spans="1:8" x14ac:dyDescent="0.35">
      <c r="A75" s="70" t="s">
        <v>965</v>
      </c>
      <c r="B75" s="70"/>
      <c r="C75" s="70"/>
      <c r="D75" s="70"/>
      <c r="E75" s="61"/>
      <c r="F75" s="61"/>
      <c r="G75" s="61"/>
      <c r="H75" s="61"/>
    </row>
    <row r="76" spans="1:8" x14ac:dyDescent="0.35">
      <c r="A76" s="2" t="s">
        <v>966</v>
      </c>
      <c r="B76" s="2" t="s">
        <v>967</v>
      </c>
      <c r="C76" s="2" t="s">
        <v>968</v>
      </c>
      <c r="D76" s="45" t="s">
        <v>969</v>
      </c>
    </row>
    <row r="77" spans="1:8" ht="29" x14ac:dyDescent="0.35">
      <c r="A77" s="2" t="s">
        <v>10</v>
      </c>
      <c r="B77" s="2" t="s">
        <v>970</v>
      </c>
      <c r="C77" s="2" t="s">
        <v>971</v>
      </c>
      <c r="D77" s="2" t="s">
        <v>972</v>
      </c>
    </row>
    <row r="78" spans="1:8" ht="29" x14ac:dyDescent="0.35">
      <c r="A78" s="2" t="s">
        <v>72</v>
      </c>
      <c r="B78" s="2" t="s">
        <v>973</v>
      </c>
      <c r="C78" s="2" t="s">
        <v>974</v>
      </c>
      <c r="D78" s="2" t="s">
        <v>975</v>
      </c>
    </row>
    <row r="79" spans="1:8" ht="29" x14ac:dyDescent="0.35">
      <c r="A79" s="2" t="s">
        <v>976</v>
      </c>
      <c r="B79" s="2" t="s">
        <v>977</v>
      </c>
      <c r="C79" s="2" t="s">
        <v>978</v>
      </c>
      <c r="D79" s="2" t="s">
        <v>979</v>
      </c>
    </row>
    <row r="80" spans="1:8" ht="29" x14ac:dyDescent="0.35">
      <c r="A80" s="2" t="s">
        <v>980</v>
      </c>
      <c r="B80" s="2" t="s">
        <v>981</v>
      </c>
      <c r="C80" s="2" t="s">
        <v>982</v>
      </c>
      <c r="D80" s="2" t="s">
        <v>983</v>
      </c>
    </row>
    <row r="81" spans="1:4" ht="29" x14ac:dyDescent="0.35">
      <c r="A81" s="2" t="s">
        <v>984</v>
      </c>
      <c r="B81" s="2" t="s">
        <v>985</v>
      </c>
      <c r="C81" s="2" t="s">
        <v>986</v>
      </c>
      <c r="D81" s="2" t="s">
        <v>987</v>
      </c>
    </row>
  </sheetData>
  <mergeCells count="10">
    <mergeCell ref="A42:H42"/>
    <mergeCell ref="A43:H46"/>
    <mergeCell ref="A63:H63"/>
    <mergeCell ref="A75:H75"/>
    <mergeCell ref="A1:H1"/>
    <mergeCell ref="A2:H2"/>
    <mergeCell ref="A4:H4"/>
    <mergeCell ref="A5:H7"/>
    <mergeCell ref="A21:H21"/>
    <mergeCell ref="A32:H32"/>
  </mergeCells>
  <pageMargins left="0.7" right="0.7" top="0.75" bottom="0.75" header="0.3" footer="0.3"/>
  <tableParts count="5">
    <tablePart r:id="rId1"/>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9E86D-AE58-4886-81F5-B74564EB9499}">
  <dimension ref="A1:H40"/>
  <sheetViews>
    <sheetView workbookViewId="0">
      <selection sqref="A1:H1"/>
    </sheetView>
  </sheetViews>
  <sheetFormatPr defaultRowHeight="14.5" x14ac:dyDescent="0.35"/>
  <cols>
    <col min="1" max="1" width="25.453125" customWidth="1"/>
    <col min="2" max="2" width="32.7265625" customWidth="1"/>
    <col min="3" max="3" width="34.1796875" customWidth="1"/>
    <col min="4" max="5" width="40" style="2" customWidth="1"/>
  </cols>
  <sheetData>
    <row r="1" spans="1:8" x14ac:dyDescent="0.35">
      <c r="A1" s="57" t="s">
        <v>609</v>
      </c>
      <c r="B1" s="63"/>
      <c r="C1" s="63"/>
      <c r="D1" s="63"/>
      <c r="E1" s="63"/>
      <c r="F1" s="63"/>
      <c r="G1" s="63"/>
      <c r="H1" s="63"/>
    </row>
    <row r="2" spans="1:8" x14ac:dyDescent="0.35">
      <c r="A2" s="64" t="s">
        <v>610</v>
      </c>
      <c r="B2" s="63"/>
      <c r="C2" s="63"/>
      <c r="D2" s="63"/>
      <c r="E2" s="63"/>
      <c r="F2" s="63"/>
      <c r="G2" s="63"/>
      <c r="H2" s="63"/>
    </row>
    <row r="3" spans="1:8" x14ac:dyDescent="0.35">
      <c r="A3" s="7"/>
      <c r="B3" s="7"/>
      <c r="C3" s="7"/>
      <c r="D3" s="12"/>
      <c r="E3" s="12"/>
      <c r="F3" s="7"/>
      <c r="G3" s="7"/>
      <c r="H3" s="7"/>
    </row>
    <row r="4" spans="1:8" x14ac:dyDescent="0.35">
      <c r="A4" s="60" t="s">
        <v>611</v>
      </c>
      <c r="B4" s="63"/>
      <c r="C4" s="63"/>
      <c r="D4" s="63"/>
      <c r="E4" s="63"/>
      <c r="F4" s="63"/>
      <c r="G4" s="63"/>
      <c r="H4" s="63"/>
    </row>
    <row r="5" spans="1:8" x14ac:dyDescent="0.35">
      <c r="A5" s="68" t="s">
        <v>612</v>
      </c>
      <c r="B5" s="59"/>
      <c r="C5" s="59"/>
      <c r="D5" s="59"/>
      <c r="E5" s="59"/>
      <c r="F5" s="59"/>
      <c r="G5" s="59"/>
      <c r="H5" s="59"/>
    </row>
    <row r="6" spans="1:8" x14ac:dyDescent="0.35">
      <c r="A6" s="59"/>
      <c r="B6" s="59"/>
      <c r="C6" s="59"/>
      <c r="D6" s="59"/>
      <c r="E6" s="59"/>
      <c r="F6" s="59"/>
      <c r="G6" s="59"/>
      <c r="H6" s="59"/>
    </row>
    <row r="7" spans="1:8" x14ac:dyDescent="0.35">
      <c r="A7" s="59"/>
      <c r="B7" s="59"/>
      <c r="C7" s="59"/>
      <c r="D7" s="59"/>
      <c r="E7" s="59"/>
      <c r="F7" s="59"/>
      <c r="G7" s="59"/>
      <c r="H7" s="59"/>
    </row>
    <row r="8" spans="1:8" x14ac:dyDescent="0.35">
      <c r="A8" s="59"/>
      <c r="B8" s="59"/>
      <c r="C8" s="59"/>
      <c r="D8" s="59"/>
      <c r="E8" s="59"/>
      <c r="F8" s="59"/>
      <c r="G8" s="59"/>
      <c r="H8" s="59"/>
    </row>
    <row r="9" spans="1:8" x14ac:dyDescent="0.35">
      <c r="A9" s="7"/>
      <c r="B9" s="7"/>
      <c r="C9" s="7"/>
      <c r="D9" s="12"/>
      <c r="E9" s="12"/>
      <c r="F9" s="7"/>
      <c r="G9" s="7"/>
      <c r="H9" s="7"/>
    </row>
    <row r="10" spans="1:8" x14ac:dyDescent="0.35">
      <c r="A10" s="9" t="s">
        <v>613</v>
      </c>
      <c r="B10" s="9" t="s">
        <v>614</v>
      </c>
      <c r="C10" s="9" t="s">
        <v>12</v>
      </c>
      <c r="D10" s="12"/>
      <c r="E10" s="12"/>
      <c r="F10" s="7"/>
      <c r="G10" s="7"/>
      <c r="H10" s="7"/>
    </row>
    <row r="11" spans="1:8" x14ac:dyDescent="0.35">
      <c r="A11" s="7" t="s">
        <v>615</v>
      </c>
      <c r="B11" s="15">
        <f>'Control Tower Dashboard'!A5</f>
        <v>7100000</v>
      </c>
      <c r="C11" s="7" t="s">
        <v>616</v>
      </c>
      <c r="D11" s="12"/>
      <c r="E11" s="12"/>
      <c r="F11" s="7"/>
      <c r="G11" s="7"/>
      <c r="H11" s="7"/>
    </row>
    <row r="12" spans="1:8" x14ac:dyDescent="0.35">
      <c r="A12" s="7" t="s">
        <v>617</v>
      </c>
      <c r="B12" s="15">
        <f>'Control Tower Dashboard'!C5</f>
        <v>5220810</v>
      </c>
      <c r="C12" s="7" t="s">
        <v>618</v>
      </c>
      <c r="D12" s="12"/>
      <c r="E12" s="12"/>
      <c r="F12" s="7"/>
      <c r="G12" s="7"/>
      <c r="H12" s="7"/>
    </row>
    <row r="13" spans="1:8" x14ac:dyDescent="0.35">
      <c r="A13" s="7" t="s">
        <v>619</v>
      </c>
      <c r="B13" s="15">
        <f>'Control Tower Dashboard'!E5</f>
        <v>4752500</v>
      </c>
      <c r="C13" s="7" t="s">
        <v>620</v>
      </c>
      <c r="D13" s="12"/>
      <c r="E13" s="12"/>
      <c r="F13" s="7"/>
      <c r="G13" s="7"/>
      <c r="H13" s="7"/>
    </row>
    <row r="14" spans="1:8" x14ac:dyDescent="0.35">
      <c r="A14" s="7" t="s">
        <v>621</v>
      </c>
      <c r="B14" s="14">
        <f>'Control Tower Dashboard'!G5</f>
        <v>0.91029935967790443</v>
      </c>
      <c r="C14" s="7" t="s">
        <v>622</v>
      </c>
      <c r="D14" s="12"/>
      <c r="E14" s="12"/>
      <c r="F14" s="7"/>
      <c r="G14" s="7"/>
      <c r="H14" s="7"/>
    </row>
    <row r="15" spans="1:8" x14ac:dyDescent="0.35">
      <c r="A15" s="7" t="s">
        <v>11</v>
      </c>
      <c r="B15" s="13">
        <f>'Control Tower Dashboard'!I5</f>
        <v>0.66936619718309864</v>
      </c>
      <c r="C15" s="7" t="s">
        <v>623</v>
      </c>
      <c r="D15" s="12"/>
      <c r="E15" s="12"/>
      <c r="F15" s="7"/>
      <c r="G15" s="7"/>
      <c r="H15" s="7"/>
    </row>
    <row r="16" spans="1:8" x14ac:dyDescent="0.35">
      <c r="A16" s="35"/>
      <c r="B16" s="7"/>
      <c r="C16" s="35"/>
      <c r="D16" s="12"/>
      <c r="E16" s="12"/>
      <c r="F16" s="7"/>
      <c r="G16" s="7"/>
      <c r="H16" s="7"/>
    </row>
    <row r="17" spans="1:8" x14ac:dyDescent="0.35">
      <c r="A17" s="35"/>
      <c r="B17" s="7"/>
      <c r="C17" s="35"/>
      <c r="D17" s="12"/>
      <c r="E17" s="12"/>
      <c r="F17" s="7"/>
      <c r="G17" s="7"/>
      <c r="H17" s="7"/>
    </row>
    <row r="18" spans="1:8" x14ac:dyDescent="0.35">
      <c r="A18" s="7" t="s">
        <v>624</v>
      </c>
      <c r="B18" s="7" t="s">
        <v>625</v>
      </c>
      <c r="C18" s="7" t="s">
        <v>626</v>
      </c>
      <c r="D18" s="12" t="s">
        <v>390</v>
      </c>
      <c r="E18" s="12" t="s">
        <v>627</v>
      </c>
      <c r="F18" s="7"/>
      <c r="G18" s="7"/>
      <c r="H18" s="7"/>
    </row>
    <row r="19" spans="1:8" ht="26.5" x14ac:dyDescent="0.35">
      <c r="A19" s="7" t="s">
        <v>628</v>
      </c>
      <c r="B19" s="7" t="s">
        <v>629</v>
      </c>
      <c r="C19" s="35" t="s">
        <v>630</v>
      </c>
      <c r="D19" s="12" t="s">
        <v>631</v>
      </c>
      <c r="E19" s="12" t="s">
        <v>632</v>
      </c>
      <c r="F19" s="7"/>
      <c r="G19" s="7"/>
      <c r="H19" s="7"/>
    </row>
    <row r="20" spans="1:8" ht="26.5" x14ac:dyDescent="0.35">
      <c r="A20" s="7" t="s">
        <v>628</v>
      </c>
      <c r="B20" s="7" t="s">
        <v>633</v>
      </c>
      <c r="C20" s="36" t="s">
        <v>634</v>
      </c>
      <c r="D20" s="12" t="s">
        <v>635</v>
      </c>
      <c r="E20" s="12" t="s">
        <v>636</v>
      </c>
      <c r="F20" s="7"/>
      <c r="G20" s="7"/>
      <c r="H20" s="7"/>
    </row>
    <row r="21" spans="1:8" ht="26.5" x14ac:dyDescent="0.35">
      <c r="A21" s="7" t="s">
        <v>628</v>
      </c>
      <c r="B21" s="7" t="s">
        <v>637</v>
      </c>
      <c r="C21" s="35" t="s">
        <v>630</v>
      </c>
      <c r="D21" s="12" t="s">
        <v>638</v>
      </c>
      <c r="E21" s="12" t="s">
        <v>639</v>
      </c>
      <c r="F21" s="7"/>
      <c r="G21" s="7"/>
      <c r="H21" s="7"/>
    </row>
    <row r="22" spans="1:8" ht="26.5" x14ac:dyDescent="0.35">
      <c r="A22" s="7" t="s">
        <v>628</v>
      </c>
      <c r="B22" s="7" t="s">
        <v>640</v>
      </c>
      <c r="C22" s="35" t="s">
        <v>630</v>
      </c>
      <c r="D22" s="12" t="s">
        <v>641</v>
      </c>
      <c r="E22" s="12" t="s">
        <v>642</v>
      </c>
      <c r="F22" s="7"/>
      <c r="G22" s="7"/>
      <c r="H22" s="7"/>
    </row>
    <row r="23" spans="1:8" ht="26.5" x14ac:dyDescent="0.35">
      <c r="A23" s="7" t="s">
        <v>628</v>
      </c>
      <c r="B23" s="7" t="s">
        <v>643</v>
      </c>
      <c r="C23" s="35" t="s">
        <v>630</v>
      </c>
      <c r="D23" s="12" t="s">
        <v>644</v>
      </c>
      <c r="E23" s="12" t="s">
        <v>645</v>
      </c>
      <c r="F23" s="7"/>
      <c r="G23" s="7"/>
      <c r="H23" s="7"/>
    </row>
    <row r="24" spans="1:8" ht="26.5" x14ac:dyDescent="0.35">
      <c r="A24" s="7" t="s">
        <v>646</v>
      </c>
      <c r="B24" s="7" t="s">
        <v>647</v>
      </c>
      <c r="C24" s="35" t="s">
        <v>630</v>
      </c>
      <c r="D24" s="12" t="s">
        <v>648</v>
      </c>
      <c r="E24" s="12" t="s">
        <v>649</v>
      </c>
      <c r="F24" s="7"/>
      <c r="G24" s="7"/>
      <c r="H24" s="7"/>
    </row>
    <row r="25" spans="1:8" ht="26.5" x14ac:dyDescent="0.35">
      <c r="A25" s="7" t="s">
        <v>646</v>
      </c>
      <c r="B25" s="7" t="s">
        <v>650</v>
      </c>
      <c r="C25" s="35" t="s">
        <v>630</v>
      </c>
      <c r="D25" s="12" t="s">
        <v>651</v>
      </c>
      <c r="E25" s="12" t="s">
        <v>652</v>
      </c>
      <c r="F25" s="7"/>
      <c r="G25" s="7"/>
      <c r="H25" s="7"/>
    </row>
    <row r="26" spans="1:8" ht="26.5" x14ac:dyDescent="0.35">
      <c r="A26" s="7" t="s">
        <v>646</v>
      </c>
      <c r="B26" s="7" t="s">
        <v>653</v>
      </c>
      <c r="C26" s="35" t="s">
        <v>630</v>
      </c>
      <c r="D26" s="12" t="s">
        <v>654</v>
      </c>
      <c r="E26" s="12" t="s">
        <v>655</v>
      </c>
      <c r="F26" s="7"/>
      <c r="G26" s="7"/>
      <c r="H26" s="7"/>
    </row>
    <row r="27" spans="1:8" ht="26.5" x14ac:dyDescent="0.35">
      <c r="A27" s="7" t="s">
        <v>646</v>
      </c>
      <c r="B27" s="7" t="s">
        <v>656</v>
      </c>
      <c r="C27" s="35" t="s">
        <v>630</v>
      </c>
      <c r="D27" s="12" t="s">
        <v>657</v>
      </c>
      <c r="E27" s="12" t="s">
        <v>658</v>
      </c>
      <c r="F27" s="7"/>
      <c r="G27" s="7"/>
      <c r="H27" s="7"/>
    </row>
    <row r="28" spans="1:8" ht="26.5" x14ac:dyDescent="0.35">
      <c r="A28" s="7" t="s">
        <v>659</v>
      </c>
      <c r="B28" s="7" t="s">
        <v>343</v>
      </c>
      <c r="C28" s="35" t="s">
        <v>630</v>
      </c>
      <c r="D28" s="12" t="s">
        <v>660</v>
      </c>
      <c r="E28" s="12" t="s">
        <v>661</v>
      </c>
      <c r="F28" s="7"/>
      <c r="G28" s="7"/>
      <c r="H28" s="7"/>
    </row>
    <row r="29" spans="1:8" x14ac:dyDescent="0.35">
      <c r="A29" s="7" t="s">
        <v>659</v>
      </c>
      <c r="B29" s="7" t="s">
        <v>662</v>
      </c>
      <c r="C29" s="35" t="s">
        <v>630</v>
      </c>
      <c r="D29" s="12" t="s">
        <v>663</v>
      </c>
      <c r="E29" s="12" t="s">
        <v>664</v>
      </c>
      <c r="F29" s="7"/>
      <c r="G29" s="7"/>
      <c r="H29" s="7"/>
    </row>
    <row r="30" spans="1:8" x14ac:dyDescent="0.35">
      <c r="A30" s="7" t="s">
        <v>659</v>
      </c>
      <c r="B30" s="7" t="s">
        <v>665</v>
      </c>
      <c r="C30" s="35" t="s">
        <v>630</v>
      </c>
      <c r="D30" s="12" t="s">
        <v>666</v>
      </c>
      <c r="E30" s="12" t="s">
        <v>667</v>
      </c>
      <c r="F30" s="7"/>
      <c r="G30" s="7"/>
      <c r="H30" s="7"/>
    </row>
    <row r="31" spans="1:8" x14ac:dyDescent="0.35">
      <c r="A31" s="7" t="s">
        <v>668</v>
      </c>
      <c r="B31" s="7" t="s">
        <v>669</v>
      </c>
      <c r="C31" s="35" t="s">
        <v>630</v>
      </c>
      <c r="D31" s="12" t="s">
        <v>670</v>
      </c>
      <c r="E31" s="12" t="s">
        <v>671</v>
      </c>
      <c r="F31" s="7"/>
      <c r="G31" s="7"/>
      <c r="H31" s="7"/>
    </row>
    <row r="32" spans="1:8" x14ac:dyDescent="0.35">
      <c r="A32" s="7" t="s">
        <v>668</v>
      </c>
      <c r="B32" s="7" t="s">
        <v>672</v>
      </c>
      <c r="C32" s="35" t="s">
        <v>630</v>
      </c>
      <c r="D32" s="12" t="s">
        <v>673</v>
      </c>
      <c r="E32" s="12" t="s">
        <v>674</v>
      </c>
      <c r="F32" s="7"/>
      <c r="G32" s="7"/>
      <c r="H32" s="7"/>
    </row>
    <row r="33" spans="1:8" ht="26.5" x14ac:dyDescent="0.35">
      <c r="A33" s="7" t="s">
        <v>668</v>
      </c>
      <c r="B33" s="7" t="s">
        <v>675</v>
      </c>
      <c r="C33" s="36" t="s">
        <v>634</v>
      </c>
      <c r="D33" s="12" t="s">
        <v>676</v>
      </c>
      <c r="E33" s="12" t="s">
        <v>677</v>
      </c>
      <c r="F33" s="7"/>
      <c r="G33" s="7"/>
      <c r="H33" s="7"/>
    </row>
    <row r="34" spans="1:8" x14ac:dyDescent="0.35">
      <c r="A34" s="7"/>
      <c r="B34" s="7"/>
      <c r="C34" s="7"/>
      <c r="D34" s="12"/>
      <c r="E34" s="12"/>
      <c r="F34" s="7"/>
      <c r="G34" s="7"/>
      <c r="H34" s="7"/>
    </row>
    <row r="35" spans="1:8" x14ac:dyDescent="0.35">
      <c r="A35" s="7"/>
      <c r="B35" s="7"/>
      <c r="C35" s="7"/>
      <c r="D35" s="12"/>
      <c r="E35" s="12"/>
      <c r="F35" s="7"/>
      <c r="G35" s="7"/>
      <c r="H35" s="7"/>
    </row>
    <row r="36" spans="1:8" x14ac:dyDescent="0.35">
      <c r="A36" s="9" t="s">
        <v>681</v>
      </c>
      <c r="B36" s="9"/>
      <c r="C36" s="9"/>
      <c r="D36" s="24"/>
      <c r="E36" s="24"/>
      <c r="F36" s="9"/>
      <c r="G36" s="9"/>
      <c r="H36" s="9"/>
    </row>
    <row r="37" spans="1:8" x14ac:dyDescent="0.35">
      <c r="A37" s="9" t="s">
        <v>678</v>
      </c>
      <c r="B37" s="9" t="s">
        <v>679</v>
      </c>
      <c r="C37" s="9" t="s">
        <v>680</v>
      </c>
      <c r="D37" s="12"/>
      <c r="E37" s="12"/>
      <c r="F37" s="7"/>
      <c r="G37" s="7"/>
      <c r="H37" s="7"/>
    </row>
    <row r="38" spans="1:8" x14ac:dyDescent="0.35">
      <c r="A38" s="37" t="s">
        <v>682</v>
      </c>
      <c r="B38" s="7" t="s">
        <v>683</v>
      </c>
      <c r="C38" s="35" t="b">
        <v>0</v>
      </c>
      <c r="D38" s="12"/>
      <c r="E38" s="12"/>
      <c r="F38" s="7"/>
      <c r="G38" s="7"/>
      <c r="H38" s="7"/>
    </row>
    <row r="39" spans="1:8" x14ac:dyDescent="0.35">
      <c r="A39" s="37" t="s">
        <v>684</v>
      </c>
      <c r="B39" s="7" t="s">
        <v>685</v>
      </c>
      <c r="C39" s="37" t="b">
        <f>AND('Control Tower Dashboard'!A5&gt;0,'Control Tower Dashboard'!C5&gt;0,'Control Tower Dashboard'!E5&gt;0)</f>
        <v>1</v>
      </c>
      <c r="D39" s="12"/>
      <c r="E39" s="12"/>
      <c r="F39" s="7"/>
      <c r="G39" s="7"/>
      <c r="H39" s="7"/>
    </row>
    <row r="40" spans="1:8" x14ac:dyDescent="0.35">
      <c r="A40" s="7" t="s">
        <v>686</v>
      </c>
      <c r="B40" s="7" t="s">
        <v>687</v>
      </c>
      <c r="C40" s="35" t="str">
        <f>IF(C38=TRUE,"READY FOR FULL 3S CHECKS",IF(C39=TRUE,"PARTIAL — EVM/cost data available; IS/BS/CF missing","NOT READY"))</f>
        <v>PARTIAL — EVM/cost data available; IS/BS/CF missing</v>
      </c>
      <c r="D40" s="12"/>
      <c r="E40" s="12"/>
      <c r="F40" s="7"/>
      <c r="G40" s="7"/>
      <c r="H40" s="7"/>
    </row>
  </sheetData>
  <mergeCells count="4">
    <mergeCell ref="A1:H1"/>
    <mergeCell ref="A2:H2"/>
    <mergeCell ref="A4:H4"/>
    <mergeCell ref="A5:H8"/>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3F5D1-EF4A-4511-8BF7-04434B8D0AF1}">
  <dimension ref="A1:H47"/>
  <sheetViews>
    <sheetView workbookViewId="0">
      <selection sqref="A1:H1"/>
    </sheetView>
  </sheetViews>
  <sheetFormatPr defaultRowHeight="14.5" x14ac:dyDescent="0.35"/>
  <cols>
    <col min="1" max="1" width="25.453125" customWidth="1"/>
    <col min="2" max="2" width="32.7265625" style="2" customWidth="1"/>
    <col min="3" max="3" width="38.1796875" style="2" customWidth="1"/>
    <col min="4" max="4" width="40" style="2" customWidth="1"/>
    <col min="5" max="5" width="14.54296875" customWidth="1"/>
  </cols>
  <sheetData>
    <row r="1" spans="1:8" x14ac:dyDescent="0.35">
      <c r="A1" s="6" t="s">
        <v>688</v>
      </c>
      <c r="B1" s="26"/>
      <c r="C1" s="26"/>
      <c r="D1" s="26"/>
      <c r="E1" s="6"/>
      <c r="F1" s="6"/>
      <c r="G1" s="6"/>
      <c r="H1" s="6"/>
    </row>
    <row r="2" spans="1:8" x14ac:dyDescent="0.35">
      <c r="A2" s="8" t="s">
        <v>689</v>
      </c>
      <c r="B2" s="27"/>
      <c r="C2" s="27"/>
      <c r="D2" s="27"/>
      <c r="E2" s="8"/>
      <c r="F2" s="8"/>
      <c r="G2" s="8"/>
      <c r="H2" s="8"/>
    </row>
    <row r="3" spans="1:8" x14ac:dyDescent="0.35">
      <c r="A3" s="7"/>
      <c r="B3" s="12"/>
      <c r="C3" s="12"/>
      <c r="D3" s="12"/>
      <c r="E3" s="7"/>
      <c r="F3" s="7"/>
      <c r="G3" s="7"/>
      <c r="H3" s="7"/>
    </row>
    <row r="4" spans="1:8" x14ac:dyDescent="0.35">
      <c r="A4" s="9" t="s">
        <v>690</v>
      </c>
      <c r="B4" s="24"/>
      <c r="C4" s="24"/>
      <c r="D4" s="24"/>
      <c r="E4" s="9"/>
      <c r="F4" s="9"/>
      <c r="G4" s="9"/>
      <c r="H4" s="9"/>
    </row>
    <row r="5" spans="1:8" x14ac:dyDescent="0.35">
      <c r="A5" s="12"/>
      <c r="B5" s="12"/>
      <c r="C5" s="12"/>
      <c r="D5" s="12"/>
      <c r="E5" s="12"/>
      <c r="F5" s="12"/>
      <c r="G5" s="12"/>
      <c r="H5" s="12"/>
    </row>
    <row r="6" spans="1:8" x14ac:dyDescent="0.35">
      <c r="A6" s="12" t="s">
        <v>691</v>
      </c>
      <c r="B6" s="12" t="s">
        <v>541</v>
      </c>
      <c r="C6" s="12" t="s">
        <v>692</v>
      </c>
      <c r="D6" s="12" t="s">
        <v>693</v>
      </c>
      <c r="E6" s="12" t="s">
        <v>694</v>
      </c>
      <c r="F6" s="12"/>
      <c r="G6" s="12"/>
      <c r="H6" s="12"/>
    </row>
    <row r="7" spans="1:8" ht="39.5" x14ac:dyDescent="0.35">
      <c r="A7" s="12" t="s">
        <v>695</v>
      </c>
      <c r="B7" s="12" t="s">
        <v>696</v>
      </c>
      <c r="C7" s="12" t="s">
        <v>697</v>
      </c>
      <c r="D7" s="12" t="s">
        <v>698</v>
      </c>
      <c r="E7" s="12">
        <v>1</v>
      </c>
      <c r="F7" s="12"/>
      <c r="G7" s="12"/>
      <c r="H7" s="12"/>
    </row>
    <row r="8" spans="1:8" ht="26.5" x14ac:dyDescent="0.35">
      <c r="A8" s="12" t="s">
        <v>628</v>
      </c>
      <c r="B8" s="12" t="s">
        <v>699</v>
      </c>
      <c r="C8" s="12" t="s">
        <v>700</v>
      </c>
      <c r="D8" s="12" t="s">
        <v>701</v>
      </c>
      <c r="E8" s="12">
        <v>2</v>
      </c>
      <c r="F8" s="12"/>
      <c r="G8" s="12"/>
      <c r="H8" s="12"/>
    </row>
    <row r="9" spans="1:8" ht="26.5" x14ac:dyDescent="0.35">
      <c r="A9" s="7" t="s">
        <v>650</v>
      </c>
      <c r="B9" s="12" t="s">
        <v>702</v>
      </c>
      <c r="C9" s="12" t="s">
        <v>703</v>
      </c>
      <c r="D9" s="12" t="s">
        <v>704</v>
      </c>
      <c r="E9" s="7">
        <v>3</v>
      </c>
      <c r="F9" s="7"/>
      <c r="G9" s="7"/>
      <c r="H9" s="7"/>
    </row>
    <row r="10" spans="1:8" ht="26.5" x14ac:dyDescent="0.35">
      <c r="A10" s="7" t="s">
        <v>653</v>
      </c>
      <c r="B10" s="12" t="s">
        <v>705</v>
      </c>
      <c r="C10" s="12" t="s">
        <v>706</v>
      </c>
      <c r="D10" s="12" t="s">
        <v>707</v>
      </c>
      <c r="E10" s="7">
        <v>4</v>
      </c>
      <c r="F10" s="7"/>
      <c r="G10" s="7"/>
      <c r="H10" s="7"/>
    </row>
    <row r="11" spans="1:8" ht="26.5" x14ac:dyDescent="0.35">
      <c r="A11" s="7" t="s">
        <v>708</v>
      </c>
      <c r="B11" s="12" t="s">
        <v>709</v>
      </c>
      <c r="C11" s="12" t="s">
        <v>710</v>
      </c>
      <c r="D11" s="12" t="s">
        <v>711</v>
      </c>
      <c r="E11" s="7">
        <v>5</v>
      </c>
      <c r="F11" s="7"/>
      <c r="G11" s="7"/>
      <c r="H11" s="7"/>
    </row>
    <row r="12" spans="1:8" ht="26.5" x14ac:dyDescent="0.35">
      <c r="A12" s="7" t="s">
        <v>646</v>
      </c>
      <c r="B12" s="12" t="s">
        <v>712</v>
      </c>
      <c r="C12" s="12" t="s">
        <v>713</v>
      </c>
      <c r="D12" s="12" t="s">
        <v>714</v>
      </c>
      <c r="E12" s="7">
        <v>6</v>
      </c>
      <c r="F12" s="7"/>
      <c r="G12" s="7"/>
      <c r="H12" s="7"/>
    </row>
    <row r="13" spans="1:8" x14ac:dyDescent="0.35">
      <c r="A13" s="7" t="s">
        <v>659</v>
      </c>
      <c r="B13" s="12" t="s">
        <v>715</v>
      </c>
      <c r="C13" s="12" t="s">
        <v>716</v>
      </c>
      <c r="D13" s="12" t="s">
        <v>717</v>
      </c>
      <c r="E13" s="7">
        <v>7</v>
      </c>
      <c r="F13" s="7"/>
      <c r="G13" s="7"/>
      <c r="H13" s="7"/>
    </row>
    <row r="14" spans="1:8" ht="26.5" x14ac:dyDescent="0.35">
      <c r="A14" s="7" t="s">
        <v>718</v>
      </c>
      <c r="B14" s="12" t="s">
        <v>719</v>
      </c>
      <c r="C14" s="12" t="s">
        <v>720</v>
      </c>
      <c r="D14" s="12" t="s">
        <v>721</v>
      </c>
      <c r="E14" s="7">
        <v>8</v>
      </c>
      <c r="F14" s="7"/>
      <c r="G14" s="7"/>
      <c r="H14" s="7"/>
    </row>
    <row r="15" spans="1:8" x14ac:dyDescent="0.35">
      <c r="A15" s="7"/>
      <c r="B15" s="12"/>
      <c r="C15" s="12"/>
      <c r="D15" s="12"/>
      <c r="E15" s="7"/>
      <c r="F15" s="7"/>
      <c r="G15" s="7"/>
      <c r="H15" s="7"/>
    </row>
    <row r="16" spans="1:8" x14ac:dyDescent="0.35">
      <c r="A16" s="7"/>
      <c r="B16" s="12"/>
      <c r="C16" s="12"/>
      <c r="D16" s="12"/>
      <c r="E16" s="7"/>
      <c r="F16" s="7"/>
      <c r="G16" s="7"/>
      <c r="H16" s="7"/>
    </row>
    <row r="17" spans="1:8" x14ac:dyDescent="0.35">
      <c r="A17" s="7"/>
      <c r="B17" s="12"/>
      <c r="C17" s="12"/>
      <c r="D17" s="12"/>
      <c r="E17" s="7"/>
      <c r="F17" s="7"/>
      <c r="G17" s="7"/>
      <c r="H17" s="7"/>
    </row>
    <row r="18" spans="1:8" x14ac:dyDescent="0.35">
      <c r="A18" s="9" t="s">
        <v>722</v>
      </c>
      <c r="B18" s="24"/>
      <c r="C18" s="24"/>
      <c r="D18" s="24"/>
      <c r="E18" s="9"/>
      <c r="F18" s="9"/>
      <c r="G18" s="9"/>
      <c r="H18" s="9"/>
    </row>
    <row r="19" spans="1:8" x14ac:dyDescent="0.35">
      <c r="A19" s="7"/>
      <c r="B19" s="12"/>
      <c r="C19" s="12"/>
      <c r="D19" s="12"/>
      <c r="E19" s="7"/>
      <c r="F19" s="7"/>
      <c r="G19" s="7"/>
      <c r="H19" s="7"/>
    </row>
    <row r="20" spans="1:8" x14ac:dyDescent="0.35">
      <c r="A20" s="7" t="s">
        <v>723</v>
      </c>
      <c r="B20" s="12" t="s">
        <v>724</v>
      </c>
      <c r="C20" s="12" t="s">
        <v>725</v>
      </c>
      <c r="D20" s="12" t="s">
        <v>726</v>
      </c>
      <c r="E20" s="7"/>
      <c r="F20" s="7"/>
      <c r="G20" s="7"/>
      <c r="H20" s="7"/>
    </row>
    <row r="21" spans="1:8" ht="26.5" x14ac:dyDescent="0.35">
      <c r="A21" s="7" t="s">
        <v>727</v>
      </c>
      <c r="B21" s="12" t="s">
        <v>728</v>
      </c>
      <c r="C21" s="12" t="s">
        <v>729</v>
      </c>
      <c r="D21" s="12" t="s">
        <v>730</v>
      </c>
      <c r="E21" s="7"/>
      <c r="F21" s="7"/>
      <c r="G21" s="7"/>
      <c r="H21" s="7"/>
    </row>
    <row r="22" spans="1:8" ht="26.5" x14ac:dyDescent="0.35">
      <c r="A22" s="7" t="s">
        <v>731</v>
      </c>
      <c r="B22" s="12" t="s">
        <v>732</v>
      </c>
      <c r="C22" s="12" t="s">
        <v>733</v>
      </c>
      <c r="D22" s="12" t="s">
        <v>734</v>
      </c>
      <c r="E22" s="7"/>
      <c r="F22" s="7"/>
      <c r="G22" s="7"/>
      <c r="H22" s="7"/>
    </row>
    <row r="23" spans="1:8" ht="26.5" x14ac:dyDescent="0.35">
      <c r="A23" s="7" t="s">
        <v>735</v>
      </c>
      <c r="B23" s="12" t="s">
        <v>736</v>
      </c>
      <c r="C23" s="12" t="s">
        <v>737</v>
      </c>
      <c r="D23" s="12" t="s">
        <v>738</v>
      </c>
      <c r="E23" s="7"/>
      <c r="F23" s="7"/>
      <c r="G23" s="7"/>
      <c r="H23" s="7"/>
    </row>
    <row r="24" spans="1:8" ht="26.5" x14ac:dyDescent="0.35">
      <c r="A24" s="7" t="s">
        <v>739</v>
      </c>
      <c r="B24" s="12" t="s">
        <v>740</v>
      </c>
      <c r="C24" s="12" t="s">
        <v>741</v>
      </c>
      <c r="D24" s="12" t="s">
        <v>742</v>
      </c>
      <c r="E24" s="7"/>
      <c r="F24" s="7"/>
      <c r="G24" s="7"/>
      <c r="H24" s="7"/>
    </row>
    <row r="25" spans="1:8" ht="26.5" x14ac:dyDescent="0.35">
      <c r="A25" s="7" t="s">
        <v>743</v>
      </c>
      <c r="B25" s="12" t="s">
        <v>744</v>
      </c>
      <c r="C25" s="12" t="s">
        <v>745</v>
      </c>
      <c r="D25" s="12" t="s">
        <v>746</v>
      </c>
      <c r="E25" s="7"/>
      <c r="F25" s="7"/>
      <c r="G25" s="7"/>
      <c r="H25" s="7"/>
    </row>
    <row r="26" spans="1:8" x14ac:dyDescent="0.35">
      <c r="A26" s="7" t="s">
        <v>747</v>
      </c>
      <c r="B26" s="12" t="s">
        <v>748</v>
      </c>
      <c r="C26" s="12" t="s">
        <v>749</v>
      </c>
      <c r="D26" s="12" t="s">
        <v>750</v>
      </c>
      <c r="E26" s="7"/>
      <c r="F26" s="7"/>
      <c r="G26" s="7"/>
      <c r="H26" s="7"/>
    </row>
    <row r="27" spans="1:8" ht="26.5" x14ac:dyDescent="0.35">
      <c r="A27" s="7" t="s">
        <v>309</v>
      </c>
      <c r="B27" s="12" t="s">
        <v>751</v>
      </c>
      <c r="C27" s="12" t="s">
        <v>752</v>
      </c>
      <c r="D27" s="12" t="s">
        <v>753</v>
      </c>
      <c r="E27" s="7"/>
      <c r="F27" s="7"/>
      <c r="G27" s="7"/>
      <c r="H27" s="7"/>
    </row>
    <row r="28" spans="1:8" x14ac:dyDescent="0.35">
      <c r="A28" s="7"/>
      <c r="B28" s="12"/>
      <c r="C28" s="12"/>
      <c r="D28" s="12"/>
      <c r="E28" s="7"/>
      <c r="F28" s="7"/>
      <c r="G28" s="7"/>
      <c r="H28" s="7"/>
    </row>
    <row r="29" spans="1:8" x14ac:dyDescent="0.35">
      <c r="A29" s="7"/>
      <c r="B29" s="12"/>
      <c r="C29" s="12"/>
      <c r="D29" s="12"/>
      <c r="E29" s="7"/>
      <c r="F29" s="7"/>
      <c r="G29" s="7"/>
      <c r="H29" s="7"/>
    </row>
    <row r="30" spans="1:8" x14ac:dyDescent="0.35">
      <c r="A30" s="7"/>
      <c r="B30" s="12"/>
      <c r="C30" s="12"/>
      <c r="D30" s="12"/>
      <c r="E30" s="7"/>
      <c r="F30" s="7"/>
      <c r="G30" s="7"/>
      <c r="H30" s="7"/>
    </row>
    <row r="31" spans="1:8" x14ac:dyDescent="0.35">
      <c r="A31" s="9" t="s">
        <v>754</v>
      </c>
      <c r="B31" s="24"/>
      <c r="C31" s="24"/>
      <c r="D31" s="24"/>
      <c r="E31" s="9"/>
      <c r="F31" s="9"/>
      <c r="G31" s="9"/>
      <c r="H31" s="9"/>
    </row>
    <row r="32" spans="1:8" x14ac:dyDescent="0.35">
      <c r="A32" s="7"/>
      <c r="B32" s="12"/>
      <c r="C32" s="12"/>
      <c r="D32" s="12"/>
      <c r="E32" s="7"/>
      <c r="F32" s="7"/>
      <c r="G32" s="7"/>
      <c r="H32" s="7"/>
    </row>
    <row r="33" spans="1:8" x14ac:dyDescent="0.35">
      <c r="A33" s="7" t="s">
        <v>678</v>
      </c>
      <c r="B33" s="12" t="s">
        <v>755</v>
      </c>
      <c r="C33" s="12" t="s">
        <v>756</v>
      </c>
      <c r="D33" s="12"/>
      <c r="E33" s="7"/>
      <c r="F33" s="7"/>
      <c r="G33" s="7"/>
      <c r="H33" s="7"/>
    </row>
    <row r="34" spans="1:8" ht="26.5" x14ac:dyDescent="0.35">
      <c r="A34" s="7" t="s">
        <v>757</v>
      </c>
      <c r="B34" s="12" t="s">
        <v>758</v>
      </c>
      <c r="C34" s="12">
        <v>0</v>
      </c>
      <c r="D34" s="12"/>
      <c r="E34" s="7"/>
      <c r="F34" s="7"/>
      <c r="G34" s="7"/>
      <c r="H34" s="7"/>
    </row>
    <row r="35" spans="1:8" x14ac:dyDescent="0.35">
      <c r="A35" s="7" t="s">
        <v>672</v>
      </c>
      <c r="B35" s="12" t="s">
        <v>759</v>
      </c>
      <c r="C35" s="12">
        <v>0</v>
      </c>
      <c r="D35" s="12"/>
      <c r="E35" s="7"/>
      <c r="F35" s="7"/>
      <c r="G35" s="7"/>
      <c r="H35" s="7"/>
    </row>
    <row r="36" spans="1:8" x14ac:dyDescent="0.35">
      <c r="A36" s="7" t="s">
        <v>760</v>
      </c>
      <c r="B36" s="12" t="s">
        <v>761</v>
      </c>
      <c r="C36" s="12">
        <v>0</v>
      </c>
      <c r="D36" s="12"/>
      <c r="E36" s="7"/>
      <c r="F36" s="7"/>
      <c r="G36" s="7"/>
      <c r="H36" s="7"/>
    </row>
    <row r="37" spans="1:8" ht="26.5" x14ac:dyDescent="0.35">
      <c r="A37" s="7" t="s">
        <v>762</v>
      </c>
      <c r="B37" s="12" t="s">
        <v>763</v>
      </c>
      <c r="C37" s="12">
        <v>0</v>
      </c>
      <c r="D37" s="12"/>
      <c r="E37" s="7"/>
      <c r="F37" s="7"/>
      <c r="G37" s="7"/>
      <c r="H37" s="7"/>
    </row>
    <row r="38" spans="1:8" ht="26.5" x14ac:dyDescent="0.35">
      <c r="A38" s="7" t="s">
        <v>764</v>
      </c>
      <c r="B38" s="12" t="s">
        <v>765</v>
      </c>
      <c r="C38" s="12">
        <v>0</v>
      </c>
      <c r="D38" s="12"/>
      <c r="E38" s="7"/>
      <c r="F38" s="7"/>
      <c r="G38" s="7"/>
      <c r="H38" s="7"/>
    </row>
    <row r="39" spans="1:8" ht="26.5" x14ac:dyDescent="0.35">
      <c r="A39" s="7" t="s">
        <v>766</v>
      </c>
      <c r="B39" s="12" t="s">
        <v>767</v>
      </c>
      <c r="C39" s="12">
        <v>0</v>
      </c>
      <c r="D39" s="12"/>
      <c r="E39" s="7"/>
      <c r="F39" s="7"/>
      <c r="G39" s="7"/>
      <c r="H39" s="7"/>
    </row>
    <row r="40" spans="1:8" x14ac:dyDescent="0.35">
      <c r="A40" s="7"/>
      <c r="B40" s="12"/>
      <c r="C40" s="12"/>
      <c r="D40" s="12"/>
      <c r="E40" s="7"/>
      <c r="F40" s="7"/>
      <c r="G40" s="7"/>
      <c r="H40" s="7"/>
    </row>
    <row r="41" spans="1:8" x14ac:dyDescent="0.35">
      <c r="A41" s="7"/>
      <c r="B41" s="12"/>
      <c r="C41" s="12"/>
      <c r="D41" s="12"/>
      <c r="E41" s="7"/>
      <c r="F41" s="7"/>
      <c r="G41" s="7"/>
      <c r="H41" s="7"/>
    </row>
    <row r="42" spans="1:8" x14ac:dyDescent="0.35">
      <c r="A42" s="9" t="s">
        <v>768</v>
      </c>
      <c r="B42" s="24"/>
      <c r="C42" s="24"/>
      <c r="D42" s="24"/>
      <c r="E42" s="9"/>
      <c r="F42" s="9"/>
      <c r="G42" s="9"/>
      <c r="H42" s="9"/>
    </row>
    <row r="43" spans="1:8" x14ac:dyDescent="0.35">
      <c r="A43" s="9" t="s">
        <v>769</v>
      </c>
      <c r="B43" s="24" t="s">
        <v>770</v>
      </c>
      <c r="C43" s="24" t="s">
        <v>771</v>
      </c>
      <c r="D43" s="24" t="s">
        <v>772</v>
      </c>
      <c r="E43" s="7"/>
      <c r="F43" s="7"/>
      <c r="G43" s="7"/>
      <c r="H43" s="7"/>
    </row>
    <row r="44" spans="1:8" x14ac:dyDescent="0.35">
      <c r="A44" s="7" t="s">
        <v>773</v>
      </c>
      <c r="B44" s="12" t="s">
        <v>774</v>
      </c>
      <c r="C44" s="12" t="s">
        <v>775</v>
      </c>
      <c r="D44" s="12" t="s">
        <v>776</v>
      </c>
      <c r="E44" s="7"/>
      <c r="F44" s="7"/>
      <c r="G44" s="7"/>
      <c r="H44" s="7"/>
    </row>
    <row r="45" spans="1:8" x14ac:dyDescent="0.35">
      <c r="A45" s="7" t="s">
        <v>777</v>
      </c>
      <c r="B45" s="12" t="s">
        <v>778</v>
      </c>
      <c r="C45" s="12" t="s">
        <v>779</v>
      </c>
      <c r="D45" s="12" t="s">
        <v>780</v>
      </c>
      <c r="E45" s="7"/>
      <c r="F45" s="7"/>
      <c r="G45" s="7"/>
      <c r="H45" s="7"/>
    </row>
    <row r="46" spans="1:8" x14ac:dyDescent="0.35">
      <c r="A46" s="7" t="s">
        <v>781</v>
      </c>
      <c r="B46" s="12" t="s">
        <v>782</v>
      </c>
      <c r="C46" s="12" t="s">
        <v>783</v>
      </c>
      <c r="D46" s="12" t="s">
        <v>784</v>
      </c>
      <c r="E46" s="7"/>
      <c r="F46" s="7"/>
      <c r="G46" s="7"/>
      <c r="H46" s="7"/>
    </row>
    <row r="47" spans="1:8" x14ac:dyDescent="0.35">
      <c r="A47" s="7" t="s">
        <v>785</v>
      </c>
      <c r="B47" s="12" t="s">
        <v>786</v>
      </c>
      <c r="C47" s="12" t="s">
        <v>787</v>
      </c>
      <c r="D47" s="12" t="s">
        <v>788</v>
      </c>
      <c r="E47" s="7"/>
      <c r="F47" s="7"/>
      <c r="G47" s="7"/>
      <c r="H47" s="7"/>
    </row>
  </sheetData>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workbookViewId="0">
      <selection sqref="A1:N1"/>
    </sheetView>
  </sheetViews>
  <sheetFormatPr defaultRowHeight="14.5" x14ac:dyDescent="0.35"/>
  <cols>
    <col min="1" max="1" width="8.81640625" bestFit="1" customWidth="1"/>
    <col min="2" max="2" width="33.90625" bestFit="1" customWidth="1"/>
    <col min="3" max="3" width="9.26953125" bestFit="1" customWidth="1"/>
    <col min="4" max="4" width="10.08984375" bestFit="1" customWidth="1"/>
    <col min="5" max="5" width="13.6328125" bestFit="1" customWidth="1"/>
    <col min="6" max="6" width="9.6328125" bestFit="1" customWidth="1"/>
    <col min="7" max="7" width="13.08984375" bestFit="1" customWidth="1"/>
    <col min="8" max="8" width="7.7265625" bestFit="1" customWidth="1"/>
    <col min="9" max="9" width="6.1796875" bestFit="1" customWidth="1"/>
    <col min="10" max="11" width="6.54296875" bestFit="1" customWidth="1"/>
    <col min="12" max="12" width="6.26953125" bestFit="1" customWidth="1"/>
    <col min="13" max="13" width="6.81640625" bestFit="1" customWidth="1"/>
    <col min="14" max="14" width="6.26953125" bestFit="1" customWidth="1"/>
  </cols>
  <sheetData>
    <row r="1" spans="1:14" x14ac:dyDescent="0.35">
      <c r="A1" s="57" t="s">
        <v>348</v>
      </c>
      <c r="B1" s="63"/>
      <c r="C1" s="63"/>
      <c r="D1" s="63"/>
      <c r="E1" s="63"/>
      <c r="F1" s="63"/>
      <c r="G1" s="63"/>
      <c r="H1" s="63"/>
      <c r="I1" s="63"/>
      <c r="J1" s="63"/>
      <c r="K1" s="63"/>
      <c r="L1" s="63"/>
      <c r="M1" s="63"/>
      <c r="N1" s="63"/>
    </row>
    <row r="2" spans="1:14" x14ac:dyDescent="0.35">
      <c r="A2" s="64" t="s">
        <v>349</v>
      </c>
      <c r="B2" s="63"/>
      <c r="C2" s="63"/>
      <c r="D2" s="63"/>
      <c r="E2" s="63"/>
      <c r="F2" s="63"/>
      <c r="G2" s="63"/>
      <c r="H2" s="63"/>
      <c r="I2" s="63"/>
      <c r="J2" s="63"/>
      <c r="K2" s="63"/>
      <c r="L2" s="63"/>
      <c r="M2" s="63"/>
      <c r="N2" s="63"/>
    </row>
    <row r="3" spans="1:14" x14ac:dyDescent="0.35">
      <c r="A3" s="7"/>
      <c r="B3" s="7"/>
      <c r="C3" s="7"/>
      <c r="D3" s="7"/>
      <c r="E3" s="7"/>
      <c r="F3" s="7"/>
      <c r="G3" s="7"/>
      <c r="H3" s="7"/>
      <c r="I3" s="7"/>
      <c r="J3" s="7"/>
      <c r="K3" s="7"/>
      <c r="L3" s="7"/>
      <c r="M3" s="7"/>
      <c r="N3" s="7"/>
    </row>
    <row r="4" spans="1:14" x14ac:dyDescent="0.35">
      <c r="A4" s="7"/>
      <c r="B4" s="7"/>
      <c r="C4" s="7"/>
      <c r="D4" s="7"/>
      <c r="E4" s="7"/>
      <c r="F4" s="7"/>
      <c r="G4" s="7"/>
      <c r="H4" s="7"/>
      <c r="I4" s="7"/>
      <c r="J4" s="7"/>
      <c r="K4" s="7"/>
      <c r="L4" s="7"/>
      <c r="M4" s="7"/>
      <c r="N4" s="7"/>
    </row>
    <row r="5" spans="1:14" x14ac:dyDescent="0.35">
      <c r="A5" s="9" t="s">
        <v>8</v>
      </c>
      <c r="B5" s="9" t="s">
        <v>350</v>
      </c>
      <c r="C5" s="9" t="s">
        <v>49</v>
      </c>
      <c r="D5" s="9" t="s">
        <v>50</v>
      </c>
      <c r="E5" s="9" t="s">
        <v>51</v>
      </c>
      <c r="F5" s="9" t="s">
        <v>12</v>
      </c>
      <c r="G5" s="9" t="s">
        <v>322</v>
      </c>
      <c r="H5" s="9" t="s">
        <v>52</v>
      </c>
      <c r="I5" s="18">
        <v>46023</v>
      </c>
      <c r="J5" s="18">
        <v>46054</v>
      </c>
      <c r="K5" s="18">
        <v>46082</v>
      </c>
      <c r="L5" s="18">
        <v>46113</v>
      </c>
      <c r="M5" s="18">
        <v>46143</v>
      </c>
      <c r="N5" s="18">
        <v>46174</v>
      </c>
    </row>
    <row r="6" spans="1:14" x14ac:dyDescent="0.35">
      <c r="A6" s="7" t="s">
        <v>13</v>
      </c>
      <c r="B6" s="7" t="s">
        <v>14</v>
      </c>
      <c r="C6" s="19">
        <v>46023</v>
      </c>
      <c r="D6" s="19">
        <v>46203</v>
      </c>
      <c r="E6" s="7">
        <f t="shared" ref="E6:E11" si="0">D6-C6+1</f>
        <v>181</v>
      </c>
      <c r="F6" s="37" t="s">
        <v>143</v>
      </c>
      <c r="G6" s="7" t="s">
        <v>15</v>
      </c>
      <c r="H6" s="35" t="s">
        <v>53</v>
      </c>
      <c r="I6" s="7" t="str">
        <f t="shared" ref="I6:I11" si="1">IF(AND(DATE(2026,1,1)&lt;=$D6,EOMONTH(DATE(2026,1,1),0)&gt;=$C6),"■","")</f>
        <v>■</v>
      </c>
      <c r="J6" s="7" t="str">
        <f t="shared" ref="J6:J11" si="2">IF(AND(DATE(2026,2,1)&lt;=$D6,EOMONTH(DATE(2026,2,1),0)&gt;=$C6),"■","")</f>
        <v>■</v>
      </c>
      <c r="K6" s="7" t="str">
        <f t="shared" ref="K6:K11" si="3">IF(AND(DATE(2026,3,1)&lt;=$D6,EOMONTH(DATE(2026,3,1),0)&gt;=$C6),"■","")</f>
        <v>■</v>
      </c>
      <c r="L6" s="7" t="str">
        <f t="shared" ref="L6:L11" si="4">IF(AND(DATE(2026,4,1)&lt;=$D6,EOMONTH(DATE(2026,4,1),0)&gt;=$C6),"■","")</f>
        <v>■</v>
      </c>
      <c r="M6" s="7" t="str">
        <f t="shared" ref="M6:M11" si="5">IF(AND(DATE(2026,5,1)&lt;=$D6,EOMONTH(DATE(2026,5,1),0)&gt;=$C6),"■","")</f>
        <v>■</v>
      </c>
      <c r="N6" s="7" t="str">
        <f t="shared" ref="N6:N11" si="6">IF(AND(DATE(2026,6,1)&lt;=$D6,EOMONTH(DATE(2026,6,1),0)&gt;=$C6),"■","")</f>
        <v>■</v>
      </c>
    </row>
    <row r="7" spans="1:14" x14ac:dyDescent="0.35">
      <c r="A7" s="7" t="s">
        <v>16</v>
      </c>
      <c r="B7" s="7" t="s">
        <v>351</v>
      </c>
      <c r="C7" s="19">
        <v>46235</v>
      </c>
      <c r="D7" s="19">
        <v>46387</v>
      </c>
      <c r="E7" s="7">
        <f t="shared" si="0"/>
        <v>153</v>
      </c>
      <c r="F7" s="36" t="s">
        <v>144</v>
      </c>
      <c r="G7" s="7" t="s">
        <v>15</v>
      </c>
      <c r="H7" s="7" t="s">
        <v>352</v>
      </c>
      <c r="I7" s="7" t="str">
        <f t="shared" si="1"/>
        <v/>
      </c>
      <c r="J7" s="7" t="str">
        <f t="shared" si="2"/>
        <v/>
      </c>
      <c r="K7" s="7" t="str">
        <f t="shared" si="3"/>
        <v/>
      </c>
      <c r="L7" s="7" t="str">
        <f t="shared" si="4"/>
        <v/>
      </c>
      <c r="M7" s="7" t="str">
        <f t="shared" si="5"/>
        <v/>
      </c>
      <c r="N7" s="7" t="str">
        <f t="shared" si="6"/>
        <v/>
      </c>
    </row>
    <row r="8" spans="1:14" x14ac:dyDescent="0.35">
      <c r="A8" s="7" t="s">
        <v>19</v>
      </c>
      <c r="B8" s="7" t="s">
        <v>353</v>
      </c>
      <c r="C8" s="19">
        <v>46143</v>
      </c>
      <c r="D8" s="19">
        <v>46326</v>
      </c>
      <c r="E8" s="7">
        <f t="shared" si="0"/>
        <v>184</v>
      </c>
      <c r="F8" s="36" t="s">
        <v>108</v>
      </c>
      <c r="G8" s="7" t="s">
        <v>21</v>
      </c>
      <c r="H8" s="7" t="s">
        <v>352</v>
      </c>
      <c r="I8" s="7" t="str">
        <f t="shared" si="1"/>
        <v/>
      </c>
      <c r="J8" s="7" t="str">
        <f t="shared" si="2"/>
        <v/>
      </c>
      <c r="K8" s="7" t="str">
        <f t="shared" si="3"/>
        <v/>
      </c>
      <c r="L8" s="7" t="str">
        <f t="shared" si="4"/>
        <v/>
      </c>
      <c r="M8" s="7" t="str">
        <f t="shared" si="5"/>
        <v>■</v>
      </c>
      <c r="N8" s="7" t="str">
        <f t="shared" si="6"/>
        <v>■</v>
      </c>
    </row>
    <row r="9" spans="1:14" x14ac:dyDescent="0.35">
      <c r="A9" s="7" t="s">
        <v>22</v>
      </c>
      <c r="B9" s="7" t="s">
        <v>354</v>
      </c>
      <c r="C9" s="19">
        <v>46082</v>
      </c>
      <c r="D9" s="19">
        <v>46265</v>
      </c>
      <c r="E9" s="7">
        <f t="shared" si="0"/>
        <v>184</v>
      </c>
      <c r="F9" s="36" t="s">
        <v>108</v>
      </c>
      <c r="G9" s="7" t="s">
        <v>24</v>
      </c>
      <c r="H9" s="7" t="s">
        <v>53</v>
      </c>
      <c r="I9" s="7" t="str">
        <f t="shared" si="1"/>
        <v/>
      </c>
      <c r="J9" s="7" t="str">
        <f t="shared" si="2"/>
        <v/>
      </c>
      <c r="K9" s="7" t="str">
        <f t="shared" si="3"/>
        <v>■</v>
      </c>
      <c r="L9" s="7" t="str">
        <f t="shared" si="4"/>
        <v>■</v>
      </c>
      <c r="M9" s="7" t="str">
        <f t="shared" si="5"/>
        <v>■</v>
      </c>
      <c r="N9" s="7" t="str">
        <f t="shared" si="6"/>
        <v>■</v>
      </c>
    </row>
    <row r="10" spans="1:14" x14ac:dyDescent="0.35">
      <c r="A10" s="7" t="s">
        <v>25</v>
      </c>
      <c r="B10" s="7" t="s">
        <v>355</v>
      </c>
      <c r="C10" s="19">
        <v>46054</v>
      </c>
      <c r="D10" s="19">
        <v>46234</v>
      </c>
      <c r="E10" s="7">
        <f t="shared" si="0"/>
        <v>181</v>
      </c>
      <c r="F10" s="36" t="s">
        <v>108</v>
      </c>
      <c r="G10" s="7" t="s">
        <v>27</v>
      </c>
      <c r="H10" s="7" t="s">
        <v>53</v>
      </c>
      <c r="I10" s="7" t="str">
        <f t="shared" si="1"/>
        <v/>
      </c>
      <c r="J10" s="7" t="str">
        <f t="shared" si="2"/>
        <v>■</v>
      </c>
      <c r="K10" s="7" t="str">
        <f t="shared" si="3"/>
        <v>■</v>
      </c>
      <c r="L10" s="7" t="str">
        <f t="shared" si="4"/>
        <v>■</v>
      </c>
      <c r="M10" s="7" t="str">
        <f t="shared" si="5"/>
        <v>■</v>
      </c>
      <c r="N10" s="7" t="str">
        <f t="shared" si="6"/>
        <v>■</v>
      </c>
    </row>
    <row r="11" spans="1:14" x14ac:dyDescent="0.35">
      <c r="A11" s="7" t="s">
        <v>28</v>
      </c>
      <c r="B11" s="7" t="s">
        <v>356</v>
      </c>
      <c r="C11" s="19">
        <v>46113</v>
      </c>
      <c r="D11" s="19">
        <v>46173</v>
      </c>
      <c r="E11" s="7">
        <f t="shared" si="0"/>
        <v>61</v>
      </c>
      <c r="F11" s="37" t="s">
        <v>143</v>
      </c>
      <c r="G11" s="7" t="s">
        <v>15</v>
      </c>
      <c r="H11" s="7" t="s">
        <v>352</v>
      </c>
      <c r="I11" s="7" t="str">
        <f t="shared" si="1"/>
        <v/>
      </c>
      <c r="J11" s="7" t="str">
        <f t="shared" si="2"/>
        <v/>
      </c>
      <c r="K11" s="7" t="str">
        <f t="shared" si="3"/>
        <v/>
      </c>
      <c r="L11" s="7" t="str">
        <f t="shared" si="4"/>
        <v>■</v>
      </c>
      <c r="M11" s="7" t="str">
        <f t="shared" si="5"/>
        <v>■</v>
      </c>
      <c r="N11" s="7" t="str">
        <f t="shared" si="6"/>
        <v/>
      </c>
    </row>
  </sheetData>
  <mergeCells count="2">
    <mergeCell ref="A1:N1"/>
    <mergeCell ref="A2:N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
  <sheetViews>
    <sheetView workbookViewId="0">
      <selection sqref="A1:E1"/>
    </sheetView>
  </sheetViews>
  <sheetFormatPr defaultRowHeight="14.5" x14ac:dyDescent="0.35"/>
  <cols>
    <col min="1" max="1" width="24.90625" bestFit="1" customWidth="1"/>
    <col min="2" max="2" width="19.36328125" bestFit="1" customWidth="1"/>
    <col min="3" max="3" width="15.7265625" bestFit="1" customWidth="1"/>
    <col min="4" max="4" width="12.08984375" bestFit="1" customWidth="1"/>
    <col min="5" max="5" width="21" bestFit="1" customWidth="1"/>
  </cols>
  <sheetData>
    <row r="1" spans="1:5" x14ac:dyDescent="0.35">
      <c r="A1" s="57" t="s">
        <v>54</v>
      </c>
      <c r="B1" s="63"/>
      <c r="C1" s="63"/>
      <c r="D1" s="63"/>
      <c r="E1" s="63"/>
    </row>
    <row r="2" spans="1:5" x14ac:dyDescent="0.35">
      <c r="A2" s="64" t="s">
        <v>357</v>
      </c>
      <c r="B2" s="63"/>
      <c r="C2" s="63"/>
      <c r="D2" s="63"/>
      <c r="E2" s="63"/>
    </row>
    <row r="3" spans="1:5" x14ac:dyDescent="0.35">
      <c r="A3" s="7"/>
      <c r="B3" s="7"/>
      <c r="C3" s="7"/>
      <c r="D3" s="7"/>
      <c r="E3" s="7"/>
    </row>
    <row r="4" spans="1:5" x14ac:dyDescent="0.35">
      <c r="A4" s="7"/>
      <c r="B4" s="7"/>
      <c r="C4" s="7"/>
      <c r="D4" s="7"/>
      <c r="E4" s="7"/>
    </row>
    <row r="5" spans="1:5" x14ac:dyDescent="0.35">
      <c r="A5" s="7" t="s">
        <v>55</v>
      </c>
      <c r="B5" s="7"/>
      <c r="C5" s="7"/>
      <c r="D5" s="7"/>
      <c r="E5" s="7"/>
    </row>
    <row r="6" spans="1:5" x14ac:dyDescent="0.35">
      <c r="A6" s="9" t="s">
        <v>56</v>
      </c>
      <c r="B6" s="9" t="s">
        <v>57</v>
      </c>
      <c r="C6" s="9" t="s">
        <v>58</v>
      </c>
      <c r="D6" s="7"/>
      <c r="E6" s="7"/>
    </row>
    <row r="7" spans="1:5" x14ac:dyDescent="0.35">
      <c r="A7" s="7" t="s">
        <v>59</v>
      </c>
      <c r="B7" s="41">
        <f>SUM('EVM Data'!I6:I19)</f>
        <v>4148810</v>
      </c>
      <c r="C7" s="13">
        <f>B7/$B$9</f>
        <v>0.79466787720679355</v>
      </c>
      <c r="D7" s="7"/>
      <c r="E7" s="7"/>
    </row>
    <row r="8" spans="1:5" x14ac:dyDescent="0.35">
      <c r="A8" s="7" t="s">
        <v>60</v>
      </c>
      <c r="B8" s="15">
        <f>SUM('EVM Data'!J6:J19)</f>
        <v>1072000</v>
      </c>
      <c r="C8" s="13">
        <f>B8/$B$9</f>
        <v>0.20533212279320642</v>
      </c>
      <c r="D8" s="7"/>
      <c r="E8" s="7"/>
    </row>
    <row r="9" spans="1:5" x14ac:dyDescent="0.35">
      <c r="A9" s="7" t="s">
        <v>61</v>
      </c>
      <c r="B9" s="15">
        <f>SUM(B7:B8)</f>
        <v>5220810</v>
      </c>
      <c r="C9" s="13">
        <f>1</f>
        <v>1</v>
      </c>
      <c r="D9" s="7"/>
      <c r="E9" s="7"/>
    </row>
    <row r="10" spans="1:5" x14ac:dyDescent="0.35">
      <c r="A10" s="7"/>
      <c r="B10" s="7"/>
      <c r="C10" s="7"/>
      <c r="D10" s="7"/>
      <c r="E10" s="7"/>
    </row>
    <row r="11" spans="1:5" x14ac:dyDescent="0.35">
      <c r="A11" s="7"/>
      <c r="B11" s="7"/>
      <c r="C11" s="7"/>
      <c r="D11" s="7"/>
      <c r="E11" s="7"/>
    </row>
    <row r="12" spans="1:5" x14ac:dyDescent="0.35">
      <c r="A12" s="60" t="s">
        <v>62</v>
      </c>
      <c r="B12" s="63"/>
      <c r="C12" s="63"/>
      <c r="D12" s="63"/>
      <c r="E12" s="63"/>
    </row>
    <row r="13" spans="1:5" x14ac:dyDescent="0.35">
      <c r="A13" s="9" t="s">
        <v>63</v>
      </c>
      <c r="B13" s="9" t="s">
        <v>64</v>
      </c>
      <c r="C13" s="9" t="s">
        <v>65</v>
      </c>
      <c r="D13" s="9" t="s">
        <v>66</v>
      </c>
      <c r="E13" s="9" t="s">
        <v>67</v>
      </c>
    </row>
    <row r="14" spans="1:5" x14ac:dyDescent="0.35">
      <c r="A14" s="7" t="s">
        <v>24</v>
      </c>
      <c r="B14" s="7" t="s">
        <v>68</v>
      </c>
      <c r="C14" s="15">
        <v>700</v>
      </c>
      <c r="D14" s="49">
        <f>SUMIFS(Timesheets[HoursWorked],Timesheets[ResourceID],"RES-004")</f>
        <v>4290.1142857142995</v>
      </c>
      <c r="E14" s="15">
        <f>C14*D14</f>
        <v>3003080.0000000098</v>
      </c>
    </row>
    <row r="15" spans="1:5" x14ac:dyDescent="0.35">
      <c r="A15" s="7" t="s">
        <v>21</v>
      </c>
      <c r="B15" s="7" t="s">
        <v>69</v>
      </c>
      <c r="C15" s="15">
        <v>950</v>
      </c>
      <c r="D15" s="20">
        <f>SUMIFS(Timesheets[HoursWorked],Timesheets[ResourceID],"RES-003")</f>
        <v>1228.5052631578999</v>
      </c>
      <c r="E15" s="15">
        <f>C15*D15</f>
        <v>1167080.0000000049</v>
      </c>
    </row>
    <row r="16" spans="1:5" x14ac:dyDescent="0.35">
      <c r="A16" s="7" t="s">
        <v>70</v>
      </c>
      <c r="B16" s="7" t="s">
        <v>71</v>
      </c>
      <c r="C16" s="15">
        <v>750</v>
      </c>
      <c r="D16" s="20">
        <f>SUMIFS(Timesheets[HoursWorked],Timesheets[ResourceID],"RES-005")</f>
        <v>498.8</v>
      </c>
      <c r="E16" s="15">
        <f>C16*D16</f>
        <v>374100</v>
      </c>
    </row>
    <row r="17" spans="1:5" x14ac:dyDescent="0.35">
      <c r="A17" s="7" t="s">
        <v>15</v>
      </c>
      <c r="B17" s="7" t="s">
        <v>10</v>
      </c>
      <c r="C17" s="15">
        <v>1000</v>
      </c>
      <c r="D17" s="20">
        <f>SUMIFS(Timesheets[HoursWorked],Timesheets[ResourceID],"RES-002")</f>
        <v>743.5</v>
      </c>
      <c r="E17" s="15">
        <f>C17*D17</f>
        <v>743500</v>
      </c>
    </row>
    <row r="18" spans="1:5" x14ac:dyDescent="0.35">
      <c r="A18" s="7" t="s">
        <v>27</v>
      </c>
      <c r="B18" s="7" t="s">
        <v>72</v>
      </c>
      <c r="C18" s="15">
        <v>850</v>
      </c>
      <c r="D18" s="20">
        <f>SUMIFS(Timesheets[HoursWorked],Timesheets[ResourceID],"RES-001")</f>
        <v>382.3</v>
      </c>
      <c r="E18" s="15">
        <f>C18*D18</f>
        <v>324955</v>
      </c>
    </row>
  </sheetData>
  <mergeCells count="3">
    <mergeCell ref="A1:E1"/>
    <mergeCell ref="A2:E2"/>
    <mergeCell ref="A12:E12"/>
  </mergeCells>
  <conditionalFormatting sqref="B7:B9">
    <cfRule type="dataBar" priority="1">
      <dataBar>
        <cfvo type="min"/>
        <cfvo type="max"/>
        <color rgb="FF5B9BD5"/>
      </dataBar>
      <extLst>
        <ext xmlns:x14="http://schemas.microsoft.com/office/spreadsheetml/2009/9/main" uri="{B025F937-C7B1-47D3-B67F-A62EFF666E3E}">
          <x14:id>{A066B32C-CEFE-4B8E-8BBB-34BA8092988C}</x14:id>
        </ext>
      </extLst>
    </cfRule>
  </conditionalFormatting>
  <conditionalFormatting sqref="D14:E18">
    <cfRule type="dataBar" priority="2">
      <dataBar>
        <cfvo type="min"/>
        <cfvo type="max"/>
        <color rgb="FF5B9BD5"/>
      </dataBar>
      <extLst>
        <ext xmlns:x14="http://schemas.microsoft.com/office/spreadsheetml/2009/9/main" uri="{B025F937-C7B1-47D3-B67F-A62EFF666E3E}">
          <x14:id>{5241C78E-3545-43EC-A74C-0961991296FF}</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A066B32C-CEFE-4B8E-8BBB-34BA8092988C}">
            <x14:dataBar minLength="0" maxLength="100" axisPosition="none">
              <x14:cfvo type="min"/>
              <x14:cfvo type="max"/>
              <x14:negativeFillColor rgb="FFC00000"/>
            </x14:dataBar>
          </x14:cfRule>
          <xm:sqref>B7:B9</xm:sqref>
        </x14:conditionalFormatting>
        <x14:conditionalFormatting xmlns:xm="http://schemas.microsoft.com/office/excel/2006/main">
          <x14:cfRule type="dataBar" id="{5241C78E-3545-43EC-A74C-0961991296FF}">
            <x14:dataBar minLength="0" maxLength="100" axisPosition="none">
              <x14:cfvo type="min"/>
              <x14:cfvo type="max"/>
              <x14:negativeFillColor rgb="FFC00000"/>
            </x14:dataBar>
          </x14:cfRule>
          <xm:sqref>D14:E18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9"/>
  <sheetViews>
    <sheetView workbookViewId="0">
      <selection sqref="A1:H1"/>
    </sheetView>
  </sheetViews>
  <sheetFormatPr defaultRowHeight="14.5" x14ac:dyDescent="0.35"/>
  <cols>
    <col min="1" max="1" width="13.08984375" bestFit="1" customWidth="1"/>
    <col min="2" max="2" width="14" bestFit="1" customWidth="1"/>
    <col min="3" max="3" width="36.36328125" style="2" customWidth="1"/>
    <col min="4" max="4" width="9.81640625" bestFit="1" customWidth="1"/>
    <col min="5" max="5" width="9.7265625" bestFit="1" customWidth="1"/>
    <col min="6" max="6" width="36.36328125" style="2" customWidth="1"/>
    <col min="7" max="7" width="13.08984375" bestFit="1" customWidth="1"/>
    <col min="8" max="8" width="6.36328125" bestFit="1" customWidth="1"/>
  </cols>
  <sheetData>
    <row r="1" spans="1:8" x14ac:dyDescent="0.35">
      <c r="A1" s="57" t="s">
        <v>73</v>
      </c>
      <c r="B1" s="63"/>
      <c r="C1" s="63"/>
      <c r="D1" s="63"/>
      <c r="E1" s="63"/>
      <c r="F1" s="63"/>
      <c r="G1" s="63"/>
      <c r="H1" s="63"/>
    </row>
    <row r="2" spans="1:8" x14ac:dyDescent="0.35">
      <c r="A2" s="71" t="s">
        <v>358</v>
      </c>
      <c r="B2" s="63"/>
      <c r="C2" s="63"/>
      <c r="D2" s="63"/>
      <c r="E2" s="63"/>
      <c r="F2" s="63"/>
      <c r="G2" s="63"/>
      <c r="H2" s="63"/>
    </row>
    <row r="3" spans="1:8" x14ac:dyDescent="0.35">
      <c r="A3" s="7"/>
      <c r="B3" s="7"/>
      <c r="C3" s="12"/>
      <c r="D3" s="7"/>
      <c r="E3" s="7"/>
      <c r="F3" s="12"/>
      <c r="G3" s="7"/>
      <c r="H3" s="7"/>
    </row>
    <row r="4" spans="1:8" x14ac:dyDescent="0.35">
      <c r="A4" s="7"/>
      <c r="B4" s="7"/>
      <c r="C4" s="12"/>
      <c r="D4" s="7"/>
      <c r="E4" s="7"/>
      <c r="F4" s="12"/>
      <c r="G4" s="7"/>
      <c r="H4" s="7"/>
    </row>
    <row r="5" spans="1:8" x14ac:dyDescent="0.35">
      <c r="A5" s="60" t="s">
        <v>74</v>
      </c>
      <c r="B5" s="63"/>
      <c r="C5" s="63"/>
      <c r="D5" s="63"/>
      <c r="E5" s="7"/>
      <c r="F5" s="12"/>
      <c r="G5" s="7"/>
      <c r="H5" s="7"/>
    </row>
    <row r="6" spans="1:8" x14ac:dyDescent="0.35">
      <c r="A6" s="7" t="str" cm="1">
        <f t="array" ref="A6:D13">Weekly_Overtime[]</f>
        <v>WBS-013</v>
      </c>
      <c r="B6" s="7">
        <v>1</v>
      </c>
      <c r="C6" s="12">
        <v>180500</v>
      </c>
      <c r="D6" s="7">
        <v>0</v>
      </c>
      <c r="E6" s="7"/>
      <c r="F6" s="12"/>
      <c r="G6" s="7"/>
      <c r="H6" s="7"/>
    </row>
    <row r="7" spans="1:8" x14ac:dyDescent="0.35">
      <c r="A7" s="7" t="str">
        <v>WBS-014</v>
      </c>
      <c r="B7" s="7">
        <v>1</v>
      </c>
      <c r="C7" s="12">
        <v>336000</v>
      </c>
      <c r="D7" s="7">
        <v>70000</v>
      </c>
      <c r="E7" s="7"/>
      <c r="F7" s="12"/>
      <c r="G7" s="7"/>
      <c r="H7" s="7"/>
    </row>
    <row r="8" spans="1:8" x14ac:dyDescent="0.35">
      <c r="A8" s="7" t="str">
        <v>2026-11</v>
      </c>
      <c r="B8" s="7" t="str">
        <v>Erik Johansen</v>
      </c>
      <c r="C8" s="12" t="str">
        <v>Senior Design Engineer</v>
      </c>
      <c r="D8" s="7">
        <v>480</v>
      </c>
      <c r="E8" s="7"/>
      <c r="F8" s="12"/>
      <c r="G8" s="7"/>
      <c r="H8" s="7"/>
    </row>
    <row r="9" spans="1:8" x14ac:dyDescent="0.35">
      <c r="A9" s="7" t="str">
        <v>2025-46</v>
      </c>
      <c r="B9" s="7" t="str">
        <v>Astrid Nilsen</v>
      </c>
      <c r="C9" s="12" t="str">
        <v>Structural Welder</v>
      </c>
      <c r="D9" s="7">
        <v>461.5</v>
      </c>
      <c r="E9" s="7"/>
      <c r="F9" s="12"/>
      <c r="G9" s="7"/>
      <c r="H9" s="7"/>
    </row>
    <row r="10" spans="1:8" x14ac:dyDescent="0.35">
      <c r="A10" s="7" t="str">
        <v>2026-19</v>
      </c>
      <c r="B10" s="7" t="str">
        <v>Erik Johansen</v>
      </c>
      <c r="C10" s="12" t="str">
        <v>Senior Design Engineer</v>
      </c>
      <c r="D10" s="7">
        <v>389.5</v>
      </c>
      <c r="E10" s="7"/>
      <c r="F10" s="12"/>
      <c r="G10" s="7"/>
      <c r="H10" s="7"/>
    </row>
    <row r="11" spans="1:8" x14ac:dyDescent="0.35">
      <c r="A11" s="7" t="str">
        <v>2026-08</v>
      </c>
      <c r="B11" s="7" t="str">
        <v>Frank Ellingsen</v>
      </c>
      <c r="C11" s="12" t="str">
        <v>Project Controller</v>
      </c>
      <c r="D11" s="7">
        <v>133.30000000000001</v>
      </c>
      <c r="E11" s="7"/>
      <c r="F11" s="12"/>
      <c r="G11" s="7"/>
      <c r="H11" s="7"/>
    </row>
    <row r="12" spans="1:8" x14ac:dyDescent="0.35">
      <c r="A12" s="7" t="str">
        <v>2025-42</v>
      </c>
      <c r="B12" s="7" t="str">
        <v>Morten Hansen</v>
      </c>
      <c r="C12" s="12" t="str">
        <v>Project Manager</v>
      </c>
      <c r="D12" s="7">
        <v>200</v>
      </c>
      <c r="E12" s="7"/>
      <c r="F12" s="12"/>
      <c r="G12" s="7"/>
      <c r="H12" s="7"/>
    </row>
    <row r="13" spans="1:8" x14ac:dyDescent="0.35">
      <c r="A13" s="7" t="str">
        <v>2026-13</v>
      </c>
      <c r="B13" s="7" t="str">
        <v>Astrid Nilsen</v>
      </c>
      <c r="C13" s="12" t="str">
        <v>Structural Welder</v>
      </c>
      <c r="D13" s="7">
        <v>46.3</v>
      </c>
      <c r="E13" s="7"/>
      <c r="F13" s="12"/>
      <c r="G13" s="7"/>
      <c r="H13" s="7"/>
    </row>
    <row r="14" spans="1:8" x14ac:dyDescent="0.35">
      <c r="A14" s="7"/>
      <c r="B14" s="7"/>
      <c r="C14" s="12"/>
      <c r="D14" s="7"/>
      <c r="E14" s="7"/>
      <c r="F14" s="12"/>
      <c r="G14" s="7"/>
      <c r="H14" s="7"/>
    </row>
    <row r="15" spans="1:8" x14ac:dyDescent="0.35">
      <c r="A15" s="7"/>
      <c r="B15" s="7"/>
      <c r="C15" s="12"/>
      <c r="D15" s="7"/>
      <c r="E15" s="7"/>
      <c r="F15" s="12"/>
      <c r="G15" s="7"/>
      <c r="H15" s="7"/>
    </row>
    <row r="16" spans="1:8" x14ac:dyDescent="0.35">
      <c r="A16" s="7"/>
      <c r="B16" s="7"/>
      <c r="C16" s="12"/>
      <c r="D16" s="7"/>
      <c r="E16" s="7"/>
      <c r="F16" s="12"/>
      <c r="G16" s="7"/>
      <c r="H16" s="7"/>
    </row>
    <row r="17" spans="1:8" x14ac:dyDescent="0.35">
      <c r="A17" s="60" t="s">
        <v>81</v>
      </c>
      <c r="B17" s="63"/>
      <c r="C17" s="63"/>
      <c r="D17" s="63"/>
      <c r="E17" s="7"/>
      <c r="F17" s="12"/>
      <c r="G17" s="7"/>
      <c r="H17" s="7"/>
    </row>
    <row r="18" spans="1:8" x14ac:dyDescent="0.35">
      <c r="A18" s="9" t="s">
        <v>82</v>
      </c>
      <c r="B18" s="9" t="s">
        <v>83</v>
      </c>
      <c r="C18" s="24" t="s">
        <v>84</v>
      </c>
      <c r="D18" s="9" t="s">
        <v>85</v>
      </c>
      <c r="E18" s="7"/>
      <c r="F18" s="12"/>
      <c r="G18" s="7"/>
      <c r="H18" s="7"/>
    </row>
    <row r="19" spans="1:8" x14ac:dyDescent="0.35">
      <c r="A19" s="19">
        <v>46106</v>
      </c>
      <c r="B19" s="7" t="s">
        <v>92</v>
      </c>
      <c r="C19" s="12" t="s">
        <v>93</v>
      </c>
      <c r="D19" s="41">
        <v>250000</v>
      </c>
      <c r="E19" s="7"/>
      <c r="F19" s="12"/>
      <c r="G19" s="7"/>
      <c r="H19" s="7"/>
    </row>
    <row r="20" spans="1:8" x14ac:dyDescent="0.35">
      <c r="A20" s="19">
        <v>46082</v>
      </c>
      <c r="B20" s="7" t="s">
        <v>90</v>
      </c>
      <c r="C20" s="12" t="s">
        <v>91</v>
      </c>
      <c r="D20" s="15">
        <v>180000</v>
      </c>
      <c r="E20" s="7"/>
      <c r="F20" s="12"/>
      <c r="G20" s="7"/>
      <c r="H20" s="7"/>
    </row>
    <row r="21" spans="1:8" x14ac:dyDescent="0.35">
      <c r="A21" s="19">
        <v>46058</v>
      </c>
      <c r="B21" s="7" t="s">
        <v>88</v>
      </c>
      <c r="C21" s="12" t="s">
        <v>89</v>
      </c>
      <c r="D21" s="15">
        <v>150000</v>
      </c>
      <c r="E21" s="7"/>
      <c r="F21" s="12"/>
      <c r="G21" s="7"/>
      <c r="H21" s="7"/>
    </row>
    <row r="22" spans="1:8" x14ac:dyDescent="0.35">
      <c r="A22" s="19">
        <v>46144</v>
      </c>
      <c r="B22" s="7" t="s">
        <v>94</v>
      </c>
      <c r="C22" s="12" t="s">
        <v>95</v>
      </c>
      <c r="D22" s="15">
        <v>130000</v>
      </c>
      <c r="E22" s="7"/>
      <c r="F22" s="12"/>
      <c r="G22" s="7"/>
      <c r="H22" s="7"/>
    </row>
    <row r="23" spans="1:8" x14ac:dyDescent="0.35">
      <c r="A23" s="19">
        <v>45962</v>
      </c>
      <c r="B23" s="7" t="s">
        <v>86</v>
      </c>
      <c r="C23" s="12" t="s">
        <v>87</v>
      </c>
      <c r="D23" s="15">
        <v>70000</v>
      </c>
      <c r="E23" s="7"/>
      <c r="F23" s="12"/>
      <c r="G23" s="7"/>
      <c r="H23" s="7"/>
    </row>
    <row r="24" spans="1:8" x14ac:dyDescent="0.35">
      <c r="A24" s="7"/>
      <c r="B24" s="7"/>
      <c r="C24" s="12"/>
      <c r="D24" s="7"/>
      <c r="E24" s="7"/>
      <c r="F24" s="12"/>
      <c r="G24" s="7"/>
      <c r="H24" s="7"/>
    </row>
    <row r="25" spans="1:8" x14ac:dyDescent="0.35">
      <c r="A25" s="72" t="s">
        <v>96</v>
      </c>
      <c r="B25" s="63"/>
      <c r="C25" s="63"/>
      <c r="D25" s="63"/>
      <c r="E25" s="63"/>
      <c r="F25" s="63"/>
      <c r="G25" s="63"/>
      <c r="H25" s="63"/>
    </row>
    <row r="26" spans="1:8" x14ac:dyDescent="0.35">
      <c r="A26" s="9" t="s">
        <v>97</v>
      </c>
      <c r="B26" s="9" t="s">
        <v>56</v>
      </c>
      <c r="C26" s="24" t="s">
        <v>84</v>
      </c>
      <c r="D26" s="9" t="s">
        <v>98</v>
      </c>
      <c r="E26" s="9" t="s">
        <v>99</v>
      </c>
      <c r="F26" s="24" t="s">
        <v>100</v>
      </c>
      <c r="G26" s="9" t="s">
        <v>101</v>
      </c>
      <c r="H26" s="9" t="s">
        <v>12</v>
      </c>
    </row>
    <row r="27" spans="1:8" ht="26.5" x14ac:dyDescent="0.35">
      <c r="A27" s="7" t="s">
        <v>102</v>
      </c>
      <c r="B27" s="7" t="s">
        <v>103</v>
      </c>
      <c r="C27" s="12" t="s">
        <v>104</v>
      </c>
      <c r="D27" s="35" t="s">
        <v>105</v>
      </c>
      <c r="E27" s="36" t="s">
        <v>106</v>
      </c>
      <c r="F27" s="12" t="s">
        <v>107</v>
      </c>
      <c r="G27" s="7" t="s">
        <v>15</v>
      </c>
      <c r="H27" s="36" t="s">
        <v>108</v>
      </c>
    </row>
    <row r="28" spans="1:8" ht="39.5" x14ac:dyDescent="0.35">
      <c r="A28" s="7" t="s">
        <v>109</v>
      </c>
      <c r="B28" s="7" t="s">
        <v>110</v>
      </c>
      <c r="C28" s="12" t="s">
        <v>111</v>
      </c>
      <c r="D28" s="36" t="s">
        <v>106</v>
      </c>
      <c r="E28" s="35" t="s">
        <v>105</v>
      </c>
      <c r="F28" s="12" t="s">
        <v>112</v>
      </c>
      <c r="G28" s="7" t="s">
        <v>15</v>
      </c>
      <c r="H28" s="36" t="s">
        <v>108</v>
      </c>
    </row>
    <row r="29" spans="1:8" ht="26.5" x14ac:dyDescent="0.35">
      <c r="A29" s="7" t="s">
        <v>113</v>
      </c>
      <c r="B29" s="7" t="s">
        <v>114</v>
      </c>
      <c r="C29" s="12" t="s">
        <v>115</v>
      </c>
      <c r="D29" s="35" t="s">
        <v>105</v>
      </c>
      <c r="E29" s="35" t="s">
        <v>105</v>
      </c>
      <c r="F29" s="12" t="s">
        <v>116</v>
      </c>
      <c r="G29" s="7" t="s">
        <v>27</v>
      </c>
      <c r="H29" s="36" t="s">
        <v>108</v>
      </c>
    </row>
  </sheetData>
  <mergeCells count="5">
    <mergeCell ref="A1:H1"/>
    <mergeCell ref="A2:H2"/>
    <mergeCell ref="A5:D5"/>
    <mergeCell ref="A17:D17"/>
    <mergeCell ref="A25:H25"/>
  </mergeCells>
  <conditionalFormatting sqref="D8:D13">
    <cfRule type="dataBar" priority="1">
      <dataBar>
        <cfvo type="min"/>
        <cfvo type="max"/>
        <color rgb="FF5B9BD5"/>
      </dataBar>
      <extLst>
        <ext xmlns:x14="http://schemas.microsoft.com/office/spreadsheetml/2009/9/main" uri="{B025F937-C7B1-47D3-B67F-A62EFF666E3E}">
          <x14:id>{10BE765D-7687-48BF-A4BE-AB2C5741BB93}</x14:id>
        </ext>
      </extLst>
    </cfRule>
  </conditionalFormatting>
  <conditionalFormatting sqref="D19:D23">
    <cfRule type="dataBar" priority="2">
      <dataBar>
        <cfvo type="min"/>
        <cfvo type="max"/>
        <color rgb="FF5B9BD5"/>
      </dataBar>
      <extLst>
        <ext xmlns:x14="http://schemas.microsoft.com/office/spreadsheetml/2009/9/main" uri="{B025F937-C7B1-47D3-B67F-A62EFF666E3E}">
          <x14:id>{DA4532C0-410E-4C9B-93CC-36BEE86AD0AC}</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10BE765D-7687-48BF-A4BE-AB2C5741BB93}">
            <x14:dataBar minLength="0" maxLength="100" axisPosition="none">
              <x14:cfvo type="min"/>
              <x14:cfvo type="max"/>
              <x14:negativeFillColor rgb="FFC00000"/>
            </x14:dataBar>
          </x14:cfRule>
          <xm:sqref>D8:D13</xm:sqref>
        </x14:conditionalFormatting>
        <x14:conditionalFormatting xmlns:xm="http://schemas.microsoft.com/office/excel/2006/main">
          <x14:cfRule type="dataBar" id="{DA4532C0-410E-4C9B-93CC-36BEE86AD0AC}">
            <x14:dataBar minLength="0" maxLength="100" axisPosition="none">
              <x14:cfvo type="min"/>
              <x14:cfvo type="max"/>
              <x14:negativeFillColor rgb="FFC00000"/>
            </x14:dataBar>
          </x14:cfRule>
          <xm:sqref>D19:D23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5"/>
  <sheetViews>
    <sheetView workbookViewId="0">
      <selection sqref="A1:B1"/>
    </sheetView>
  </sheetViews>
  <sheetFormatPr defaultRowHeight="14.5" x14ac:dyDescent="0.35"/>
  <cols>
    <col min="1" max="1" width="49.81640625" bestFit="1" customWidth="1"/>
    <col min="2" max="2" width="9.90625" bestFit="1" customWidth="1"/>
  </cols>
  <sheetData>
    <row r="1" spans="1:2" x14ac:dyDescent="0.35">
      <c r="A1" s="57" t="s">
        <v>117</v>
      </c>
      <c r="B1" s="63"/>
    </row>
    <row r="2" spans="1:2" x14ac:dyDescent="0.35">
      <c r="A2" s="64" t="s">
        <v>359</v>
      </c>
      <c r="B2" s="63"/>
    </row>
    <row r="3" spans="1:2" x14ac:dyDescent="0.35">
      <c r="A3" s="7"/>
      <c r="B3" s="7"/>
    </row>
    <row r="4" spans="1:2" x14ac:dyDescent="0.35">
      <c r="A4" s="7"/>
      <c r="B4" s="7"/>
    </row>
    <row r="5" spans="1:2" x14ac:dyDescent="0.35">
      <c r="A5" s="9" t="s">
        <v>118</v>
      </c>
      <c r="B5" s="9"/>
    </row>
    <row r="6" spans="1:2" x14ac:dyDescent="0.35">
      <c r="A6" s="7" t="s">
        <v>119</v>
      </c>
      <c r="B6" s="21">
        <v>0.05</v>
      </c>
    </row>
    <row r="7" spans="1:2" x14ac:dyDescent="0.35">
      <c r="A7" s="7" t="s">
        <v>120</v>
      </c>
      <c r="B7" s="21">
        <v>0.1</v>
      </c>
    </row>
    <row r="8" spans="1:2" x14ac:dyDescent="0.35">
      <c r="A8" s="7" t="s">
        <v>121</v>
      </c>
      <c r="B8" s="22">
        <v>10000</v>
      </c>
    </row>
    <row r="9" spans="1:2" x14ac:dyDescent="0.35">
      <c r="A9" s="7" t="s">
        <v>122</v>
      </c>
      <c r="B9" s="23">
        <v>5</v>
      </c>
    </row>
    <row r="10" spans="1:2" x14ac:dyDescent="0.35">
      <c r="A10" s="7"/>
      <c r="B10" s="7"/>
    </row>
    <row r="11" spans="1:2" x14ac:dyDescent="0.35">
      <c r="A11" s="7"/>
      <c r="B11" s="7"/>
    </row>
    <row r="12" spans="1:2" x14ac:dyDescent="0.35">
      <c r="A12" s="9" t="s">
        <v>123</v>
      </c>
      <c r="B12" s="9"/>
    </row>
    <row r="13" spans="1:2" x14ac:dyDescent="0.35">
      <c r="A13" s="7"/>
      <c r="B13" s="7"/>
    </row>
    <row r="14" spans="1:2" x14ac:dyDescent="0.35">
      <c r="A14" s="7" t="s">
        <v>124</v>
      </c>
      <c r="B14" s="15">
        <f>SUM('EVM Data'!D25:D30)</f>
        <v>7100000</v>
      </c>
    </row>
    <row r="15" spans="1:2" x14ac:dyDescent="0.35">
      <c r="A15" s="7" t="s">
        <v>125</v>
      </c>
      <c r="B15" s="15">
        <f>SUM('EVM Data'!E25:E30)</f>
        <v>5220810</v>
      </c>
    </row>
    <row r="16" spans="1:2" x14ac:dyDescent="0.35">
      <c r="A16" s="7" t="s">
        <v>126</v>
      </c>
      <c r="B16" s="15">
        <f>SUM('EVM Data'!F25:F30)</f>
        <v>4752500</v>
      </c>
    </row>
    <row r="17" spans="1:2" x14ac:dyDescent="0.35">
      <c r="A17" s="7"/>
      <c r="B17" s="15"/>
    </row>
    <row r="18" spans="1:2" x14ac:dyDescent="0.35">
      <c r="A18" s="7" t="s">
        <v>127</v>
      </c>
      <c r="B18" s="15">
        <f>B15-(SUM('EVM Data'!I6:I19)*$B$6)-(SUM('EVM Data'!J6:J19)*$B$7)+B24</f>
        <v>4916169.5</v>
      </c>
    </row>
    <row r="19" spans="1:2" x14ac:dyDescent="0.35">
      <c r="A19" s="7" t="s">
        <v>128</v>
      </c>
      <c r="B19" s="14">
        <f>B16/B18</f>
        <v>0.96670792168577591</v>
      </c>
    </row>
    <row r="20" spans="1:2" x14ac:dyDescent="0.35">
      <c r="A20" s="7" t="s">
        <v>129</v>
      </c>
      <c r="B20" s="15">
        <f>B14/B19</f>
        <v>7344514.1399263544</v>
      </c>
    </row>
    <row r="21" spans="1:2" x14ac:dyDescent="0.35">
      <c r="A21" s="7"/>
      <c r="B21" s="15"/>
    </row>
    <row r="22" spans="1:2" x14ac:dyDescent="0.35">
      <c r="A22" s="7" t="s">
        <v>130</v>
      </c>
      <c r="B22" s="15">
        <f>MAX(0,10-B9)</f>
        <v>5</v>
      </c>
    </row>
    <row r="23" spans="1:2" x14ac:dyDescent="0.35">
      <c r="A23" s="7" t="s">
        <v>131</v>
      </c>
      <c r="B23" s="15">
        <f>B22*B8</f>
        <v>50000</v>
      </c>
    </row>
    <row r="24" spans="1:2" x14ac:dyDescent="0.35">
      <c r="A24" s="7" t="s">
        <v>132</v>
      </c>
      <c r="B24" s="15">
        <f>B9*2000</f>
        <v>10000</v>
      </c>
    </row>
    <row r="25" spans="1:2" x14ac:dyDescent="0.35">
      <c r="A25" s="7" t="s">
        <v>133</v>
      </c>
      <c r="B25" s="15">
        <f>B23-B24</f>
        <v>40000</v>
      </c>
    </row>
  </sheetData>
  <mergeCells count="2">
    <mergeCell ref="A1:B1"/>
    <mergeCell ref="A2:B2"/>
  </mergeCells>
  <conditionalFormatting sqref="B14:B25">
    <cfRule type="dataBar" priority="1">
      <dataBar>
        <cfvo type="min"/>
        <cfvo type="max"/>
        <color rgb="FF5B9BD5"/>
      </dataBar>
      <extLst>
        <ext xmlns:x14="http://schemas.microsoft.com/office/spreadsheetml/2009/9/main" uri="{B025F937-C7B1-47D3-B67F-A62EFF666E3E}">
          <x14:id>{B2F22332-BC54-4EEC-9277-FE604D94AC07}</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B2F22332-BC54-4EEC-9277-FE604D94AC07}">
            <x14:dataBar minLength="0" maxLength="100" axisPosition="none">
              <x14:cfvo type="min"/>
              <x14:cfvo type="max"/>
              <x14:negativeFillColor rgb="FFC00000"/>
            </x14:dataBar>
          </x14:cfRule>
          <xm:sqref>B14:B25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36997-9508-4E7B-86EE-0278A6CEE109}">
  <dimension ref="A1:X30"/>
  <sheetViews>
    <sheetView workbookViewId="0">
      <selection sqref="A1:L1"/>
    </sheetView>
  </sheetViews>
  <sheetFormatPr defaultRowHeight="14.5" x14ac:dyDescent="0.35"/>
  <cols>
    <col min="1" max="1" width="11.1796875" bestFit="1" customWidth="1"/>
    <col min="2" max="2" width="40" bestFit="1" customWidth="1"/>
    <col min="3" max="3" width="16.81640625" customWidth="1"/>
    <col min="4" max="4" width="32.26953125" bestFit="1" customWidth="1"/>
    <col min="5" max="5" width="40" bestFit="1" customWidth="1"/>
    <col min="6" max="6" width="13.08984375" bestFit="1" customWidth="1"/>
    <col min="7" max="7" width="9.90625" bestFit="1" customWidth="1"/>
    <col min="8" max="8" width="16.1796875" bestFit="1" customWidth="1"/>
    <col min="9" max="9" width="12.7265625" bestFit="1" customWidth="1"/>
    <col min="10" max="10" width="14.1796875" customWidth="1"/>
    <col min="11" max="11" width="5.54296875" bestFit="1" customWidth="1"/>
    <col min="12" max="12" width="5.26953125" bestFit="1" customWidth="1"/>
    <col min="13" max="13" width="6.08984375" bestFit="1" customWidth="1"/>
    <col min="14" max="14" width="12.7265625" bestFit="1" customWidth="1"/>
    <col min="17" max="17" width="12.54296875" bestFit="1" customWidth="1"/>
    <col min="18" max="18" width="16.26953125" bestFit="1" customWidth="1"/>
    <col min="19" max="19" width="19.36328125" bestFit="1" customWidth="1"/>
    <col min="20" max="20" width="8.1796875" bestFit="1" customWidth="1"/>
    <col min="21" max="21" width="9.54296875" customWidth="1"/>
    <col min="22" max="22" width="15.1796875" customWidth="1"/>
    <col min="23" max="23" width="11.1796875" customWidth="1"/>
    <col min="24" max="24" width="13.81640625" customWidth="1"/>
  </cols>
  <sheetData>
    <row r="1" spans="1:24" x14ac:dyDescent="0.35">
      <c r="A1" s="57" t="s">
        <v>319</v>
      </c>
      <c r="B1" s="63"/>
      <c r="C1" s="63"/>
      <c r="D1" s="63"/>
      <c r="E1" s="63"/>
      <c r="F1" s="63"/>
      <c r="G1" s="63"/>
      <c r="H1" s="63"/>
      <c r="I1" s="63"/>
      <c r="J1" s="63"/>
      <c r="K1" s="63"/>
      <c r="L1" s="63"/>
      <c r="M1" s="7"/>
      <c r="N1" s="7"/>
      <c r="O1" s="7"/>
      <c r="P1" s="7"/>
      <c r="Q1" s="7"/>
      <c r="R1" s="7"/>
      <c r="S1" s="7"/>
      <c r="T1" s="7"/>
    </row>
    <row r="2" spans="1:24" x14ac:dyDescent="0.35">
      <c r="A2" s="64" t="s">
        <v>320</v>
      </c>
      <c r="B2" s="63"/>
      <c r="C2" s="63"/>
      <c r="D2" s="63"/>
      <c r="E2" s="63"/>
      <c r="F2" s="63"/>
      <c r="G2" s="63"/>
      <c r="H2" s="63"/>
      <c r="I2" s="63"/>
      <c r="J2" s="63"/>
      <c r="K2" s="63"/>
      <c r="L2" s="63"/>
      <c r="M2" s="7"/>
      <c r="N2" s="7"/>
      <c r="O2" s="7"/>
      <c r="P2" s="7"/>
      <c r="Q2" s="7"/>
      <c r="R2" s="7"/>
      <c r="S2" s="7"/>
      <c r="T2" s="7"/>
    </row>
    <row r="3" spans="1:24" x14ac:dyDescent="0.35">
      <c r="A3" s="35"/>
      <c r="B3" s="7"/>
      <c r="C3" s="7"/>
      <c r="D3" s="7"/>
      <c r="E3" s="7"/>
      <c r="F3" s="7"/>
      <c r="G3" s="7"/>
      <c r="H3" s="7"/>
      <c r="I3" s="7"/>
      <c r="J3" s="7"/>
      <c r="K3" s="7"/>
      <c r="L3" s="7"/>
      <c r="M3" s="7"/>
      <c r="N3" s="7"/>
      <c r="O3" s="7"/>
      <c r="P3" s="7"/>
      <c r="Q3" s="7"/>
      <c r="R3" s="7"/>
      <c r="S3" s="7"/>
      <c r="T3" s="7"/>
    </row>
    <row r="4" spans="1:24" x14ac:dyDescent="0.35">
      <c r="A4" s="35"/>
      <c r="B4" s="7"/>
      <c r="C4" s="7"/>
      <c r="D4" s="7"/>
      <c r="E4" s="7"/>
      <c r="F4" s="7"/>
      <c r="G4" s="7"/>
      <c r="H4" s="7"/>
      <c r="I4" s="7"/>
      <c r="J4" s="7"/>
      <c r="K4" s="7"/>
      <c r="L4" s="7"/>
      <c r="M4" s="7"/>
      <c r="N4" s="7"/>
      <c r="O4" s="7"/>
      <c r="P4" s="7"/>
      <c r="Q4" s="7"/>
      <c r="R4" s="7"/>
      <c r="S4" s="7"/>
      <c r="T4" s="7"/>
    </row>
    <row r="5" spans="1:24" x14ac:dyDescent="0.35">
      <c r="A5" t="s">
        <v>145</v>
      </c>
      <c r="B5" t="s">
        <v>137</v>
      </c>
      <c r="C5" t="s">
        <v>32</v>
      </c>
      <c r="D5" t="s">
        <v>321</v>
      </c>
      <c r="E5" t="s">
        <v>9</v>
      </c>
      <c r="F5" t="s">
        <v>322</v>
      </c>
      <c r="G5" t="s">
        <v>323</v>
      </c>
      <c r="H5" t="s">
        <v>324</v>
      </c>
      <c r="I5" t="s">
        <v>325</v>
      </c>
      <c r="J5" t="s">
        <v>326</v>
      </c>
      <c r="K5" t="s">
        <v>327</v>
      </c>
      <c r="L5" t="s">
        <v>328</v>
      </c>
      <c r="M5" t="s">
        <v>4</v>
      </c>
      <c r="N5" t="s">
        <v>329</v>
      </c>
      <c r="O5" t="s">
        <v>12</v>
      </c>
      <c r="P5" s="7"/>
      <c r="Q5" t="s">
        <v>145</v>
      </c>
      <c r="R5" t="s">
        <v>377</v>
      </c>
      <c r="S5" t="s">
        <v>378</v>
      </c>
      <c r="T5" t="s">
        <v>379</v>
      </c>
      <c r="U5" t="s">
        <v>145</v>
      </c>
      <c r="V5" t="s">
        <v>377</v>
      </c>
      <c r="W5" t="s">
        <v>378</v>
      </c>
      <c r="X5" t="s">
        <v>379</v>
      </c>
    </row>
    <row r="6" spans="1:24" x14ac:dyDescent="0.35">
      <c r="A6" t="s">
        <v>149</v>
      </c>
      <c r="B6" t="s">
        <v>13</v>
      </c>
      <c r="C6">
        <v>1</v>
      </c>
      <c r="D6" t="s">
        <v>34</v>
      </c>
      <c r="E6" t="s">
        <v>14</v>
      </c>
      <c r="F6" t="s">
        <v>15</v>
      </c>
      <c r="G6" s="3">
        <v>300000</v>
      </c>
      <c r="H6" s="50">
        <f>INDEX(WBS_Source_Summary[LatestProgress],MATCH(WBS_Performance[[#This Row],[WBS_ID]],WBS_Source_Summary[WBS_ID],0))</f>
        <v>0.97499999999999998</v>
      </c>
      <c r="I6" s="3">
        <f>INDEX(WBS_Source_Summary[LaborCost],MATCH(WBS_Performance[[#This Row],[WBS_ID]],WBS_Source_Summary[WBS_ID],0))</f>
        <v>419230</v>
      </c>
      <c r="J6" s="3">
        <f>INDEX(WBS_Source_Summary[MaterialCost],MATCH(WBS_Performance[[#This Row],[WBS_ID]],WBS_Source_Summary[WBS_ID],0))</f>
        <v>0</v>
      </c>
      <c r="K6" s="3">
        <f>WBS_Performance[[#This Row],[Labor Cost]]+WBS_Performance[[#This Row],[Material Cost]]</f>
        <v>419230</v>
      </c>
      <c r="L6" s="3">
        <f>WBS_Performance[[#This Row],[BAC]]*WBS_Performance[[#This Row],[Latest Progress]]</f>
        <v>292500</v>
      </c>
      <c r="M6" s="32">
        <f>IF(WBS_Performance[[#This Row],[AC]]=0,IF(WBS_Performance[[#This Row],[EV]]=0,1,""),WBS_Performance[[#This Row],[EV]]/WBS_Performance[[#This Row],[AC]])</f>
        <v>0.69770770221596734</v>
      </c>
      <c r="N6" s="3">
        <f>IF(AND(WBS_Performance[[#This Row],[EV]]&gt;0,WBS_Performance[[#This Row],[CPI]]&gt;0),WBS_Performance[[#This Row],[BAC]]/WBS_Performance[[#This Row],[CPI]],"")</f>
        <v>429979.48717948719</v>
      </c>
      <c r="O6" s="29"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Overrun</v>
      </c>
      <c r="P6" s="7"/>
      <c r="Q6" t="s">
        <v>149</v>
      </c>
      <c r="R6" s="31">
        <v>0.97499999999999998</v>
      </c>
      <c r="S6">
        <v>419230</v>
      </c>
      <c r="T6">
        <v>0</v>
      </c>
      <c r="U6" t="s">
        <v>149</v>
      </c>
      <c r="V6" s="31">
        <v>0.97499999999999998</v>
      </c>
      <c r="W6">
        <v>419230</v>
      </c>
      <c r="X6">
        <v>0</v>
      </c>
    </row>
    <row r="7" spans="1:24" x14ac:dyDescent="0.35">
      <c r="A7" t="s">
        <v>150</v>
      </c>
      <c r="B7" t="s">
        <v>13</v>
      </c>
      <c r="C7">
        <v>2</v>
      </c>
      <c r="D7" t="s">
        <v>40</v>
      </c>
      <c r="E7" t="s">
        <v>14</v>
      </c>
      <c r="F7" t="s">
        <v>15</v>
      </c>
      <c r="G7" s="3">
        <v>600000</v>
      </c>
      <c r="H7" s="50">
        <f>INDEX(WBS_Source_Summary[LatestProgress],MATCH(WBS_Performance[[#This Row],[WBS_ID]],WBS_Source_Summary[WBS_ID],0))</f>
        <v>1</v>
      </c>
      <c r="I7" s="3">
        <f>INDEX(WBS_Source_Summary[LaborCost],MATCH(WBS_Performance[[#This Row],[WBS_ID]],WBS_Source_Summary[WBS_ID],0))</f>
        <v>374950</v>
      </c>
      <c r="J7" s="3">
        <f>INDEX(WBS_Source_Summary[MaterialCost],MATCH(WBS_Performance[[#This Row],[WBS_ID]],WBS_Source_Summary[WBS_ID],0))</f>
        <v>245500</v>
      </c>
      <c r="K7" s="3">
        <f>WBS_Performance[[#This Row],[Labor Cost]]+WBS_Performance[[#This Row],[Material Cost]]</f>
        <v>620450</v>
      </c>
      <c r="L7" s="3">
        <f>WBS_Performance[[#This Row],[BAC]]*WBS_Performance[[#This Row],[Latest Progress]]</f>
        <v>600000</v>
      </c>
      <c r="M7" s="33">
        <f>IF(WBS_Performance[[#This Row],[AC]]=0,IF(WBS_Performance[[#This Row],[EV]]=0,1,""),WBS_Performance[[#This Row],[EV]]/WBS_Performance[[#This Row],[AC]])</f>
        <v>0.96704005157546946</v>
      </c>
      <c r="N7" s="3">
        <f>IF(AND(WBS_Performance[[#This Row],[EV]]&gt;0,WBS_Performance[[#This Row],[CPI]]&gt;0),WBS_Performance[[#This Row],[BAC]]/WBS_Performance[[#This Row],[CPI]],"")</f>
        <v>620450</v>
      </c>
      <c r="O7" s="30"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Complete/Watch</v>
      </c>
      <c r="P7" s="7"/>
      <c r="Q7" t="s">
        <v>150</v>
      </c>
      <c r="R7">
        <v>1</v>
      </c>
      <c r="S7">
        <v>374950</v>
      </c>
      <c r="T7">
        <v>245500</v>
      </c>
      <c r="U7" t="s">
        <v>150</v>
      </c>
      <c r="V7">
        <v>1</v>
      </c>
      <c r="W7">
        <v>374950</v>
      </c>
      <c r="X7">
        <v>245500</v>
      </c>
    </row>
    <row r="8" spans="1:24" x14ac:dyDescent="0.35">
      <c r="A8" t="s">
        <v>151</v>
      </c>
      <c r="B8" t="s">
        <v>13</v>
      </c>
      <c r="C8">
        <v>3</v>
      </c>
      <c r="D8" t="s">
        <v>46</v>
      </c>
      <c r="E8" t="s">
        <v>14</v>
      </c>
      <c r="F8" t="s">
        <v>15</v>
      </c>
      <c r="G8" s="3">
        <v>400000</v>
      </c>
      <c r="H8" s="50">
        <f>INDEX(WBS_Source_Summary[LatestProgress],MATCH(WBS_Performance[[#This Row],[WBS_ID]],WBS_Source_Summary[WBS_ID],0))</f>
        <v>1</v>
      </c>
      <c r="I8" s="3">
        <f>INDEX(WBS_Source_Summary[LaborCost],MATCH(WBS_Performance[[#This Row],[WBS_ID]],WBS_Source_Summary[WBS_ID],0))</f>
        <v>297445</v>
      </c>
      <c r="J8" s="3">
        <f>INDEX(WBS_Source_Summary[MaterialCost],MATCH(WBS_Performance[[#This Row],[WBS_ID]],WBS_Source_Summary[WBS_ID],0))</f>
        <v>243000</v>
      </c>
      <c r="K8" s="3">
        <f>WBS_Performance[[#This Row],[Labor Cost]]+WBS_Performance[[#This Row],[Material Cost]]</f>
        <v>540445</v>
      </c>
      <c r="L8" s="3">
        <f>WBS_Performance[[#This Row],[BAC]]*WBS_Performance[[#This Row],[Latest Progress]]</f>
        <v>400000</v>
      </c>
      <c r="M8" s="32">
        <f>IF(WBS_Performance[[#This Row],[AC]]=0,IF(WBS_Performance[[#This Row],[EV]]=0,1,""),WBS_Performance[[#This Row],[EV]]/WBS_Performance[[#This Row],[AC]])</f>
        <v>0.74013081812210313</v>
      </c>
      <c r="N8" s="3">
        <f>IF(AND(WBS_Performance[[#This Row],[EV]]&gt;0,WBS_Performance[[#This Row],[CPI]]&gt;0),WBS_Performance[[#This Row],[BAC]]/WBS_Performance[[#This Row],[CPI]],"")</f>
        <v>540445</v>
      </c>
      <c r="O8" s="29"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Overrun</v>
      </c>
      <c r="P8" s="7"/>
      <c r="Q8" t="s">
        <v>151</v>
      </c>
      <c r="R8">
        <v>1</v>
      </c>
      <c r="S8">
        <v>297445</v>
      </c>
      <c r="T8">
        <v>243000</v>
      </c>
      <c r="U8" t="s">
        <v>151</v>
      </c>
      <c r="V8">
        <v>1</v>
      </c>
      <c r="W8">
        <v>297445</v>
      </c>
      <c r="X8">
        <v>243000</v>
      </c>
    </row>
    <row r="9" spans="1:24" x14ac:dyDescent="0.35">
      <c r="A9" t="s">
        <v>152</v>
      </c>
      <c r="B9" t="s">
        <v>13</v>
      </c>
      <c r="C9">
        <v>4</v>
      </c>
      <c r="D9" t="s">
        <v>47</v>
      </c>
      <c r="E9" t="s">
        <v>14</v>
      </c>
      <c r="F9" t="s">
        <v>15</v>
      </c>
      <c r="G9" s="3">
        <v>200000</v>
      </c>
      <c r="H9" s="50">
        <f>INDEX(WBS_Source_Summary[LatestProgress],MATCH(WBS_Performance[[#This Row],[WBS_ID]],WBS_Source_Summary[WBS_ID],0))</f>
        <v>1</v>
      </c>
      <c r="I9" s="3">
        <f>INDEX(WBS_Source_Summary[LaborCost],MATCH(WBS_Performance[[#This Row],[WBS_ID]],WBS_Source_Summary[WBS_ID],0))</f>
        <v>235185</v>
      </c>
      <c r="J9" s="3">
        <f>INDEX(WBS_Source_Summary[MaterialCost],MATCH(WBS_Performance[[#This Row],[WBS_ID]],WBS_Source_Summary[WBS_ID],0))</f>
        <v>33500</v>
      </c>
      <c r="K9" s="3">
        <f>WBS_Performance[[#This Row],[Labor Cost]]+WBS_Performance[[#This Row],[Material Cost]]</f>
        <v>268685</v>
      </c>
      <c r="L9" s="3">
        <f>WBS_Performance[[#This Row],[BAC]]*WBS_Performance[[#This Row],[Latest Progress]]</f>
        <v>200000</v>
      </c>
      <c r="M9" s="32">
        <f>IF(WBS_Performance[[#This Row],[AC]]=0,IF(WBS_Performance[[#This Row],[EV]]=0,1,""),WBS_Performance[[#This Row],[EV]]/WBS_Performance[[#This Row],[AC]])</f>
        <v>0.7443660792377691</v>
      </c>
      <c r="N9" s="3">
        <f>IF(AND(WBS_Performance[[#This Row],[EV]]&gt;0,WBS_Performance[[#This Row],[CPI]]&gt;0),WBS_Performance[[#This Row],[BAC]]/WBS_Performance[[#This Row],[CPI]],"")</f>
        <v>268685</v>
      </c>
      <c r="O9" s="29"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Overrun</v>
      </c>
      <c r="P9" s="7"/>
      <c r="Q9" t="s">
        <v>152</v>
      </c>
      <c r="R9">
        <v>1</v>
      </c>
      <c r="S9">
        <v>235185</v>
      </c>
      <c r="T9">
        <v>33500</v>
      </c>
      <c r="U9" t="s">
        <v>152</v>
      </c>
      <c r="V9">
        <v>1</v>
      </c>
      <c r="W9">
        <v>235185</v>
      </c>
      <c r="X9">
        <v>33500</v>
      </c>
    </row>
    <row r="10" spans="1:24" x14ac:dyDescent="0.35">
      <c r="A10" t="s">
        <v>153</v>
      </c>
      <c r="B10" t="s">
        <v>16</v>
      </c>
      <c r="C10">
        <v>1</v>
      </c>
      <c r="D10" t="s">
        <v>39</v>
      </c>
      <c r="E10" t="s">
        <v>17</v>
      </c>
      <c r="F10" t="s">
        <v>15</v>
      </c>
      <c r="G10" s="3">
        <v>300000</v>
      </c>
      <c r="H10" s="51">
        <f>INDEX(WBS_Source_Summary[LatestProgress],MATCH(WBS_Performance[[#This Row],[WBS_ID]],WBS_Source_Summary[WBS_ID],0))</f>
        <v>0</v>
      </c>
      <c r="I10" s="3">
        <f>INDEX(WBS_Source_Summary[LaborCost],MATCH(WBS_Performance[[#This Row],[WBS_ID]],WBS_Source_Summary[WBS_ID],0))</f>
        <v>0</v>
      </c>
      <c r="J10" s="3">
        <f>INDEX(WBS_Source_Summary[MaterialCost],MATCH(WBS_Performance[[#This Row],[WBS_ID]],WBS_Source_Summary[WBS_ID],0))</f>
        <v>0</v>
      </c>
      <c r="K10" s="3">
        <f>WBS_Performance[[#This Row],[Labor Cost]]+WBS_Performance[[#This Row],[Material Cost]]</f>
        <v>0</v>
      </c>
      <c r="L10" s="3">
        <f>WBS_Performance[[#This Row],[BAC]]*WBS_Performance[[#This Row],[Latest Progress]]</f>
        <v>0</v>
      </c>
      <c r="M10" s="34">
        <f>IF(WBS_Performance[[#This Row],[AC]]=0,IF(WBS_Performance[[#This Row],[EV]]=0,1,""),WBS_Performance[[#This Row],[EV]]/WBS_Performance[[#This Row],[AC]])</f>
        <v>1</v>
      </c>
      <c r="N10" s="3" t="str">
        <f>IF(AND(WBS_Performance[[#This Row],[EV]]&gt;0,WBS_Performance[[#This Row],[CPI]]&gt;0),WBS_Performance[[#This Row],[BAC]]/WBS_Performance[[#This Row],[CPI]],"")</f>
        <v/>
      </c>
      <c r="O10" s="30"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Planned</v>
      </c>
      <c r="P10" s="7"/>
      <c r="Q10" t="s">
        <v>153</v>
      </c>
      <c r="R10">
        <v>0</v>
      </c>
      <c r="S10">
        <v>0</v>
      </c>
      <c r="T10">
        <v>0</v>
      </c>
      <c r="U10" t="s">
        <v>153</v>
      </c>
      <c r="V10">
        <v>0</v>
      </c>
      <c r="W10">
        <v>0</v>
      </c>
      <c r="X10">
        <v>0</v>
      </c>
    </row>
    <row r="11" spans="1:24" x14ac:dyDescent="0.35">
      <c r="A11" t="s">
        <v>154</v>
      </c>
      <c r="B11" t="s">
        <v>16</v>
      </c>
      <c r="C11">
        <v>2</v>
      </c>
      <c r="D11" t="s">
        <v>45</v>
      </c>
      <c r="E11" t="s">
        <v>17</v>
      </c>
      <c r="F11" t="s">
        <v>15</v>
      </c>
      <c r="G11" s="3">
        <v>500000</v>
      </c>
      <c r="H11" s="51">
        <f>INDEX(WBS_Source_Summary[LatestProgress],MATCH(WBS_Performance[[#This Row],[WBS_ID]],WBS_Source_Summary[WBS_ID],0))</f>
        <v>0</v>
      </c>
      <c r="I11" s="3">
        <f>INDEX(WBS_Source_Summary[LaborCost],MATCH(WBS_Performance[[#This Row],[WBS_ID]],WBS_Source_Summary[WBS_ID],0))</f>
        <v>0</v>
      </c>
      <c r="J11" s="3">
        <f>INDEX(WBS_Source_Summary[MaterialCost],MATCH(WBS_Performance[[#This Row],[WBS_ID]],WBS_Source_Summary[WBS_ID],0))</f>
        <v>0</v>
      </c>
      <c r="K11" s="3">
        <f>WBS_Performance[[#This Row],[Labor Cost]]+WBS_Performance[[#This Row],[Material Cost]]</f>
        <v>0</v>
      </c>
      <c r="L11" s="3">
        <f>WBS_Performance[[#This Row],[BAC]]*WBS_Performance[[#This Row],[Latest Progress]]</f>
        <v>0</v>
      </c>
      <c r="M11" s="34">
        <f>IF(WBS_Performance[[#This Row],[AC]]=0,IF(WBS_Performance[[#This Row],[EV]]=0,1,""),WBS_Performance[[#This Row],[EV]]/WBS_Performance[[#This Row],[AC]])</f>
        <v>1</v>
      </c>
      <c r="N11" s="3" t="str">
        <f>IF(AND(WBS_Performance[[#This Row],[EV]]&gt;0,WBS_Performance[[#This Row],[CPI]]&gt;0),WBS_Performance[[#This Row],[BAC]]/WBS_Performance[[#This Row],[CPI]],"")</f>
        <v/>
      </c>
      <c r="O11" s="30"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Planned</v>
      </c>
      <c r="P11" s="7"/>
      <c r="Q11" t="s">
        <v>154</v>
      </c>
      <c r="R11">
        <v>0</v>
      </c>
      <c r="S11">
        <v>0</v>
      </c>
      <c r="T11">
        <v>0</v>
      </c>
      <c r="U11" t="s">
        <v>154</v>
      </c>
      <c r="V11">
        <v>0</v>
      </c>
      <c r="W11">
        <v>0</v>
      </c>
      <c r="X11">
        <v>0</v>
      </c>
    </row>
    <row r="12" spans="1:24" x14ac:dyDescent="0.35">
      <c r="A12" t="s">
        <v>155</v>
      </c>
      <c r="B12" t="s">
        <v>19</v>
      </c>
      <c r="C12">
        <v>1</v>
      </c>
      <c r="D12" t="s">
        <v>35</v>
      </c>
      <c r="E12" t="s">
        <v>20</v>
      </c>
      <c r="F12" t="s">
        <v>21</v>
      </c>
      <c r="G12" s="3">
        <v>400000</v>
      </c>
      <c r="H12" s="50">
        <f>INDEX(WBS_Source_Summary[LatestProgress],MATCH(WBS_Performance[[#This Row],[WBS_ID]],WBS_Source_Summary[WBS_ID],0))</f>
        <v>0.9</v>
      </c>
      <c r="I12" s="3">
        <f>INDEX(WBS_Source_Summary[LaborCost],MATCH(WBS_Performance[[#This Row],[WBS_ID]],WBS_Source_Summary[WBS_ID],0))</f>
        <v>332500</v>
      </c>
      <c r="J12" s="3">
        <f>INDEX(WBS_Source_Summary[MaterialCost],MATCH(WBS_Performance[[#This Row],[WBS_ID]],WBS_Source_Summary[WBS_ID],0))</f>
        <v>0</v>
      </c>
      <c r="K12" s="3">
        <f>WBS_Performance[[#This Row],[Labor Cost]]+WBS_Performance[[#This Row],[Material Cost]]</f>
        <v>332500</v>
      </c>
      <c r="L12" s="3">
        <f>WBS_Performance[[#This Row],[BAC]]*WBS_Performance[[#This Row],[Latest Progress]]</f>
        <v>360000</v>
      </c>
      <c r="M12" s="34">
        <f>IF(WBS_Performance[[#This Row],[AC]]=0,IF(WBS_Performance[[#This Row],[EV]]=0,1,""),WBS_Performance[[#This Row],[EV]]/WBS_Performance[[#This Row],[AC]])</f>
        <v>1.0827067669172932</v>
      </c>
      <c r="N12" s="3">
        <f>IF(AND(WBS_Performance[[#This Row],[EV]]&gt;0,WBS_Performance[[#This Row],[CPI]]&gt;0),WBS_Performance[[#This Row],[BAC]]/WBS_Performance[[#This Row],[CPI]],"")</f>
        <v>369444.44444444444</v>
      </c>
      <c r="O12" s="31"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On Track</v>
      </c>
      <c r="P12" s="7"/>
      <c r="Q12" t="s">
        <v>155</v>
      </c>
      <c r="R12">
        <v>0.9</v>
      </c>
      <c r="S12">
        <v>332500</v>
      </c>
      <c r="T12">
        <v>0</v>
      </c>
      <c r="U12" t="s">
        <v>155</v>
      </c>
      <c r="V12">
        <v>0.9</v>
      </c>
      <c r="W12">
        <v>332500</v>
      </c>
      <c r="X12">
        <v>0</v>
      </c>
    </row>
    <row r="13" spans="1:24" x14ac:dyDescent="0.35">
      <c r="A13" t="s">
        <v>156</v>
      </c>
      <c r="B13" t="s">
        <v>19</v>
      </c>
      <c r="C13">
        <v>2</v>
      </c>
      <c r="D13" t="s">
        <v>44</v>
      </c>
      <c r="E13" t="s">
        <v>20</v>
      </c>
      <c r="F13" t="s">
        <v>21</v>
      </c>
      <c r="G13" s="3">
        <v>800000</v>
      </c>
      <c r="H13" s="51">
        <f>INDEX(WBS_Source_Summary[LatestProgress],MATCH(WBS_Performance[[#This Row],[WBS_ID]],WBS_Source_Summary[WBS_ID],0))</f>
        <v>0</v>
      </c>
      <c r="I13" s="3">
        <f>INDEX(WBS_Source_Summary[LaborCost],MATCH(WBS_Performance[[#This Row],[WBS_ID]],WBS_Source_Summary[WBS_ID],0))</f>
        <v>0</v>
      </c>
      <c r="J13" s="3">
        <f>INDEX(WBS_Source_Summary[MaterialCost],MATCH(WBS_Performance[[#This Row],[WBS_ID]],WBS_Source_Summary[WBS_ID],0))</f>
        <v>50000</v>
      </c>
      <c r="K13" s="3">
        <f>WBS_Performance[[#This Row],[Labor Cost]]+WBS_Performance[[#This Row],[Material Cost]]</f>
        <v>50000</v>
      </c>
      <c r="L13" s="3">
        <f>WBS_Performance[[#This Row],[BAC]]*WBS_Performance[[#This Row],[Latest Progress]]</f>
        <v>0</v>
      </c>
      <c r="M13" s="32">
        <f>IF(WBS_Performance[[#This Row],[AC]]=0,IF(WBS_Performance[[#This Row],[EV]]=0,1,""),WBS_Performance[[#This Row],[EV]]/WBS_Performance[[#This Row],[AC]])</f>
        <v>0</v>
      </c>
      <c r="N13" s="3" t="str">
        <f>IF(AND(WBS_Performance[[#This Row],[EV]]&gt;0,WBS_Performance[[#This Row],[CPI]]&gt;0),WBS_Performance[[#This Row],[BAC]]/WBS_Performance[[#This Row],[CPI]],"")</f>
        <v/>
      </c>
      <c r="O13" s="29"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Overrun</v>
      </c>
      <c r="P13" s="7"/>
      <c r="Q13" t="s">
        <v>156</v>
      </c>
      <c r="R13">
        <v>0</v>
      </c>
      <c r="S13">
        <v>0</v>
      </c>
      <c r="T13">
        <v>50000</v>
      </c>
      <c r="U13" t="s">
        <v>156</v>
      </c>
      <c r="V13">
        <v>0</v>
      </c>
      <c r="W13">
        <v>0</v>
      </c>
      <c r="X13">
        <v>50000</v>
      </c>
    </row>
    <row r="14" spans="1:24" x14ac:dyDescent="0.35">
      <c r="A14" t="s">
        <v>157</v>
      </c>
      <c r="B14" t="s">
        <v>22</v>
      </c>
      <c r="C14">
        <v>1</v>
      </c>
      <c r="D14" t="s">
        <v>36</v>
      </c>
      <c r="E14" t="s">
        <v>23</v>
      </c>
      <c r="F14" t="s">
        <v>24</v>
      </c>
      <c r="G14" s="3">
        <v>500000</v>
      </c>
      <c r="H14" s="50">
        <f>INDEX(WBS_Source_Summary[LatestProgress],MATCH(WBS_Performance[[#This Row],[WBS_ID]],WBS_Source_Summary[WBS_ID],0))</f>
        <v>1</v>
      </c>
      <c r="I14" s="3">
        <f>INDEX(WBS_Source_Summary[LaborCost],MATCH(WBS_Performance[[#This Row],[WBS_ID]],WBS_Source_Summary[WBS_ID],0))</f>
        <v>456000</v>
      </c>
      <c r="J14" s="3">
        <f>INDEX(WBS_Source_Summary[MaterialCost],MATCH(WBS_Performance[[#This Row],[WBS_ID]],WBS_Source_Summary[WBS_ID],0))</f>
        <v>0</v>
      </c>
      <c r="K14" s="3">
        <f>WBS_Performance[[#This Row],[Labor Cost]]+WBS_Performance[[#This Row],[Material Cost]]</f>
        <v>456000</v>
      </c>
      <c r="L14" s="3">
        <f>WBS_Performance[[#This Row],[BAC]]*WBS_Performance[[#This Row],[Latest Progress]]</f>
        <v>500000</v>
      </c>
      <c r="M14" s="34">
        <f>IF(WBS_Performance[[#This Row],[AC]]=0,IF(WBS_Performance[[#This Row],[EV]]=0,1,""),WBS_Performance[[#This Row],[EV]]/WBS_Performance[[#This Row],[AC]])</f>
        <v>1.0964912280701755</v>
      </c>
      <c r="N14" s="3">
        <f>IF(AND(WBS_Performance[[#This Row],[EV]]&gt;0,WBS_Performance[[#This Row],[CPI]]&gt;0),WBS_Performance[[#This Row],[BAC]]/WBS_Performance[[#This Row],[CPI]],"")</f>
        <v>455999.99999999994</v>
      </c>
      <c r="O14" s="31"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Completed</v>
      </c>
      <c r="P14" s="7"/>
      <c r="Q14" t="s">
        <v>157</v>
      </c>
      <c r="R14">
        <v>1</v>
      </c>
      <c r="S14">
        <v>456000</v>
      </c>
      <c r="T14">
        <v>0</v>
      </c>
      <c r="U14" t="s">
        <v>157</v>
      </c>
      <c r="V14">
        <v>1</v>
      </c>
      <c r="W14">
        <v>456000</v>
      </c>
      <c r="X14">
        <v>0</v>
      </c>
    </row>
    <row r="15" spans="1:24" x14ac:dyDescent="0.35">
      <c r="A15" t="s">
        <v>159</v>
      </c>
      <c r="B15" t="s">
        <v>22</v>
      </c>
      <c r="C15">
        <v>2</v>
      </c>
      <c r="D15" t="s">
        <v>41</v>
      </c>
      <c r="E15" t="s">
        <v>23</v>
      </c>
      <c r="F15" t="s">
        <v>24</v>
      </c>
      <c r="G15" s="3">
        <v>1500000</v>
      </c>
      <c r="H15" s="52">
        <f>INDEX(WBS_Source_Summary[LatestProgress],MATCH(WBS_Performance[[#This Row],[WBS_ID]],WBS_Source_Summary[WBS_ID],0))</f>
        <v>0.6</v>
      </c>
      <c r="I15" s="3">
        <f>INDEX(WBS_Source_Summary[LaborCost],MATCH(WBS_Performance[[#This Row],[WBS_ID]],WBS_Source_Summary[WBS_ID],0))</f>
        <v>770000</v>
      </c>
      <c r="J15" s="3">
        <f>INDEX(WBS_Source_Summary[MaterialCost],MATCH(WBS_Performance[[#This Row],[WBS_ID]],WBS_Source_Summary[WBS_ID],0))</f>
        <v>250000</v>
      </c>
      <c r="K15" s="3">
        <f>WBS_Performance[[#This Row],[Labor Cost]]+WBS_Performance[[#This Row],[Material Cost]]</f>
        <v>1020000</v>
      </c>
      <c r="L15" s="3">
        <f>WBS_Performance[[#This Row],[BAC]]*WBS_Performance[[#This Row],[Latest Progress]]</f>
        <v>900000</v>
      </c>
      <c r="M15" s="32">
        <f>IF(WBS_Performance[[#This Row],[AC]]=0,IF(WBS_Performance[[#This Row],[EV]]=0,1,""),WBS_Performance[[#This Row],[EV]]/WBS_Performance[[#This Row],[AC]])</f>
        <v>0.88235294117647056</v>
      </c>
      <c r="N15" s="3">
        <f>IF(AND(WBS_Performance[[#This Row],[EV]]&gt;0,WBS_Performance[[#This Row],[CPI]]&gt;0),WBS_Performance[[#This Row],[BAC]]/WBS_Performance[[#This Row],[CPI]],"")</f>
        <v>1700000</v>
      </c>
      <c r="O15" s="29"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Overrun</v>
      </c>
      <c r="P15" s="7"/>
      <c r="Q15" t="s">
        <v>159</v>
      </c>
      <c r="R15">
        <v>0.6</v>
      </c>
      <c r="S15">
        <v>770000</v>
      </c>
      <c r="T15">
        <v>250000</v>
      </c>
      <c r="U15" t="s">
        <v>159</v>
      </c>
      <c r="V15">
        <v>0.6</v>
      </c>
      <c r="W15">
        <v>770000</v>
      </c>
      <c r="X15">
        <v>250000</v>
      </c>
    </row>
    <row r="16" spans="1:24" x14ac:dyDescent="0.35">
      <c r="A16" t="s">
        <v>160</v>
      </c>
      <c r="B16" t="s">
        <v>25</v>
      </c>
      <c r="C16">
        <v>1</v>
      </c>
      <c r="D16" t="s">
        <v>37</v>
      </c>
      <c r="E16" t="s">
        <v>26</v>
      </c>
      <c r="F16" t="s">
        <v>27</v>
      </c>
      <c r="G16" s="3">
        <v>200000</v>
      </c>
      <c r="H16" s="50">
        <f>INDEX(WBS_Source_Summary[LatestProgress],MATCH(WBS_Performance[[#This Row],[WBS_ID]],WBS_Source_Summary[WBS_ID],0))</f>
        <v>1</v>
      </c>
      <c r="I16" s="3">
        <f>INDEX(WBS_Source_Summary[LaborCost],MATCH(WBS_Performance[[#This Row],[WBS_ID]],WBS_Source_Summary[WBS_ID],0))</f>
        <v>187000</v>
      </c>
      <c r="J16" s="3">
        <f>INDEX(WBS_Source_Summary[MaterialCost],MATCH(WBS_Performance[[#This Row],[WBS_ID]],WBS_Source_Summary[WBS_ID],0))</f>
        <v>0</v>
      </c>
      <c r="K16" s="3">
        <f>WBS_Performance[[#This Row],[Labor Cost]]+WBS_Performance[[#This Row],[Material Cost]]</f>
        <v>187000</v>
      </c>
      <c r="L16" s="3">
        <f>WBS_Performance[[#This Row],[BAC]]*WBS_Performance[[#This Row],[Latest Progress]]</f>
        <v>200000</v>
      </c>
      <c r="M16" s="34">
        <f>IF(WBS_Performance[[#This Row],[AC]]=0,IF(WBS_Performance[[#This Row],[EV]]=0,1,""),WBS_Performance[[#This Row],[EV]]/WBS_Performance[[#This Row],[AC]])</f>
        <v>1.0695187165775402</v>
      </c>
      <c r="N16" s="3">
        <f>IF(AND(WBS_Performance[[#This Row],[EV]]&gt;0,WBS_Performance[[#This Row],[CPI]]&gt;0),WBS_Performance[[#This Row],[BAC]]/WBS_Performance[[#This Row],[CPI]],"")</f>
        <v>187000</v>
      </c>
      <c r="O16" s="31"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Completed</v>
      </c>
      <c r="P16" s="7"/>
      <c r="Q16" s="7" t="s">
        <v>160</v>
      </c>
      <c r="R16" s="7">
        <v>1</v>
      </c>
      <c r="S16" s="7">
        <v>187000</v>
      </c>
      <c r="T16" s="7">
        <v>0</v>
      </c>
      <c r="U16" t="s">
        <v>160</v>
      </c>
      <c r="V16">
        <v>1</v>
      </c>
      <c r="W16">
        <v>187000</v>
      </c>
      <c r="X16">
        <v>0</v>
      </c>
    </row>
    <row r="17" spans="1:24" x14ac:dyDescent="0.35">
      <c r="A17" t="s">
        <v>161</v>
      </c>
      <c r="B17" t="s">
        <v>25</v>
      </c>
      <c r="C17">
        <v>2</v>
      </c>
      <c r="D17" t="s">
        <v>42</v>
      </c>
      <c r="E17" t="s">
        <v>26</v>
      </c>
      <c r="F17" t="s">
        <v>27</v>
      </c>
      <c r="G17" s="3">
        <v>800000</v>
      </c>
      <c r="H17" s="52">
        <f>INDEX(WBS_Source_Summary[LatestProgress],MATCH(WBS_Performance[[#This Row],[WBS_ID]],WBS_Source_Summary[WBS_ID],0))</f>
        <v>0.875</v>
      </c>
      <c r="I17" s="3">
        <f>INDEX(WBS_Source_Summary[LaborCost],MATCH(WBS_Performance[[#This Row],[WBS_ID]],WBS_Source_Summary[WBS_ID],0))</f>
        <v>560000</v>
      </c>
      <c r="J17" s="3">
        <f>INDEX(WBS_Source_Summary[MaterialCost],MATCH(WBS_Performance[[#This Row],[WBS_ID]],WBS_Source_Summary[WBS_ID],0))</f>
        <v>180000</v>
      </c>
      <c r="K17" s="3">
        <f>WBS_Performance[[#This Row],[Labor Cost]]+WBS_Performance[[#This Row],[Material Cost]]</f>
        <v>740000</v>
      </c>
      <c r="L17" s="3">
        <f>WBS_Performance[[#This Row],[BAC]]*WBS_Performance[[#This Row],[Latest Progress]]</f>
        <v>700000</v>
      </c>
      <c r="M17" s="33">
        <f>IF(WBS_Performance[[#This Row],[AC]]=0,IF(WBS_Performance[[#This Row],[EV]]=0,1,""),WBS_Performance[[#This Row],[EV]]/WBS_Performance[[#This Row],[AC]])</f>
        <v>0.94594594594594594</v>
      </c>
      <c r="N17" s="3">
        <f>IF(AND(WBS_Performance[[#This Row],[EV]]&gt;0,WBS_Performance[[#This Row],[CPI]]&gt;0),WBS_Performance[[#This Row],[BAC]]/WBS_Performance[[#This Row],[CPI]],"")</f>
        <v>845714.28571428568</v>
      </c>
      <c r="O17" s="30"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Watch</v>
      </c>
      <c r="P17" s="7"/>
      <c r="Q17" s="7" t="s">
        <v>161</v>
      </c>
      <c r="R17" s="7" t="s">
        <v>380</v>
      </c>
      <c r="S17" s="7" t="s">
        <v>381</v>
      </c>
      <c r="T17" s="7" t="s">
        <v>382</v>
      </c>
      <c r="U17" t="s">
        <v>161</v>
      </c>
      <c r="V17">
        <v>0.875</v>
      </c>
      <c r="W17">
        <v>560000</v>
      </c>
      <c r="X17">
        <v>180000</v>
      </c>
    </row>
    <row r="18" spans="1:24" x14ac:dyDescent="0.35">
      <c r="A18" t="s">
        <v>162</v>
      </c>
      <c r="B18" t="s">
        <v>28</v>
      </c>
      <c r="C18">
        <v>1</v>
      </c>
      <c r="D18" t="s">
        <v>38</v>
      </c>
      <c r="E18" t="s">
        <v>29</v>
      </c>
      <c r="F18" t="s">
        <v>15</v>
      </c>
      <c r="G18" s="3">
        <v>200000</v>
      </c>
      <c r="H18" s="50">
        <f>INDEX(WBS_Source_Summary[LatestProgress],MATCH(WBS_Performance[[#This Row],[WBS_ID]],WBS_Source_Summary[WBS_ID],0))</f>
        <v>1</v>
      </c>
      <c r="I18" s="3">
        <f>INDEX(WBS_Source_Summary[LaborCost],MATCH(WBS_Performance[[#This Row],[WBS_ID]],WBS_Source_Summary[WBS_ID],0))</f>
        <v>180500</v>
      </c>
      <c r="J18" s="3">
        <f>INDEX(WBS_Source_Summary[MaterialCost],MATCH(WBS_Performance[[#This Row],[WBS_ID]],WBS_Source_Summary[WBS_ID],0))</f>
        <v>0</v>
      </c>
      <c r="K18" s="3">
        <f>WBS_Performance[[#This Row],[Labor Cost]]+WBS_Performance[[#This Row],[Material Cost]]</f>
        <v>180500</v>
      </c>
      <c r="L18" s="3">
        <f>WBS_Performance[[#This Row],[BAC]]*WBS_Performance[[#This Row],[Latest Progress]]</f>
        <v>200000</v>
      </c>
      <c r="M18" s="34">
        <f>IF(WBS_Performance[[#This Row],[AC]]=0,IF(WBS_Performance[[#This Row],[EV]]=0,1,""),WBS_Performance[[#This Row],[EV]]/WBS_Performance[[#This Row],[AC]])</f>
        <v>1.10803324099723</v>
      </c>
      <c r="N18" s="3">
        <f>IF(AND(WBS_Performance[[#This Row],[EV]]&gt;0,WBS_Performance[[#This Row],[CPI]]&gt;0),WBS_Performance[[#This Row],[BAC]]/WBS_Performance[[#This Row],[CPI]],"")</f>
        <v>180500</v>
      </c>
      <c r="O18" s="31"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Completed</v>
      </c>
      <c r="P18" s="7"/>
      <c r="Q18" s="7" t="s">
        <v>162</v>
      </c>
      <c r="R18" s="7">
        <v>1</v>
      </c>
      <c r="S18" s="7">
        <v>180500</v>
      </c>
      <c r="T18" s="7">
        <v>0</v>
      </c>
      <c r="U18" t="s">
        <v>162</v>
      </c>
      <c r="V18">
        <v>1</v>
      </c>
      <c r="W18">
        <v>180500</v>
      </c>
      <c r="X18">
        <v>0</v>
      </c>
    </row>
    <row r="19" spans="1:24" x14ac:dyDescent="0.35">
      <c r="A19" t="s">
        <v>163</v>
      </c>
      <c r="B19" t="s">
        <v>28</v>
      </c>
      <c r="C19">
        <v>2</v>
      </c>
      <c r="D19" t="s">
        <v>43</v>
      </c>
      <c r="E19" t="s">
        <v>29</v>
      </c>
      <c r="F19" t="s">
        <v>15</v>
      </c>
      <c r="G19" s="3">
        <v>400000</v>
      </c>
      <c r="H19" s="50">
        <f>INDEX(WBS_Source_Summary[LatestProgress],MATCH(WBS_Performance[[#This Row],[WBS_ID]],WBS_Source_Summary[WBS_ID],0))</f>
        <v>1</v>
      </c>
      <c r="I19" s="3">
        <f>INDEX(WBS_Source_Summary[LaborCost],MATCH(WBS_Performance[[#This Row],[WBS_ID]],WBS_Source_Summary[WBS_ID],0))</f>
        <v>336000</v>
      </c>
      <c r="J19" s="3">
        <f>INDEX(WBS_Source_Summary[MaterialCost],MATCH(WBS_Performance[[#This Row],[WBS_ID]],WBS_Source_Summary[WBS_ID],0))</f>
        <v>70000</v>
      </c>
      <c r="K19" s="3">
        <f>WBS_Performance[[#This Row],[Labor Cost]]+WBS_Performance[[#This Row],[Material Cost]]</f>
        <v>406000</v>
      </c>
      <c r="L19" s="3">
        <f>WBS_Performance[[#This Row],[BAC]]*WBS_Performance[[#This Row],[Latest Progress]]</f>
        <v>400000</v>
      </c>
      <c r="M19" s="33">
        <f>IF(WBS_Performance[[#This Row],[AC]]=0,IF(WBS_Performance[[#This Row],[EV]]=0,1,""),WBS_Performance[[#This Row],[EV]]/WBS_Performance[[#This Row],[AC]])</f>
        <v>0.98522167487684731</v>
      </c>
      <c r="N19" s="3">
        <f>IF(AND(WBS_Performance[[#This Row],[EV]]&gt;0,WBS_Performance[[#This Row],[CPI]]&gt;0),WBS_Performance[[#This Row],[BAC]]/WBS_Performance[[#This Row],[CPI]],"")</f>
        <v>406000</v>
      </c>
      <c r="O19" s="30" t="str">
        <f>IF(AND(WBS_Performance[[#This Row],[AC]]=0,WBS_Performance[[#This Row],[EV]]=0),"⚪ Planned",IF(WBS_Performance[[#This Row],[Latest Progress]]&gt;=0.999,IF(WBS_Performance[[#This Row],[CPI]]&gt;=1,"🟢 Completed",IF(WBS_Performance[[#This Row],[CPI]]&lt;0.95,"🔴 Overrun","🟡 Complete/Watch")),IF(WBS_Performance[[#This Row],[CPI]]&lt;0.9,"🔴 Overrun",IF(WBS_Performance[[#This Row],[CPI]]&lt;1,"🟡 Watch","🟢 On Track"))))</f>
        <v>🟡 Complete/Watch</v>
      </c>
      <c r="P19" s="7"/>
      <c r="Q19" s="7" t="s">
        <v>163</v>
      </c>
      <c r="R19" s="7">
        <v>1</v>
      </c>
      <c r="S19" s="7">
        <v>336000</v>
      </c>
      <c r="T19" s="7">
        <v>70000</v>
      </c>
      <c r="U19" t="s">
        <v>163</v>
      </c>
      <c r="V19">
        <v>1</v>
      </c>
      <c r="W19">
        <v>336000</v>
      </c>
      <c r="X19">
        <v>70000</v>
      </c>
    </row>
    <row r="20" spans="1:24" x14ac:dyDescent="0.35">
      <c r="P20" s="7"/>
      <c r="Q20" s="7" t="s">
        <v>77</v>
      </c>
      <c r="R20" s="7" t="s">
        <v>21</v>
      </c>
      <c r="S20" s="7" t="s">
        <v>69</v>
      </c>
      <c r="T20" s="7">
        <v>480</v>
      </c>
    </row>
    <row r="21" spans="1:24" x14ac:dyDescent="0.35">
      <c r="P21" s="7"/>
      <c r="Q21" s="7" t="s">
        <v>79</v>
      </c>
      <c r="R21" s="7" t="s">
        <v>24</v>
      </c>
      <c r="S21" s="7" t="s">
        <v>68</v>
      </c>
      <c r="T21" s="7">
        <v>461.5</v>
      </c>
    </row>
    <row r="22" spans="1:24" x14ac:dyDescent="0.35">
      <c r="P22" s="7"/>
      <c r="Q22" s="7" t="s">
        <v>75</v>
      </c>
      <c r="R22" s="7" t="s">
        <v>21</v>
      </c>
      <c r="S22" s="7" t="s">
        <v>69</v>
      </c>
      <c r="T22" s="7">
        <v>389.5</v>
      </c>
    </row>
    <row r="23" spans="1:24" x14ac:dyDescent="0.35">
      <c r="P23" s="7"/>
      <c r="Q23" s="7" t="s">
        <v>78</v>
      </c>
      <c r="R23" s="7" t="s">
        <v>27</v>
      </c>
      <c r="S23" s="7" t="s">
        <v>72</v>
      </c>
      <c r="T23" s="7">
        <v>133.30000000000001</v>
      </c>
    </row>
    <row r="24" spans="1:24" x14ac:dyDescent="0.35">
      <c r="A24" t="s">
        <v>8</v>
      </c>
      <c r="B24" t="s">
        <v>9</v>
      </c>
      <c r="C24" t="s">
        <v>10</v>
      </c>
      <c r="D24" t="s">
        <v>323</v>
      </c>
      <c r="E24" t="s">
        <v>327</v>
      </c>
      <c r="F24" t="s">
        <v>328</v>
      </c>
      <c r="G24" t="s">
        <v>4</v>
      </c>
      <c r="H24" t="s">
        <v>11</v>
      </c>
      <c r="I24" t="s">
        <v>329</v>
      </c>
      <c r="J24" t="s">
        <v>12</v>
      </c>
      <c r="P24" s="7"/>
      <c r="Q24" s="7" t="s">
        <v>80</v>
      </c>
      <c r="R24" s="7" t="s">
        <v>15</v>
      </c>
      <c r="S24" s="7" t="s">
        <v>10</v>
      </c>
      <c r="T24" s="7">
        <v>200</v>
      </c>
    </row>
    <row r="25" spans="1:24" x14ac:dyDescent="0.35">
      <c r="A25" t="s">
        <v>13</v>
      </c>
      <c r="B25" t="s">
        <v>14</v>
      </c>
      <c r="C25" t="s">
        <v>15</v>
      </c>
      <c r="D25" s="3">
        <v>1500000</v>
      </c>
      <c r="E25" s="3">
        <f>SUMIFS(WBS_Performance[AC],WBS_Performance[ProjectID],Project_Summary[[#This Row],[Project ID]])</f>
        <v>1848810</v>
      </c>
      <c r="F25" s="3">
        <f>SUMIFS(WBS_Performance[EV],WBS_Performance[ProjectID],Project_Summary[[#This Row],[Project ID]])</f>
        <v>1492500</v>
      </c>
      <c r="G25" s="32">
        <f>IF(Project_Summary[[#This Row],[AC]]=0,IF(Project_Summary[[#This Row],[EV]]=0,1,""),Project_Summary[[#This Row],[EV]]/Project_Summary[[#This Row],[AC]])</f>
        <v>0.80727603160952177</v>
      </c>
      <c r="H25" s="50">
        <f>IF(Project_Summary[[#This Row],[BAC]]=0,0,Project_Summary[[#This Row],[EV]]/Project_Summary[[#This Row],[BAC]])</f>
        <v>0.995</v>
      </c>
      <c r="I25" s="3">
        <f>IF(AND(Project_Summary[[#This Row],[EV]]&gt;0,Project_Summary[[#This Row],[CPI]]&gt;0),Project_Summary[[#This Row],[BAC]]/Project_Summary[[#This Row],[CPI]],"")</f>
        <v>1858100.5025125628</v>
      </c>
      <c r="J25" s="29" t="str">
        <f>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f>
        <v>🔴 Over Budget</v>
      </c>
      <c r="P25" s="7"/>
      <c r="Q25" s="7" t="s">
        <v>76</v>
      </c>
      <c r="R25" s="7" t="s">
        <v>24</v>
      </c>
      <c r="S25" s="7" t="s">
        <v>68</v>
      </c>
      <c r="T25" s="7">
        <v>46.3</v>
      </c>
    </row>
    <row r="26" spans="1:24" x14ac:dyDescent="0.35">
      <c r="A26" t="s">
        <v>16</v>
      </c>
      <c r="B26" t="s">
        <v>17</v>
      </c>
      <c r="C26" t="s">
        <v>15</v>
      </c>
      <c r="D26" s="3">
        <v>800000</v>
      </c>
      <c r="E26" s="3">
        <f>SUMIFS(WBS_Performance[AC],WBS_Performance[ProjectID],Project_Summary[[#This Row],[Project ID]])</f>
        <v>0</v>
      </c>
      <c r="F26" s="3">
        <f>SUMIFS(WBS_Performance[EV],WBS_Performance[ProjectID],Project_Summary[[#This Row],[Project ID]])</f>
        <v>0</v>
      </c>
      <c r="G26" s="34">
        <f>IF(Project_Summary[[#This Row],[AC]]=0,IF(Project_Summary[[#This Row],[EV]]=0,1,""),Project_Summary[[#This Row],[EV]]/Project_Summary[[#This Row],[AC]])</f>
        <v>1</v>
      </c>
      <c r="H26" s="51">
        <f>IF(Project_Summary[[#This Row],[BAC]]=0,0,Project_Summary[[#This Row],[EV]]/Project_Summary[[#This Row],[BAC]])</f>
        <v>0</v>
      </c>
      <c r="I26" s="3" t="str">
        <f>IF(AND(Project_Summary[[#This Row],[EV]]&gt;0,Project_Summary[[#This Row],[CPI]]&gt;0),Project_Summary[[#This Row],[BAC]]/Project_Summary[[#This Row],[CPI]],"")</f>
        <v/>
      </c>
      <c r="J26" s="30" t="str">
        <f>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f>
        <v>⚪ Planned</v>
      </c>
      <c r="P26" s="7"/>
      <c r="Q26" s="7"/>
      <c r="R26" s="7"/>
      <c r="S26" s="7"/>
      <c r="T26" s="7"/>
    </row>
    <row r="27" spans="1:24" x14ac:dyDescent="0.35">
      <c r="A27" t="s">
        <v>19</v>
      </c>
      <c r="B27" t="s">
        <v>20</v>
      </c>
      <c r="C27" t="s">
        <v>21</v>
      </c>
      <c r="D27" s="3">
        <v>1200000</v>
      </c>
      <c r="E27" s="3">
        <f>SUMIFS(WBS_Performance[AC],WBS_Performance[ProjectID],Project_Summary[[#This Row],[Project ID]])</f>
        <v>382500</v>
      </c>
      <c r="F27" s="3">
        <f>SUMIFS(WBS_Performance[EV],WBS_Performance[ProjectID],Project_Summary[[#This Row],[Project ID]])</f>
        <v>360000</v>
      </c>
      <c r="G27" s="33">
        <f>IF(Project_Summary[[#This Row],[AC]]=0,IF(Project_Summary[[#This Row],[EV]]=0,1,""),Project_Summary[[#This Row],[EV]]/Project_Summary[[#This Row],[AC]])</f>
        <v>0.94117647058823528</v>
      </c>
      <c r="H27" s="51">
        <f>IF(Project_Summary[[#This Row],[BAC]]=0,0,Project_Summary[[#This Row],[EV]]/Project_Summary[[#This Row],[BAC]])</f>
        <v>0.3</v>
      </c>
      <c r="I27" s="3">
        <f>IF(AND(Project_Summary[[#This Row],[EV]]&gt;0,Project_Summary[[#This Row],[CPI]]&gt;0),Project_Summary[[#This Row],[BAC]]/Project_Summary[[#This Row],[CPI]],"")</f>
        <v>1275000</v>
      </c>
      <c r="J27" s="29" t="str">
        <f>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f>
        <v>🔴 Overrun Warn</v>
      </c>
      <c r="P27" s="7"/>
      <c r="Q27" s="7"/>
      <c r="R27" s="7"/>
      <c r="S27" s="7"/>
      <c r="T27" s="7"/>
    </row>
    <row r="28" spans="1:24" x14ac:dyDescent="0.35">
      <c r="A28" t="s">
        <v>22</v>
      </c>
      <c r="B28" t="s">
        <v>23</v>
      </c>
      <c r="C28" t="s">
        <v>24</v>
      </c>
      <c r="D28" s="3">
        <v>2000000</v>
      </c>
      <c r="E28" s="3">
        <f>SUMIFS(WBS_Performance[AC],WBS_Performance[ProjectID],Project_Summary[[#This Row],[Project ID]])</f>
        <v>1476000</v>
      </c>
      <c r="F28" s="3">
        <f>SUMIFS(WBS_Performance[EV],WBS_Performance[ProjectID],Project_Summary[[#This Row],[Project ID]])</f>
        <v>1400000</v>
      </c>
      <c r="G28" s="33">
        <f>IF(Project_Summary[[#This Row],[AC]]=0,IF(Project_Summary[[#This Row],[EV]]=0,1,""),Project_Summary[[#This Row],[EV]]/Project_Summary[[#This Row],[AC]])</f>
        <v>0.948509485094851</v>
      </c>
      <c r="H28" s="52">
        <f>IF(Project_Summary[[#This Row],[BAC]]=0,0,Project_Summary[[#This Row],[EV]]/Project_Summary[[#This Row],[BAC]])</f>
        <v>0.7</v>
      </c>
      <c r="I28" s="3">
        <f>IF(AND(Project_Summary[[#This Row],[EV]]&gt;0,Project_Summary[[#This Row],[CPI]]&gt;0),Project_Summary[[#This Row],[BAC]]/Project_Summary[[#This Row],[CPI]],"")</f>
        <v>2108571.4285714286</v>
      </c>
      <c r="J28" s="29" t="str">
        <f>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f>
        <v>🔴 Overrun Warn</v>
      </c>
      <c r="P28" s="7"/>
      <c r="Q28" s="7"/>
      <c r="R28" s="7"/>
      <c r="S28" s="7"/>
      <c r="T28" s="7"/>
    </row>
    <row r="29" spans="1:24" x14ac:dyDescent="0.35">
      <c r="A29" t="s">
        <v>25</v>
      </c>
      <c r="B29" t="s">
        <v>26</v>
      </c>
      <c r="C29" t="s">
        <v>27</v>
      </c>
      <c r="D29" s="3">
        <v>1000000</v>
      </c>
      <c r="E29" s="3">
        <f>SUMIFS(WBS_Performance[AC],WBS_Performance[ProjectID],Project_Summary[[#This Row],[Project ID]])</f>
        <v>927000</v>
      </c>
      <c r="F29" s="3">
        <f>SUMIFS(WBS_Performance[EV],WBS_Performance[ProjectID],Project_Summary[[#This Row],[Project ID]])</f>
        <v>900000</v>
      </c>
      <c r="G29" s="33">
        <f>IF(Project_Summary[[#This Row],[AC]]=0,IF(Project_Summary[[#This Row],[EV]]=0,1,""),Project_Summary[[#This Row],[EV]]/Project_Summary[[#This Row],[AC]])</f>
        <v>0.970873786407767</v>
      </c>
      <c r="H29" s="50">
        <f>IF(Project_Summary[[#This Row],[BAC]]=0,0,Project_Summary[[#This Row],[EV]]/Project_Summary[[#This Row],[BAC]])</f>
        <v>0.9</v>
      </c>
      <c r="I29" s="3">
        <f>IF(AND(Project_Summary[[#This Row],[EV]]&gt;0,Project_Summary[[#This Row],[CPI]]&gt;0),Project_Summary[[#This Row],[BAC]]/Project_Summary[[#This Row],[CPI]],"")</f>
        <v>1030000</v>
      </c>
      <c r="J29" s="30" t="str">
        <f>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f>
        <v>🟡 Within Margins</v>
      </c>
      <c r="P29" s="7"/>
      <c r="Q29" s="7"/>
      <c r="R29" s="7"/>
      <c r="S29" s="7"/>
      <c r="T29" s="7"/>
    </row>
    <row r="30" spans="1:24" x14ac:dyDescent="0.35">
      <c r="A30" t="s">
        <v>28</v>
      </c>
      <c r="B30" t="s">
        <v>29</v>
      </c>
      <c r="C30" t="s">
        <v>15</v>
      </c>
      <c r="D30" s="3">
        <v>600000</v>
      </c>
      <c r="E30" s="3">
        <f>SUMIFS(WBS_Performance[AC],WBS_Performance[ProjectID],Project_Summary[[#This Row],[Project ID]])</f>
        <v>586500</v>
      </c>
      <c r="F30" s="3">
        <f>SUMIFS(WBS_Performance[EV],WBS_Performance[ProjectID],Project_Summary[[#This Row],[Project ID]])</f>
        <v>600000</v>
      </c>
      <c r="G30" s="34">
        <f>IF(Project_Summary[[#This Row],[AC]]=0,IF(Project_Summary[[#This Row],[EV]]=0,1,""),Project_Summary[[#This Row],[EV]]/Project_Summary[[#This Row],[AC]])</f>
        <v>1.0230179028132993</v>
      </c>
      <c r="H30" s="50">
        <f>IF(Project_Summary[[#This Row],[BAC]]=0,0,Project_Summary[[#This Row],[EV]]/Project_Summary[[#This Row],[BAC]])</f>
        <v>1</v>
      </c>
      <c r="I30" s="3">
        <f>IF(AND(Project_Summary[[#This Row],[EV]]&gt;0,Project_Summary[[#This Row],[CPI]]&gt;0),Project_Summary[[#This Row],[BAC]]/Project_Summary[[#This Row],[CPI]],"")</f>
        <v>586500</v>
      </c>
      <c r="J30" s="31" t="str">
        <f>IF(AND(Project_Summary[[#This Row],[AC]]=0,Project_Summary[[#This Row],[EV]]=0),"⚪ Planned",IF(Project_Summary[[#This Row],[AC]]&gt;Project_Summary[[#This Row],[BAC]],"🔴 Over Budget",IF(Project_Summary[[#This Row],[CPI]]&lt;0.95,"🔴 Overrun Warn",IF(Project_Summary[[#This Row],[CPI]]&lt;1,"🟡 Within Margins",IF(Project_Summary[[#This Row],[Progress]]&gt;=0.999,"🟢 Completed","🟢 On Track")))))</f>
        <v>🟢 Completed</v>
      </c>
      <c r="P30" s="7"/>
      <c r="Q30" s="7"/>
      <c r="R30" s="7"/>
      <c r="S30" s="7"/>
      <c r="T30" s="7"/>
    </row>
  </sheetData>
  <mergeCells count="2">
    <mergeCell ref="A1:L1"/>
    <mergeCell ref="A2:L2"/>
  </mergeCells>
  <conditionalFormatting sqref="D25:F30">
    <cfRule type="dataBar" priority="3">
      <dataBar>
        <cfvo type="min"/>
        <cfvo type="max"/>
        <color rgb="FF5B9BD5"/>
      </dataBar>
      <extLst>
        <ext xmlns:x14="http://schemas.microsoft.com/office/spreadsheetml/2009/9/main" uri="{B025F937-C7B1-47D3-B67F-A62EFF666E3E}">
          <x14:id>{58261536-613D-4CFB-BF29-708778EA2F80}</x14:id>
        </ext>
      </extLst>
    </cfRule>
  </conditionalFormatting>
  <conditionalFormatting sqref="G6:L19">
    <cfRule type="dataBar" priority="1">
      <dataBar>
        <cfvo type="min"/>
        <cfvo type="max"/>
        <color rgb="FF5B9BD5"/>
      </dataBar>
      <extLst>
        <ext xmlns:x14="http://schemas.microsoft.com/office/spreadsheetml/2009/9/main" uri="{B025F937-C7B1-47D3-B67F-A62EFF666E3E}">
          <x14:id>{0292D635-59DF-4CBA-8AD1-DE76E2484AD1}</x14:id>
        </ext>
      </extLst>
    </cfRule>
  </conditionalFormatting>
  <conditionalFormatting sqref="H25:H30">
    <cfRule type="dataBar" priority="4">
      <dataBar>
        <cfvo type="min"/>
        <cfvo type="max"/>
        <color rgb="FF5B9BD5"/>
      </dataBar>
      <extLst>
        <ext xmlns:x14="http://schemas.microsoft.com/office/spreadsheetml/2009/9/main" uri="{B025F937-C7B1-47D3-B67F-A62EFF666E3E}">
          <x14:id>{EB09A266-9A39-4BEC-9D76-4A9921054A57}</x14:id>
        </ext>
      </extLst>
    </cfRule>
  </conditionalFormatting>
  <conditionalFormatting sqref="N6:N19">
    <cfRule type="dataBar" priority="2">
      <dataBar>
        <cfvo type="min"/>
        <cfvo type="max"/>
        <color rgb="FF5B9BD5"/>
      </dataBar>
      <extLst>
        <ext xmlns:x14="http://schemas.microsoft.com/office/spreadsheetml/2009/9/main" uri="{B025F937-C7B1-47D3-B67F-A62EFF666E3E}">
          <x14:id>{04BF46D5-BAC9-42DA-9E85-8CEBDF4E6609}</x14:id>
        </ext>
      </extLst>
    </cfRule>
  </conditionalFormatting>
  <pageMargins left="0.7" right="0.7" top="0.75" bottom="0.75" header="0.3" footer="0.3"/>
  <tableParts count="4">
    <tablePart r:id="rId1"/>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58261536-613D-4CFB-BF29-708778EA2F80}">
            <x14:dataBar minLength="0" maxLength="100" axisPosition="none">
              <x14:cfvo type="min"/>
              <x14:cfvo type="max"/>
              <x14:negativeFillColor rgb="FFC00000"/>
            </x14:dataBar>
          </x14:cfRule>
          <xm:sqref>D25:F30</xm:sqref>
        </x14:conditionalFormatting>
        <x14:conditionalFormatting xmlns:xm="http://schemas.microsoft.com/office/excel/2006/main">
          <x14:cfRule type="dataBar" id="{0292D635-59DF-4CBA-8AD1-DE76E2484AD1}">
            <x14:dataBar minLength="0" maxLength="100" axisPosition="none">
              <x14:cfvo type="min"/>
              <x14:cfvo type="max"/>
              <x14:negativeFillColor rgb="FFC00000"/>
            </x14:dataBar>
          </x14:cfRule>
          <xm:sqref>G6:L19</xm:sqref>
        </x14:conditionalFormatting>
        <x14:conditionalFormatting xmlns:xm="http://schemas.microsoft.com/office/excel/2006/main">
          <x14:cfRule type="dataBar" id="{EB09A266-9A39-4BEC-9D76-4A9921054A57}">
            <x14:dataBar minLength="0" maxLength="100" axisPosition="none">
              <x14:cfvo type="min"/>
              <x14:cfvo type="max"/>
              <x14:negativeFillColor rgb="FFC00000"/>
            </x14:dataBar>
          </x14:cfRule>
          <xm:sqref>H25:H30</xm:sqref>
        </x14:conditionalFormatting>
        <x14:conditionalFormatting xmlns:xm="http://schemas.microsoft.com/office/excel/2006/main">
          <x14:cfRule type="dataBar" id="{04BF46D5-BAC9-42DA-9E85-8CEBDF4E6609}">
            <x14:dataBar minLength="0" maxLength="100" axisPosition="none">
              <x14:cfvo type="min"/>
              <x14:cfvo type="max"/>
              <x14:negativeFillColor rgb="FFC00000"/>
            </x14:dataBar>
          </x14:cfRule>
          <xm:sqref>N6:N19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6D12-7CAD-4A4C-8508-65F4C8B26B80}">
  <dimension ref="A1:H174"/>
  <sheetViews>
    <sheetView workbookViewId="0">
      <selection sqref="A1:H1"/>
    </sheetView>
  </sheetViews>
  <sheetFormatPr defaultRowHeight="14.5" x14ac:dyDescent="0.35"/>
  <cols>
    <col min="1" max="1" width="13.6328125" customWidth="1"/>
    <col min="2" max="2" width="40" bestFit="1" customWidth="1"/>
    <col min="3" max="3" width="65.90625" bestFit="1" customWidth="1"/>
    <col min="4" max="4" width="32.26953125" bestFit="1" customWidth="1"/>
    <col min="5" max="5" width="14.54296875" bestFit="1" customWidth="1"/>
    <col min="6" max="6" width="55.1796875" bestFit="1" customWidth="1"/>
    <col min="7" max="7" width="16.6328125" bestFit="1" customWidth="1"/>
  </cols>
  <sheetData>
    <row r="1" spans="1:8" x14ac:dyDescent="0.35">
      <c r="A1" s="57" t="s">
        <v>134</v>
      </c>
      <c r="B1" s="63"/>
      <c r="C1" s="63"/>
      <c r="D1" s="63"/>
      <c r="E1" s="63"/>
      <c r="F1" s="63"/>
      <c r="G1" s="63"/>
      <c r="H1" s="63"/>
    </row>
    <row r="2" spans="1:8" x14ac:dyDescent="0.35">
      <c r="A2" s="64" t="s">
        <v>135</v>
      </c>
      <c r="B2" s="63"/>
      <c r="C2" s="63"/>
      <c r="D2" s="63"/>
      <c r="E2" s="63"/>
      <c r="F2" s="63"/>
      <c r="G2" s="63"/>
      <c r="H2" s="63"/>
    </row>
    <row r="3" spans="1:8" x14ac:dyDescent="0.35">
      <c r="A3" s="7"/>
      <c r="B3" s="7"/>
      <c r="C3" s="7"/>
      <c r="D3" s="7"/>
      <c r="E3" s="7"/>
      <c r="F3" s="7"/>
      <c r="G3" s="7"/>
      <c r="H3" s="7"/>
    </row>
    <row r="4" spans="1:8" x14ac:dyDescent="0.35">
      <c r="A4" s="10" t="s">
        <v>136</v>
      </c>
      <c r="B4" s="7"/>
      <c r="C4" s="7"/>
      <c r="D4" s="7"/>
      <c r="E4" s="7"/>
      <c r="F4" s="7"/>
      <c r="G4" s="7"/>
      <c r="H4" s="7"/>
    </row>
    <row r="5" spans="1:8" x14ac:dyDescent="0.35">
      <c r="A5" s="7" t="s">
        <v>137</v>
      </c>
      <c r="B5" s="7" t="s">
        <v>138</v>
      </c>
      <c r="C5" s="7" t="s">
        <v>139</v>
      </c>
      <c r="D5" s="7" t="s">
        <v>140</v>
      </c>
      <c r="E5" s="7" t="s">
        <v>141</v>
      </c>
      <c r="F5" s="7" t="s">
        <v>142</v>
      </c>
      <c r="G5" s="7" t="s">
        <v>12</v>
      </c>
      <c r="H5" s="7"/>
    </row>
    <row r="6" spans="1:8" x14ac:dyDescent="0.35">
      <c r="A6" s="7" t="s">
        <v>13</v>
      </c>
      <c r="B6" s="7" t="s">
        <v>14</v>
      </c>
      <c r="C6" s="7" t="s">
        <v>15</v>
      </c>
      <c r="D6" s="7">
        <v>1500000</v>
      </c>
      <c r="E6" s="19">
        <v>46023</v>
      </c>
      <c r="F6" s="19">
        <v>46203</v>
      </c>
      <c r="G6" s="37" t="s">
        <v>143</v>
      </c>
      <c r="H6" s="7"/>
    </row>
    <row r="7" spans="1:8" x14ac:dyDescent="0.35">
      <c r="A7" s="7" t="s">
        <v>16</v>
      </c>
      <c r="B7" s="7" t="s">
        <v>17</v>
      </c>
      <c r="C7" s="7" t="s">
        <v>15</v>
      </c>
      <c r="D7" s="7">
        <v>800000</v>
      </c>
      <c r="E7" s="19">
        <v>46235</v>
      </c>
      <c r="F7" s="19">
        <v>46387</v>
      </c>
      <c r="G7" s="36" t="s">
        <v>144</v>
      </c>
      <c r="H7" s="7"/>
    </row>
    <row r="8" spans="1:8" x14ac:dyDescent="0.35">
      <c r="A8" s="7" t="s">
        <v>19</v>
      </c>
      <c r="B8" s="7" t="s">
        <v>20</v>
      </c>
      <c r="C8" s="7" t="s">
        <v>21</v>
      </c>
      <c r="D8" s="7">
        <v>1200000</v>
      </c>
      <c r="E8" s="19">
        <v>46143</v>
      </c>
      <c r="F8" s="19">
        <v>46326</v>
      </c>
      <c r="G8" s="36" t="s">
        <v>108</v>
      </c>
      <c r="H8" s="7"/>
    </row>
    <row r="9" spans="1:8" x14ac:dyDescent="0.35">
      <c r="A9" s="7" t="s">
        <v>22</v>
      </c>
      <c r="B9" s="7" t="s">
        <v>23</v>
      </c>
      <c r="C9" s="7" t="s">
        <v>24</v>
      </c>
      <c r="D9" s="7">
        <v>2000000</v>
      </c>
      <c r="E9" s="19">
        <v>46082</v>
      </c>
      <c r="F9" s="19">
        <v>46265</v>
      </c>
      <c r="G9" s="36" t="s">
        <v>108</v>
      </c>
      <c r="H9" s="7"/>
    </row>
    <row r="10" spans="1:8" x14ac:dyDescent="0.35">
      <c r="A10" s="7" t="s">
        <v>25</v>
      </c>
      <c r="B10" s="7" t="s">
        <v>26</v>
      </c>
      <c r="C10" s="7" t="s">
        <v>27</v>
      </c>
      <c r="D10" s="7">
        <v>1000000</v>
      </c>
      <c r="E10" s="19">
        <v>46054</v>
      </c>
      <c r="F10" s="19">
        <v>46234</v>
      </c>
      <c r="G10" s="36" t="s">
        <v>108</v>
      </c>
      <c r="H10" s="7"/>
    </row>
    <row r="11" spans="1:8" x14ac:dyDescent="0.35">
      <c r="A11" s="7" t="s">
        <v>28</v>
      </c>
      <c r="B11" s="7" t="s">
        <v>29</v>
      </c>
      <c r="C11" s="7" t="s">
        <v>15</v>
      </c>
      <c r="D11" s="7">
        <v>600000</v>
      </c>
      <c r="E11" s="19">
        <v>46113</v>
      </c>
      <c r="F11" s="19">
        <v>46173</v>
      </c>
      <c r="G11" s="37" t="s">
        <v>143</v>
      </c>
      <c r="H11" s="7"/>
    </row>
    <row r="12" spans="1:8" x14ac:dyDescent="0.35">
      <c r="A12" s="7"/>
      <c r="B12" s="7"/>
      <c r="C12" s="7"/>
      <c r="D12" s="7"/>
      <c r="E12" s="7"/>
      <c r="F12" s="7"/>
      <c r="G12" s="7"/>
      <c r="H12" s="7"/>
    </row>
    <row r="13" spans="1:8" x14ac:dyDescent="0.35">
      <c r="A13" s="7"/>
      <c r="B13" s="7"/>
      <c r="C13" s="7"/>
      <c r="D13" s="7"/>
      <c r="E13" s="7"/>
      <c r="F13" s="7"/>
      <c r="G13" s="7"/>
      <c r="H13" s="7"/>
    </row>
    <row r="14" spans="1:8" x14ac:dyDescent="0.35">
      <c r="A14" s="10" t="s">
        <v>48</v>
      </c>
      <c r="B14" s="7"/>
      <c r="C14" s="7"/>
      <c r="D14" s="7"/>
      <c r="E14" s="7"/>
      <c r="F14" s="7"/>
      <c r="G14" s="7"/>
      <c r="H14" s="7"/>
    </row>
    <row r="15" spans="1:8" x14ac:dyDescent="0.35">
      <c r="A15" s="7" t="s">
        <v>145</v>
      </c>
      <c r="B15" s="7" t="s">
        <v>137</v>
      </c>
      <c r="C15" s="7" t="s">
        <v>146</v>
      </c>
      <c r="D15" s="7" t="s">
        <v>33</v>
      </c>
      <c r="E15" s="36" t="s">
        <v>147</v>
      </c>
      <c r="F15" s="36" t="s">
        <v>148</v>
      </c>
      <c r="G15" s="7"/>
      <c r="H15" s="7"/>
    </row>
    <row r="16" spans="1:8" x14ac:dyDescent="0.35">
      <c r="A16" s="7" t="s">
        <v>149</v>
      </c>
      <c r="B16" s="7" t="s">
        <v>13</v>
      </c>
      <c r="C16" s="7">
        <v>1</v>
      </c>
      <c r="D16" s="7" t="s">
        <v>34</v>
      </c>
      <c r="E16" s="7">
        <v>300000</v>
      </c>
      <c r="F16" s="35">
        <v>400</v>
      </c>
      <c r="G16" s="7"/>
      <c r="H16" s="7"/>
    </row>
    <row r="17" spans="1:8" x14ac:dyDescent="0.35">
      <c r="A17" s="7" t="s">
        <v>150</v>
      </c>
      <c r="B17" s="7" t="s">
        <v>13</v>
      </c>
      <c r="C17" s="7">
        <v>2</v>
      </c>
      <c r="D17" s="7" t="s">
        <v>40</v>
      </c>
      <c r="E17" s="7">
        <v>600000</v>
      </c>
      <c r="F17" s="7">
        <v>1200</v>
      </c>
      <c r="G17" s="7"/>
      <c r="H17" s="7"/>
    </row>
    <row r="18" spans="1:8" x14ac:dyDescent="0.35">
      <c r="A18" s="7" t="s">
        <v>151</v>
      </c>
      <c r="B18" s="7" t="s">
        <v>13</v>
      </c>
      <c r="C18" s="7">
        <v>3</v>
      </c>
      <c r="D18" s="7" t="s">
        <v>46</v>
      </c>
      <c r="E18" s="7">
        <v>400000</v>
      </c>
      <c r="F18" s="7">
        <v>800</v>
      </c>
      <c r="G18" s="7"/>
      <c r="H18" s="7"/>
    </row>
    <row r="19" spans="1:8" x14ac:dyDescent="0.35">
      <c r="A19" s="7" t="s">
        <v>152</v>
      </c>
      <c r="B19" s="7" t="s">
        <v>13</v>
      </c>
      <c r="C19" s="7">
        <v>4</v>
      </c>
      <c r="D19" s="7" t="s">
        <v>47</v>
      </c>
      <c r="E19" s="7">
        <v>200000</v>
      </c>
      <c r="F19" s="7">
        <v>300</v>
      </c>
      <c r="G19" s="7"/>
      <c r="H19" s="7"/>
    </row>
    <row r="20" spans="1:8" x14ac:dyDescent="0.35">
      <c r="A20" s="7" t="s">
        <v>153</v>
      </c>
      <c r="B20" s="7" t="s">
        <v>16</v>
      </c>
      <c r="C20" s="7">
        <v>1</v>
      </c>
      <c r="D20" s="7" t="s">
        <v>39</v>
      </c>
      <c r="E20" s="7">
        <v>300000</v>
      </c>
      <c r="F20" s="7">
        <v>300</v>
      </c>
      <c r="G20" s="7"/>
      <c r="H20" s="7"/>
    </row>
    <row r="21" spans="1:8" x14ac:dyDescent="0.35">
      <c r="A21" s="7" t="s">
        <v>154</v>
      </c>
      <c r="B21" s="7" t="s">
        <v>16</v>
      </c>
      <c r="C21" s="7">
        <v>2</v>
      </c>
      <c r="D21" s="7" t="s">
        <v>44</v>
      </c>
      <c r="E21" s="7">
        <v>500000</v>
      </c>
      <c r="F21" s="7">
        <v>800</v>
      </c>
      <c r="G21" s="7"/>
      <c r="H21" s="7"/>
    </row>
    <row r="22" spans="1:8" x14ac:dyDescent="0.35">
      <c r="A22" s="7" t="s">
        <v>155</v>
      </c>
      <c r="B22" s="7" t="s">
        <v>19</v>
      </c>
      <c r="C22" s="7">
        <v>1</v>
      </c>
      <c r="D22" s="7" t="s">
        <v>35</v>
      </c>
      <c r="E22" s="7">
        <v>400000</v>
      </c>
      <c r="F22" s="7">
        <v>500</v>
      </c>
      <c r="G22" s="7"/>
      <c r="H22" s="7"/>
    </row>
    <row r="23" spans="1:8" x14ac:dyDescent="0.35">
      <c r="A23" s="7" t="s">
        <v>156</v>
      </c>
      <c r="B23" s="7" t="s">
        <v>19</v>
      </c>
      <c r="C23" s="7">
        <v>2</v>
      </c>
      <c r="D23" s="7" t="s">
        <v>45</v>
      </c>
      <c r="E23" s="7">
        <v>500000</v>
      </c>
      <c r="F23" s="7">
        <v>200</v>
      </c>
      <c r="G23" s="7"/>
      <c r="H23" s="7"/>
    </row>
    <row r="24" spans="1:8" x14ac:dyDescent="0.35">
      <c r="A24" s="7" t="s">
        <v>157</v>
      </c>
      <c r="B24" s="7" t="s">
        <v>19</v>
      </c>
      <c r="C24" s="7">
        <v>3</v>
      </c>
      <c r="D24" s="7" t="s">
        <v>158</v>
      </c>
      <c r="E24" s="7">
        <v>300000</v>
      </c>
      <c r="F24" s="7">
        <v>450</v>
      </c>
      <c r="G24" s="7"/>
      <c r="H24" s="7"/>
    </row>
    <row r="25" spans="1:8" x14ac:dyDescent="0.35">
      <c r="A25" s="7" t="s">
        <v>159</v>
      </c>
      <c r="B25" s="7" t="s">
        <v>22</v>
      </c>
      <c r="C25" s="7">
        <v>1</v>
      </c>
      <c r="D25" s="7" t="s">
        <v>36</v>
      </c>
      <c r="E25" s="7">
        <v>500000</v>
      </c>
      <c r="F25" s="7">
        <v>550</v>
      </c>
      <c r="G25" s="7"/>
      <c r="H25" s="7"/>
    </row>
    <row r="26" spans="1:8" x14ac:dyDescent="0.35">
      <c r="A26" s="7" t="s">
        <v>160</v>
      </c>
      <c r="B26" s="7" t="s">
        <v>22</v>
      </c>
      <c r="C26" s="7">
        <v>2</v>
      </c>
      <c r="D26" s="7" t="s">
        <v>41</v>
      </c>
      <c r="E26" s="7">
        <v>1500000</v>
      </c>
      <c r="F26" s="7">
        <v>1800</v>
      </c>
      <c r="G26" s="7"/>
      <c r="H26" s="7"/>
    </row>
    <row r="27" spans="1:8" x14ac:dyDescent="0.35">
      <c r="A27" s="7" t="s">
        <v>161</v>
      </c>
      <c r="B27" s="7" t="s">
        <v>25</v>
      </c>
      <c r="C27" s="7">
        <v>1</v>
      </c>
      <c r="D27" s="7" t="s">
        <v>37</v>
      </c>
      <c r="E27" s="7">
        <v>200000</v>
      </c>
      <c r="F27" s="7">
        <v>250</v>
      </c>
      <c r="G27" s="7"/>
      <c r="H27" s="7"/>
    </row>
    <row r="28" spans="1:8" x14ac:dyDescent="0.35">
      <c r="A28" s="7" t="s">
        <v>162</v>
      </c>
      <c r="B28" s="7" t="s">
        <v>25</v>
      </c>
      <c r="C28" s="7">
        <v>2</v>
      </c>
      <c r="D28" s="7" t="s">
        <v>42</v>
      </c>
      <c r="E28" s="7">
        <v>800000</v>
      </c>
      <c r="F28" s="7">
        <v>1000</v>
      </c>
      <c r="G28" s="7"/>
      <c r="H28" s="7"/>
    </row>
    <row r="29" spans="1:8" x14ac:dyDescent="0.35">
      <c r="A29" s="7" t="s">
        <v>163</v>
      </c>
      <c r="B29" s="7" t="s">
        <v>28</v>
      </c>
      <c r="C29" s="7">
        <v>1</v>
      </c>
      <c r="D29" s="7" t="s">
        <v>38</v>
      </c>
      <c r="E29" s="7">
        <v>200000</v>
      </c>
      <c r="F29" s="7">
        <v>250</v>
      </c>
      <c r="G29" s="7"/>
      <c r="H29" s="7"/>
    </row>
    <row r="30" spans="1:8" x14ac:dyDescent="0.35">
      <c r="A30" s="7" t="s">
        <v>164</v>
      </c>
      <c r="B30" s="7" t="s">
        <v>28</v>
      </c>
      <c r="C30" s="7">
        <v>2</v>
      </c>
      <c r="D30" s="7" t="s">
        <v>43</v>
      </c>
      <c r="E30" s="7">
        <v>400000</v>
      </c>
      <c r="F30" s="7">
        <v>600</v>
      </c>
      <c r="G30" s="7"/>
      <c r="H30" s="7"/>
    </row>
    <row r="31" spans="1:8" x14ac:dyDescent="0.35">
      <c r="A31" s="7"/>
      <c r="B31" s="7"/>
      <c r="C31" s="7"/>
      <c r="D31" s="7"/>
      <c r="E31" s="7"/>
      <c r="F31" s="7"/>
      <c r="G31" s="7"/>
      <c r="H31" s="7"/>
    </row>
    <row r="32" spans="1:8" x14ac:dyDescent="0.35">
      <c r="A32" s="7"/>
      <c r="B32" s="7"/>
      <c r="C32" s="7"/>
      <c r="D32" s="7"/>
      <c r="E32" s="7"/>
      <c r="F32" s="7"/>
      <c r="G32" s="7"/>
      <c r="H32" s="7"/>
    </row>
    <row r="33" spans="1:8" x14ac:dyDescent="0.35">
      <c r="A33" s="10" t="s">
        <v>11</v>
      </c>
      <c r="B33" s="7"/>
      <c r="C33" s="7"/>
      <c r="D33" s="7"/>
      <c r="E33" s="7"/>
      <c r="F33" s="7"/>
      <c r="G33" s="7"/>
      <c r="H33" s="7"/>
    </row>
    <row r="34" spans="1:8" x14ac:dyDescent="0.35">
      <c r="A34" s="7" t="s">
        <v>165</v>
      </c>
      <c r="B34" s="7" t="s">
        <v>145</v>
      </c>
      <c r="C34" s="7" t="s">
        <v>166</v>
      </c>
      <c r="D34" s="7" t="s">
        <v>167</v>
      </c>
      <c r="E34" s="7" t="s">
        <v>168</v>
      </c>
      <c r="F34" s="7"/>
      <c r="G34" s="7"/>
      <c r="H34" s="7"/>
    </row>
    <row r="35" spans="1:8" x14ac:dyDescent="0.35">
      <c r="A35" s="7" t="s">
        <v>169</v>
      </c>
      <c r="B35" s="7" t="s">
        <v>149</v>
      </c>
      <c r="C35" s="19">
        <v>46029</v>
      </c>
      <c r="D35" s="35">
        <v>3.9E-2</v>
      </c>
      <c r="E35" s="7" t="s">
        <v>27</v>
      </c>
      <c r="F35" s="7"/>
      <c r="G35" s="7"/>
      <c r="H35" s="7"/>
    </row>
    <row r="36" spans="1:8" x14ac:dyDescent="0.35">
      <c r="A36" s="7" t="s">
        <v>170</v>
      </c>
      <c r="B36" s="7" t="s">
        <v>149</v>
      </c>
      <c r="C36" s="19">
        <v>46036</v>
      </c>
      <c r="D36" s="7">
        <v>7.8E-2</v>
      </c>
      <c r="E36" s="7" t="s">
        <v>27</v>
      </c>
      <c r="F36" s="7"/>
      <c r="G36" s="7"/>
      <c r="H36" s="7"/>
    </row>
    <row r="37" spans="1:8" x14ac:dyDescent="0.35">
      <c r="A37" s="7" t="s">
        <v>171</v>
      </c>
      <c r="B37" s="7" t="s">
        <v>149</v>
      </c>
      <c r="C37" s="19">
        <v>46043</v>
      </c>
      <c r="D37" s="7">
        <v>0.11700000000000001</v>
      </c>
      <c r="E37" s="7" t="s">
        <v>27</v>
      </c>
      <c r="F37" s="7"/>
      <c r="G37" s="7"/>
      <c r="H37" s="7"/>
    </row>
    <row r="38" spans="1:8" x14ac:dyDescent="0.35">
      <c r="A38" s="7" t="s">
        <v>172</v>
      </c>
      <c r="B38" s="7" t="s">
        <v>149</v>
      </c>
      <c r="C38" s="19">
        <v>46050</v>
      </c>
      <c r="D38" s="7">
        <v>0.156</v>
      </c>
      <c r="E38" s="7" t="s">
        <v>27</v>
      </c>
      <c r="F38" s="7"/>
      <c r="G38" s="7"/>
      <c r="H38" s="7"/>
    </row>
    <row r="39" spans="1:8" x14ac:dyDescent="0.35">
      <c r="A39" s="7" t="s">
        <v>173</v>
      </c>
      <c r="B39" s="7" t="s">
        <v>149</v>
      </c>
      <c r="C39" s="19">
        <v>46057</v>
      </c>
      <c r="D39" s="7">
        <v>0.19500000000000001</v>
      </c>
      <c r="E39" s="7" t="s">
        <v>27</v>
      </c>
      <c r="F39" s="7"/>
      <c r="G39" s="7"/>
      <c r="H39" s="7"/>
    </row>
    <row r="40" spans="1:8" x14ac:dyDescent="0.35">
      <c r="A40" s="7" t="s">
        <v>174</v>
      </c>
      <c r="B40" s="7" t="s">
        <v>149</v>
      </c>
      <c r="C40" s="19">
        <v>46064</v>
      </c>
      <c r="D40" s="7">
        <v>0.23400000000000001</v>
      </c>
      <c r="E40" s="7" t="s">
        <v>27</v>
      </c>
      <c r="F40" s="7"/>
      <c r="G40" s="7"/>
      <c r="H40" s="7"/>
    </row>
    <row r="41" spans="1:8" x14ac:dyDescent="0.35">
      <c r="A41" s="7" t="s">
        <v>175</v>
      </c>
      <c r="B41" s="7" t="s">
        <v>149</v>
      </c>
      <c r="C41" s="19">
        <v>46071</v>
      </c>
      <c r="D41" s="7">
        <v>0.27300000000000002</v>
      </c>
      <c r="E41" s="7" t="s">
        <v>27</v>
      </c>
      <c r="F41" s="7"/>
      <c r="G41" s="7"/>
      <c r="H41" s="7"/>
    </row>
    <row r="42" spans="1:8" x14ac:dyDescent="0.35">
      <c r="A42" s="7" t="s">
        <v>176</v>
      </c>
      <c r="B42" s="7" t="s">
        <v>149</v>
      </c>
      <c r="C42" s="19">
        <v>46078</v>
      </c>
      <c r="D42" s="7">
        <v>0.312</v>
      </c>
      <c r="E42" s="7" t="s">
        <v>27</v>
      </c>
      <c r="F42" s="7"/>
      <c r="G42" s="7"/>
      <c r="H42" s="7"/>
    </row>
    <row r="43" spans="1:8" x14ac:dyDescent="0.35">
      <c r="A43" s="7" t="s">
        <v>177</v>
      </c>
      <c r="B43" s="7" t="s">
        <v>149</v>
      </c>
      <c r="C43" s="19">
        <v>46085</v>
      </c>
      <c r="D43" s="7">
        <v>0.35099999999999998</v>
      </c>
      <c r="E43" s="7" t="s">
        <v>27</v>
      </c>
      <c r="F43" s="7"/>
      <c r="G43" s="7"/>
      <c r="H43" s="7"/>
    </row>
    <row r="44" spans="1:8" x14ac:dyDescent="0.35">
      <c r="A44" s="7" t="s">
        <v>178</v>
      </c>
      <c r="B44" s="7" t="s">
        <v>149</v>
      </c>
      <c r="C44" s="19">
        <v>46092</v>
      </c>
      <c r="D44" s="7">
        <v>0.39</v>
      </c>
      <c r="E44" s="7" t="s">
        <v>27</v>
      </c>
      <c r="F44" s="7"/>
      <c r="G44" s="7"/>
      <c r="H44" s="7"/>
    </row>
    <row r="45" spans="1:8" x14ac:dyDescent="0.35">
      <c r="A45" s="7" t="s">
        <v>179</v>
      </c>
      <c r="B45" s="7" t="s">
        <v>149</v>
      </c>
      <c r="C45" s="19">
        <v>46099</v>
      </c>
      <c r="D45" s="7">
        <v>0.42899999999999999</v>
      </c>
      <c r="E45" s="7" t="s">
        <v>27</v>
      </c>
      <c r="F45" s="7"/>
      <c r="G45" s="7"/>
      <c r="H45" s="7"/>
    </row>
    <row r="46" spans="1:8" x14ac:dyDescent="0.35">
      <c r="A46" s="7" t="s">
        <v>180</v>
      </c>
      <c r="B46" s="7" t="s">
        <v>149</v>
      </c>
      <c r="C46" s="19">
        <v>46106</v>
      </c>
      <c r="D46" s="7">
        <v>0.46800000000000003</v>
      </c>
      <c r="E46" s="7" t="s">
        <v>27</v>
      </c>
      <c r="F46" s="7"/>
      <c r="G46" s="7"/>
      <c r="H46" s="7"/>
    </row>
    <row r="47" spans="1:8" x14ac:dyDescent="0.35">
      <c r="A47" s="7" t="s">
        <v>181</v>
      </c>
      <c r="B47" s="7" t="s">
        <v>149</v>
      </c>
      <c r="C47" s="19">
        <v>46113</v>
      </c>
      <c r="D47" s="7">
        <v>0.50700000000000001</v>
      </c>
      <c r="E47" s="7" t="s">
        <v>27</v>
      </c>
      <c r="F47" s="7"/>
      <c r="G47" s="7"/>
      <c r="H47" s="7"/>
    </row>
    <row r="48" spans="1:8" x14ac:dyDescent="0.35">
      <c r="A48" s="7" t="s">
        <v>182</v>
      </c>
      <c r="B48" s="7" t="s">
        <v>149</v>
      </c>
      <c r="C48" s="19">
        <v>46120</v>
      </c>
      <c r="D48" s="7">
        <v>0.54600000000000004</v>
      </c>
      <c r="E48" s="7" t="s">
        <v>27</v>
      </c>
      <c r="F48" s="7"/>
      <c r="G48" s="7"/>
      <c r="H48" s="7"/>
    </row>
    <row r="49" spans="1:8" x14ac:dyDescent="0.35">
      <c r="A49" s="7" t="s">
        <v>183</v>
      </c>
      <c r="B49" s="7" t="s">
        <v>149</v>
      </c>
      <c r="C49" s="19">
        <v>46127</v>
      </c>
      <c r="D49" s="7">
        <v>0.58499999999999996</v>
      </c>
      <c r="E49" s="7" t="s">
        <v>27</v>
      </c>
      <c r="F49" s="7"/>
      <c r="G49" s="7"/>
      <c r="H49" s="7"/>
    </row>
    <row r="50" spans="1:8" x14ac:dyDescent="0.35">
      <c r="A50" s="7" t="s">
        <v>184</v>
      </c>
      <c r="B50" s="7" t="s">
        <v>149</v>
      </c>
      <c r="C50" s="19">
        <v>46134</v>
      </c>
      <c r="D50" s="7">
        <v>0.624</v>
      </c>
      <c r="E50" s="7" t="s">
        <v>27</v>
      </c>
      <c r="F50" s="7"/>
      <c r="G50" s="7"/>
      <c r="H50" s="7"/>
    </row>
    <row r="51" spans="1:8" x14ac:dyDescent="0.35">
      <c r="A51" s="7" t="s">
        <v>185</v>
      </c>
      <c r="B51" s="7" t="s">
        <v>149</v>
      </c>
      <c r="C51" s="19">
        <v>46141</v>
      </c>
      <c r="D51" s="7">
        <v>0.66300000000000003</v>
      </c>
      <c r="E51" s="7" t="s">
        <v>27</v>
      </c>
      <c r="F51" s="7"/>
      <c r="G51" s="7"/>
      <c r="H51" s="7"/>
    </row>
    <row r="52" spans="1:8" x14ac:dyDescent="0.35">
      <c r="A52" s="7" t="s">
        <v>186</v>
      </c>
      <c r="B52" s="7" t="s">
        <v>149</v>
      </c>
      <c r="C52" s="19">
        <v>46148</v>
      </c>
      <c r="D52" s="7">
        <v>0.70199999999999996</v>
      </c>
      <c r="E52" s="7" t="s">
        <v>27</v>
      </c>
      <c r="F52" s="7"/>
      <c r="G52" s="7"/>
      <c r="H52" s="7"/>
    </row>
    <row r="53" spans="1:8" x14ac:dyDescent="0.35">
      <c r="A53" s="7" t="s">
        <v>187</v>
      </c>
      <c r="B53" s="7" t="s">
        <v>149</v>
      </c>
      <c r="C53" s="19">
        <v>46155</v>
      </c>
      <c r="D53" s="7">
        <v>0.74099999999999999</v>
      </c>
      <c r="E53" s="7" t="s">
        <v>27</v>
      </c>
      <c r="F53" s="7"/>
      <c r="G53" s="7"/>
      <c r="H53" s="7"/>
    </row>
    <row r="54" spans="1:8" x14ac:dyDescent="0.35">
      <c r="A54" s="7" t="s">
        <v>188</v>
      </c>
      <c r="B54" s="7" t="s">
        <v>149</v>
      </c>
      <c r="C54" s="19">
        <v>46162</v>
      </c>
      <c r="D54" s="7">
        <v>0.78</v>
      </c>
      <c r="E54" s="7" t="s">
        <v>27</v>
      </c>
      <c r="F54" s="7"/>
      <c r="G54" s="7"/>
      <c r="H54" s="7"/>
    </row>
    <row r="55" spans="1:8" x14ac:dyDescent="0.35">
      <c r="A55" s="7" t="s">
        <v>189</v>
      </c>
      <c r="B55" s="7" t="s">
        <v>149</v>
      </c>
      <c r="C55" s="19">
        <v>46169</v>
      </c>
      <c r="D55" s="7">
        <v>0.81899999999999995</v>
      </c>
      <c r="E55" s="7" t="s">
        <v>27</v>
      </c>
      <c r="F55" s="7"/>
      <c r="G55" s="7"/>
      <c r="H55" s="7"/>
    </row>
    <row r="56" spans="1:8" x14ac:dyDescent="0.35">
      <c r="A56" s="7" t="s">
        <v>190</v>
      </c>
      <c r="B56" s="7" t="s">
        <v>149</v>
      </c>
      <c r="C56" s="19">
        <v>46176</v>
      </c>
      <c r="D56" s="7">
        <v>0.85799999999999998</v>
      </c>
      <c r="E56" s="7" t="s">
        <v>27</v>
      </c>
      <c r="F56" s="7"/>
      <c r="G56" s="7"/>
      <c r="H56" s="7"/>
    </row>
    <row r="57" spans="1:8" x14ac:dyDescent="0.35">
      <c r="A57" s="7" t="s">
        <v>191</v>
      </c>
      <c r="B57" s="7" t="s">
        <v>149</v>
      </c>
      <c r="C57" s="19">
        <v>46183</v>
      </c>
      <c r="D57" s="7">
        <v>0.89700000000000002</v>
      </c>
      <c r="E57" s="7" t="s">
        <v>27</v>
      </c>
      <c r="F57" s="7"/>
      <c r="G57" s="7"/>
      <c r="H57" s="7"/>
    </row>
    <row r="58" spans="1:8" x14ac:dyDescent="0.35">
      <c r="A58" s="7" t="s">
        <v>192</v>
      </c>
      <c r="B58" s="7" t="s">
        <v>149</v>
      </c>
      <c r="C58" s="19">
        <v>46190</v>
      </c>
      <c r="D58" s="7">
        <v>0.93600000000000005</v>
      </c>
      <c r="E58" s="7" t="s">
        <v>27</v>
      </c>
      <c r="F58" s="7"/>
      <c r="G58" s="7"/>
      <c r="H58" s="7"/>
    </row>
    <row r="59" spans="1:8" x14ac:dyDescent="0.35">
      <c r="A59" s="7" t="s">
        <v>193</v>
      </c>
      <c r="B59" s="7" t="s">
        <v>149</v>
      </c>
      <c r="C59" s="19">
        <v>46197</v>
      </c>
      <c r="D59" s="7">
        <v>0.97499999999999998</v>
      </c>
      <c r="E59" s="7" t="s">
        <v>27</v>
      </c>
      <c r="F59" s="7"/>
      <c r="G59" s="7"/>
      <c r="H59" s="7"/>
    </row>
    <row r="60" spans="1:8" x14ac:dyDescent="0.35">
      <c r="A60" s="7" t="s">
        <v>194</v>
      </c>
      <c r="B60" s="7" t="s">
        <v>150</v>
      </c>
      <c r="C60" s="19">
        <v>46068</v>
      </c>
      <c r="D60" s="7">
        <v>0.25</v>
      </c>
      <c r="E60" s="7" t="s">
        <v>15</v>
      </c>
      <c r="F60" s="7"/>
      <c r="G60" s="7"/>
      <c r="H60" s="7"/>
    </row>
    <row r="61" spans="1:8" x14ac:dyDescent="0.35">
      <c r="A61" s="7" t="s">
        <v>195</v>
      </c>
      <c r="B61" s="7" t="s">
        <v>150</v>
      </c>
      <c r="C61" s="19">
        <v>46082</v>
      </c>
      <c r="D61" s="7">
        <v>0.5</v>
      </c>
      <c r="E61" s="7" t="s">
        <v>15</v>
      </c>
      <c r="F61" s="7"/>
      <c r="G61" s="7"/>
      <c r="H61" s="7"/>
    </row>
    <row r="62" spans="1:8" x14ac:dyDescent="0.35">
      <c r="A62" s="7" t="s">
        <v>196</v>
      </c>
      <c r="B62" s="7" t="s">
        <v>150</v>
      </c>
      <c r="C62" s="19">
        <v>46096</v>
      </c>
      <c r="D62" s="7">
        <v>0.75</v>
      </c>
      <c r="E62" s="7" t="s">
        <v>15</v>
      </c>
      <c r="F62" s="7"/>
      <c r="G62" s="7"/>
      <c r="H62" s="7"/>
    </row>
    <row r="63" spans="1:8" x14ac:dyDescent="0.35">
      <c r="A63" s="7" t="s">
        <v>197</v>
      </c>
      <c r="B63" s="7" t="s">
        <v>150</v>
      </c>
      <c r="C63" s="19">
        <v>46113</v>
      </c>
      <c r="D63" s="7">
        <v>1</v>
      </c>
      <c r="E63" s="7" t="s">
        <v>15</v>
      </c>
      <c r="F63" s="7"/>
      <c r="G63" s="7"/>
      <c r="H63" s="7"/>
    </row>
    <row r="64" spans="1:8" x14ac:dyDescent="0.35">
      <c r="A64" s="7" t="s">
        <v>198</v>
      </c>
      <c r="B64" s="7" t="s">
        <v>151</v>
      </c>
      <c r="C64" s="19">
        <v>46127</v>
      </c>
      <c r="D64" s="7">
        <v>0.5</v>
      </c>
      <c r="E64" s="7" t="s">
        <v>27</v>
      </c>
      <c r="F64" s="7"/>
      <c r="G64" s="7"/>
      <c r="H64" s="7"/>
    </row>
    <row r="65" spans="1:8" x14ac:dyDescent="0.35">
      <c r="A65" s="7" t="s">
        <v>199</v>
      </c>
      <c r="B65" s="7" t="s">
        <v>151</v>
      </c>
      <c r="C65" s="19">
        <v>46157</v>
      </c>
      <c r="D65" s="7">
        <v>1</v>
      </c>
      <c r="E65" s="7" t="s">
        <v>27</v>
      </c>
      <c r="F65" s="7"/>
      <c r="G65" s="7"/>
      <c r="H65" s="7"/>
    </row>
    <row r="66" spans="1:8" x14ac:dyDescent="0.35">
      <c r="A66" s="7" t="s">
        <v>200</v>
      </c>
      <c r="B66" s="7" t="s">
        <v>152</v>
      </c>
      <c r="C66" s="19">
        <v>46188</v>
      </c>
      <c r="D66" s="7">
        <v>1</v>
      </c>
      <c r="E66" s="7" t="s">
        <v>15</v>
      </c>
      <c r="F66" s="7"/>
      <c r="G66" s="7"/>
      <c r="H66" s="7"/>
    </row>
    <row r="67" spans="1:8" x14ac:dyDescent="0.35">
      <c r="A67" s="7" t="s">
        <v>201</v>
      </c>
      <c r="B67" s="7" t="s">
        <v>155</v>
      </c>
      <c r="C67" s="19">
        <v>46174</v>
      </c>
      <c r="D67" s="7">
        <v>0.3</v>
      </c>
      <c r="E67" s="7" t="s">
        <v>21</v>
      </c>
      <c r="F67" s="7"/>
      <c r="G67" s="7"/>
      <c r="H67" s="7"/>
    </row>
    <row r="68" spans="1:8" x14ac:dyDescent="0.35">
      <c r="A68" s="7" t="s">
        <v>202</v>
      </c>
      <c r="B68" s="7" t="s">
        <v>155</v>
      </c>
      <c r="C68" s="19">
        <v>46204</v>
      </c>
      <c r="D68" s="7">
        <v>0.6</v>
      </c>
      <c r="E68" s="7" t="s">
        <v>21</v>
      </c>
      <c r="F68" s="7"/>
      <c r="G68" s="7"/>
      <c r="H68" s="7"/>
    </row>
    <row r="69" spans="1:8" x14ac:dyDescent="0.35">
      <c r="A69" s="7" t="s">
        <v>203</v>
      </c>
      <c r="B69" s="7" t="s">
        <v>155</v>
      </c>
      <c r="C69" s="19">
        <v>46235</v>
      </c>
      <c r="D69" s="7">
        <v>0.9</v>
      </c>
      <c r="E69" s="7" t="s">
        <v>21</v>
      </c>
      <c r="F69" s="7"/>
      <c r="G69" s="7"/>
      <c r="H69" s="7"/>
    </row>
    <row r="70" spans="1:8" x14ac:dyDescent="0.35">
      <c r="A70" s="7" t="s">
        <v>204</v>
      </c>
      <c r="B70" s="7" t="s">
        <v>159</v>
      </c>
      <c r="C70" s="19">
        <v>46101</v>
      </c>
      <c r="D70" s="7">
        <v>0.5</v>
      </c>
      <c r="E70" s="7" t="s">
        <v>24</v>
      </c>
      <c r="F70" s="7"/>
      <c r="G70" s="7"/>
      <c r="H70" s="7"/>
    </row>
    <row r="71" spans="1:8" x14ac:dyDescent="0.35">
      <c r="A71" s="7" t="s">
        <v>205</v>
      </c>
      <c r="B71" s="7" t="s">
        <v>159</v>
      </c>
      <c r="C71" s="19">
        <v>46132</v>
      </c>
      <c r="D71" s="7">
        <v>1</v>
      </c>
      <c r="E71" s="7" t="s">
        <v>24</v>
      </c>
      <c r="F71" s="7"/>
      <c r="G71" s="7"/>
      <c r="H71" s="7"/>
    </row>
    <row r="72" spans="1:8" x14ac:dyDescent="0.35">
      <c r="A72" s="7" t="s">
        <v>206</v>
      </c>
      <c r="B72" s="7" t="s">
        <v>160</v>
      </c>
      <c r="C72" s="19">
        <v>46157</v>
      </c>
      <c r="D72" s="7">
        <v>0.3</v>
      </c>
      <c r="E72" s="7" t="s">
        <v>24</v>
      </c>
      <c r="F72" s="7"/>
      <c r="G72" s="7"/>
      <c r="H72" s="7"/>
    </row>
    <row r="73" spans="1:8" x14ac:dyDescent="0.35">
      <c r="A73" s="7" t="s">
        <v>207</v>
      </c>
      <c r="B73" s="7" t="s">
        <v>160</v>
      </c>
      <c r="C73" s="19">
        <v>46188</v>
      </c>
      <c r="D73" s="7">
        <v>0.6</v>
      </c>
      <c r="E73" s="7" t="s">
        <v>24</v>
      </c>
      <c r="F73" s="7"/>
      <c r="G73" s="7"/>
      <c r="H73" s="7"/>
    </row>
    <row r="74" spans="1:8" x14ac:dyDescent="0.35">
      <c r="A74" s="7" t="s">
        <v>208</v>
      </c>
      <c r="B74" s="7" t="s">
        <v>161</v>
      </c>
      <c r="C74" s="19">
        <v>46081</v>
      </c>
      <c r="D74" s="7">
        <v>0.4</v>
      </c>
      <c r="E74" s="7" t="s">
        <v>27</v>
      </c>
      <c r="F74" s="7"/>
      <c r="G74" s="7"/>
      <c r="H74" s="7"/>
    </row>
    <row r="75" spans="1:8" x14ac:dyDescent="0.35">
      <c r="A75" s="7" t="s">
        <v>209</v>
      </c>
      <c r="B75" s="7" t="s">
        <v>161</v>
      </c>
      <c r="C75" s="19">
        <v>46112</v>
      </c>
      <c r="D75" s="7">
        <v>0.8</v>
      </c>
      <c r="E75" s="7" t="s">
        <v>27</v>
      </c>
      <c r="F75" s="7"/>
      <c r="G75" s="7"/>
      <c r="H75" s="7"/>
    </row>
    <row r="76" spans="1:8" x14ac:dyDescent="0.35">
      <c r="A76" s="7" t="s">
        <v>210</v>
      </c>
      <c r="B76" s="7" t="s">
        <v>161</v>
      </c>
      <c r="C76" s="19">
        <v>46142</v>
      </c>
      <c r="D76" s="7">
        <v>1</v>
      </c>
      <c r="E76" s="7" t="s">
        <v>27</v>
      </c>
      <c r="F76" s="7"/>
      <c r="G76" s="7"/>
      <c r="H76" s="7"/>
    </row>
    <row r="77" spans="1:8" x14ac:dyDescent="0.35">
      <c r="A77" s="7" t="s">
        <v>211</v>
      </c>
      <c r="B77" s="7" t="s">
        <v>162</v>
      </c>
      <c r="C77" s="19">
        <v>46112</v>
      </c>
      <c r="D77" s="7">
        <v>0.25</v>
      </c>
      <c r="E77" s="7" t="s">
        <v>27</v>
      </c>
      <c r="F77" s="7"/>
      <c r="G77" s="7"/>
      <c r="H77" s="7"/>
    </row>
    <row r="78" spans="1:8" x14ac:dyDescent="0.35">
      <c r="A78" s="7" t="s">
        <v>212</v>
      </c>
      <c r="B78" s="7" t="s">
        <v>162</v>
      </c>
      <c r="C78" s="19">
        <v>46142</v>
      </c>
      <c r="D78" s="7">
        <v>0.5</v>
      </c>
      <c r="E78" s="7" t="s">
        <v>27</v>
      </c>
      <c r="F78" s="7"/>
      <c r="G78" s="7"/>
      <c r="H78" s="7"/>
    </row>
    <row r="79" spans="1:8" x14ac:dyDescent="0.35">
      <c r="A79" s="7" t="s">
        <v>213</v>
      </c>
      <c r="B79" s="7" t="s">
        <v>162</v>
      </c>
      <c r="C79" s="19">
        <v>46173</v>
      </c>
      <c r="D79" s="7">
        <v>0.75</v>
      </c>
      <c r="E79" s="7" t="s">
        <v>27</v>
      </c>
      <c r="F79" s="7"/>
      <c r="G79" s="7"/>
      <c r="H79" s="7"/>
    </row>
    <row r="80" spans="1:8" x14ac:dyDescent="0.35">
      <c r="A80" s="7" t="s">
        <v>214</v>
      </c>
      <c r="B80" s="7" t="s">
        <v>162</v>
      </c>
      <c r="C80" s="19">
        <v>46203</v>
      </c>
      <c r="D80" s="7">
        <v>0.875</v>
      </c>
      <c r="E80" s="7" t="s">
        <v>27</v>
      </c>
      <c r="F80" s="7"/>
      <c r="G80" s="7"/>
      <c r="H80" s="7"/>
    </row>
    <row r="81" spans="1:8" x14ac:dyDescent="0.35">
      <c r="A81" s="7" t="s">
        <v>215</v>
      </c>
      <c r="B81" s="7" t="s">
        <v>163</v>
      </c>
      <c r="C81" s="19">
        <v>46122</v>
      </c>
      <c r="D81" s="7">
        <v>0.5</v>
      </c>
      <c r="E81" s="7" t="s">
        <v>15</v>
      </c>
      <c r="F81" s="7"/>
      <c r="G81" s="7"/>
      <c r="H81" s="7"/>
    </row>
    <row r="82" spans="1:8" x14ac:dyDescent="0.35">
      <c r="A82" s="7" t="s">
        <v>216</v>
      </c>
      <c r="B82" s="7" t="s">
        <v>163</v>
      </c>
      <c r="C82" s="19">
        <v>46142</v>
      </c>
      <c r="D82" s="7">
        <v>1</v>
      </c>
      <c r="E82" s="7" t="s">
        <v>15</v>
      </c>
      <c r="F82" s="7"/>
      <c r="G82" s="7"/>
      <c r="H82" s="7"/>
    </row>
    <row r="83" spans="1:8" x14ac:dyDescent="0.35">
      <c r="A83" s="7" t="s">
        <v>217</v>
      </c>
      <c r="B83" s="7" t="s">
        <v>164</v>
      </c>
      <c r="C83" s="19">
        <v>46152</v>
      </c>
      <c r="D83" s="7">
        <v>0.5</v>
      </c>
      <c r="E83" s="7" t="s">
        <v>15</v>
      </c>
      <c r="F83" s="7"/>
      <c r="G83" s="7"/>
      <c r="H83" s="7"/>
    </row>
    <row r="84" spans="1:8" x14ac:dyDescent="0.35">
      <c r="A84" s="7" t="s">
        <v>218</v>
      </c>
      <c r="B84" s="7" t="s">
        <v>164</v>
      </c>
      <c r="C84" s="19">
        <v>46172</v>
      </c>
      <c r="D84" s="7">
        <v>1</v>
      </c>
      <c r="E84" s="7" t="s">
        <v>15</v>
      </c>
      <c r="F84" s="7"/>
      <c r="G84" s="7"/>
      <c r="H84" s="7"/>
    </row>
    <row r="85" spans="1:8" x14ac:dyDescent="0.35">
      <c r="A85" s="7" t="s">
        <v>219</v>
      </c>
      <c r="B85" s="7" t="s">
        <v>157</v>
      </c>
      <c r="C85" s="19">
        <v>46174</v>
      </c>
      <c r="D85" s="7">
        <v>0.1</v>
      </c>
      <c r="E85" s="7" t="s">
        <v>21</v>
      </c>
      <c r="F85" s="7"/>
      <c r="G85" s="7"/>
      <c r="H85" s="7"/>
    </row>
    <row r="86" spans="1:8" x14ac:dyDescent="0.35">
      <c r="A86" s="7" t="s">
        <v>220</v>
      </c>
      <c r="B86" s="7" t="s">
        <v>157</v>
      </c>
      <c r="C86" s="19">
        <v>46204</v>
      </c>
      <c r="D86" s="7">
        <v>0.2</v>
      </c>
      <c r="E86" s="7" t="s">
        <v>21</v>
      </c>
      <c r="F86" s="7"/>
      <c r="G86" s="7"/>
      <c r="H86" s="7"/>
    </row>
    <row r="87" spans="1:8" x14ac:dyDescent="0.35">
      <c r="A87" s="7" t="s">
        <v>221</v>
      </c>
      <c r="B87" s="7" t="s">
        <v>160</v>
      </c>
      <c r="C87" s="19">
        <v>46218</v>
      </c>
      <c r="D87" s="7">
        <v>0.6</v>
      </c>
      <c r="E87" s="7" t="s">
        <v>24</v>
      </c>
      <c r="F87" s="7"/>
      <c r="G87" s="7"/>
      <c r="H87" s="7"/>
    </row>
    <row r="88" spans="1:8" x14ac:dyDescent="0.35">
      <c r="A88" s="7" t="s">
        <v>222</v>
      </c>
      <c r="B88" s="7" t="s">
        <v>162</v>
      </c>
      <c r="C88" s="19">
        <v>46218</v>
      </c>
      <c r="D88" s="7">
        <v>0.875</v>
      </c>
      <c r="E88" s="7" t="s">
        <v>27</v>
      </c>
      <c r="F88" s="7"/>
      <c r="G88" s="7"/>
      <c r="H88" s="7"/>
    </row>
    <row r="89" spans="1:8" x14ac:dyDescent="0.35">
      <c r="A89" s="7" t="s">
        <v>223</v>
      </c>
      <c r="B89" s="7" t="s">
        <v>154</v>
      </c>
      <c r="C89" s="19">
        <v>46235</v>
      </c>
      <c r="D89" s="7">
        <v>0</v>
      </c>
      <c r="E89" s="7" t="s">
        <v>15</v>
      </c>
      <c r="F89" s="7"/>
      <c r="G89" s="7"/>
      <c r="H89" s="7"/>
    </row>
    <row r="90" spans="1:8" x14ac:dyDescent="0.35">
      <c r="A90" s="7" t="s">
        <v>224</v>
      </c>
      <c r="B90" s="7" t="s">
        <v>156</v>
      </c>
      <c r="C90" s="19">
        <v>46235</v>
      </c>
      <c r="D90" s="7">
        <v>0</v>
      </c>
      <c r="E90" s="7" t="s">
        <v>21</v>
      </c>
      <c r="F90" s="7"/>
      <c r="G90" s="7"/>
      <c r="H90" s="7"/>
    </row>
    <row r="91" spans="1:8" x14ac:dyDescent="0.35">
      <c r="A91" s="7" t="s">
        <v>225</v>
      </c>
      <c r="B91" s="7" t="s">
        <v>153</v>
      </c>
      <c r="C91" s="19">
        <v>46235</v>
      </c>
      <c r="D91" s="7">
        <v>0</v>
      </c>
      <c r="E91" s="7" t="s">
        <v>15</v>
      </c>
      <c r="F91" s="7"/>
      <c r="G91" s="7"/>
      <c r="H91" s="7"/>
    </row>
    <row r="92" spans="1:8" x14ac:dyDescent="0.35">
      <c r="A92" s="7"/>
      <c r="B92" s="7"/>
      <c r="C92" s="7"/>
      <c r="D92" s="7"/>
      <c r="E92" s="7"/>
      <c r="F92" s="7"/>
      <c r="G92" s="7"/>
      <c r="H92" s="7"/>
    </row>
    <row r="93" spans="1:8" x14ac:dyDescent="0.35">
      <c r="A93" s="7"/>
      <c r="B93" s="7"/>
      <c r="C93" s="7"/>
      <c r="D93" s="7"/>
      <c r="E93" s="7"/>
      <c r="F93" s="7"/>
      <c r="G93" s="7"/>
      <c r="H93" s="7"/>
    </row>
    <row r="94" spans="1:8" x14ac:dyDescent="0.35">
      <c r="A94" s="10" t="s">
        <v>226</v>
      </c>
      <c r="B94" s="7"/>
      <c r="C94" s="7"/>
      <c r="D94" s="7"/>
      <c r="E94" s="7"/>
      <c r="F94" s="7"/>
      <c r="G94" s="7"/>
      <c r="H94" s="7"/>
    </row>
    <row r="95" spans="1:8" x14ac:dyDescent="0.35">
      <c r="A95" s="7" t="s">
        <v>227</v>
      </c>
      <c r="B95" s="7" t="s">
        <v>228</v>
      </c>
      <c r="C95" s="7" t="s">
        <v>64</v>
      </c>
      <c r="D95" s="7" t="s">
        <v>229</v>
      </c>
      <c r="E95" s="7"/>
      <c r="F95" s="7"/>
      <c r="G95" s="7"/>
      <c r="H95" s="7"/>
    </row>
    <row r="96" spans="1:8" x14ac:dyDescent="0.35">
      <c r="A96" s="7" t="s">
        <v>230</v>
      </c>
      <c r="B96" s="7" t="s">
        <v>27</v>
      </c>
      <c r="C96" s="7" t="s">
        <v>72</v>
      </c>
      <c r="D96" s="7">
        <v>850</v>
      </c>
      <c r="E96" s="7"/>
      <c r="F96" s="7"/>
      <c r="G96" s="7"/>
      <c r="H96" s="7"/>
    </row>
    <row r="97" spans="1:8" x14ac:dyDescent="0.35">
      <c r="A97" s="7" t="s">
        <v>231</v>
      </c>
      <c r="B97" s="7" t="s">
        <v>15</v>
      </c>
      <c r="C97" s="7" t="s">
        <v>10</v>
      </c>
      <c r="D97" s="7">
        <v>1000</v>
      </c>
      <c r="E97" s="7"/>
      <c r="F97" s="7"/>
      <c r="G97" s="7"/>
      <c r="H97" s="7"/>
    </row>
    <row r="98" spans="1:8" x14ac:dyDescent="0.35">
      <c r="A98" s="7" t="s">
        <v>232</v>
      </c>
      <c r="B98" s="7" t="s">
        <v>21</v>
      </c>
      <c r="C98" s="7" t="s">
        <v>69</v>
      </c>
      <c r="D98" s="7">
        <v>950</v>
      </c>
      <c r="E98" s="7"/>
      <c r="F98" s="7"/>
      <c r="G98" s="7"/>
      <c r="H98" s="7"/>
    </row>
    <row r="99" spans="1:8" x14ac:dyDescent="0.35">
      <c r="A99" s="7" t="s">
        <v>233</v>
      </c>
      <c r="B99" s="7" t="s">
        <v>24</v>
      </c>
      <c r="C99" s="7" t="s">
        <v>68</v>
      </c>
      <c r="D99" s="7">
        <v>700</v>
      </c>
      <c r="E99" s="7"/>
      <c r="F99" s="7"/>
      <c r="G99" s="7"/>
      <c r="H99" s="7"/>
    </row>
    <row r="100" spans="1:8" x14ac:dyDescent="0.35">
      <c r="A100" s="7" t="s">
        <v>234</v>
      </c>
      <c r="B100" s="7" t="s">
        <v>70</v>
      </c>
      <c r="C100" s="7" t="s">
        <v>71</v>
      </c>
      <c r="D100" s="7">
        <v>750</v>
      </c>
      <c r="E100" s="7"/>
      <c r="F100" s="7"/>
      <c r="G100" s="7"/>
      <c r="H100" s="7"/>
    </row>
    <row r="101" spans="1:8" x14ac:dyDescent="0.35">
      <c r="A101" s="7"/>
      <c r="B101" s="7"/>
      <c r="C101" s="7"/>
      <c r="D101" s="7"/>
      <c r="E101" s="7"/>
      <c r="F101" s="7"/>
      <c r="G101" s="7"/>
      <c r="H101" s="7"/>
    </row>
    <row r="102" spans="1:8" x14ac:dyDescent="0.35">
      <c r="A102" s="7"/>
      <c r="B102" s="7"/>
      <c r="C102" s="7"/>
      <c r="D102" s="7"/>
      <c r="E102" s="7"/>
      <c r="F102" s="7"/>
      <c r="G102" s="7"/>
      <c r="H102" s="7"/>
    </row>
    <row r="103" spans="1:8" x14ac:dyDescent="0.35">
      <c r="A103" s="10" t="s">
        <v>235</v>
      </c>
      <c r="B103" s="7"/>
      <c r="C103" s="7"/>
      <c r="D103" s="7"/>
      <c r="E103" s="7"/>
      <c r="F103" s="7"/>
      <c r="G103" s="7"/>
      <c r="H103" s="7"/>
    </row>
    <row r="104" spans="1:8" x14ac:dyDescent="0.35">
      <c r="A104" s="7" t="s">
        <v>236</v>
      </c>
      <c r="B104" s="7" t="s">
        <v>227</v>
      </c>
      <c r="C104" s="7" t="s">
        <v>145</v>
      </c>
      <c r="D104" s="7" t="s">
        <v>237</v>
      </c>
      <c r="E104" s="7" t="s">
        <v>238</v>
      </c>
      <c r="F104" s="7" t="s">
        <v>239</v>
      </c>
      <c r="G104" s="7"/>
      <c r="H104" s="7"/>
    </row>
    <row r="105" spans="1:8" x14ac:dyDescent="0.35">
      <c r="A105" s="7" t="s">
        <v>240</v>
      </c>
      <c r="B105" s="7" t="s">
        <v>230</v>
      </c>
      <c r="C105" s="7" t="s">
        <v>149</v>
      </c>
      <c r="D105" s="19">
        <v>46024</v>
      </c>
      <c r="E105" s="37">
        <v>4.0999999999999996</v>
      </c>
      <c r="F105" s="37" t="s">
        <v>241</v>
      </c>
      <c r="G105" s="7"/>
      <c r="H105" s="7"/>
    </row>
    <row r="106" spans="1:8" x14ac:dyDescent="0.35">
      <c r="A106" s="7" t="s">
        <v>242</v>
      </c>
      <c r="B106" s="7" t="s">
        <v>230</v>
      </c>
      <c r="C106" s="7" t="s">
        <v>149</v>
      </c>
      <c r="D106" s="19">
        <v>46031</v>
      </c>
      <c r="E106" s="7">
        <v>3.5</v>
      </c>
      <c r="F106" s="37" t="s">
        <v>241</v>
      </c>
      <c r="G106" s="7"/>
      <c r="H106" s="7"/>
    </row>
    <row r="107" spans="1:8" x14ac:dyDescent="0.35">
      <c r="A107" s="7" t="s">
        <v>243</v>
      </c>
      <c r="B107" s="7" t="s">
        <v>230</v>
      </c>
      <c r="C107" s="7" t="s">
        <v>149</v>
      </c>
      <c r="D107" s="19">
        <v>46038</v>
      </c>
      <c r="E107" s="7">
        <v>3.8</v>
      </c>
      <c r="F107" s="37" t="s">
        <v>241</v>
      </c>
      <c r="G107" s="7"/>
      <c r="H107" s="7"/>
    </row>
    <row r="108" spans="1:8" x14ac:dyDescent="0.35">
      <c r="A108" s="7" t="s">
        <v>244</v>
      </c>
      <c r="B108" s="7" t="s">
        <v>230</v>
      </c>
      <c r="C108" s="7" t="s">
        <v>149</v>
      </c>
      <c r="D108" s="19">
        <v>46045</v>
      </c>
      <c r="E108" s="7">
        <v>3.7</v>
      </c>
      <c r="F108" s="37" t="s">
        <v>241</v>
      </c>
      <c r="G108" s="7"/>
      <c r="H108" s="7"/>
    </row>
    <row r="109" spans="1:8" x14ac:dyDescent="0.35">
      <c r="A109" s="7" t="s">
        <v>245</v>
      </c>
      <c r="B109" s="7" t="s">
        <v>230</v>
      </c>
      <c r="C109" s="7" t="s">
        <v>149</v>
      </c>
      <c r="D109" s="19">
        <v>46052</v>
      </c>
      <c r="E109" s="7">
        <v>4.2</v>
      </c>
      <c r="F109" s="37" t="s">
        <v>241</v>
      </c>
      <c r="G109" s="7"/>
      <c r="H109" s="7"/>
    </row>
    <row r="110" spans="1:8" x14ac:dyDescent="0.35">
      <c r="A110" s="7" t="s">
        <v>246</v>
      </c>
      <c r="B110" s="7" t="s">
        <v>230</v>
      </c>
      <c r="C110" s="7" t="s">
        <v>149</v>
      </c>
      <c r="D110" s="19">
        <v>46059</v>
      </c>
      <c r="E110" s="7">
        <v>3.9</v>
      </c>
      <c r="F110" s="37" t="s">
        <v>241</v>
      </c>
      <c r="G110" s="7"/>
      <c r="H110" s="7"/>
    </row>
    <row r="111" spans="1:8" x14ac:dyDescent="0.35">
      <c r="A111" s="7" t="s">
        <v>247</v>
      </c>
      <c r="B111" s="7" t="s">
        <v>230</v>
      </c>
      <c r="C111" s="7" t="s">
        <v>149</v>
      </c>
      <c r="D111" s="19">
        <v>46066</v>
      </c>
      <c r="E111" s="7">
        <v>4</v>
      </c>
      <c r="F111" s="37" t="s">
        <v>241</v>
      </c>
      <c r="G111" s="7"/>
      <c r="H111" s="7"/>
    </row>
    <row r="112" spans="1:8" x14ac:dyDescent="0.35">
      <c r="A112" s="7" t="s">
        <v>248</v>
      </c>
      <c r="B112" s="7" t="s">
        <v>230</v>
      </c>
      <c r="C112" s="7" t="s">
        <v>149</v>
      </c>
      <c r="D112" s="19">
        <v>46073</v>
      </c>
      <c r="E112" s="7">
        <v>3.6</v>
      </c>
      <c r="F112" s="37" t="s">
        <v>241</v>
      </c>
      <c r="G112" s="7"/>
      <c r="H112" s="7"/>
    </row>
    <row r="113" spans="1:8" x14ac:dyDescent="0.35">
      <c r="A113" s="7" t="s">
        <v>249</v>
      </c>
      <c r="B113" s="7" t="s">
        <v>230</v>
      </c>
      <c r="C113" s="7" t="s">
        <v>149</v>
      </c>
      <c r="D113" s="19">
        <v>46080</v>
      </c>
      <c r="E113" s="7">
        <v>3.8</v>
      </c>
      <c r="F113" s="37" t="s">
        <v>241</v>
      </c>
      <c r="G113" s="7"/>
      <c r="H113" s="7"/>
    </row>
    <row r="114" spans="1:8" x14ac:dyDescent="0.35">
      <c r="A114" s="7" t="s">
        <v>250</v>
      </c>
      <c r="B114" s="7" t="s">
        <v>230</v>
      </c>
      <c r="C114" s="7" t="s">
        <v>149</v>
      </c>
      <c r="D114" s="19">
        <v>46087</v>
      </c>
      <c r="E114" s="7">
        <v>4</v>
      </c>
      <c r="F114" s="37" t="s">
        <v>241</v>
      </c>
      <c r="G114" s="7"/>
      <c r="H114" s="7"/>
    </row>
    <row r="115" spans="1:8" x14ac:dyDescent="0.35">
      <c r="A115" s="7" t="s">
        <v>251</v>
      </c>
      <c r="B115" s="7" t="s">
        <v>230</v>
      </c>
      <c r="C115" s="7" t="s">
        <v>149</v>
      </c>
      <c r="D115" s="19">
        <v>46094</v>
      </c>
      <c r="E115" s="7">
        <v>4.0999999999999996</v>
      </c>
      <c r="F115" s="37" t="s">
        <v>241</v>
      </c>
      <c r="G115" s="7"/>
      <c r="H115" s="7"/>
    </row>
    <row r="116" spans="1:8" x14ac:dyDescent="0.35">
      <c r="A116" s="7" t="s">
        <v>252</v>
      </c>
      <c r="B116" s="7" t="s">
        <v>230</v>
      </c>
      <c r="C116" s="7" t="s">
        <v>149</v>
      </c>
      <c r="D116" s="19">
        <v>46101</v>
      </c>
      <c r="E116" s="7">
        <v>3.9</v>
      </c>
      <c r="F116" s="37" t="s">
        <v>241</v>
      </c>
      <c r="G116" s="7"/>
      <c r="H116" s="7"/>
    </row>
    <row r="117" spans="1:8" x14ac:dyDescent="0.35">
      <c r="A117" s="7" t="s">
        <v>253</v>
      </c>
      <c r="B117" s="7" t="s">
        <v>230</v>
      </c>
      <c r="C117" s="7" t="s">
        <v>149</v>
      </c>
      <c r="D117" s="19">
        <v>46108</v>
      </c>
      <c r="E117" s="7">
        <v>4</v>
      </c>
      <c r="F117" s="37" t="s">
        <v>241</v>
      </c>
      <c r="G117" s="7"/>
      <c r="H117" s="7"/>
    </row>
    <row r="118" spans="1:8" x14ac:dyDescent="0.35">
      <c r="A118" s="7" t="s">
        <v>254</v>
      </c>
      <c r="B118" s="7" t="s">
        <v>230</v>
      </c>
      <c r="C118" s="7" t="s">
        <v>149</v>
      </c>
      <c r="D118" s="19">
        <v>46115</v>
      </c>
      <c r="E118" s="7">
        <v>3.8</v>
      </c>
      <c r="F118" s="37" t="s">
        <v>241</v>
      </c>
      <c r="G118" s="7"/>
      <c r="H118" s="7"/>
    </row>
    <row r="119" spans="1:8" x14ac:dyDescent="0.35">
      <c r="A119" s="7" t="s">
        <v>255</v>
      </c>
      <c r="B119" s="7" t="s">
        <v>230</v>
      </c>
      <c r="C119" s="7" t="s">
        <v>149</v>
      </c>
      <c r="D119" s="19">
        <v>46122</v>
      </c>
      <c r="E119" s="7">
        <v>4.0999999999999996</v>
      </c>
      <c r="F119" s="37" t="s">
        <v>241</v>
      </c>
      <c r="G119" s="7"/>
      <c r="H119" s="7"/>
    </row>
    <row r="120" spans="1:8" x14ac:dyDescent="0.35">
      <c r="A120" s="7" t="s">
        <v>256</v>
      </c>
      <c r="B120" s="7" t="s">
        <v>230</v>
      </c>
      <c r="C120" s="7" t="s">
        <v>149</v>
      </c>
      <c r="D120" s="19">
        <v>46129</v>
      </c>
      <c r="E120" s="7">
        <v>3.9</v>
      </c>
      <c r="F120" s="37" t="s">
        <v>241</v>
      </c>
      <c r="G120" s="7"/>
      <c r="H120" s="7"/>
    </row>
    <row r="121" spans="1:8" x14ac:dyDescent="0.35">
      <c r="A121" s="7" t="s">
        <v>257</v>
      </c>
      <c r="B121" s="7" t="s">
        <v>230</v>
      </c>
      <c r="C121" s="7" t="s">
        <v>149</v>
      </c>
      <c r="D121" s="19">
        <v>46136</v>
      </c>
      <c r="E121" s="7">
        <v>3.7</v>
      </c>
      <c r="F121" s="37" t="s">
        <v>241</v>
      </c>
      <c r="G121" s="7"/>
      <c r="H121" s="7"/>
    </row>
    <row r="122" spans="1:8" x14ac:dyDescent="0.35">
      <c r="A122" s="7" t="s">
        <v>258</v>
      </c>
      <c r="B122" s="7" t="s">
        <v>230</v>
      </c>
      <c r="C122" s="7" t="s">
        <v>149</v>
      </c>
      <c r="D122" s="19">
        <v>46143</v>
      </c>
      <c r="E122" s="7">
        <v>4</v>
      </c>
      <c r="F122" s="37" t="s">
        <v>241</v>
      </c>
      <c r="G122" s="7"/>
      <c r="H122" s="7"/>
    </row>
    <row r="123" spans="1:8" x14ac:dyDescent="0.35">
      <c r="A123" s="7" t="s">
        <v>259</v>
      </c>
      <c r="B123" s="7" t="s">
        <v>230</v>
      </c>
      <c r="C123" s="7" t="s">
        <v>149</v>
      </c>
      <c r="D123" s="19">
        <v>46150</v>
      </c>
      <c r="E123" s="7">
        <v>3.8</v>
      </c>
      <c r="F123" s="37" t="s">
        <v>241</v>
      </c>
      <c r="G123" s="7"/>
      <c r="H123" s="7"/>
    </row>
    <row r="124" spans="1:8" x14ac:dyDescent="0.35">
      <c r="A124" s="7" t="s">
        <v>260</v>
      </c>
      <c r="B124" s="7" t="s">
        <v>230</v>
      </c>
      <c r="C124" s="7" t="s">
        <v>149</v>
      </c>
      <c r="D124" s="19">
        <v>46157</v>
      </c>
      <c r="E124" s="7">
        <v>4.0999999999999996</v>
      </c>
      <c r="F124" s="37" t="s">
        <v>241</v>
      </c>
      <c r="G124" s="7"/>
      <c r="H124" s="7"/>
    </row>
    <row r="125" spans="1:8" x14ac:dyDescent="0.35">
      <c r="A125" s="7" t="s">
        <v>261</v>
      </c>
      <c r="B125" s="7" t="s">
        <v>230</v>
      </c>
      <c r="C125" s="7" t="s">
        <v>149</v>
      </c>
      <c r="D125" s="19">
        <v>46164</v>
      </c>
      <c r="E125" s="7">
        <v>3.9</v>
      </c>
      <c r="F125" s="37" t="s">
        <v>241</v>
      </c>
      <c r="G125" s="7"/>
      <c r="H125" s="7"/>
    </row>
    <row r="126" spans="1:8" x14ac:dyDescent="0.35">
      <c r="A126" s="7" t="s">
        <v>262</v>
      </c>
      <c r="B126" s="7" t="s">
        <v>230</v>
      </c>
      <c r="C126" s="7" t="s">
        <v>149</v>
      </c>
      <c r="D126" s="19">
        <v>46171</v>
      </c>
      <c r="E126" s="7">
        <v>4</v>
      </c>
      <c r="F126" s="37" t="s">
        <v>241</v>
      </c>
      <c r="G126" s="7"/>
      <c r="H126" s="7"/>
    </row>
    <row r="127" spans="1:8" x14ac:dyDescent="0.35">
      <c r="A127" s="7" t="s">
        <v>263</v>
      </c>
      <c r="B127" s="7" t="s">
        <v>230</v>
      </c>
      <c r="C127" s="7" t="s">
        <v>149</v>
      </c>
      <c r="D127" s="19">
        <v>46178</v>
      </c>
      <c r="E127" s="7">
        <v>3.8</v>
      </c>
      <c r="F127" s="37" t="s">
        <v>241</v>
      </c>
      <c r="G127" s="7"/>
      <c r="H127" s="7"/>
    </row>
    <row r="128" spans="1:8" x14ac:dyDescent="0.35">
      <c r="A128" s="7" t="s">
        <v>264</v>
      </c>
      <c r="B128" s="7" t="s">
        <v>230</v>
      </c>
      <c r="C128" s="7" t="s">
        <v>149</v>
      </c>
      <c r="D128" s="19">
        <v>46185</v>
      </c>
      <c r="E128" s="7">
        <v>4.0999999999999996</v>
      </c>
      <c r="F128" s="37" t="s">
        <v>241</v>
      </c>
      <c r="G128" s="7"/>
      <c r="H128" s="7"/>
    </row>
    <row r="129" spans="1:8" x14ac:dyDescent="0.35">
      <c r="A129" s="7" t="s">
        <v>265</v>
      </c>
      <c r="B129" s="7" t="s">
        <v>230</v>
      </c>
      <c r="C129" s="7" t="s">
        <v>149</v>
      </c>
      <c r="D129" s="19">
        <v>46192</v>
      </c>
      <c r="E129" s="7">
        <v>3.9</v>
      </c>
      <c r="F129" s="37" t="s">
        <v>241</v>
      </c>
      <c r="G129" s="7"/>
      <c r="H129" s="7"/>
    </row>
    <row r="130" spans="1:8" x14ac:dyDescent="0.35">
      <c r="A130" s="7" t="s">
        <v>266</v>
      </c>
      <c r="B130" s="7" t="s">
        <v>230</v>
      </c>
      <c r="C130" s="7" t="s">
        <v>149</v>
      </c>
      <c r="D130" s="19">
        <v>46199</v>
      </c>
      <c r="E130" s="7">
        <v>4</v>
      </c>
      <c r="F130" s="37" t="s">
        <v>241</v>
      </c>
      <c r="G130" s="7"/>
      <c r="H130" s="7"/>
    </row>
    <row r="131" spans="1:8" x14ac:dyDescent="0.35">
      <c r="A131" s="7" t="s">
        <v>267</v>
      </c>
      <c r="B131" s="7" t="s">
        <v>231</v>
      </c>
      <c r="C131" s="7" t="s">
        <v>149</v>
      </c>
      <c r="D131" s="19">
        <v>46037</v>
      </c>
      <c r="E131" s="7">
        <v>200</v>
      </c>
      <c r="F131" s="37" t="s">
        <v>241</v>
      </c>
      <c r="G131" s="7"/>
      <c r="H131" s="7"/>
    </row>
    <row r="132" spans="1:8" x14ac:dyDescent="0.35">
      <c r="A132" s="7" t="s">
        <v>268</v>
      </c>
      <c r="B132" s="7" t="s">
        <v>232</v>
      </c>
      <c r="C132" s="7" t="s">
        <v>149</v>
      </c>
      <c r="D132" s="19">
        <v>46068</v>
      </c>
      <c r="E132" s="7">
        <v>106.4</v>
      </c>
      <c r="F132" s="37" t="s">
        <v>241</v>
      </c>
      <c r="G132" s="7"/>
      <c r="H132" s="7"/>
    </row>
    <row r="133" spans="1:8" x14ac:dyDescent="0.35">
      <c r="A133" s="7" t="s">
        <v>269</v>
      </c>
      <c r="B133" s="7" t="s">
        <v>233</v>
      </c>
      <c r="C133" s="7" t="s">
        <v>150</v>
      </c>
      <c r="D133" s="19">
        <v>46068</v>
      </c>
      <c r="E133" s="7">
        <v>461.5</v>
      </c>
      <c r="F133" s="37" t="s">
        <v>241</v>
      </c>
      <c r="G133" s="7"/>
      <c r="H133" s="7"/>
    </row>
    <row r="134" spans="1:8" x14ac:dyDescent="0.35">
      <c r="A134" s="7" t="s">
        <v>270</v>
      </c>
      <c r="B134" s="7" t="s">
        <v>233</v>
      </c>
      <c r="C134" s="7" t="s">
        <v>150</v>
      </c>
      <c r="D134" s="19">
        <v>46096</v>
      </c>
      <c r="E134" s="7">
        <v>842.8</v>
      </c>
      <c r="F134" s="37" t="s">
        <v>241</v>
      </c>
      <c r="G134" s="7"/>
      <c r="H134" s="7"/>
    </row>
    <row r="135" spans="1:8" x14ac:dyDescent="0.35">
      <c r="A135" s="7" t="s">
        <v>271</v>
      </c>
      <c r="B135" s="7" t="s">
        <v>233</v>
      </c>
      <c r="C135" s="7" t="s">
        <v>150</v>
      </c>
      <c r="D135" s="19">
        <v>46127</v>
      </c>
      <c r="E135" s="7">
        <v>1150.0999999999999</v>
      </c>
      <c r="F135" s="37" t="s">
        <v>241</v>
      </c>
      <c r="G135" s="7"/>
      <c r="H135" s="7"/>
    </row>
    <row r="136" spans="1:8" x14ac:dyDescent="0.35">
      <c r="A136" s="7" t="s">
        <v>272</v>
      </c>
      <c r="B136" s="7" t="s">
        <v>232</v>
      </c>
      <c r="C136" s="7" t="s">
        <v>150</v>
      </c>
      <c r="D136" s="19">
        <v>46068</v>
      </c>
      <c r="E136" s="7">
        <v>200</v>
      </c>
      <c r="F136" s="37" t="s">
        <v>241</v>
      </c>
      <c r="G136" s="7"/>
      <c r="H136" s="7"/>
    </row>
    <row r="137" spans="1:8" x14ac:dyDescent="0.35">
      <c r="A137" s="7" t="s">
        <v>273</v>
      </c>
      <c r="B137" s="7" t="s">
        <v>234</v>
      </c>
      <c r="C137" s="7" t="s">
        <v>151</v>
      </c>
      <c r="D137" s="19">
        <v>46127</v>
      </c>
      <c r="E137" s="7">
        <v>498.8</v>
      </c>
      <c r="F137" s="37" t="s">
        <v>241</v>
      </c>
      <c r="G137" s="7"/>
      <c r="H137" s="7"/>
    </row>
    <row r="138" spans="1:8" x14ac:dyDescent="0.35">
      <c r="A138" s="7" t="s">
        <v>274</v>
      </c>
      <c r="B138" s="7" t="s">
        <v>231</v>
      </c>
      <c r="C138" s="7" t="s">
        <v>151</v>
      </c>
      <c r="D138" s="19">
        <v>46157</v>
      </c>
      <c r="E138" s="7">
        <v>100</v>
      </c>
      <c r="F138" s="37" t="s">
        <v>241</v>
      </c>
      <c r="G138" s="7"/>
      <c r="H138" s="7"/>
    </row>
    <row r="139" spans="1:8" x14ac:dyDescent="0.35">
      <c r="A139" s="7" t="s">
        <v>275</v>
      </c>
      <c r="B139" s="7" t="s">
        <v>230</v>
      </c>
      <c r="C139" s="7" t="s">
        <v>152</v>
      </c>
      <c r="D139" s="19">
        <v>46188</v>
      </c>
      <c r="E139" s="7">
        <v>133.30000000000001</v>
      </c>
      <c r="F139" s="37" t="s">
        <v>241</v>
      </c>
      <c r="G139" s="7"/>
      <c r="H139" s="7"/>
    </row>
    <row r="140" spans="1:8" x14ac:dyDescent="0.35">
      <c r="A140" s="7" t="s">
        <v>276</v>
      </c>
      <c r="B140" s="7" t="s">
        <v>232</v>
      </c>
      <c r="C140" s="7" t="s">
        <v>154</v>
      </c>
      <c r="D140" s="19">
        <v>46235</v>
      </c>
      <c r="E140" s="7">
        <v>52.631578947400001</v>
      </c>
      <c r="F140" s="37" t="s">
        <v>241</v>
      </c>
      <c r="G140" s="7"/>
      <c r="H140" s="7"/>
    </row>
    <row r="141" spans="1:8" x14ac:dyDescent="0.35">
      <c r="A141" s="7" t="s">
        <v>277</v>
      </c>
      <c r="B141" s="7" t="s">
        <v>232</v>
      </c>
      <c r="C141" s="7" t="s">
        <v>155</v>
      </c>
      <c r="D141" s="19">
        <v>46188</v>
      </c>
      <c r="E141" s="7">
        <v>389.47368421049998</v>
      </c>
      <c r="F141" s="37" t="s">
        <v>241</v>
      </c>
      <c r="G141" s="7"/>
      <c r="H141" s="7"/>
    </row>
    <row r="142" spans="1:8" x14ac:dyDescent="0.35">
      <c r="A142" s="7" t="s">
        <v>278</v>
      </c>
      <c r="B142" s="7" t="s">
        <v>232</v>
      </c>
      <c r="C142" s="7" t="s">
        <v>159</v>
      </c>
      <c r="D142" s="19">
        <v>46096</v>
      </c>
      <c r="E142" s="7">
        <v>480</v>
      </c>
      <c r="F142" s="37" t="s">
        <v>241</v>
      </c>
      <c r="G142" s="7"/>
      <c r="H142" s="7"/>
    </row>
    <row r="143" spans="1:8" x14ac:dyDescent="0.35">
      <c r="A143" s="7" t="s">
        <v>279</v>
      </c>
      <c r="B143" s="7" t="s">
        <v>233</v>
      </c>
      <c r="C143" s="7" t="s">
        <v>160</v>
      </c>
      <c r="D143" s="19">
        <v>46127</v>
      </c>
      <c r="E143" s="7">
        <v>1100</v>
      </c>
      <c r="F143" s="37" t="s">
        <v>241</v>
      </c>
      <c r="G143" s="7"/>
      <c r="H143" s="7"/>
    </row>
    <row r="144" spans="1:8" x14ac:dyDescent="0.35">
      <c r="A144" s="7" t="s">
        <v>280</v>
      </c>
      <c r="B144" s="7" t="s">
        <v>231</v>
      </c>
      <c r="C144" s="7" t="s">
        <v>160</v>
      </c>
      <c r="D144" s="19">
        <v>46127</v>
      </c>
      <c r="E144" s="7">
        <v>0</v>
      </c>
      <c r="F144" s="37" t="s">
        <v>241</v>
      </c>
      <c r="G144" s="7"/>
      <c r="H144" s="7"/>
    </row>
    <row r="145" spans="1:8" x14ac:dyDescent="0.35">
      <c r="A145" s="7" t="s">
        <v>281</v>
      </c>
      <c r="B145" s="7" t="s">
        <v>230</v>
      </c>
      <c r="C145" s="7" t="s">
        <v>161</v>
      </c>
      <c r="D145" s="19">
        <v>46096</v>
      </c>
      <c r="E145" s="7">
        <v>147.30000000000001</v>
      </c>
      <c r="F145" s="37" t="s">
        <v>241</v>
      </c>
      <c r="G145" s="7"/>
      <c r="H145" s="7"/>
    </row>
    <row r="146" spans="1:8" x14ac:dyDescent="0.35">
      <c r="A146" s="7" t="s">
        <v>282</v>
      </c>
      <c r="B146" s="7" t="s">
        <v>233</v>
      </c>
      <c r="C146" s="7" t="s">
        <v>162</v>
      </c>
      <c r="D146" s="19">
        <v>46127</v>
      </c>
      <c r="E146" s="7">
        <v>735.71428571429999</v>
      </c>
      <c r="F146" s="37" t="s">
        <v>241</v>
      </c>
      <c r="G146" s="7"/>
      <c r="H146" s="7"/>
    </row>
    <row r="147" spans="1:8" x14ac:dyDescent="0.35">
      <c r="A147" s="7" t="s">
        <v>283</v>
      </c>
      <c r="B147" s="7" t="s">
        <v>231</v>
      </c>
      <c r="C147" s="7" t="s">
        <v>163</v>
      </c>
      <c r="D147" s="19">
        <v>46127</v>
      </c>
      <c r="E147" s="7">
        <v>180.5</v>
      </c>
      <c r="F147" s="37" t="s">
        <v>241</v>
      </c>
      <c r="G147" s="7"/>
      <c r="H147" s="7"/>
    </row>
    <row r="148" spans="1:8" x14ac:dyDescent="0.35">
      <c r="A148" s="7" t="s">
        <v>284</v>
      </c>
      <c r="B148" s="7" t="s">
        <v>231</v>
      </c>
      <c r="C148" s="7" t="s">
        <v>164</v>
      </c>
      <c r="D148" s="19">
        <v>46157</v>
      </c>
      <c r="E148" s="7">
        <v>263</v>
      </c>
      <c r="F148" s="37" t="s">
        <v>241</v>
      </c>
      <c r="G148" s="7"/>
      <c r="H148" s="7"/>
    </row>
    <row r="149" spans="1:8" x14ac:dyDescent="0.35">
      <c r="A149" s="7"/>
      <c r="B149" s="7"/>
      <c r="C149" s="7"/>
      <c r="D149" s="7"/>
      <c r="E149" s="7"/>
      <c r="F149" s="7"/>
      <c r="G149" s="7"/>
      <c r="H149" s="7"/>
    </row>
    <row r="150" spans="1:8" x14ac:dyDescent="0.35">
      <c r="A150" s="7"/>
      <c r="B150" s="7"/>
      <c r="C150" s="7"/>
      <c r="D150" s="7"/>
      <c r="E150" s="7"/>
      <c r="F150" s="7"/>
      <c r="G150" s="7"/>
      <c r="H150" s="7"/>
    </row>
    <row r="151" spans="1:8" x14ac:dyDescent="0.35">
      <c r="A151" s="10" t="s">
        <v>285</v>
      </c>
      <c r="B151" s="7"/>
      <c r="C151" s="7"/>
      <c r="D151" s="7"/>
      <c r="E151" s="7"/>
      <c r="F151" s="7"/>
      <c r="G151" s="7"/>
      <c r="H151" s="7"/>
    </row>
    <row r="152" spans="1:8" x14ac:dyDescent="0.35">
      <c r="A152" s="7" t="s">
        <v>286</v>
      </c>
      <c r="B152" s="7" t="s">
        <v>145</v>
      </c>
      <c r="C152" s="7" t="s">
        <v>287</v>
      </c>
      <c r="D152" s="7" t="s">
        <v>84</v>
      </c>
      <c r="E152" s="7" t="s">
        <v>288</v>
      </c>
      <c r="F152" s="7" t="s">
        <v>289</v>
      </c>
      <c r="G152" s="7" t="s">
        <v>290</v>
      </c>
      <c r="H152" s="7"/>
    </row>
    <row r="153" spans="1:8" x14ac:dyDescent="0.35">
      <c r="A153" s="7" t="s">
        <v>88</v>
      </c>
      <c r="B153" s="7" t="s">
        <v>150</v>
      </c>
      <c r="C153" s="19">
        <v>46058</v>
      </c>
      <c r="D153" s="7" t="s">
        <v>89</v>
      </c>
      <c r="E153" s="7">
        <v>10</v>
      </c>
      <c r="F153" s="7">
        <v>15000</v>
      </c>
      <c r="G153" s="35">
        <v>150000</v>
      </c>
      <c r="H153" s="7"/>
    </row>
    <row r="154" spans="1:8" x14ac:dyDescent="0.35">
      <c r="A154" s="7" t="s">
        <v>291</v>
      </c>
      <c r="B154" s="7" t="s">
        <v>150</v>
      </c>
      <c r="C154" s="19">
        <v>46065</v>
      </c>
      <c r="D154" s="7" t="s">
        <v>292</v>
      </c>
      <c r="E154" s="7">
        <v>20</v>
      </c>
      <c r="F154" s="7">
        <v>2500</v>
      </c>
      <c r="G154" s="7">
        <v>50000</v>
      </c>
      <c r="H154" s="7"/>
    </row>
    <row r="155" spans="1:8" x14ac:dyDescent="0.35">
      <c r="A155" s="7" t="s">
        <v>293</v>
      </c>
      <c r="B155" s="7" t="s">
        <v>150</v>
      </c>
      <c r="C155" s="19">
        <v>46081</v>
      </c>
      <c r="D155" s="7" t="s">
        <v>294</v>
      </c>
      <c r="E155" s="7">
        <v>4</v>
      </c>
      <c r="F155" s="7">
        <v>8000</v>
      </c>
      <c r="G155" s="7">
        <v>32000</v>
      </c>
      <c r="H155" s="7"/>
    </row>
    <row r="156" spans="1:8" x14ac:dyDescent="0.35">
      <c r="A156" s="7" t="s">
        <v>295</v>
      </c>
      <c r="B156" s="7" t="s">
        <v>150</v>
      </c>
      <c r="C156" s="19">
        <v>46091</v>
      </c>
      <c r="D156" s="35" t="s">
        <v>296</v>
      </c>
      <c r="E156" s="7">
        <v>5</v>
      </c>
      <c r="F156" s="7">
        <v>2700</v>
      </c>
      <c r="G156" s="7">
        <v>13500</v>
      </c>
      <c r="H156" s="7"/>
    </row>
    <row r="157" spans="1:8" x14ac:dyDescent="0.35">
      <c r="A157" s="7" t="s">
        <v>297</v>
      </c>
      <c r="B157" s="7" t="s">
        <v>151</v>
      </c>
      <c r="C157" s="19">
        <v>46117</v>
      </c>
      <c r="D157" s="7" t="s">
        <v>298</v>
      </c>
      <c r="E157" s="7">
        <v>2</v>
      </c>
      <c r="F157" s="7">
        <v>12000</v>
      </c>
      <c r="G157" s="7">
        <v>24000</v>
      </c>
      <c r="H157" s="7"/>
    </row>
    <row r="158" spans="1:8" x14ac:dyDescent="0.35">
      <c r="A158" s="7" t="s">
        <v>299</v>
      </c>
      <c r="B158" s="7" t="s">
        <v>151</v>
      </c>
      <c r="C158" s="19">
        <v>46127</v>
      </c>
      <c r="D158" s="7" t="s">
        <v>300</v>
      </c>
      <c r="E158" s="7">
        <v>12</v>
      </c>
      <c r="F158" s="7">
        <v>3500</v>
      </c>
      <c r="G158" s="7">
        <v>42000</v>
      </c>
      <c r="H158" s="7"/>
    </row>
    <row r="159" spans="1:8" x14ac:dyDescent="0.35">
      <c r="A159" s="7" t="s">
        <v>94</v>
      </c>
      <c r="B159" s="7" t="s">
        <v>152</v>
      </c>
      <c r="C159" s="19">
        <v>46144</v>
      </c>
      <c r="D159" s="7" t="s">
        <v>95</v>
      </c>
      <c r="E159" s="7">
        <v>2</v>
      </c>
      <c r="F159" s="7">
        <v>65000</v>
      </c>
      <c r="G159" s="7">
        <v>130000</v>
      </c>
      <c r="H159" s="7"/>
    </row>
    <row r="160" spans="1:8" x14ac:dyDescent="0.35">
      <c r="A160" s="7" t="s">
        <v>301</v>
      </c>
      <c r="B160" s="7" t="s">
        <v>155</v>
      </c>
      <c r="C160" s="19">
        <v>46152</v>
      </c>
      <c r="D160" s="7" t="s">
        <v>302</v>
      </c>
      <c r="E160" s="7">
        <v>1</v>
      </c>
      <c r="F160" s="7">
        <v>12500</v>
      </c>
      <c r="G160" s="7">
        <v>12500</v>
      </c>
      <c r="H160" s="7"/>
    </row>
    <row r="161" spans="1:8" x14ac:dyDescent="0.35">
      <c r="A161" s="7" t="s">
        <v>92</v>
      </c>
      <c r="B161" s="7" t="s">
        <v>160</v>
      </c>
      <c r="C161" s="19">
        <v>46106</v>
      </c>
      <c r="D161" s="7" t="s">
        <v>93</v>
      </c>
      <c r="E161" s="7">
        <v>1</v>
      </c>
      <c r="F161" s="7">
        <v>250000</v>
      </c>
      <c r="G161" s="7">
        <v>250000</v>
      </c>
      <c r="H161" s="7"/>
    </row>
    <row r="162" spans="1:8" x14ac:dyDescent="0.35">
      <c r="A162" s="7" t="s">
        <v>90</v>
      </c>
      <c r="B162" s="7" t="s">
        <v>162</v>
      </c>
      <c r="C162" s="19">
        <v>46082</v>
      </c>
      <c r="D162" s="7" t="s">
        <v>91</v>
      </c>
      <c r="E162" s="7">
        <v>1</v>
      </c>
      <c r="F162" s="7">
        <v>180000</v>
      </c>
      <c r="G162" s="7">
        <v>180000</v>
      </c>
      <c r="H162" s="7"/>
    </row>
    <row r="163" spans="1:8" x14ac:dyDescent="0.35">
      <c r="A163" s="7" t="s">
        <v>303</v>
      </c>
      <c r="B163" s="7" t="s">
        <v>162</v>
      </c>
      <c r="C163" s="19">
        <v>46113</v>
      </c>
      <c r="D163" s="7" t="s">
        <v>304</v>
      </c>
      <c r="E163" s="7">
        <v>1</v>
      </c>
      <c r="F163" s="7">
        <v>45000</v>
      </c>
      <c r="G163" s="7">
        <v>45000</v>
      </c>
      <c r="H163" s="7"/>
    </row>
    <row r="164" spans="1:8" x14ac:dyDescent="0.35">
      <c r="A164" s="7" t="s">
        <v>86</v>
      </c>
      <c r="B164" s="7" t="s">
        <v>164</v>
      </c>
      <c r="C164" s="19">
        <v>45962</v>
      </c>
      <c r="D164" s="7" t="s">
        <v>87</v>
      </c>
      <c r="E164" s="7">
        <v>1</v>
      </c>
      <c r="F164" s="7">
        <v>70000</v>
      </c>
      <c r="G164" s="7">
        <v>70000</v>
      </c>
      <c r="H164" s="7"/>
    </row>
    <row r="165" spans="1:8" x14ac:dyDescent="0.35">
      <c r="A165" s="7" t="s">
        <v>305</v>
      </c>
      <c r="B165" s="7" t="s">
        <v>164</v>
      </c>
      <c r="C165" s="19">
        <v>46127</v>
      </c>
      <c r="D165" s="7" t="s">
        <v>306</v>
      </c>
      <c r="E165" s="7">
        <v>1</v>
      </c>
      <c r="F165" s="7">
        <v>18000</v>
      </c>
      <c r="G165" s="7">
        <v>18000</v>
      </c>
      <c r="H165" s="7"/>
    </row>
    <row r="166" spans="1:8" x14ac:dyDescent="0.35">
      <c r="A166" s="7" t="s">
        <v>307</v>
      </c>
      <c r="B166" s="7" t="s">
        <v>164</v>
      </c>
      <c r="C166" s="19">
        <v>46147</v>
      </c>
      <c r="D166" s="7" t="s">
        <v>308</v>
      </c>
      <c r="E166" s="7">
        <v>1</v>
      </c>
      <c r="F166" s="7">
        <v>55000</v>
      </c>
      <c r="G166" s="7">
        <v>55000</v>
      </c>
      <c r="H166" s="7"/>
    </row>
    <row r="167" spans="1:8" x14ac:dyDescent="0.35">
      <c r="A167" s="7"/>
      <c r="B167" s="7"/>
      <c r="C167" s="7"/>
      <c r="D167" s="7"/>
      <c r="E167" s="7"/>
      <c r="F167" s="7"/>
      <c r="G167" s="7"/>
      <c r="H167" s="7"/>
    </row>
    <row r="168" spans="1:8" x14ac:dyDescent="0.35">
      <c r="A168" s="7"/>
      <c r="B168" s="7"/>
      <c r="C168" s="7"/>
      <c r="D168" s="7"/>
      <c r="E168" s="7"/>
      <c r="F168" s="7"/>
      <c r="G168" s="7"/>
      <c r="H168" s="7"/>
    </row>
    <row r="169" spans="1:8" x14ac:dyDescent="0.35">
      <c r="A169" s="10" t="s">
        <v>309</v>
      </c>
      <c r="B169" s="7"/>
      <c r="C169" s="7"/>
      <c r="D169" s="7"/>
      <c r="E169" s="7"/>
      <c r="F169" s="7"/>
      <c r="G169" s="7"/>
      <c r="H169" s="7"/>
    </row>
    <row r="170" spans="1:8" x14ac:dyDescent="0.35">
      <c r="A170" s="7" t="s">
        <v>310</v>
      </c>
      <c r="B170" s="7" t="s">
        <v>311</v>
      </c>
      <c r="C170" s="7" t="s">
        <v>84</v>
      </c>
      <c r="D170" s="7" t="s">
        <v>98</v>
      </c>
      <c r="E170" s="7" t="s">
        <v>99</v>
      </c>
      <c r="F170" s="7" t="s">
        <v>312</v>
      </c>
      <c r="G170" s="7" t="s">
        <v>101</v>
      </c>
      <c r="H170" s="7" t="s">
        <v>12</v>
      </c>
    </row>
    <row r="171" spans="1:8" x14ac:dyDescent="0.35">
      <c r="A171" s="7" t="s">
        <v>102</v>
      </c>
      <c r="B171" s="7" t="s">
        <v>103</v>
      </c>
      <c r="C171" s="7" t="s">
        <v>104</v>
      </c>
      <c r="D171" s="35" t="s">
        <v>105</v>
      </c>
      <c r="E171" s="36" t="s">
        <v>106</v>
      </c>
      <c r="F171" s="7" t="s">
        <v>107</v>
      </c>
      <c r="G171" s="7" t="s">
        <v>15</v>
      </c>
      <c r="H171" s="36" t="s">
        <v>108</v>
      </c>
    </row>
    <row r="172" spans="1:8" x14ac:dyDescent="0.35">
      <c r="A172" s="7" t="s">
        <v>313</v>
      </c>
      <c r="B172" s="7" t="s">
        <v>314</v>
      </c>
      <c r="C172" s="7" t="s">
        <v>315</v>
      </c>
      <c r="D172" s="36" t="s">
        <v>106</v>
      </c>
      <c r="E172" s="37" t="s">
        <v>316</v>
      </c>
      <c r="F172" s="7" t="s">
        <v>317</v>
      </c>
      <c r="G172" s="7" t="s">
        <v>27</v>
      </c>
      <c r="H172" s="37" t="s">
        <v>318</v>
      </c>
    </row>
    <row r="173" spans="1:8" x14ac:dyDescent="0.35">
      <c r="A173" s="7" t="s">
        <v>109</v>
      </c>
      <c r="B173" s="7" t="s">
        <v>110</v>
      </c>
      <c r="C173" s="7" t="s">
        <v>111</v>
      </c>
      <c r="D173" s="36" t="s">
        <v>106</v>
      </c>
      <c r="E173" s="35" t="s">
        <v>105</v>
      </c>
      <c r="F173" s="7" t="s">
        <v>112</v>
      </c>
      <c r="G173" s="7" t="s">
        <v>15</v>
      </c>
      <c r="H173" s="36" t="s">
        <v>108</v>
      </c>
    </row>
    <row r="174" spans="1:8" x14ac:dyDescent="0.35">
      <c r="A174" s="7" t="s">
        <v>113</v>
      </c>
      <c r="B174" s="7" t="s">
        <v>114</v>
      </c>
      <c r="C174" s="7" t="s">
        <v>115</v>
      </c>
      <c r="D174" s="35" t="s">
        <v>105</v>
      </c>
      <c r="E174" s="35" t="s">
        <v>105</v>
      </c>
      <c r="F174" s="7" t="s">
        <v>116</v>
      </c>
      <c r="G174" s="7" t="s">
        <v>27</v>
      </c>
      <c r="H174" s="36" t="s">
        <v>108</v>
      </c>
    </row>
  </sheetData>
  <mergeCells count="2">
    <mergeCell ref="A1:H1"/>
    <mergeCell ref="A2:H2"/>
  </mergeCells>
  <pageMargins left="0.7" right="0.7" top="0.75" bottom="0.75" header="0.3" footer="0.3"/>
  <tableParts count="7">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Methodology Guide</vt:lpstr>
      <vt:lpstr>Controller Playbook</vt:lpstr>
      <vt:lpstr>Cover</vt:lpstr>
      <vt:lpstr>Gantt Charts</vt:lpstr>
      <vt:lpstr>Control Tower Dashboard</vt:lpstr>
      <vt:lpstr>Data Model Map</vt:lpstr>
      <vt:lpstr>3S Readiness Audit</vt:lpstr>
      <vt:lpstr>3S Model Blueprint</vt:lpstr>
      <vt:lpstr>Schedule &amp; Gantt</vt:lpstr>
      <vt:lpstr>CFO &amp; Cost Share Audit</vt:lpstr>
      <vt:lpstr>Contract &amp; RAID Risk Audit</vt:lpstr>
      <vt:lpstr>Interactive Simulator</vt:lpstr>
      <vt:lpstr>EVM Data</vt:lpstr>
      <vt:lpstr>Source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Frank Ellingsen</cp:lastModifiedBy>
  <dcterms:created xsi:type="dcterms:W3CDTF">2026-08-01T06:50:28Z</dcterms:created>
  <dcterms:modified xsi:type="dcterms:W3CDTF">2026-08-01T17:03:38Z</dcterms:modified>
</cp:coreProperties>
</file>