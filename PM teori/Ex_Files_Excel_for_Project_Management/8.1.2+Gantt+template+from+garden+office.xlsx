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riscroft/Documents 2017/"/>
    </mc:Choice>
  </mc:AlternateContent>
  <xr:revisionPtr revIDLastSave="0" documentId="13_ncr:1_{715D7FCD-F786-464D-B90D-FF58A302EB93}" xr6:coauthVersionLast="45" xr6:coauthVersionMax="45" xr10:uidLastSave="{00000000-0000-0000-0000-000000000000}"/>
  <bookViews>
    <workbookView xWindow="740" yWindow="460" windowWidth="27740" windowHeight="16440" activeTab="1" xr2:uid="{B9370C4B-0B75-DD4C-B167-BB055372B57C}"/>
  </bookViews>
  <sheets>
    <sheet name="My hours" sheetId="3" r:id="rId1"/>
    <sheet name="Total costs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" i="5" l="1"/>
  <c r="E1" i="5" s="1"/>
  <c r="F1" i="5" s="1"/>
  <c r="G1" i="5" s="1"/>
  <c r="H1" i="5" s="1"/>
  <c r="I1" i="5" s="1"/>
  <c r="J1" i="5" s="1"/>
  <c r="K1" i="5" s="1"/>
  <c r="L1" i="5" s="1"/>
  <c r="M1" i="5" s="1"/>
  <c r="N1" i="5" s="1"/>
  <c r="O1" i="5" s="1"/>
  <c r="P1" i="5" s="1"/>
  <c r="Q1" i="5" s="1"/>
  <c r="R1" i="5" s="1"/>
  <c r="S1" i="5" s="1"/>
  <c r="T1" i="5" s="1"/>
  <c r="U1" i="5" s="1"/>
  <c r="V1" i="5" s="1"/>
  <c r="W1" i="5" s="1"/>
  <c r="X1" i="5" s="1"/>
  <c r="Y1" i="5" s="1"/>
  <c r="Z1" i="5" s="1"/>
  <c r="AA1" i="5" s="1"/>
  <c r="AB1" i="5" s="1"/>
  <c r="AC1" i="5" s="1"/>
  <c r="AD1" i="5" s="1"/>
  <c r="AE1" i="5" s="1"/>
  <c r="AF1" i="5" s="1"/>
  <c r="AG1" i="5" s="1"/>
  <c r="D1" i="3"/>
  <c r="E1" i="3" s="1"/>
  <c r="F1" i="3" s="1"/>
  <c r="G1" i="3" s="1"/>
  <c r="H1" i="3" s="1"/>
  <c r="I1" i="3" s="1"/>
  <c r="J1" i="3" s="1"/>
  <c r="K1" i="3" s="1"/>
  <c r="L1" i="3" s="1"/>
  <c r="M1" i="3" s="1"/>
  <c r="N1" i="3" s="1"/>
  <c r="O1" i="3" s="1"/>
  <c r="P1" i="3" s="1"/>
  <c r="Q1" i="3" s="1"/>
  <c r="R1" i="3" s="1"/>
  <c r="S1" i="3" s="1"/>
  <c r="T1" i="3" s="1"/>
  <c r="U1" i="3" s="1"/>
  <c r="V1" i="3" s="1"/>
  <c r="W1" i="3" s="1"/>
  <c r="X1" i="3" s="1"/>
  <c r="Y1" i="3" s="1"/>
  <c r="Z1" i="3" s="1"/>
  <c r="AA1" i="3" s="1"/>
  <c r="AB1" i="3" s="1"/>
  <c r="AC1" i="3" s="1"/>
  <c r="AD1" i="3" s="1"/>
  <c r="AE1" i="3" s="1"/>
  <c r="AF1" i="3" s="1"/>
  <c r="AG1" i="3" s="1"/>
  <c r="AG36" i="5" l="1"/>
  <c r="AF36" i="5"/>
  <c r="AE36" i="5"/>
  <c r="AD36" i="5"/>
  <c r="AC36" i="5"/>
  <c r="AB36" i="5"/>
  <c r="AA36" i="5"/>
  <c r="Z36" i="5"/>
  <c r="Y36" i="5"/>
  <c r="X36" i="5"/>
  <c r="W36" i="5"/>
  <c r="V36" i="5"/>
  <c r="U36" i="5"/>
  <c r="T36" i="5"/>
  <c r="S36" i="5"/>
  <c r="R36" i="5"/>
  <c r="Q36" i="5"/>
  <c r="P36" i="5"/>
  <c r="O36" i="5"/>
  <c r="N36" i="5"/>
  <c r="M36" i="5"/>
  <c r="L36" i="5"/>
  <c r="K36" i="5"/>
  <c r="J36" i="5"/>
  <c r="I36" i="5"/>
  <c r="H36" i="5"/>
  <c r="G36" i="5"/>
  <c r="F36" i="5"/>
  <c r="E36" i="5"/>
  <c r="D36" i="5"/>
  <c r="C36" i="5"/>
  <c r="AH34" i="5"/>
  <c r="AH32" i="5"/>
  <c r="AH31" i="5"/>
  <c r="AH29" i="5"/>
  <c r="AH27" i="5"/>
  <c r="AH26" i="5"/>
  <c r="AH24" i="5"/>
  <c r="AH23" i="5"/>
  <c r="AH22" i="5"/>
  <c r="AH21" i="5"/>
  <c r="AH20" i="5"/>
  <c r="AH19" i="5"/>
  <c r="AH17" i="5"/>
  <c r="AH14" i="5"/>
  <c r="AH13" i="5"/>
  <c r="AH12" i="5"/>
  <c r="AH11" i="5"/>
  <c r="AH10" i="5"/>
  <c r="AH9" i="5"/>
  <c r="AH8" i="5"/>
  <c r="AH7" i="5"/>
  <c r="AH6" i="5"/>
  <c r="AH5" i="5"/>
  <c r="AH4" i="5"/>
  <c r="AH3" i="5"/>
  <c r="AH3" i="3"/>
  <c r="AH4" i="3"/>
  <c r="AH5" i="3"/>
  <c r="AH6" i="3"/>
  <c r="AH7" i="3"/>
  <c r="AH8" i="3"/>
  <c r="AH9" i="3"/>
  <c r="AH10" i="3"/>
  <c r="AH11" i="3"/>
  <c r="AH12" i="3"/>
  <c r="AH13" i="3"/>
  <c r="AH14" i="3"/>
  <c r="AH17" i="3"/>
  <c r="AH19" i="3"/>
  <c r="AH20" i="3"/>
  <c r="AH21" i="3"/>
  <c r="AH22" i="3"/>
  <c r="AH23" i="3"/>
  <c r="AH24" i="3"/>
  <c r="AH26" i="3"/>
  <c r="AH27" i="3"/>
  <c r="AH29" i="3"/>
  <c r="AH31" i="3"/>
  <c r="AH32" i="3"/>
  <c r="AH34" i="3"/>
  <c r="D36" i="3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AF36" i="3"/>
  <c r="AG36" i="3"/>
  <c r="C36" i="3"/>
  <c r="AH36" i="5" l="1"/>
  <c r="AH36" i="3"/>
</calcChain>
</file>

<file path=xl/sharedStrings.xml><?xml version="1.0" encoding="utf-8"?>
<sst xmlns="http://schemas.openxmlformats.org/spreadsheetml/2006/main" count="169" uniqueCount="43">
  <si>
    <t>Check planning</t>
  </si>
  <si>
    <t>Get PP</t>
  </si>
  <si>
    <t>Hire digger</t>
  </si>
  <si>
    <t>Dig trench</t>
  </si>
  <si>
    <t>Fill with concrete</t>
  </si>
  <si>
    <t>Level the base</t>
  </si>
  <si>
    <t>Delivery</t>
  </si>
  <si>
    <t>Assembly</t>
  </si>
  <si>
    <t>Painting internal</t>
  </si>
  <si>
    <t>Put in the furniture</t>
  </si>
  <si>
    <t>Set up computers</t>
  </si>
  <si>
    <t>Set up music</t>
  </si>
  <si>
    <t>Finished</t>
  </si>
  <si>
    <t>Ask friends</t>
  </si>
  <si>
    <t>find shed suppliers</t>
  </si>
  <si>
    <t>get quotes</t>
  </si>
  <si>
    <t>see finished one</t>
  </si>
  <si>
    <t>choose</t>
  </si>
  <si>
    <t>wait for delivery</t>
  </si>
  <si>
    <t>demolish old shed</t>
  </si>
  <si>
    <t>cut back foliage</t>
  </si>
  <si>
    <t>tree surgeon</t>
  </si>
  <si>
    <t>wire down garden</t>
  </si>
  <si>
    <t>connect power</t>
  </si>
  <si>
    <t>external painting</t>
  </si>
  <si>
    <t>check funds</t>
  </si>
  <si>
    <t>o</t>
  </si>
  <si>
    <t>my total hours</t>
  </si>
  <si>
    <t>who</t>
  </si>
  <si>
    <t>Dave</t>
  </si>
  <si>
    <t>Chris</t>
  </si>
  <si>
    <t>Paul</t>
  </si>
  <si>
    <t>Miles</t>
  </si>
  <si>
    <t>Sally</t>
  </si>
  <si>
    <t>Louise</t>
  </si>
  <si>
    <t xml:space="preserve">Dave </t>
  </si>
  <si>
    <t>Ann</t>
  </si>
  <si>
    <t>Fred</t>
  </si>
  <si>
    <t>Ava</t>
  </si>
  <si>
    <t xml:space="preserve">Ava </t>
  </si>
  <si>
    <t>Gerry</t>
  </si>
  <si>
    <t>Ben</t>
  </si>
  <si>
    <t>Andy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</si>
</sst>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textRotation="90"/>
    </xf>
    <xf numFmtId="15" fontId="0" fillId="0" borderId="0" xfId="0" applyNumberFormat="1" applyAlignment="1">
      <alignment horizontal="center" vertical="center" textRotation="90"/>
    </xf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'My hours'!$C$36:$AG$36</c:f>
              <c:numCache>
                <c:formatCode>General</c:formatCode>
                <c:ptCount val="31"/>
                <c:pt idx="0">
                  <c:v>3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3</c:v>
                </c:pt>
                <c:pt idx="13">
                  <c:v>1</c:v>
                </c:pt>
                <c:pt idx="14">
                  <c:v>1</c:v>
                </c:pt>
                <c:pt idx="15">
                  <c:v>6</c:v>
                </c:pt>
                <c:pt idx="16">
                  <c:v>3</c:v>
                </c:pt>
                <c:pt idx="17">
                  <c:v>5</c:v>
                </c:pt>
                <c:pt idx="18">
                  <c:v>5</c:v>
                </c:pt>
                <c:pt idx="19">
                  <c:v>0</c:v>
                </c:pt>
                <c:pt idx="20">
                  <c:v>2</c:v>
                </c:pt>
                <c:pt idx="21">
                  <c:v>2</c:v>
                </c:pt>
                <c:pt idx="22">
                  <c:v>1</c:v>
                </c:pt>
                <c:pt idx="23">
                  <c:v>1</c:v>
                </c:pt>
                <c:pt idx="24">
                  <c:v>0</c:v>
                </c:pt>
                <c:pt idx="25">
                  <c:v>8</c:v>
                </c:pt>
                <c:pt idx="26">
                  <c:v>0</c:v>
                </c:pt>
                <c:pt idx="27">
                  <c:v>0</c:v>
                </c:pt>
                <c:pt idx="28">
                  <c:v>10</c:v>
                </c:pt>
                <c:pt idx="29">
                  <c:v>20</c:v>
                </c:pt>
                <c:pt idx="3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DF-F741-A317-7B97E21800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0541184"/>
        <c:axId val="1840490016"/>
      </c:barChart>
      <c:catAx>
        <c:axId val="18405411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0490016"/>
        <c:crosses val="autoZero"/>
        <c:auto val="1"/>
        <c:lblAlgn val="ctr"/>
        <c:lblOffset val="100"/>
        <c:noMultiLvlLbl val="0"/>
      </c:catAx>
      <c:valAx>
        <c:axId val="184049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0541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'Total costs'!$C$36:$AG$36</c:f>
              <c:numCache>
                <c:formatCode>General</c:formatCode>
                <c:ptCount val="31"/>
                <c:pt idx="0">
                  <c:v>150</c:v>
                </c:pt>
                <c:pt idx="1">
                  <c:v>100</c:v>
                </c:pt>
                <c:pt idx="2">
                  <c:v>0</c:v>
                </c:pt>
                <c:pt idx="3">
                  <c:v>75</c:v>
                </c:pt>
                <c:pt idx="4">
                  <c:v>75</c:v>
                </c:pt>
                <c:pt idx="5">
                  <c:v>75</c:v>
                </c:pt>
                <c:pt idx="6">
                  <c:v>75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0</c:v>
                </c:pt>
                <c:pt idx="11">
                  <c:v>0</c:v>
                </c:pt>
                <c:pt idx="12">
                  <c:v>150</c:v>
                </c:pt>
                <c:pt idx="13">
                  <c:v>50</c:v>
                </c:pt>
                <c:pt idx="14">
                  <c:v>50</c:v>
                </c:pt>
                <c:pt idx="15">
                  <c:v>300</c:v>
                </c:pt>
                <c:pt idx="16">
                  <c:v>150</c:v>
                </c:pt>
                <c:pt idx="17">
                  <c:v>4250</c:v>
                </c:pt>
                <c:pt idx="18">
                  <c:v>400</c:v>
                </c:pt>
                <c:pt idx="19">
                  <c:v>0</c:v>
                </c:pt>
                <c:pt idx="20">
                  <c:v>100</c:v>
                </c:pt>
                <c:pt idx="21">
                  <c:v>100</c:v>
                </c:pt>
                <c:pt idx="22">
                  <c:v>500</c:v>
                </c:pt>
                <c:pt idx="23">
                  <c:v>200</c:v>
                </c:pt>
                <c:pt idx="24">
                  <c:v>100</c:v>
                </c:pt>
                <c:pt idx="25">
                  <c:v>4900</c:v>
                </c:pt>
                <c:pt idx="26">
                  <c:v>150</c:v>
                </c:pt>
                <c:pt idx="27">
                  <c:v>250</c:v>
                </c:pt>
                <c:pt idx="28">
                  <c:v>4150</c:v>
                </c:pt>
                <c:pt idx="29">
                  <c:v>600</c:v>
                </c:pt>
                <c:pt idx="30">
                  <c:v>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D9-5243-92AD-4826BD3894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0541184"/>
        <c:axId val="1840490016"/>
      </c:barChart>
      <c:catAx>
        <c:axId val="18405411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0490016"/>
        <c:crosses val="autoZero"/>
        <c:auto val="1"/>
        <c:lblAlgn val="ctr"/>
        <c:lblOffset val="100"/>
        <c:noMultiLvlLbl val="0"/>
      </c:catAx>
      <c:valAx>
        <c:axId val="184049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0541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235857</xdr:colOff>
      <xdr:row>8</xdr:row>
      <xdr:rowOff>27214</xdr:rowOff>
    </xdr:from>
    <xdr:to>
      <xdr:col>27</xdr:col>
      <xdr:colOff>63500</xdr:colOff>
      <xdr:row>8</xdr:row>
      <xdr:rowOff>181429</xdr:rowOff>
    </xdr:to>
    <xdr:sp macro="" textlink="">
      <xdr:nvSpPr>
        <xdr:cNvPr id="2" name="Diamond 1">
          <a:extLst>
            <a:ext uri="{FF2B5EF4-FFF2-40B4-BE49-F238E27FC236}">
              <a16:creationId xmlns:a16="http://schemas.microsoft.com/office/drawing/2014/main" id="{A8113A98-279A-034C-B5D2-F8E6968A468B}"/>
            </a:ext>
          </a:extLst>
        </xdr:cNvPr>
        <xdr:cNvSpPr/>
      </xdr:nvSpPr>
      <xdr:spPr>
        <a:xfrm>
          <a:off x="8935357" y="1449614"/>
          <a:ext cx="132443" cy="154215"/>
        </a:xfrm>
        <a:prstGeom prst="diamond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235857</xdr:colOff>
      <xdr:row>14</xdr:row>
      <xdr:rowOff>27214</xdr:rowOff>
    </xdr:from>
    <xdr:to>
      <xdr:col>33</xdr:col>
      <xdr:colOff>63501</xdr:colOff>
      <xdr:row>14</xdr:row>
      <xdr:rowOff>181429</xdr:rowOff>
    </xdr:to>
    <xdr:sp macro="" textlink="">
      <xdr:nvSpPr>
        <xdr:cNvPr id="3" name="Diamond 2">
          <a:extLst>
            <a:ext uri="{FF2B5EF4-FFF2-40B4-BE49-F238E27FC236}">
              <a16:creationId xmlns:a16="http://schemas.microsoft.com/office/drawing/2014/main" id="{E99AC153-5B3E-A446-A1E4-E076A5138A22}"/>
            </a:ext>
          </a:extLst>
        </xdr:cNvPr>
        <xdr:cNvSpPr/>
      </xdr:nvSpPr>
      <xdr:spPr>
        <a:xfrm>
          <a:off x="10764157" y="2668814"/>
          <a:ext cx="132444" cy="154215"/>
        </a:xfrm>
        <a:prstGeom prst="diamond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299357</xdr:colOff>
      <xdr:row>16</xdr:row>
      <xdr:rowOff>99786</xdr:rowOff>
    </xdr:from>
    <xdr:to>
      <xdr:col>20</xdr:col>
      <xdr:colOff>0</xdr:colOff>
      <xdr:row>16</xdr:row>
      <xdr:rowOff>99786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217E1A0-2C7A-8541-B832-A24B006906EE}"/>
            </a:ext>
          </a:extLst>
        </xdr:cNvPr>
        <xdr:cNvCxnSpPr/>
      </xdr:nvCxnSpPr>
      <xdr:spPr>
        <a:xfrm>
          <a:off x="4426857" y="3147786"/>
          <a:ext cx="244384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16</xdr:row>
      <xdr:rowOff>108858</xdr:rowOff>
    </xdr:from>
    <xdr:to>
      <xdr:col>9</xdr:col>
      <xdr:colOff>0</xdr:colOff>
      <xdr:row>16</xdr:row>
      <xdr:rowOff>108858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B7E3980B-692F-C94A-AEE1-D2317160691B}"/>
            </a:ext>
          </a:extLst>
        </xdr:cNvPr>
        <xdr:cNvCxnSpPr/>
      </xdr:nvCxnSpPr>
      <xdr:spPr>
        <a:xfrm flipH="1">
          <a:off x="1384300" y="3156858"/>
          <a:ext cx="21336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18</xdr:row>
      <xdr:rowOff>99786</xdr:rowOff>
    </xdr:from>
    <xdr:to>
      <xdr:col>13</xdr:col>
      <xdr:colOff>299357</xdr:colOff>
      <xdr:row>18</xdr:row>
      <xdr:rowOff>99786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CD5A4298-5C69-284A-B80D-34EA4D7C3B3C}"/>
            </a:ext>
          </a:extLst>
        </xdr:cNvPr>
        <xdr:cNvCxnSpPr/>
      </xdr:nvCxnSpPr>
      <xdr:spPr>
        <a:xfrm flipH="1">
          <a:off x="4432300" y="3554186"/>
          <a:ext cx="604157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9071</xdr:colOff>
      <xdr:row>23</xdr:row>
      <xdr:rowOff>99786</xdr:rowOff>
    </xdr:from>
    <xdr:to>
      <xdr:col>27</xdr:col>
      <xdr:colOff>0</xdr:colOff>
      <xdr:row>23</xdr:row>
      <xdr:rowOff>99786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39722227-9FA9-734C-A9C4-6BD5A1D575B0}"/>
            </a:ext>
          </a:extLst>
        </xdr:cNvPr>
        <xdr:cNvCxnSpPr/>
      </xdr:nvCxnSpPr>
      <xdr:spPr>
        <a:xfrm>
          <a:off x="8403771" y="4570186"/>
          <a:ext cx="60052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25</xdr:row>
      <xdr:rowOff>87924</xdr:rowOff>
    </xdr:from>
    <xdr:to>
      <xdr:col>17</xdr:col>
      <xdr:colOff>19539</xdr:colOff>
      <xdr:row>25</xdr:row>
      <xdr:rowOff>101600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5AB651BA-4AA2-F743-A381-86A69480AF0D}"/>
            </a:ext>
          </a:extLst>
        </xdr:cNvPr>
        <xdr:cNvCxnSpPr/>
      </xdr:nvCxnSpPr>
      <xdr:spPr>
        <a:xfrm flipH="1">
          <a:off x="2768600" y="5777524"/>
          <a:ext cx="4591539" cy="1367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1395</xdr:colOff>
      <xdr:row>26</xdr:row>
      <xdr:rowOff>87923</xdr:rowOff>
    </xdr:from>
    <xdr:to>
      <xdr:col>21</xdr:col>
      <xdr:colOff>293077</xdr:colOff>
      <xdr:row>26</xdr:row>
      <xdr:rowOff>99786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F29A18BB-55D5-F247-A692-7A75CAB88DBA}"/>
            </a:ext>
          </a:extLst>
        </xdr:cNvPr>
        <xdr:cNvCxnSpPr/>
      </xdr:nvCxnSpPr>
      <xdr:spPr>
        <a:xfrm flipV="1">
          <a:off x="7176895" y="5167923"/>
          <a:ext cx="291682" cy="1186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19539</xdr:colOff>
      <xdr:row>25</xdr:row>
      <xdr:rowOff>127000</xdr:rowOff>
    </xdr:from>
    <xdr:to>
      <xdr:col>19</xdr:col>
      <xdr:colOff>19539</xdr:colOff>
      <xdr:row>26</xdr:row>
      <xdr:rowOff>107462</xdr:rowOff>
    </xdr:to>
    <xdr:cxnSp macro="">
      <xdr:nvCxnSpPr>
        <xdr:cNvPr id="10" name="Elbow Connector 9">
          <a:extLst>
            <a:ext uri="{FF2B5EF4-FFF2-40B4-BE49-F238E27FC236}">
              <a16:creationId xmlns:a16="http://schemas.microsoft.com/office/drawing/2014/main" id="{03FBA70B-BA22-ED49-A10F-CE597E6138A3}"/>
            </a:ext>
          </a:extLst>
        </xdr:cNvPr>
        <xdr:cNvCxnSpPr/>
      </xdr:nvCxnSpPr>
      <xdr:spPr>
        <a:xfrm>
          <a:off x="6280639" y="5003800"/>
          <a:ext cx="304800" cy="183662"/>
        </a:xfrm>
        <a:prstGeom prst="bentConnector3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28</xdr:row>
      <xdr:rowOff>127000</xdr:rowOff>
    </xdr:from>
    <xdr:to>
      <xdr:col>5</xdr:col>
      <xdr:colOff>19540</xdr:colOff>
      <xdr:row>28</xdr:row>
      <xdr:rowOff>135792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6DA7ACE1-A1B6-7C46-A8B7-567DF3F74D97}"/>
            </a:ext>
          </a:extLst>
        </xdr:cNvPr>
        <xdr:cNvCxnSpPr/>
      </xdr:nvCxnSpPr>
      <xdr:spPr>
        <a:xfrm flipH="1" flipV="1">
          <a:off x="2768600" y="6426200"/>
          <a:ext cx="933940" cy="879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301450</xdr:colOff>
      <xdr:row>28</xdr:row>
      <xdr:rowOff>103973</xdr:rowOff>
    </xdr:from>
    <xdr:to>
      <xdr:col>27</xdr:col>
      <xdr:colOff>9769</xdr:colOff>
      <xdr:row>28</xdr:row>
      <xdr:rowOff>107462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FE8CFF39-9639-8141-9F45-70C565B1FACD}"/>
            </a:ext>
          </a:extLst>
        </xdr:cNvPr>
        <xdr:cNvCxnSpPr/>
      </xdr:nvCxnSpPr>
      <xdr:spPr>
        <a:xfrm>
          <a:off x="3514550" y="5590373"/>
          <a:ext cx="5499519" cy="348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276774</xdr:colOff>
      <xdr:row>30</xdr:row>
      <xdr:rowOff>92808</xdr:rowOff>
    </xdr:from>
    <xdr:to>
      <xdr:col>26</xdr:col>
      <xdr:colOff>296630</xdr:colOff>
      <xdr:row>30</xdr:row>
      <xdr:rowOff>97692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71CA6CDE-EFB2-A946-88DA-1F317B33984E}"/>
            </a:ext>
          </a:extLst>
        </xdr:cNvPr>
        <xdr:cNvCxnSpPr/>
      </xdr:nvCxnSpPr>
      <xdr:spPr>
        <a:xfrm flipH="1" flipV="1">
          <a:off x="8061874" y="5985608"/>
          <a:ext cx="934256" cy="488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231734</xdr:colOff>
      <xdr:row>31</xdr:row>
      <xdr:rowOff>23914</xdr:rowOff>
    </xdr:from>
    <xdr:to>
      <xdr:col>29</xdr:col>
      <xdr:colOff>59378</xdr:colOff>
      <xdr:row>31</xdr:row>
      <xdr:rowOff>178129</xdr:rowOff>
    </xdr:to>
    <xdr:sp macro="" textlink="">
      <xdr:nvSpPr>
        <xdr:cNvPr id="14" name="Diamond 13">
          <a:extLst>
            <a:ext uri="{FF2B5EF4-FFF2-40B4-BE49-F238E27FC236}">
              <a16:creationId xmlns:a16="http://schemas.microsoft.com/office/drawing/2014/main" id="{DC54F765-4626-4B4F-8B3E-B5E43016A56D}"/>
            </a:ext>
          </a:extLst>
        </xdr:cNvPr>
        <xdr:cNvSpPr/>
      </xdr:nvSpPr>
      <xdr:spPr>
        <a:xfrm>
          <a:off x="9540834" y="6119914"/>
          <a:ext cx="132444" cy="154215"/>
        </a:xfrm>
        <a:prstGeom prst="diamond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271762</xdr:colOff>
      <xdr:row>30</xdr:row>
      <xdr:rowOff>123448</xdr:rowOff>
    </xdr:from>
    <xdr:to>
      <xdr:col>28</xdr:col>
      <xdr:colOff>271761</xdr:colOff>
      <xdr:row>31</xdr:row>
      <xdr:rowOff>103910</xdr:rowOff>
    </xdr:to>
    <xdr:cxnSp macro="">
      <xdr:nvCxnSpPr>
        <xdr:cNvPr id="15" name="Elbow Connector 14">
          <a:extLst>
            <a:ext uri="{FF2B5EF4-FFF2-40B4-BE49-F238E27FC236}">
              <a16:creationId xmlns:a16="http://schemas.microsoft.com/office/drawing/2014/main" id="{BF7C0F84-2D91-FF47-9825-D61EE8B62B36}"/>
            </a:ext>
          </a:extLst>
        </xdr:cNvPr>
        <xdr:cNvCxnSpPr/>
      </xdr:nvCxnSpPr>
      <xdr:spPr>
        <a:xfrm>
          <a:off x="9276062" y="6016248"/>
          <a:ext cx="304799" cy="183662"/>
        </a:xfrm>
        <a:prstGeom prst="bentConnector3">
          <a:avLst>
            <a:gd name="adj1" fmla="val 53846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25400</xdr:colOff>
      <xdr:row>33</xdr:row>
      <xdr:rowOff>101600</xdr:rowOff>
    </xdr:from>
    <xdr:to>
      <xdr:col>33</xdr:col>
      <xdr:colOff>2476</xdr:colOff>
      <xdr:row>33</xdr:row>
      <xdr:rowOff>103909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B34F7DCE-D6A1-BF41-8B00-61D39790A161}"/>
            </a:ext>
          </a:extLst>
        </xdr:cNvPr>
        <xdr:cNvCxnSpPr/>
      </xdr:nvCxnSpPr>
      <xdr:spPr>
        <a:xfrm>
          <a:off x="10553700" y="6604000"/>
          <a:ext cx="281876" cy="230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11546</xdr:colOff>
      <xdr:row>33</xdr:row>
      <xdr:rowOff>101600</xdr:rowOff>
    </xdr:from>
    <xdr:to>
      <xdr:col>30</xdr:col>
      <xdr:colOff>12700</xdr:colOff>
      <xdr:row>33</xdr:row>
      <xdr:rowOff>103909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1D5CB116-E9B4-6D4E-99B0-349821E6FB13}"/>
            </a:ext>
          </a:extLst>
        </xdr:cNvPr>
        <xdr:cNvCxnSpPr/>
      </xdr:nvCxnSpPr>
      <xdr:spPr>
        <a:xfrm flipH="1">
          <a:off x="9320646" y="6604000"/>
          <a:ext cx="610754" cy="230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25400</xdr:colOff>
      <xdr:row>22</xdr:row>
      <xdr:rowOff>114300</xdr:rowOff>
    </xdr:from>
    <xdr:to>
      <xdr:col>15</xdr:col>
      <xdr:colOff>292101</xdr:colOff>
      <xdr:row>22</xdr:row>
      <xdr:rowOff>127000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56CDCA89-B2C9-FC46-B74C-D8346727F045}"/>
            </a:ext>
          </a:extLst>
        </xdr:cNvPr>
        <xdr:cNvCxnSpPr/>
      </xdr:nvCxnSpPr>
      <xdr:spPr>
        <a:xfrm flipH="1">
          <a:off x="2794000" y="5194300"/>
          <a:ext cx="4229101" cy="12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299357</xdr:colOff>
      <xdr:row>22</xdr:row>
      <xdr:rowOff>99786</xdr:rowOff>
    </xdr:from>
    <xdr:to>
      <xdr:col>18</xdr:col>
      <xdr:colOff>290286</xdr:colOff>
      <xdr:row>22</xdr:row>
      <xdr:rowOff>99786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47BFDFB7-8934-DE48-BBD7-2C0CFE683A70}"/>
            </a:ext>
          </a:extLst>
        </xdr:cNvPr>
        <xdr:cNvCxnSpPr/>
      </xdr:nvCxnSpPr>
      <xdr:spPr>
        <a:xfrm>
          <a:off x="5950857" y="4366986"/>
          <a:ext cx="60052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56103</xdr:colOff>
      <xdr:row>31</xdr:row>
      <xdr:rowOff>84015</xdr:rowOff>
    </xdr:from>
    <xdr:to>
      <xdr:col>30</xdr:col>
      <xdr:colOff>42985</xdr:colOff>
      <xdr:row>31</xdr:row>
      <xdr:rowOff>95878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7044BE53-590F-DB43-A539-BC4209285209}"/>
            </a:ext>
          </a:extLst>
        </xdr:cNvPr>
        <xdr:cNvCxnSpPr/>
      </xdr:nvCxnSpPr>
      <xdr:spPr>
        <a:xfrm flipV="1">
          <a:off x="9670003" y="6180015"/>
          <a:ext cx="291682" cy="1186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1130300</xdr:colOff>
      <xdr:row>36</xdr:row>
      <xdr:rowOff>101600</xdr:rowOff>
    </xdr:from>
    <xdr:to>
      <xdr:col>33</xdr:col>
      <xdr:colOff>190500</xdr:colOff>
      <xdr:row>47</xdr:row>
      <xdr:rowOff>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395AAFD2-D2E4-0540-B7AA-F1CCF4C95C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235857</xdr:colOff>
      <xdr:row>8</xdr:row>
      <xdr:rowOff>27214</xdr:rowOff>
    </xdr:from>
    <xdr:to>
      <xdr:col>27</xdr:col>
      <xdr:colOff>63500</xdr:colOff>
      <xdr:row>8</xdr:row>
      <xdr:rowOff>181429</xdr:rowOff>
    </xdr:to>
    <xdr:sp macro="" textlink="">
      <xdr:nvSpPr>
        <xdr:cNvPr id="2" name="Diamond 1">
          <a:extLst>
            <a:ext uri="{FF2B5EF4-FFF2-40B4-BE49-F238E27FC236}">
              <a16:creationId xmlns:a16="http://schemas.microsoft.com/office/drawing/2014/main" id="{E7F03D7B-6A6E-6741-85EF-631E33E7270E}"/>
            </a:ext>
          </a:extLst>
        </xdr:cNvPr>
        <xdr:cNvSpPr/>
      </xdr:nvSpPr>
      <xdr:spPr>
        <a:xfrm>
          <a:off x="8935357" y="1449614"/>
          <a:ext cx="132443" cy="154215"/>
        </a:xfrm>
        <a:prstGeom prst="diamond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292099</xdr:colOff>
      <xdr:row>14</xdr:row>
      <xdr:rowOff>27215</xdr:rowOff>
    </xdr:from>
    <xdr:to>
      <xdr:col>33</xdr:col>
      <xdr:colOff>63500</xdr:colOff>
      <xdr:row>14</xdr:row>
      <xdr:rowOff>177801</xdr:rowOff>
    </xdr:to>
    <xdr:sp macro="" textlink="">
      <xdr:nvSpPr>
        <xdr:cNvPr id="3" name="Diamond 2">
          <a:extLst>
            <a:ext uri="{FF2B5EF4-FFF2-40B4-BE49-F238E27FC236}">
              <a16:creationId xmlns:a16="http://schemas.microsoft.com/office/drawing/2014/main" id="{0C67C2F0-DD6D-5048-AA03-AEBD32B6055C}"/>
            </a:ext>
          </a:extLst>
        </xdr:cNvPr>
        <xdr:cNvSpPr/>
      </xdr:nvSpPr>
      <xdr:spPr>
        <a:xfrm>
          <a:off x="10998199" y="2668815"/>
          <a:ext cx="139701" cy="150586"/>
        </a:xfrm>
        <a:prstGeom prst="diamond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299357</xdr:colOff>
      <xdr:row>16</xdr:row>
      <xdr:rowOff>99786</xdr:rowOff>
    </xdr:from>
    <xdr:to>
      <xdr:col>20</xdr:col>
      <xdr:colOff>0</xdr:colOff>
      <xdr:row>16</xdr:row>
      <xdr:rowOff>99786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DBB2A704-8ADB-244F-8765-16D8025FE6B2}"/>
            </a:ext>
          </a:extLst>
        </xdr:cNvPr>
        <xdr:cNvCxnSpPr/>
      </xdr:nvCxnSpPr>
      <xdr:spPr>
        <a:xfrm>
          <a:off x="4426857" y="3147786"/>
          <a:ext cx="244384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16</xdr:row>
      <xdr:rowOff>108858</xdr:rowOff>
    </xdr:from>
    <xdr:to>
      <xdr:col>9</xdr:col>
      <xdr:colOff>0</xdr:colOff>
      <xdr:row>16</xdr:row>
      <xdr:rowOff>108858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6C44B25B-9DED-454B-92FD-51DFEAA60B70}"/>
            </a:ext>
          </a:extLst>
        </xdr:cNvPr>
        <xdr:cNvCxnSpPr/>
      </xdr:nvCxnSpPr>
      <xdr:spPr>
        <a:xfrm flipH="1">
          <a:off x="1384300" y="3156858"/>
          <a:ext cx="21336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18</xdr:row>
      <xdr:rowOff>99786</xdr:rowOff>
    </xdr:from>
    <xdr:to>
      <xdr:col>13</xdr:col>
      <xdr:colOff>299357</xdr:colOff>
      <xdr:row>18</xdr:row>
      <xdr:rowOff>99786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361ECF92-9886-7348-9A89-74084EFD0861}"/>
            </a:ext>
          </a:extLst>
        </xdr:cNvPr>
        <xdr:cNvCxnSpPr/>
      </xdr:nvCxnSpPr>
      <xdr:spPr>
        <a:xfrm flipH="1">
          <a:off x="4432300" y="3554186"/>
          <a:ext cx="604157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9071</xdr:colOff>
      <xdr:row>23</xdr:row>
      <xdr:rowOff>99786</xdr:rowOff>
    </xdr:from>
    <xdr:to>
      <xdr:col>27</xdr:col>
      <xdr:colOff>0</xdr:colOff>
      <xdr:row>23</xdr:row>
      <xdr:rowOff>99786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265AEE99-11D4-C24B-B2EB-0E1E237694BE}"/>
            </a:ext>
          </a:extLst>
        </xdr:cNvPr>
        <xdr:cNvCxnSpPr/>
      </xdr:nvCxnSpPr>
      <xdr:spPr>
        <a:xfrm>
          <a:off x="8403771" y="4570186"/>
          <a:ext cx="60052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</xdr:colOff>
      <xdr:row>25</xdr:row>
      <xdr:rowOff>87924</xdr:rowOff>
    </xdr:from>
    <xdr:to>
      <xdr:col>17</xdr:col>
      <xdr:colOff>19539</xdr:colOff>
      <xdr:row>25</xdr:row>
      <xdr:rowOff>88900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3BA91A43-5FED-9647-B6AE-45B8287573FD}"/>
            </a:ext>
          </a:extLst>
        </xdr:cNvPr>
        <xdr:cNvCxnSpPr/>
      </xdr:nvCxnSpPr>
      <xdr:spPr>
        <a:xfrm flipH="1">
          <a:off x="2120900" y="5726724"/>
          <a:ext cx="4578839" cy="97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1395</xdr:colOff>
      <xdr:row>26</xdr:row>
      <xdr:rowOff>87923</xdr:rowOff>
    </xdr:from>
    <xdr:to>
      <xdr:col>21</xdr:col>
      <xdr:colOff>293077</xdr:colOff>
      <xdr:row>26</xdr:row>
      <xdr:rowOff>99786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15FD1F9E-6873-2445-ACB3-3A0ABA16828E}"/>
            </a:ext>
          </a:extLst>
        </xdr:cNvPr>
        <xdr:cNvCxnSpPr/>
      </xdr:nvCxnSpPr>
      <xdr:spPr>
        <a:xfrm flipV="1">
          <a:off x="7176895" y="5167923"/>
          <a:ext cx="291682" cy="1186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19539</xdr:colOff>
      <xdr:row>25</xdr:row>
      <xdr:rowOff>127000</xdr:rowOff>
    </xdr:from>
    <xdr:to>
      <xdr:col>19</xdr:col>
      <xdr:colOff>19539</xdr:colOff>
      <xdr:row>26</xdr:row>
      <xdr:rowOff>107462</xdr:rowOff>
    </xdr:to>
    <xdr:cxnSp macro="">
      <xdr:nvCxnSpPr>
        <xdr:cNvPr id="10" name="Elbow Connector 9">
          <a:extLst>
            <a:ext uri="{FF2B5EF4-FFF2-40B4-BE49-F238E27FC236}">
              <a16:creationId xmlns:a16="http://schemas.microsoft.com/office/drawing/2014/main" id="{B535BB00-3C27-874D-B282-4C39448159BB}"/>
            </a:ext>
          </a:extLst>
        </xdr:cNvPr>
        <xdr:cNvCxnSpPr/>
      </xdr:nvCxnSpPr>
      <xdr:spPr>
        <a:xfrm>
          <a:off x="6280639" y="5003800"/>
          <a:ext cx="304800" cy="183662"/>
        </a:xfrm>
        <a:prstGeom prst="bentConnector3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</xdr:colOff>
      <xdr:row>28</xdr:row>
      <xdr:rowOff>97692</xdr:rowOff>
    </xdr:from>
    <xdr:to>
      <xdr:col>5</xdr:col>
      <xdr:colOff>19540</xdr:colOff>
      <xdr:row>28</xdr:row>
      <xdr:rowOff>101600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4351A54B-CA9C-8E4C-AF35-CD4167C783A1}"/>
            </a:ext>
          </a:extLst>
        </xdr:cNvPr>
        <xdr:cNvCxnSpPr/>
      </xdr:nvCxnSpPr>
      <xdr:spPr>
        <a:xfrm flipH="1">
          <a:off x="2120900" y="6346092"/>
          <a:ext cx="921240" cy="39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301450</xdr:colOff>
      <xdr:row>28</xdr:row>
      <xdr:rowOff>103973</xdr:rowOff>
    </xdr:from>
    <xdr:to>
      <xdr:col>27</xdr:col>
      <xdr:colOff>9769</xdr:colOff>
      <xdr:row>28</xdr:row>
      <xdr:rowOff>107462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7F6FCAFE-B68A-C446-A7B2-97F22E629D84}"/>
            </a:ext>
          </a:extLst>
        </xdr:cNvPr>
        <xdr:cNvCxnSpPr/>
      </xdr:nvCxnSpPr>
      <xdr:spPr>
        <a:xfrm>
          <a:off x="3514550" y="5590373"/>
          <a:ext cx="5499519" cy="348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276774</xdr:colOff>
      <xdr:row>30</xdr:row>
      <xdr:rowOff>92808</xdr:rowOff>
    </xdr:from>
    <xdr:to>
      <xdr:col>26</xdr:col>
      <xdr:colOff>296630</xdr:colOff>
      <xdr:row>30</xdr:row>
      <xdr:rowOff>97692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17C39C35-6CF0-1F48-8F49-7D42B1A4C617}"/>
            </a:ext>
          </a:extLst>
        </xdr:cNvPr>
        <xdr:cNvCxnSpPr/>
      </xdr:nvCxnSpPr>
      <xdr:spPr>
        <a:xfrm flipH="1" flipV="1">
          <a:off x="8061874" y="5985608"/>
          <a:ext cx="934256" cy="488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231734</xdr:colOff>
      <xdr:row>31</xdr:row>
      <xdr:rowOff>23914</xdr:rowOff>
    </xdr:from>
    <xdr:to>
      <xdr:col>29</xdr:col>
      <xdr:colOff>59378</xdr:colOff>
      <xdr:row>31</xdr:row>
      <xdr:rowOff>178129</xdr:rowOff>
    </xdr:to>
    <xdr:sp macro="" textlink="">
      <xdr:nvSpPr>
        <xdr:cNvPr id="14" name="Diamond 13">
          <a:extLst>
            <a:ext uri="{FF2B5EF4-FFF2-40B4-BE49-F238E27FC236}">
              <a16:creationId xmlns:a16="http://schemas.microsoft.com/office/drawing/2014/main" id="{F190EEAF-666B-8546-A521-02023FD16F72}"/>
            </a:ext>
          </a:extLst>
        </xdr:cNvPr>
        <xdr:cNvSpPr/>
      </xdr:nvSpPr>
      <xdr:spPr>
        <a:xfrm>
          <a:off x="9540834" y="6119914"/>
          <a:ext cx="132444" cy="154215"/>
        </a:xfrm>
        <a:prstGeom prst="diamond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271762</xdr:colOff>
      <xdr:row>30</xdr:row>
      <xdr:rowOff>123448</xdr:rowOff>
    </xdr:from>
    <xdr:to>
      <xdr:col>28</xdr:col>
      <xdr:colOff>271761</xdr:colOff>
      <xdr:row>31</xdr:row>
      <xdr:rowOff>103910</xdr:rowOff>
    </xdr:to>
    <xdr:cxnSp macro="">
      <xdr:nvCxnSpPr>
        <xdr:cNvPr id="15" name="Elbow Connector 14">
          <a:extLst>
            <a:ext uri="{FF2B5EF4-FFF2-40B4-BE49-F238E27FC236}">
              <a16:creationId xmlns:a16="http://schemas.microsoft.com/office/drawing/2014/main" id="{155ABD16-0013-344B-A74F-C81CE87C9A1F}"/>
            </a:ext>
          </a:extLst>
        </xdr:cNvPr>
        <xdr:cNvCxnSpPr/>
      </xdr:nvCxnSpPr>
      <xdr:spPr>
        <a:xfrm>
          <a:off x="9276062" y="6016248"/>
          <a:ext cx="304799" cy="183662"/>
        </a:xfrm>
        <a:prstGeom prst="bentConnector3">
          <a:avLst>
            <a:gd name="adj1" fmla="val 53846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25400</xdr:colOff>
      <xdr:row>33</xdr:row>
      <xdr:rowOff>101600</xdr:rowOff>
    </xdr:from>
    <xdr:to>
      <xdr:col>33</xdr:col>
      <xdr:colOff>2476</xdr:colOff>
      <xdr:row>33</xdr:row>
      <xdr:rowOff>103909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B86118BA-DB41-7A49-9AA7-EBC76688A379}"/>
            </a:ext>
          </a:extLst>
        </xdr:cNvPr>
        <xdr:cNvCxnSpPr/>
      </xdr:nvCxnSpPr>
      <xdr:spPr>
        <a:xfrm>
          <a:off x="10553700" y="6604000"/>
          <a:ext cx="281876" cy="230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11546</xdr:colOff>
      <xdr:row>33</xdr:row>
      <xdr:rowOff>101600</xdr:rowOff>
    </xdr:from>
    <xdr:to>
      <xdr:col>30</xdr:col>
      <xdr:colOff>12700</xdr:colOff>
      <xdr:row>33</xdr:row>
      <xdr:rowOff>103909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5473C72C-821C-8842-8817-243DD385A63E}"/>
            </a:ext>
          </a:extLst>
        </xdr:cNvPr>
        <xdr:cNvCxnSpPr/>
      </xdr:nvCxnSpPr>
      <xdr:spPr>
        <a:xfrm flipH="1">
          <a:off x="9320646" y="6604000"/>
          <a:ext cx="610754" cy="230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698500</xdr:colOff>
      <xdr:row>22</xdr:row>
      <xdr:rowOff>114300</xdr:rowOff>
    </xdr:from>
    <xdr:to>
      <xdr:col>15</xdr:col>
      <xdr:colOff>292101</xdr:colOff>
      <xdr:row>22</xdr:row>
      <xdr:rowOff>127000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2C9BE7D-4A19-DD45-BEF4-FBB792BE1FCC}"/>
            </a:ext>
          </a:extLst>
        </xdr:cNvPr>
        <xdr:cNvCxnSpPr/>
      </xdr:nvCxnSpPr>
      <xdr:spPr>
        <a:xfrm flipH="1">
          <a:off x="2082800" y="5143500"/>
          <a:ext cx="4279901" cy="12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299357</xdr:colOff>
      <xdr:row>22</xdr:row>
      <xdr:rowOff>99786</xdr:rowOff>
    </xdr:from>
    <xdr:to>
      <xdr:col>18</xdr:col>
      <xdr:colOff>290286</xdr:colOff>
      <xdr:row>22</xdr:row>
      <xdr:rowOff>99786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DEFBF7D7-E97A-164C-87C0-0E39D5D9C68C}"/>
            </a:ext>
          </a:extLst>
        </xdr:cNvPr>
        <xdr:cNvCxnSpPr/>
      </xdr:nvCxnSpPr>
      <xdr:spPr>
        <a:xfrm>
          <a:off x="5950857" y="4366986"/>
          <a:ext cx="60052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56103</xdr:colOff>
      <xdr:row>31</xdr:row>
      <xdr:rowOff>84015</xdr:rowOff>
    </xdr:from>
    <xdr:to>
      <xdr:col>30</xdr:col>
      <xdr:colOff>42985</xdr:colOff>
      <xdr:row>31</xdr:row>
      <xdr:rowOff>95878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902FB1-2F43-724A-A469-E80319B4BC08}"/>
            </a:ext>
          </a:extLst>
        </xdr:cNvPr>
        <xdr:cNvCxnSpPr/>
      </xdr:nvCxnSpPr>
      <xdr:spPr>
        <a:xfrm flipV="1">
          <a:off x="9670003" y="6180015"/>
          <a:ext cx="291682" cy="1186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977900</xdr:colOff>
      <xdr:row>36</xdr:row>
      <xdr:rowOff>101600</xdr:rowOff>
    </xdr:from>
    <xdr:to>
      <xdr:col>33</xdr:col>
      <xdr:colOff>152400</xdr:colOff>
      <xdr:row>48</xdr:row>
      <xdr:rowOff>114300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7AF3BD5C-57DB-1541-BF5F-E0D80A2779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61E68-9E64-884A-9107-8E14F2B1F3A9}">
  <dimension ref="A1:AH36"/>
  <sheetViews>
    <sheetView topLeftCell="A17" zoomScaleNormal="100" workbookViewId="0">
      <selection activeCell="AI13" sqref="AI13"/>
    </sheetView>
  </sheetViews>
  <sheetFormatPr baseColWidth="10" defaultRowHeight="16" x14ac:dyDescent="0.2"/>
  <cols>
    <col min="1" max="1" width="18.1640625" customWidth="1"/>
    <col min="2" max="2" width="8.1640625" customWidth="1"/>
    <col min="3" max="33" width="4" style="1" customWidth="1"/>
  </cols>
  <sheetData>
    <row r="1" spans="1:34" s="4" customFormat="1" ht="64" customHeight="1" x14ac:dyDescent="0.2">
      <c r="C1" s="5">
        <v>44197</v>
      </c>
      <c r="D1" s="5">
        <f>C1+7</f>
        <v>44204</v>
      </c>
      <c r="E1" s="5">
        <f t="shared" ref="E1:AG1" si="0">D1+7</f>
        <v>44211</v>
      </c>
      <c r="F1" s="5">
        <f t="shared" si="0"/>
        <v>44218</v>
      </c>
      <c r="G1" s="5">
        <f t="shared" si="0"/>
        <v>44225</v>
      </c>
      <c r="H1" s="5">
        <f t="shared" si="0"/>
        <v>44232</v>
      </c>
      <c r="I1" s="5">
        <f t="shared" si="0"/>
        <v>44239</v>
      </c>
      <c r="J1" s="5">
        <f t="shared" si="0"/>
        <v>44246</v>
      </c>
      <c r="K1" s="5">
        <f t="shared" si="0"/>
        <v>44253</v>
      </c>
      <c r="L1" s="5">
        <f t="shared" si="0"/>
        <v>44260</v>
      </c>
      <c r="M1" s="5">
        <f t="shared" si="0"/>
        <v>44267</v>
      </c>
      <c r="N1" s="5">
        <f t="shared" si="0"/>
        <v>44274</v>
      </c>
      <c r="O1" s="5">
        <f t="shared" si="0"/>
        <v>44281</v>
      </c>
      <c r="P1" s="5">
        <f t="shared" si="0"/>
        <v>44288</v>
      </c>
      <c r="Q1" s="5">
        <f t="shared" si="0"/>
        <v>44295</v>
      </c>
      <c r="R1" s="5">
        <f t="shared" si="0"/>
        <v>44302</v>
      </c>
      <c r="S1" s="5">
        <f t="shared" si="0"/>
        <v>44309</v>
      </c>
      <c r="T1" s="5">
        <f t="shared" si="0"/>
        <v>44316</v>
      </c>
      <c r="U1" s="5">
        <f t="shared" si="0"/>
        <v>44323</v>
      </c>
      <c r="V1" s="5">
        <f t="shared" si="0"/>
        <v>44330</v>
      </c>
      <c r="W1" s="5">
        <f t="shared" si="0"/>
        <v>44337</v>
      </c>
      <c r="X1" s="5">
        <f t="shared" si="0"/>
        <v>44344</v>
      </c>
      <c r="Y1" s="5">
        <f t="shared" si="0"/>
        <v>44351</v>
      </c>
      <c r="Z1" s="5">
        <f t="shared" si="0"/>
        <v>44358</v>
      </c>
      <c r="AA1" s="5">
        <f t="shared" si="0"/>
        <v>44365</v>
      </c>
      <c r="AB1" s="5">
        <f t="shared" si="0"/>
        <v>44372</v>
      </c>
      <c r="AC1" s="5">
        <f t="shared" si="0"/>
        <v>44379</v>
      </c>
      <c r="AD1" s="5">
        <f t="shared" si="0"/>
        <v>44386</v>
      </c>
      <c r="AE1" s="5">
        <f t="shared" si="0"/>
        <v>44393</v>
      </c>
      <c r="AF1" s="5">
        <f t="shared" si="0"/>
        <v>44400</v>
      </c>
      <c r="AG1" s="5">
        <f t="shared" si="0"/>
        <v>44407</v>
      </c>
    </row>
    <row r="2" spans="1:34" x14ac:dyDescent="0.2"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9</v>
      </c>
      <c r="L2" s="1">
        <v>10</v>
      </c>
      <c r="M2" s="1">
        <v>11</v>
      </c>
      <c r="N2" s="1">
        <v>12</v>
      </c>
      <c r="O2" s="1">
        <v>13</v>
      </c>
      <c r="P2" s="1">
        <v>14</v>
      </c>
      <c r="Q2" s="1">
        <v>15</v>
      </c>
      <c r="R2" s="1">
        <v>16</v>
      </c>
      <c r="S2" s="1">
        <v>17</v>
      </c>
      <c r="T2" s="1">
        <v>18</v>
      </c>
      <c r="U2" s="1">
        <v>19</v>
      </c>
      <c r="V2" s="1">
        <v>20</v>
      </c>
      <c r="W2" s="1">
        <v>21</v>
      </c>
      <c r="X2" s="1">
        <v>22</v>
      </c>
      <c r="Y2" s="1">
        <v>23</v>
      </c>
      <c r="Z2" s="1">
        <v>24</v>
      </c>
      <c r="AA2" s="1">
        <v>25</v>
      </c>
      <c r="AB2" s="1">
        <v>26</v>
      </c>
      <c r="AC2" s="1">
        <v>27</v>
      </c>
      <c r="AD2" s="1">
        <v>28</v>
      </c>
      <c r="AE2" s="1">
        <v>29</v>
      </c>
      <c r="AF2" s="1">
        <v>30</v>
      </c>
      <c r="AG2" s="1">
        <v>31</v>
      </c>
    </row>
    <row r="3" spans="1:34" x14ac:dyDescent="0.2">
      <c r="A3" t="s">
        <v>0</v>
      </c>
      <c r="B3" t="s">
        <v>29</v>
      </c>
      <c r="C3" s="2">
        <v>3</v>
      </c>
      <c r="D3" s="1">
        <v>2</v>
      </c>
      <c r="E3" s="1" t="s">
        <v>26</v>
      </c>
      <c r="F3" s="1" t="s">
        <v>26</v>
      </c>
      <c r="G3" s="1" t="s">
        <v>26</v>
      </c>
      <c r="H3" s="1" t="s">
        <v>26</v>
      </c>
      <c r="AH3" s="1">
        <f t="shared" ref="AH3:AH34" si="1">SUM(C3:AG3)</f>
        <v>5</v>
      </c>
    </row>
    <row r="4" spans="1:34" x14ac:dyDescent="0.2">
      <c r="A4" t="s">
        <v>1</v>
      </c>
      <c r="B4" t="s">
        <v>30</v>
      </c>
      <c r="C4" s="2"/>
      <c r="I4" s="1" t="s">
        <v>26</v>
      </c>
      <c r="J4" s="1" t="s">
        <v>26</v>
      </c>
      <c r="K4" s="1" t="s">
        <v>26</v>
      </c>
      <c r="L4" s="1" t="s">
        <v>26</v>
      </c>
      <c r="M4" s="1" t="s">
        <v>26</v>
      </c>
      <c r="N4" s="1" t="s">
        <v>26</v>
      </c>
      <c r="O4" s="1" t="s">
        <v>26</v>
      </c>
      <c r="P4" s="1" t="s">
        <v>26</v>
      </c>
      <c r="Q4" s="1" t="s">
        <v>26</v>
      </c>
      <c r="R4" s="1" t="s">
        <v>26</v>
      </c>
      <c r="S4" s="1" t="s">
        <v>26</v>
      </c>
      <c r="T4" s="1" t="s">
        <v>26</v>
      </c>
      <c r="AH4" s="1">
        <f t="shared" si="1"/>
        <v>0</v>
      </c>
    </row>
    <row r="5" spans="1:34" x14ac:dyDescent="0.2">
      <c r="A5" t="s">
        <v>2</v>
      </c>
      <c r="B5" t="s">
        <v>31</v>
      </c>
      <c r="C5" s="2"/>
      <c r="U5" s="2" t="s">
        <v>26</v>
      </c>
      <c r="V5" s="1" t="s">
        <v>26</v>
      </c>
      <c r="AH5" s="1">
        <f t="shared" si="1"/>
        <v>0</v>
      </c>
    </row>
    <row r="6" spans="1:34" x14ac:dyDescent="0.2">
      <c r="A6" t="s">
        <v>3</v>
      </c>
      <c r="B6" t="s">
        <v>32</v>
      </c>
      <c r="C6" s="2"/>
      <c r="U6" s="2"/>
      <c r="W6" s="2">
        <v>2</v>
      </c>
      <c r="X6" s="1">
        <v>2</v>
      </c>
      <c r="Y6" s="2"/>
      <c r="AH6" s="1">
        <f t="shared" si="1"/>
        <v>4</v>
      </c>
    </row>
    <row r="7" spans="1:34" x14ac:dyDescent="0.2">
      <c r="A7" t="s">
        <v>4</v>
      </c>
      <c r="B7" t="s">
        <v>33</v>
      </c>
      <c r="C7" s="2"/>
      <c r="U7" s="2"/>
      <c r="W7" s="2"/>
      <c r="Y7" s="2">
        <v>1</v>
      </c>
      <c r="Z7" s="1">
        <v>1</v>
      </c>
      <c r="AH7" s="1">
        <f t="shared" si="1"/>
        <v>2</v>
      </c>
    </row>
    <row r="8" spans="1:34" x14ac:dyDescent="0.2">
      <c r="A8" t="s">
        <v>5</v>
      </c>
      <c r="B8" t="s">
        <v>32</v>
      </c>
      <c r="C8" s="2"/>
      <c r="U8" s="2"/>
      <c r="W8" s="2"/>
      <c r="Y8" s="2"/>
      <c r="AA8" s="1" t="s">
        <v>26</v>
      </c>
      <c r="AH8" s="1">
        <f t="shared" si="1"/>
        <v>0</v>
      </c>
    </row>
    <row r="9" spans="1:34" x14ac:dyDescent="0.2">
      <c r="A9" t="s">
        <v>6</v>
      </c>
      <c r="B9" t="s">
        <v>34</v>
      </c>
      <c r="C9" s="2"/>
      <c r="U9" s="2"/>
      <c r="W9" s="2"/>
      <c r="Y9" s="2"/>
      <c r="AB9" s="2"/>
      <c r="AH9" s="1">
        <f t="shared" si="1"/>
        <v>0</v>
      </c>
    </row>
    <row r="10" spans="1:34" x14ac:dyDescent="0.2">
      <c r="A10" t="s">
        <v>7</v>
      </c>
      <c r="B10" t="s">
        <v>35</v>
      </c>
      <c r="C10" s="2"/>
      <c r="U10" s="2"/>
      <c r="W10" s="2"/>
      <c r="Y10" s="2"/>
      <c r="AB10" s="2" t="s">
        <v>26</v>
      </c>
      <c r="AH10" s="1">
        <f t="shared" si="1"/>
        <v>0</v>
      </c>
    </row>
    <row r="11" spans="1:34" x14ac:dyDescent="0.2">
      <c r="A11" t="s">
        <v>8</v>
      </c>
      <c r="B11" t="s">
        <v>36</v>
      </c>
      <c r="C11" s="2"/>
      <c r="U11" s="2"/>
      <c r="W11" s="2"/>
      <c r="Y11" s="2"/>
      <c r="AB11" s="2"/>
      <c r="AC11" s="2" t="s">
        <v>26</v>
      </c>
      <c r="AD11" s="1" t="s">
        <v>26</v>
      </c>
      <c r="AH11" s="1">
        <f t="shared" si="1"/>
        <v>0</v>
      </c>
    </row>
    <row r="12" spans="1:34" x14ac:dyDescent="0.2">
      <c r="A12" t="s">
        <v>9</v>
      </c>
      <c r="B12" t="s">
        <v>37</v>
      </c>
      <c r="C12" s="2"/>
      <c r="U12" s="2"/>
      <c r="W12" s="2"/>
      <c r="Y12" s="2"/>
      <c r="AB12" s="2"/>
      <c r="AC12" s="2"/>
      <c r="AE12" s="2">
        <v>10</v>
      </c>
      <c r="AF12" s="1">
        <v>20</v>
      </c>
      <c r="AH12" s="1">
        <f t="shared" si="1"/>
        <v>30</v>
      </c>
    </row>
    <row r="13" spans="1:34" x14ac:dyDescent="0.2">
      <c r="A13" t="s">
        <v>10</v>
      </c>
      <c r="B13" t="s">
        <v>37</v>
      </c>
      <c r="C13" s="2"/>
      <c r="U13" s="2"/>
      <c r="W13" s="2"/>
      <c r="Y13" s="2"/>
      <c r="AB13" s="2"/>
      <c r="AC13" s="2"/>
      <c r="AE13" s="2"/>
      <c r="AG13" s="1">
        <v>4</v>
      </c>
      <c r="AH13" s="1">
        <f t="shared" si="1"/>
        <v>4</v>
      </c>
    </row>
    <row r="14" spans="1:34" x14ac:dyDescent="0.2">
      <c r="A14" t="s">
        <v>11</v>
      </c>
      <c r="B14" t="s">
        <v>38</v>
      </c>
      <c r="C14" s="2"/>
      <c r="U14" s="2"/>
      <c r="W14" s="2"/>
      <c r="Y14" s="2"/>
      <c r="AB14" s="2"/>
      <c r="AC14" s="2"/>
      <c r="AE14" s="2"/>
      <c r="AG14" s="1" t="s">
        <v>26</v>
      </c>
      <c r="AH14" s="1">
        <f t="shared" si="1"/>
        <v>0</v>
      </c>
    </row>
    <row r="15" spans="1:34" x14ac:dyDescent="0.2">
      <c r="A15" t="s">
        <v>12</v>
      </c>
      <c r="B15" t="s">
        <v>34</v>
      </c>
      <c r="C15" s="2"/>
      <c r="U15" s="2"/>
      <c r="W15" s="2"/>
      <c r="Y15" s="2"/>
      <c r="AB15" s="2"/>
      <c r="AC15" s="2"/>
      <c r="AE15" s="2"/>
      <c r="AH15" s="1"/>
    </row>
    <row r="16" spans="1:34" x14ac:dyDescent="0.2">
      <c r="C16" s="2"/>
      <c r="U16" s="2"/>
      <c r="W16" s="2"/>
      <c r="Y16" s="2"/>
      <c r="AB16" s="2"/>
      <c r="AC16" s="2"/>
      <c r="AE16" s="2"/>
      <c r="AH16" s="1"/>
    </row>
    <row r="17" spans="1:34" x14ac:dyDescent="0.2">
      <c r="A17" t="s">
        <v>13</v>
      </c>
      <c r="B17" t="s">
        <v>34</v>
      </c>
      <c r="C17" s="2"/>
      <c r="J17" s="1">
        <v>1</v>
      </c>
      <c r="K17" s="1">
        <v>1</v>
      </c>
      <c r="L17" s="1">
        <v>1</v>
      </c>
      <c r="M17" s="2"/>
      <c r="O17" s="3"/>
      <c r="P17" s="3"/>
      <c r="U17" s="2"/>
      <c r="W17" s="2"/>
      <c r="Y17" s="2"/>
      <c r="AB17" s="2"/>
      <c r="AC17" s="2"/>
      <c r="AE17" s="2"/>
      <c r="AH17" s="1">
        <f t="shared" si="1"/>
        <v>3</v>
      </c>
    </row>
    <row r="18" spans="1:34" x14ac:dyDescent="0.2">
      <c r="C18" s="2"/>
      <c r="M18" s="2"/>
      <c r="O18" s="3"/>
      <c r="P18" s="3"/>
      <c r="W18" s="2"/>
      <c r="Y18" s="2"/>
      <c r="AB18" s="2"/>
      <c r="AC18" s="2"/>
      <c r="AE18" s="2"/>
      <c r="AH18" s="1"/>
    </row>
    <row r="19" spans="1:34" x14ac:dyDescent="0.2">
      <c r="A19" t="s">
        <v>14</v>
      </c>
      <c r="B19" t="s">
        <v>39</v>
      </c>
      <c r="C19" s="2"/>
      <c r="M19" s="2"/>
      <c r="O19" s="1">
        <v>3</v>
      </c>
      <c r="W19" s="2"/>
      <c r="Y19" s="2"/>
      <c r="AB19" s="2"/>
      <c r="AC19" s="2"/>
      <c r="AE19" s="2"/>
      <c r="AH19" s="1">
        <f t="shared" si="1"/>
        <v>3</v>
      </c>
    </row>
    <row r="20" spans="1:34" x14ac:dyDescent="0.2">
      <c r="A20" t="s">
        <v>15</v>
      </c>
      <c r="B20" t="s">
        <v>37</v>
      </c>
      <c r="C20" s="2"/>
      <c r="P20" s="1">
        <v>1</v>
      </c>
      <c r="Q20" s="1" t="s">
        <v>26</v>
      </c>
      <c r="R20" s="1" t="s">
        <v>26</v>
      </c>
      <c r="W20" s="2"/>
      <c r="Y20" s="2"/>
      <c r="AB20" s="2"/>
      <c r="AC20" s="2"/>
      <c r="AE20" s="2"/>
      <c r="AH20" s="1">
        <f t="shared" si="1"/>
        <v>1</v>
      </c>
    </row>
    <row r="21" spans="1:34" x14ac:dyDescent="0.2">
      <c r="A21" t="s">
        <v>16</v>
      </c>
      <c r="B21" t="s">
        <v>40</v>
      </c>
      <c r="C21" s="2"/>
      <c r="S21" s="1">
        <v>3</v>
      </c>
      <c r="W21" s="2"/>
      <c r="Y21" s="2"/>
      <c r="AB21" s="2"/>
      <c r="AC21" s="2"/>
      <c r="AE21" s="2"/>
      <c r="AH21" s="1">
        <f t="shared" si="1"/>
        <v>3</v>
      </c>
    </row>
    <row r="22" spans="1:34" x14ac:dyDescent="0.2">
      <c r="A22" t="s">
        <v>17</v>
      </c>
      <c r="B22" t="s">
        <v>39</v>
      </c>
      <c r="C22" s="2"/>
      <c r="T22" s="2"/>
      <c r="AB22" s="2"/>
      <c r="AC22" s="2"/>
      <c r="AE22" s="2"/>
      <c r="AH22" s="1">
        <f t="shared" si="1"/>
        <v>0</v>
      </c>
    </row>
    <row r="23" spans="1:34" x14ac:dyDescent="0.2">
      <c r="A23" t="s">
        <v>25</v>
      </c>
      <c r="B23" t="s">
        <v>37</v>
      </c>
      <c r="C23" s="2"/>
      <c r="Q23" s="1">
        <v>1</v>
      </c>
      <c r="T23" s="2"/>
      <c r="AB23" s="2"/>
      <c r="AC23" s="2"/>
      <c r="AE23" s="2"/>
      <c r="AH23" s="1">
        <f t="shared" si="1"/>
        <v>1</v>
      </c>
    </row>
    <row r="24" spans="1:34" x14ac:dyDescent="0.2">
      <c r="A24" t="s">
        <v>18</v>
      </c>
      <c r="B24" t="s">
        <v>40</v>
      </c>
      <c r="C24" s="2"/>
      <c r="T24" s="1" t="s">
        <v>26</v>
      </c>
      <c r="U24" s="1" t="s">
        <v>26</v>
      </c>
      <c r="V24" s="1" t="s">
        <v>26</v>
      </c>
      <c r="W24" s="1" t="s">
        <v>26</v>
      </c>
      <c r="X24" s="1" t="s">
        <v>26</v>
      </c>
      <c r="Y24" s="1" t="s">
        <v>26</v>
      </c>
      <c r="AB24" s="2"/>
      <c r="AC24" s="2"/>
      <c r="AE24" s="2"/>
      <c r="AH24" s="1">
        <f t="shared" si="1"/>
        <v>0</v>
      </c>
    </row>
    <row r="25" spans="1:34" x14ac:dyDescent="0.2">
      <c r="C25" s="2"/>
      <c r="AB25" s="2"/>
      <c r="AC25" s="2"/>
      <c r="AE25" s="2"/>
      <c r="AH25" s="1"/>
    </row>
    <row r="26" spans="1:34" x14ac:dyDescent="0.2">
      <c r="A26" t="s">
        <v>19</v>
      </c>
      <c r="B26" t="s">
        <v>41</v>
      </c>
      <c r="C26" s="2"/>
      <c r="R26" s="1">
        <v>6</v>
      </c>
      <c r="W26" s="2"/>
      <c r="Y26" s="2"/>
      <c r="AB26" s="2"/>
      <c r="AC26" s="2"/>
      <c r="AE26" s="2"/>
      <c r="AH26" s="1">
        <f t="shared" si="1"/>
        <v>6</v>
      </c>
    </row>
    <row r="27" spans="1:34" x14ac:dyDescent="0.2">
      <c r="A27" t="s">
        <v>20</v>
      </c>
      <c r="B27" t="s">
        <v>42</v>
      </c>
      <c r="C27" s="2"/>
      <c r="T27" s="1">
        <v>5</v>
      </c>
      <c r="U27" s="1">
        <v>5</v>
      </c>
      <c r="W27" s="2"/>
      <c r="Y27" s="2"/>
      <c r="AB27" s="2"/>
      <c r="AC27" s="2"/>
      <c r="AE27" s="2"/>
      <c r="AH27" s="1">
        <f t="shared" si="1"/>
        <v>10</v>
      </c>
    </row>
    <row r="28" spans="1:34" x14ac:dyDescent="0.2">
      <c r="Y28" s="2"/>
      <c r="AB28" s="2"/>
      <c r="AC28" s="2"/>
      <c r="AE28" s="2"/>
      <c r="AH28" s="1"/>
    </row>
    <row r="29" spans="1:34" x14ac:dyDescent="0.2">
      <c r="A29" t="s">
        <v>21</v>
      </c>
      <c r="B29" t="s">
        <v>32</v>
      </c>
      <c r="F29" s="1" t="s">
        <v>26</v>
      </c>
      <c r="G29" s="1" t="s">
        <v>26</v>
      </c>
      <c r="H29" s="1" t="s">
        <v>26</v>
      </c>
      <c r="I29" s="1" t="s">
        <v>26</v>
      </c>
      <c r="Y29" s="2"/>
      <c r="AB29" s="2"/>
      <c r="AC29" s="2"/>
      <c r="AE29" s="2"/>
      <c r="AH29" s="1">
        <f t="shared" si="1"/>
        <v>0</v>
      </c>
    </row>
    <row r="30" spans="1:34" x14ac:dyDescent="0.2">
      <c r="Y30" s="2"/>
      <c r="AE30" s="2"/>
      <c r="AH30" s="1"/>
    </row>
    <row r="31" spans="1:34" x14ac:dyDescent="0.2">
      <c r="A31" t="s">
        <v>22</v>
      </c>
      <c r="B31" t="s">
        <v>34</v>
      </c>
      <c r="Y31" s="2"/>
      <c r="AB31" s="1">
        <v>8</v>
      </c>
      <c r="AE31" s="2"/>
      <c r="AH31" s="1">
        <f t="shared" si="1"/>
        <v>8</v>
      </c>
    </row>
    <row r="32" spans="1:34" x14ac:dyDescent="0.2">
      <c r="A32" t="s">
        <v>23</v>
      </c>
      <c r="B32" t="s">
        <v>33</v>
      </c>
      <c r="AD32" s="2"/>
      <c r="AE32" s="2"/>
      <c r="AH32" s="1">
        <f t="shared" si="1"/>
        <v>0</v>
      </c>
    </row>
    <row r="33" spans="1:34" x14ac:dyDescent="0.2">
      <c r="AC33" s="2"/>
      <c r="AH33" s="1"/>
    </row>
    <row r="34" spans="1:34" x14ac:dyDescent="0.2">
      <c r="A34" t="s">
        <v>24</v>
      </c>
      <c r="B34" t="s">
        <v>33</v>
      </c>
      <c r="AC34" s="2"/>
      <c r="AE34" s="1" t="s">
        <v>26</v>
      </c>
      <c r="AF34" s="1" t="s">
        <v>26</v>
      </c>
      <c r="AH34" s="1">
        <f t="shared" si="1"/>
        <v>0</v>
      </c>
    </row>
    <row r="35" spans="1:34" x14ac:dyDescent="0.2">
      <c r="AH35" s="1"/>
    </row>
    <row r="36" spans="1:34" x14ac:dyDescent="0.2">
      <c r="A36" t="s">
        <v>27</v>
      </c>
      <c r="C36" s="1">
        <f>SUM(C3:C35)</f>
        <v>3</v>
      </c>
      <c r="D36" s="1">
        <f t="shared" ref="D36:AG36" si="2">SUM(D3:D35)</f>
        <v>2</v>
      </c>
      <c r="E36" s="1">
        <f t="shared" si="2"/>
        <v>0</v>
      </c>
      <c r="F36" s="1">
        <f t="shared" si="2"/>
        <v>0</v>
      </c>
      <c r="G36" s="1">
        <f t="shared" si="2"/>
        <v>0</v>
      </c>
      <c r="H36" s="1">
        <f t="shared" si="2"/>
        <v>0</v>
      </c>
      <c r="I36" s="1">
        <f t="shared" si="2"/>
        <v>0</v>
      </c>
      <c r="J36" s="1">
        <f t="shared" si="2"/>
        <v>1</v>
      </c>
      <c r="K36" s="1">
        <f t="shared" si="2"/>
        <v>1</v>
      </c>
      <c r="L36" s="1">
        <f t="shared" si="2"/>
        <v>1</v>
      </c>
      <c r="M36" s="1">
        <f t="shared" si="2"/>
        <v>0</v>
      </c>
      <c r="N36" s="1">
        <f t="shared" si="2"/>
        <v>0</v>
      </c>
      <c r="O36" s="1">
        <f t="shared" si="2"/>
        <v>3</v>
      </c>
      <c r="P36" s="1">
        <f t="shared" si="2"/>
        <v>1</v>
      </c>
      <c r="Q36" s="1">
        <f t="shared" si="2"/>
        <v>1</v>
      </c>
      <c r="R36" s="1">
        <f t="shared" si="2"/>
        <v>6</v>
      </c>
      <c r="S36" s="1">
        <f t="shared" si="2"/>
        <v>3</v>
      </c>
      <c r="T36" s="1">
        <f t="shared" si="2"/>
        <v>5</v>
      </c>
      <c r="U36" s="1">
        <f t="shared" si="2"/>
        <v>5</v>
      </c>
      <c r="V36" s="1">
        <f t="shared" si="2"/>
        <v>0</v>
      </c>
      <c r="W36" s="1">
        <f t="shared" si="2"/>
        <v>2</v>
      </c>
      <c r="X36" s="1">
        <f t="shared" si="2"/>
        <v>2</v>
      </c>
      <c r="Y36" s="1">
        <f t="shared" si="2"/>
        <v>1</v>
      </c>
      <c r="Z36" s="1">
        <f t="shared" si="2"/>
        <v>1</v>
      </c>
      <c r="AA36" s="1">
        <f t="shared" si="2"/>
        <v>0</v>
      </c>
      <c r="AB36" s="1">
        <f t="shared" si="2"/>
        <v>8</v>
      </c>
      <c r="AC36" s="1">
        <f t="shared" si="2"/>
        <v>0</v>
      </c>
      <c r="AD36" s="1">
        <f t="shared" si="2"/>
        <v>0</v>
      </c>
      <c r="AE36" s="1">
        <f t="shared" si="2"/>
        <v>10</v>
      </c>
      <c r="AF36" s="1">
        <f t="shared" si="2"/>
        <v>20</v>
      </c>
      <c r="AG36" s="1">
        <f t="shared" si="2"/>
        <v>4</v>
      </c>
      <c r="AH36" s="1">
        <f>SUM(C36:AG36)</f>
        <v>80</v>
      </c>
    </row>
  </sheetData>
  <conditionalFormatting sqref="C3:AG15">
    <cfRule type="cellIs" dxfId="5" priority="3" operator="greaterThan">
      <formula>0</formula>
    </cfRule>
  </conditionalFormatting>
  <conditionalFormatting sqref="C17:L19 C20:N24 P17:AG18 AB19:AG24 O19:Y24 C25:AG33">
    <cfRule type="cellIs" dxfId="4" priority="2" operator="greaterThan">
      <formula>0</formula>
    </cfRule>
  </conditionalFormatting>
  <conditionalFormatting sqref="AE34:AF34">
    <cfRule type="cellIs" dxfId="3" priority="1" operator="greaterThan">
      <formula>0</formula>
    </cfRule>
  </conditionalFormatting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33076-5DED-C744-9C71-2639CB8C865F}">
  <dimension ref="A1:AH36"/>
  <sheetViews>
    <sheetView tabSelected="1" topLeftCell="A16" zoomScaleNormal="100" workbookViewId="0">
      <selection activeCell="AI31" sqref="AI31"/>
    </sheetView>
  </sheetViews>
  <sheetFormatPr baseColWidth="10" defaultRowHeight="16" x14ac:dyDescent="0.2"/>
  <cols>
    <col min="1" max="1" width="18.1640625" customWidth="1"/>
    <col min="2" max="2" width="9.5" customWidth="1"/>
    <col min="3" max="19" width="4" style="1" customWidth="1"/>
    <col min="20" max="20" width="5.33203125" style="1" customWidth="1"/>
    <col min="21" max="27" width="4" style="1" customWidth="1"/>
    <col min="28" max="28" width="5.33203125" style="1" customWidth="1"/>
    <col min="29" max="30" width="4" style="1" customWidth="1"/>
    <col min="31" max="31" width="5" style="1" customWidth="1"/>
    <col min="32" max="32" width="4" style="1" customWidth="1"/>
    <col min="33" max="33" width="4.83203125" style="1" customWidth="1"/>
  </cols>
  <sheetData>
    <row r="1" spans="1:34" ht="60" x14ac:dyDescent="0.2">
      <c r="B1" t="s">
        <v>28</v>
      </c>
      <c r="C1" s="5">
        <v>44197</v>
      </c>
      <c r="D1" s="5">
        <f>C1+7</f>
        <v>44204</v>
      </c>
      <c r="E1" s="5">
        <f t="shared" ref="E1:AG1" si="0">D1+7</f>
        <v>44211</v>
      </c>
      <c r="F1" s="5">
        <f t="shared" si="0"/>
        <v>44218</v>
      </c>
      <c r="G1" s="5">
        <f t="shared" si="0"/>
        <v>44225</v>
      </c>
      <c r="H1" s="5">
        <f t="shared" si="0"/>
        <v>44232</v>
      </c>
      <c r="I1" s="5">
        <f t="shared" si="0"/>
        <v>44239</v>
      </c>
      <c r="J1" s="5">
        <f t="shared" si="0"/>
        <v>44246</v>
      </c>
      <c r="K1" s="5">
        <f t="shared" si="0"/>
        <v>44253</v>
      </c>
      <c r="L1" s="5">
        <f t="shared" si="0"/>
        <v>44260</v>
      </c>
      <c r="M1" s="5">
        <f t="shared" si="0"/>
        <v>44267</v>
      </c>
      <c r="N1" s="5">
        <f t="shared" si="0"/>
        <v>44274</v>
      </c>
      <c r="O1" s="5">
        <f t="shared" si="0"/>
        <v>44281</v>
      </c>
      <c r="P1" s="5">
        <f t="shared" si="0"/>
        <v>44288</v>
      </c>
      <c r="Q1" s="5">
        <f t="shared" si="0"/>
        <v>44295</v>
      </c>
      <c r="R1" s="5">
        <f t="shared" si="0"/>
        <v>44302</v>
      </c>
      <c r="S1" s="5">
        <f t="shared" si="0"/>
        <v>44309</v>
      </c>
      <c r="T1" s="5">
        <f t="shared" si="0"/>
        <v>44316</v>
      </c>
      <c r="U1" s="5">
        <f t="shared" si="0"/>
        <v>44323</v>
      </c>
      <c r="V1" s="5">
        <f t="shared" si="0"/>
        <v>44330</v>
      </c>
      <c r="W1" s="5">
        <f t="shared" si="0"/>
        <v>44337</v>
      </c>
      <c r="X1" s="5">
        <f t="shared" si="0"/>
        <v>44344</v>
      </c>
      <c r="Y1" s="5">
        <f t="shared" si="0"/>
        <v>44351</v>
      </c>
      <c r="Z1" s="5">
        <f t="shared" si="0"/>
        <v>44358</v>
      </c>
      <c r="AA1" s="5">
        <f t="shared" si="0"/>
        <v>44365</v>
      </c>
      <c r="AB1" s="5">
        <f t="shared" si="0"/>
        <v>44372</v>
      </c>
      <c r="AC1" s="5">
        <f t="shared" si="0"/>
        <v>44379</v>
      </c>
      <c r="AD1" s="5">
        <f t="shared" si="0"/>
        <v>44386</v>
      </c>
      <c r="AE1" s="5">
        <f t="shared" si="0"/>
        <v>44393</v>
      </c>
      <c r="AF1" s="5">
        <f t="shared" si="0"/>
        <v>44400</v>
      </c>
      <c r="AG1" s="5">
        <f t="shared" si="0"/>
        <v>44407</v>
      </c>
    </row>
    <row r="2" spans="1:34" x14ac:dyDescent="0.2"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9</v>
      </c>
      <c r="L2" s="1">
        <v>10</v>
      </c>
      <c r="M2" s="1">
        <v>11</v>
      </c>
      <c r="N2" s="1">
        <v>12</v>
      </c>
      <c r="O2" s="1">
        <v>13</v>
      </c>
      <c r="P2" s="1">
        <v>14</v>
      </c>
      <c r="Q2" s="1">
        <v>15</v>
      </c>
      <c r="R2" s="1">
        <v>16</v>
      </c>
      <c r="S2" s="1">
        <v>17</v>
      </c>
      <c r="T2" s="1">
        <v>18</v>
      </c>
      <c r="U2" s="1">
        <v>19</v>
      </c>
      <c r="V2" s="1">
        <v>20</v>
      </c>
      <c r="W2" s="1">
        <v>21</v>
      </c>
      <c r="X2" s="1">
        <v>22</v>
      </c>
      <c r="Y2" s="1">
        <v>23</v>
      </c>
      <c r="Z2" s="1">
        <v>24</v>
      </c>
      <c r="AA2" s="1">
        <v>25</v>
      </c>
      <c r="AB2" s="1">
        <v>26</v>
      </c>
      <c r="AC2" s="1">
        <v>27</v>
      </c>
      <c r="AD2" s="1">
        <v>28</v>
      </c>
      <c r="AE2" s="1">
        <v>29</v>
      </c>
      <c r="AF2" s="1">
        <v>30</v>
      </c>
      <c r="AG2" s="1">
        <v>31</v>
      </c>
    </row>
    <row r="3" spans="1:34" x14ac:dyDescent="0.2">
      <c r="A3" t="s">
        <v>0</v>
      </c>
      <c r="B3" t="s">
        <v>29</v>
      </c>
      <c r="C3" s="2">
        <v>150</v>
      </c>
      <c r="D3" s="1">
        <v>100</v>
      </c>
      <c r="E3" s="1" t="s">
        <v>26</v>
      </c>
      <c r="F3" s="1" t="s">
        <v>26</v>
      </c>
      <c r="G3" s="1" t="s">
        <v>26</v>
      </c>
      <c r="H3" s="1" t="s">
        <v>26</v>
      </c>
      <c r="AH3" s="1">
        <f t="shared" ref="AH3:AH34" si="1">SUM(C3:AG3)</f>
        <v>250</v>
      </c>
    </row>
    <row r="4" spans="1:34" x14ac:dyDescent="0.2">
      <c r="A4" t="s">
        <v>1</v>
      </c>
      <c r="B4" t="s">
        <v>30</v>
      </c>
      <c r="C4" s="2"/>
      <c r="I4" s="1" t="s">
        <v>26</v>
      </c>
      <c r="J4" s="1" t="s">
        <v>26</v>
      </c>
      <c r="K4" s="1" t="s">
        <v>26</v>
      </c>
      <c r="L4" s="1" t="s">
        <v>26</v>
      </c>
      <c r="M4" s="1" t="s">
        <v>26</v>
      </c>
      <c r="N4" s="1" t="s">
        <v>26</v>
      </c>
      <c r="O4" s="1" t="s">
        <v>26</v>
      </c>
      <c r="P4" s="1" t="s">
        <v>26</v>
      </c>
      <c r="Q4" s="1" t="s">
        <v>26</v>
      </c>
      <c r="R4" s="1" t="s">
        <v>26</v>
      </c>
      <c r="S4" s="1" t="s">
        <v>26</v>
      </c>
      <c r="T4" s="1" t="s">
        <v>26</v>
      </c>
      <c r="AH4" s="1">
        <f t="shared" si="1"/>
        <v>0</v>
      </c>
    </row>
    <row r="5" spans="1:34" x14ac:dyDescent="0.2">
      <c r="A5" t="s">
        <v>2</v>
      </c>
      <c r="B5" t="s">
        <v>31</v>
      </c>
      <c r="C5" s="2"/>
      <c r="U5" s="2">
        <v>150</v>
      </c>
      <c r="V5" s="1" t="s">
        <v>26</v>
      </c>
      <c r="AH5" s="1">
        <f t="shared" si="1"/>
        <v>150</v>
      </c>
    </row>
    <row r="6" spans="1:34" x14ac:dyDescent="0.2">
      <c r="A6" t="s">
        <v>3</v>
      </c>
      <c r="B6" t="s">
        <v>32</v>
      </c>
      <c r="C6" s="2"/>
      <c r="U6" s="2"/>
      <c r="W6" s="2">
        <v>100</v>
      </c>
      <c r="X6" s="1">
        <v>100</v>
      </c>
      <c r="Y6" s="2"/>
      <c r="AH6" s="1">
        <f t="shared" si="1"/>
        <v>200</v>
      </c>
    </row>
    <row r="7" spans="1:34" x14ac:dyDescent="0.2">
      <c r="A7" t="s">
        <v>4</v>
      </c>
      <c r="B7" t="s">
        <v>33</v>
      </c>
      <c r="C7" s="2"/>
      <c r="U7" s="2"/>
      <c r="W7" s="2"/>
      <c r="Y7" s="2">
        <v>500</v>
      </c>
      <c r="Z7" s="1">
        <v>200</v>
      </c>
      <c r="AH7" s="1">
        <f t="shared" si="1"/>
        <v>700</v>
      </c>
    </row>
    <row r="8" spans="1:34" x14ac:dyDescent="0.2">
      <c r="A8" t="s">
        <v>5</v>
      </c>
      <c r="B8" t="s">
        <v>32</v>
      </c>
      <c r="C8" s="2"/>
      <c r="U8" s="2"/>
      <c r="W8" s="2"/>
      <c r="Y8" s="2"/>
      <c r="AA8" s="1">
        <v>100</v>
      </c>
      <c r="AH8" s="1">
        <f t="shared" si="1"/>
        <v>100</v>
      </c>
    </row>
    <row r="9" spans="1:34" x14ac:dyDescent="0.2">
      <c r="A9" t="s">
        <v>6</v>
      </c>
      <c r="B9" t="s">
        <v>34</v>
      </c>
      <c r="C9" s="2"/>
      <c r="U9" s="2"/>
      <c r="W9" s="2"/>
      <c r="Y9" s="2"/>
      <c r="AB9" s="2"/>
      <c r="AH9" s="1">
        <f t="shared" si="1"/>
        <v>0</v>
      </c>
    </row>
    <row r="10" spans="1:34" x14ac:dyDescent="0.2">
      <c r="A10" t="s">
        <v>7</v>
      </c>
      <c r="B10" t="s">
        <v>35</v>
      </c>
      <c r="C10" s="2"/>
      <c r="U10" s="2"/>
      <c r="W10" s="2"/>
      <c r="Y10" s="2"/>
      <c r="AB10" s="2">
        <v>500</v>
      </c>
      <c r="AH10" s="1">
        <f t="shared" si="1"/>
        <v>500</v>
      </c>
    </row>
    <row r="11" spans="1:34" x14ac:dyDescent="0.2">
      <c r="A11" t="s">
        <v>8</v>
      </c>
      <c r="B11" t="s">
        <v>36</v>
      </c>
      <c r="C11" s="2"/>
      <c r="U11" s="2"/>
      <c r="W11" s="2"/>
      <c r="Y11" s="2"/>
      <c r="AB11" s="2"/>
      <c r="AC11" s="2">
        <v>150</v>
      </c>
      <c r="AD11" s="1">
        <v>100</v>
      </c>
      <c r="AH11" s="1">
        <f t="shared" si="1"/>
        <v>250</v>
      </c>
    </row>
    <row r="12" spans="1:34" x14ac:dyDescent="0.2">
      <c r="A12" t="s">
        <v>9</v>
      </c>
      <c r="B12" t="s">
        <v>37</v>
      </c>
      <c r="C12" s="2"/>
      <c r="U12" s="2"/>
      <c r="W12" s="2"/>
      <c r="Y12" s="2"/>
      <c r="AB12" s="2"/>
      <c r="AC12" s="2"/>
      <c r="AE12" s="2">
        <v>4000</v>
      </c>
      <c r="AF12" s="1">
        <v>500</v>
      </c>
      <c r="AH12" s="1">
        <f t="shared" si="1"/>
        <v>4500</v>
      </c>
    </row>
    <row r="13" spans="1:34" x14ac:dyDescent="0.2">
      <c r="A13" t="s">
        <v>10</v>
      </c>
      <c r="B13" t="s">
        <v>37</v>
      </c>
      <c r="C13" s="2"/>
      <c r="U13" s="2"/>
      <c r="W13" s="2"/>
      <c r="Y13" s="2"/>
      <c r="AB13" s="2"/>
      <c r="AC13" s="2"/>
      <c r="AE13" s="2"/>
      <c r="AG13" s="1">
        <v>2200</v>
      </c>
      <c r="AH13" s="1">
        <f t="shared" si="1"/>
        <v>2200</v>
      </c>
    </row>
    <row r="14" spans="1:34" x14ac:dyDescent="0.2">
      <c r="A14" t="s">
        <v>11</v>
      </c>
      <c r="B14" t="s">
        <v>38</v>
      </c>
      <c r="C14" s="2"/>
      <c r="U14" s="2"/>
      <c r="W14" s="2"/>
      <c r="Y14" s="2"/>
      <c r="AB14" s="2"/>
      <c r="AC14" s="2"/>
      <c r="AE14" s="2"/>
      <c r="AG14" s="1">
        <v>300</v>
      </c>
      <c r="AH14" s="1">
        <f t="shared" si="1"/>
        <v>300</v>
      </c>
    </row>
    <row r="15" spans="1:34" x14ac:dyDescent="0.2">
      <c r="A15" t="s">
        <v>12</v>
      </c>
      <c r="B15" t="s">
        <v>34</v>
      </c>
      <c r="C15" s="2"/>
      <c r="U15" s="2"/>
      <c r="W15" s="2"/>
      <c r="Y15" s="2"/>
      <c r="AB15" s="2"/>
      <c r="AC15" s="2"/>
      <c r="AE15" s="2"/>
      <c r="AH15" s="1"/>
    </row>
    <row r="16" spans="1:34" x14ac:dyDescent="0.2">
      <c r="C16" s="2"/>
      <c r="U16" s="2"/>
      <c r="W16" s="2"/>
      <c r="Y16" s="2"/>
      <c r="AB16" s="2"/>
      <c r="AC16" s="2"/>
      <c r="AE16" s="2"/>
      <c r="AH16" s="1"/>
    </row>
    <row r="17" spans="1:34" x14ac:dyDescent="0.2">
      <c r="A17" t="s">
        <v>13</v>
      </c>
      <c r="B17" t="s">
        <v>34</v>
      </c>
      <c r="C17" s="2"/>
      <c r="J17" s="1">
        <v>50</v>
      </c>
      <c r="K17" s="1">
        <v>50</v>
      </c>
      <c r="L17" s="1">
        <v>50</v>
      </c>
      <c r="M17" s="2"/>
      <c r="O17" s="3"/>
      <c r="P17" s="3"/>
      <c r="U17" s="2"/>
      <c r="W17" s="2"/>
      <c r="Y17" s="2"/>
      <c r="AB17" s="2"/>
      <c r="AC17" s="2"/>
      <c r="AE17" s="2"/>
      <c r="AH17" s="1">
        <f t="shared" si="1"/>
        <v>150</v>
      </c>
    </row>
    <row r="18" spans="1:34" x14ac:dyDescent="0.2">
      <c r="C18" s="2"/>
      <c r="M18" s="2"/>
      <c r="O18" s="3"/>
      <c r="P18" s="3"/>
      <c r="W18" s="2"/>
      <c r="Y18" s="2"/>
      <c r="AB18" s="2"/>
      <c r="AC18" s="2"/>
      <c r="AE18" s="2"/>
      <c r="AH18" s="1"/>
    </row>
    <row r="19" spans="1:34" x14ac:dyDescent="0.2">
      <c r="A19" t="s">
        <v>14</v>
      </c>
      <c r="B19" t="s">
        <v>39</v>
      </c>
      <c r="C19" s="2"/>
      <c r="M19" s="2"/>
      <c r="O19" s="1">
        <v>150</v>
      </c>
      <c r="W19" s="2"/>
      <c r="Y19" s="2"/>
      <c r="AB19" s="2"/>
      <c r="AC19" s="2"/>
      <c r="AE19" s="2"/>
      <c r="AH19" s="1">
        <f t="shared" si="1"/>
        <v>150</v>
      </c>
    </row>
    <row r="20" spans="1:34" x14ac:dyDescent="0.2">
      <c r="A20" t="s">
        <v>15</v>
      </c>
      <c r="B20" t="s">
        <v>37</v>
      </c>
      <c r="C20" s="2"/>
      <c r="P20" s="1">
        <v>50</v>
      </c>
      <c r="Q20" s="1" t="s">
        <v>26</v>
      </c>
      <c r="R20" s="1" t="s">
        <v>26</v>
      </c>
      <c r="W20" s="2"/>
      <c r="Y20" s="2"/>
      <c r="AB20" s="2"/>
      <c r="AC20" s="2"/>
      <c r="AE20" s="2"/>
      <c r="AH20" s="1">
        <f t="shared" si="1"/>
        <v>50</v>
      </c>
    </row>
    <row r="21" spans="1:34" x14ac:dyDescent="0.2">
      <c r="A21" t="s">
        <v>16</v>
      </c>
      <c r="B21" t="s">
        <v>40</v>
      </c>
      <c r="C21" s="2"/>
      <c r="S21" s="1">
        <v>150</v>
      </c>
      <c r="W21" s="2"/>
      <c r="Y21" s="2"/>
      <c r="AB21" s="2"/>
      <c r="AC21" s="2"/>
      <c r="AE21" s="2"/>
      <c r="AH21" s="1">
        <f t="shared" si="1"/>
        <v>150</v>
      </c>
    </row>
    <row r="22" spans="1:34" x14ac:dyDescent="0.2">
      <c r="A22" t="s">
        <v>17</v>
      </c>
      <c r="B22" t="s">
        <v>39</v>
      </c>
      <c r="C22" s="2"/>
      <c r="T22" s="2">
        <v>4000</v>
      </c>
      <c r="AB22" s="2">
        <v>4000</v>
      </c>
      <c r="AC22" s="2"/>
      <c r="AE22" s="2"/>
      <c r="AH22" s="1">
        <f t="shared" si="1"/>
        <v>8000</v>
      </c>
    </row>
    <row r="23" spans="1:34" x14ac:dyDescent="0.2">
      <c r="A23" t="s">
        <v>25</v>
      </c>
      <c r="B23" t="s">
        <v>37</v>
      </c>
      <c r="C23" s="2"/>
      <c r="Q23" s="1">
        <v>50</v>
      </c>
      <c r="T23" s="2"/>
      <c r="AB23" s="2"/>
      <c r="AC23" s="2"/>
      <c r="AE23" s="2"/>
      <c r="AH23" s="1">
        <f t="shared" si="1"/>
        <v>50</v>
      </c>
    </row>
    <row r="24" spans="1:34" x14ac:dyDescent="0.2">
      <c r="A24" t="s">
        <v>18</v>
      </c>
      <c r="B24" t="s">
        <v>40</v>
      </c>
      <c r="C24" s="2"/>
      <c r="T24" s="1" t="s">
        <v>26</v>
      </c>
      <c r="U24" s="1" t="s">
        <v>26</v>
      </c>
      <c r="V24" s="1" t="s">
        <v>26</v>
      </c>
      <c r="W24" s="1" t="s">
        <v>26</v>
      </c>
      <c r="X24" s="1" t="s">
        <v>26</v>
      </c>
      <c r="Y24" s="1" t="s">
        <v>26</v>
      </c>
      <c r="AB24" s="2"/>
      <c r="AC24" s="2"/>
      <c r="AE24" s="2"/>
      <c r="AH24" s="1">
        <f t="shared" si="1"/>
        <v>0</v>
      </c>
    </row>
    <row r="25" spans="1:34" x14ac:dyDescent="0.2">
      <c r="C25" s="2"/>
      <c r="AB25" s="2"/>
      <c r="AC25" s="2"/>
      <c r="AE25" s="2"/>
      <c r="AH25" s="1"/>
    </row>
    <row r="26" spans="1:34" x14ac:dyDescent="0.2">
      <c r="A26" t="s">
        <v>19</v>
      </c>
      <c r="B26" t="s">
        <v>41</v>
      </c>
      <c r="C26" s="2"/>
      <c r="R26" s="1">
        <v>300</v>
      </c>
      <c r="W26" s="2"/>
      <c r="Y26" s="2"/>
      <c r="AB26" s="2"/>
      <c r="AC26" s="2"/>
      <c r="AE26" s="2"/>
      <c r="AH26" s="1">
        <f t="shared" si="1"/>
        <v>300</v>
      </c>
    </row>
    <row r="27" spans="1:34" x14ac:dyDescent="0.2">
      <c r="A27" t="s">
        <v>20</v>
      </c>
      <c r="B27" t="s">
        <v>42</v>
      </c>
      <c r="C27" s="2"/>
      <c r="T27" s="1">
        <v>250</v>
      </c>
      <c r="U27" s="1">
        <v>250</v>
      </c>
      <c r="W27" s="2"/>
      <c r="Y27" s="2"/>
      <c r="AB27" s="2"/>
      <c r="AC27" s="2"/>
      <c r="AE27" s="2"/>
      <c r="AH27" s="1">
        <f t="shared" si="1"/>
        <v>500</v>
      </c>
    </row>
    <row r="28" spans="1:34" x14ac:dyDescent="0.2">
      <c r="Y28" s="2"/>
      <c r="AB28" s="2"/>
      <c r="AC28" s="2"/>
      <c r="AE28" s="2"/>
      <c r="AH28" s="1"/>
    </row>
    <row r="29" spans="1:34" x14ac:dyDescent="0.2">
      <c r="A29" t="s">
        <v>21</v>
      </c>
      <c r="B29" t="s">
        <v>32</v>
      </c>
      <c r="F29" s="1">
        <v>75</v>
      </c>
      <c r="G29" s="1">
        <v>75</v>
      </c>
      <c r="H29" s="1">
        <v>75</v>
      </c>
      <c r="I29" s="1">
        <v>75</v>
      </c>
      <c r="Y29" s="2"/>
      <c r="AB29" s="2"/>
      <c r="AC29" s="2"/>
      <c r="AE29" s="2"/>
      <c r="AH29" s="1">
        <f t="shared" si="1"/>
        <v>300</v>
      </c>
    </row>
    <row r="30" spans="1:34" x14ac:dyDescent="0.2">
      <c r="Y30" s="2"/>
      <c r="AE30" s="2"/>
      <c r="AH30" s="1"/>
    </row>
    <row r="31" spans="1:34" x14ac:dyDescent="0.2">
      <c r="A31" t="s">
        <v>22</v>
      </c>
      <c r="B31" t="s">
        <v>34</v>
      </c>
      <c r="Y31" s="2"/>
      <c r="AB31" s="1">
        <v>400</v>
      </c>
      <c r="AE31" s="2"/>
      <c r="AH31" s="1">
        <f t="shared" si="1"/>
        <v>400</v>
      </c>
    </row>
    <row r="32" spans="1:34" x14ac:dyDescent="0.2">
      <c r="A32" t="s">
        <v>23</v>
      </c>
      <c r="B32" t="s">
        <v>33</v>
      </c>
      <c r="AD32" s="2">
        <v>150</v>
      </c>
      <c r="AE32" s="2"/>
      <c r="AH32" s="1">
        <f t="shared" si="1"/>
        <v>150</v>
      </c>
    </row>
    <row r="33" spans="1:34" x14ac:dyDescent="0.2">
      <c r="AC33" s="2"/>
      <c r="AH33" s="1"/>
    </row>
    <row r="34" spans="1:34" x14ac:dyDescent="0.2">
      <c r="A34" t="s">
        <v>24</v>
      </c>
      <c r="B34" t="s">
        <v>33</v>
      </c>
      <c r="AC34" s="2"/>
      <c r="AE34" s="1">
        <v>150</v>
      </c>
      <c r="AF34" s="1">
        <v>100</v>
      </c>
      <c r="AH34" s="1">
        <f t="shared" si="1"/>
        <v>250</v>
      </c>
    </row>
    <row r="35" spans="1:34" x14ac:dyDescent="0.2">
      <c r="AH35" s="1"/>
    </row>
    <row r="36" spans="1:34" x14ac:dyDescent="0.2">
      <c r="A36" t="s">
        <v>27</v>
      </c>
      <c r="C36" s="1">
        <f>SUM(C3:C35)</f>
        <v>150</v>
      </c>
      <c r="D36" s="1">
        <f t="shared" ref="D36:AG36" si="2">SUM(D3:D35)</f>
        <v>100</v>
      </c>
      <c r="E36" s="1">
        <f t="shared" si="2"/>
        <v>0</v>
      </c>
      <c r="F36" s="1">
        <f t="shared" si="2"/>
        <v>75</v>
      </c>
      <c r="G36" s="1">
        <f t="shared" si="2"/>
        <v>75</v>
      </c>
      <c r="H36" s="1">
        <f t="shared" si="2"/>
        <v>75</v>
      </c>
      <c r="I36" s="1">
        <f t="shared" si="2"/>
        <v>75</v>
      </c>
      <c r="J36" s="1">
        <f t="shared" si="2"/>
        <v>50</v>
      </c>
      <c r="K36" s="1">
        <f t="shared" si="2"/>
        <v>50</v>
      </c>
      <c r="L36" s="1">
        <f t="shared" si="2"/>
        <v>50</v>
      </c>
      <c r="M36" s="1">
        <f t="shared" si="2"/>
        <v>0</v>
      </c>
      <c r="N36" s="1">
        <f t="shared" si="2"/>
        <v>0</v>
      </c>
      <c r="O36" s="1">
        <f t="shared" si="2"/>
        <v>150</v>
      </c>
      <c r="P36" s="1">
        <f t="shared" si="2"/>
        <v>50</v>
      </c>
      <c r="Q36" s="1">
        <f t="shared" si="2"/>
        <v>50</v>
      </c>
      <c r="R36" s="1">
        <f t="shared" si="2"/>
        <v>300</v>
      </c>
      <c r="S36" s="1">
        <f t="shared" si="2"/>
        <v>150</v>
      </c>
      <c r="T36" s="1">
        <f t="shared" si="2"/>
        <v>4250</v>
      </c>
      <c r="U36" s="1">
        <f t="shared" si="2"/>
        <v>400</v>
      </c>
      <c r="V36" s="1">
        <f t="shared" si="2"/>
        <v>0</v>
      </c>
      <c r="W36" s="1">
        <f t="shared" si="2"/>
        <v>100</v>
      </c>
      <c r="X36" s="1">
        <f t="shared" si="2"/>
        <v>100</v>
      </c>
      <c r="Y36" s="1">
        <f t="shared" si="2"/>
        <v>500</v>
      </c>
      <c r="Z36" s="1">
        <f t="shared" si="2"/>
        <v>200</v>
      </c>
      <c r="AA36" s="1">
        <f t="shared" si="2"/>
        <v>100</v>
      </c>
      <c r="AB36" s="1">
        <f t="shared" si="2"/>
        <v>4900</v>
      </c>
      <c r="AC36" s="1">
        <f t="shared" si="2"/>
        <v>150</v>
      </c>
      <c r="AD36" s="1">
        <f t="shared" si="2"/>
        <v>250</v>
      </c>
      <c r="AE36" s="1">
        <f t="shared" si="2"/>
        <v>4150</v>
      </c>
      <c r="AF36" s="1">
        <f t="shared" si="2"/>
        <v>600</v>
      </c>
      <c r="AG36" s="1">
        <f t="shared" si="2"/>
        <v>2500</v>
      </c>
      <c r="AH36" s="1">
        <f>SUM(C36:AG36)</f>
        <v>19600</v>
      </c>
    </row>
  </sheetData>
  <conditionalFormatting sqref="C3:AG15">
    <cfRule type="cellIs" dxfId="2" priority="3" operator="greaterThan">
      <formula>0</formula>
    </cfRule>
  </conditionalFormatting>
  <conditionalFormatting sqref="C17:L19 C20:N24 P17:AG18 AB19:AG24 O19:Y24 C25:AG33">
    <cfRule type="cellIs" dxfId="1" priority="2" operator="greaterThan">
      <formula>0</formula>
    </cfRule>
  </conditionalFormatting>
  <conditionalFormatting sqref="AE34:AF34">
    <cfRule type="cellIs" dxfId="0" priority="1" operator="greaterThan">
      <formula>0</formula>
    </cfRule>
  </conditionalFormatting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My hours</vt:lpstr>
      <vt:lpstr>Total costs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Croft</dc:creator>
  <cp:lastModifiedBy>Chris Croft</cp:lastModifiedBy>
  <cp:lastPrinted>2019-05-10T11:13:57Z</cp:lastPrinted>
  <dcterms:created xsi:type="dcterms:W3CDTF">2019-05-10T10:28:50Z</dcterms:created>
  <dcterms:modified xsi:type="dcterms:W3CDTF">2020-04-02T16:21:36Z</dcterms:modified>
</cp:coreProperties>
</file>