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12.xml" ContentType="application/vnd.openxmlformats-officedocument.spreadsheetml.worksheet+xml"/>
  <Override PartName="/xl/tables/table16.xml" ContentType="application/vnd.openxmlformats-officedocument.spreadsheetml.table+xml"/>
  <Override PartName="/xl/worksheets/sheet13.xml" ContentType="application/vnd.openxmlformats-officedocument.spreadsheetml.worksheet+xml"/>
  <Override PartName="/xl/tables/table17.xml" ContentType="application/vnd.openxmlformats-officedocument.spreadsheetml.tabl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14.xml" ContentType="application/vnd.openxmlformats-officedocument.spreadsheetml.worksheet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sheets/sheet15.xml" ContentType="application/vnd.openxmlformats-officedocument.spreadsheetml.worksheet+xml"/>
  <Override PartName="/xl/tables/table20.xml" ContentType="application/vnd.openxmlformats-officedocument.spreadsheetml.table+xml"/>
  <Override PartName="/xl/worksheets/sheet16.xml" ContentType="application/vnd.openxmlformats-officedocument.spreadsheetml.worksheet+xml"/>
  <Override PartName="/xl/tables/table21.xml" ContentType="application/vnd.openxmlformats-officedocument.spreadsheetml.table+xml"/>
  <Override PartName="/xl/worksheets/sheet17.xml" ContentType="application/vnd.openxmlformats-officedocument.spreadsheetml.worksheet+xml"/>
  <Override PartName="/xl/tables/table22.xml" ContentType="application/vnd.openxmlformats-officedocument.spreadsheetml.table+xml"/>
  <Override PartName="/xl/worksheets/sheet18.xml" ContentType="application/vnd.openxmlformats-officedocument.spreadsheetml.worksheet+xml"/>
  <Override PartName="/xl/tables/table23.xml" ContentType="application/vnd.openxmlformats-officedocument.spreadsheetml.table+xml"/>
  <Override PartName="/xl/worksheets/sheet19.xml" ContentType="application/vnd.openxmlformats-officedocument.spreadsheetml.worksheet+xml"/>
  <Override PartName="/xl/tables/table24.xml" ContentType="application/vnd.openxmlformats-officedocument.spreadsheetml.table+xml"/>
  <Override PartName="/xl/worksheets/sheet20.xml" ContentType="application/vnd.openxmlformats-officedocument.spreadsheetml.worksheet+xml"/>
  <Override PartName="/xl/tables/table25.xml" ContentType="application/vnd.openxmlformats-officedocument.spreadsheetml.table+xml"/>
  <Override PartName="/xl/worksheets/sheet21.xml" ContentType="application/vnd.openxmlformats-officedocument.spreadsheetml.worksheet+xml"/>
  <Override PartName="/xl/tables/table26.xml" ContentType="application/vnd.openxmlformats-officedocument.spreadsheetml.table+xml"/>
  <Override PartName="/xl/worksheets/sheet22.xml" ContentType="application/vnd.openxmlformats-officedocument.spreadsheetml.worksheet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worksheets/sheet23.xml" ContentType="application/vnd.openxmlformats-officedocument.spreadsheetml.worksheet+xml"/>
  <Override PartName="/xl/drawings/drawing1.xml" ContentType="application/vnd.openxmlformats-officedocument.drawing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worksheets/sheet24.xml" ContentType="application/vnd.openxmlformats-officedocument.spreadsheetml.worksheet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worksheets/sheet25.xml" ContentType="application/vnd.openxmlformats-officedocument.spreadsheetml.worksheet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12" activeTab="24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licer Controls" sheetId="2" state="visible" r:id="rId2"/>
    <sheet xmlns:r="http://schemas.openxmlformats.org/officeDocument/2006/relationships" name="Glossary" sheetId="3" state="visible" r:id="rId3"/>
    <sheet xmlns:r="http://schemas.openxmlformats.org/officeDocument/2006/relationships" name="Review" sheetId="4" state="visible" r:id="rId4"/>
    <sheet xmlns:r="http://schemas.openxmlformats.org/officeDocument/2006/relationships" name="PID" sheetId="5" state="visible" r:id="rId5"/>
    <sheet xmlns:r="http://schemas.openxmlformats.org/officeDocument/2006/relationships" name="Method Roadmap" sheetId="6" state="visible" r:id="rId6"/>
    <sheet xmlns:r="http://schemas.openxmlformats.org/officeDocument/2006/relationships" name="PM-EVM Compliance" sheetId="7" state="visible" r:id="rId7"/>
    <sheet xmlns:r="http://schemas.openxmlformats.org/officeDocument/2006/relationships" name="Setup" sheetId="8" state="visible" r:id="rId8"/>
    <sheet xmlns:r="http://schemas.openxmlformats.org/officeDocument/2006/relationships" name="Task Plan" sheetId="9" state="visible" r:id="rId9"/>
    <sheet xmlns:r="http://schemas.openxmlformats.org/officeDocument/2006/relationships" name="Task Capture" sheetId="10" state="visible" r:id="rId10"/>
    <sheet xmlns:r="http://schemas.openxmlformats.org/officeDocument/2006/relationships" name="EVM Dashboard" sheetId="11" state="visible" r:id="rId11"/>
    <sheet xmlns:r="http://schemas.openxmlformats.org/officeDocument/2006/relationships" name="Red Actions" sheetId="12" state="visible" r:id="rId12"/>
    <sheet xmlns:r="http://schemas.openxmlformats.org/officeDocument/2006/relationships" name="Pivot Summary" sheetId="13" state="visible" r:id="rId13"/>
    <sheet xmlns:r="http://schemas.openxmlformats.org/officeDocument/2006/relationships" name="Resource Grid" sheetId="14" state="visible" r:id="rId14"/>
    <sheet xmlns:r="http://schemas.openxmlformats.org/officeDocument/2006/relationships" name="Dim_Project" sheetId="15" state="visible" r:id="rId15"/>
    <sheet xmlns:r="http://schemas.openxmlformats.org/officeDocument/2006/relationships" name="Dim_WBS" sheetId="16" state="visible" r:id="rId16"/>
    <sheet xmlns:r="http://schemas.openxmlformats.org/officeDocument/2006/relationships" name="Dim_Resource" sheetId="17" state="visible" r:id="rId17"/>
    <sheet xmlns:r="http://schemas.openxmlformats.org/officeDocument/2006/relationships" name="Dim_Calendar" sheetId="18" state="visible" r:id="rId18"/>
    <sheet xmlns:r="http://schemas.openxmlformats.org/officeDocument/2006/relationships" name="Fact_Baseline_PV" sheetId="19" state="visible" r:id="rId19"/>
    <sheet xmlns:r="http://schemas.openxmlformats.org/officeDocument/2006/relationships" name="Fact_Actual_Costs" sheetId="20" state="visible" r:id="rId20"/>
    <sheet xmlns:r="http://schemas.openxmlformats.org/officeDocument/2006/relationships" name="Fact_Physical_Progress" sheetId="21" state="visible" r:id="rId21"/>
    <sheet xmlns:r="http://schemas.openxmlformats.org/officeDocument/2006/relationships" name="EVM" sheetId="22" state="visible" r:id="rId22"/>
    <sheet xmlns:r="http://schemas.openxmlformats.org/officeDocument/2006/relationships" name="EVM Charts" sheetId="23" state="visible" r:id="rId23"/>
    <sheet xmlns:r="http://schemas.openxmlformats.org/officeDocument/2006/relationships" name="Simple Gantt Model" sheetId="24" state="visible" r:id="rId24"/>
    <sheet xmlns:r="http://schemas.openxmlformats.org/officeDocument/2006/relationships" name="PERT Diagram" sheetId="25" state="visible" r:id="rId25"/>
  </sheets>
  <definedNames>
    <definedName name="Actual_Cost_Values" comment="Actual cost amount column.">tbl_Fact_Actual_Costs[Actual_Cost]</definedName>
    <definedName name="Actual_Hours_Values" comment="Actual hours column.">tbl_Fact_Actual_Costs[Hours_Worked]</definedName>
    <definedName name="Baseline_PV_Values" comment="Baseline planned value column.">tbl_Fact_Baseline_PV[Planned_Value]</definedName>
    <definedName name="Control_BAC" comment="Budget at Completion from the project dimension.">Dim_Project!$E$2</definedName>
    <definedName name="Control_CPI_SPI_Green" comment="CPI/SPI green threshold.">Setup!$B$13</definedName>
    <definedName name="Control_CPI_SPI_Red" comment="CPI/SPI red threshold.">Setup!$B$12</definedName>
    <definedName name="Control_Progress_Amber" comment="Progress amber threshold.">Setup!$B$14</definedName>
    <definedName name="Control_Progress_Green" comment="Progress green threshold.">Setup!$B$15</definedName>
    <definedName name="Control_Project_End" comment="Project baseline end date.">Dim_Project!$D$2</definedName>
    <definedName name="Control_Project_ID" comment="Project ID from the project dimension.">Dim_Project!$A$2</definedName>
    <definedName name="Control_Project_Name" comment="Project name from the project dimension.">Dim_Project!$B$2</definedName>
    <definedName name="Control_Project_Start" comment="Project baseline start date.">Dim_Project!$C$2</definedName>
    <definedName name="Control_Sector" comment="Project sector from the project dimension.">Dim_Project!$F$2</definedName>
    <definedName name="Control_Status_Date" comment="Workbook status date / reporting cut-off.">Setup!$B$9</definedName>
    <definedName name="Input_Actual_Costs" comment="Single actual costs fact table.">tbl_Fact_Actual_Costs[]</definedName>
    <definedName name="Input_Baseline_PV" comment="Single baseline planned value fact table.">tbl_Fact_Baseline_PV[]</definedName>
    <definedName name="Input_Calendar" comment="Single calendar/date dimension.">tbl_Dim_Calendar[]</definedName>
    <definedName name="Input_Physical_Progress" comment="Single physical progress fact table.">tbl_Fact_Physical_Progress[]</definedName>
    <definedName name="Input_Project" comment="Single project master record.">tbl_Dim_Project[]</definedName>
    <definedName name="Input_Resources" comment="Single resource master table.">tbl_Dim_Resource[]</definedName>
    <definedName name="Input_WBS" comment="Single WBS/activity master table.">tbl_Dim_WBS[]</definedName>
    <definedName name="Progress_Pct_Values" comment="Physical progress percentage column.">tbl_Fact_Physical_Progress[Physical_Progress_Pct]</definedName>
    <definedName name="Slicer_Category">#N/A</definedName>
    <definedName name="Slicer_Measure">#N/A</definedName>
    <definedName name="Slicer_Month_Name">#N/A</definedName>
    <definedName name="Slicer_Owner">#N/A</definedName>
    <definedName name="Slicer_Owner1">#N/A</definedName>
    <definedName name="Slicer_Owner2">#N/A</definedName>
    <definedName name="Slicer_RAG">#N/A</definedName>
    <definedName name="Slicer_RAG1">#N/A</definedName>
    <definedName name="Slicer_RAG2">#N/A</definedName>
    <definedName name="Slicer_RAG3">#N/A</definedName>
    <definedName name="Slicer_Resource_ID">#N/A</definedName>
    <definedName name="Slicer_Role">#N/A</definedName>
    <definedName name="Slicer_Status">#N/A</definedName>
    <definedName name="Slicer_Status1">#N/A</definedName>
    <definedName name="Slicer_Status2">#N/A</definedName>
    <definedName name="Slicer_Status3">#N/A</definedName>
    <definedName name="Slicer_Status4">#N/A</definedName>
    <definedName name="Slicer_Type">#N/A</definedName>
    <definedName name="Slicer_Type1">#N/A</definedName>
    <definedName name="Slicer_Type2">#N/A</definedName>
    <definedName name="Slicer_Type3">#N/A</definedName>
    <definedName name="Slicer_WBS_ID">#N/A</definedName>
    <definedName name="Slicer_WBS_ID1">#N/A</definedName>
    <definedName name="Slicer_WBS_ID2">#N/A</definedName>
    <definedName name="Slicer_WBS_ID3">#N/A</definedName>
    <definedName name="Slicer_WBS_ID4">#N/A</definedName>
    <definedName name="Slicer_Week">#N/A</definedName>
    <definedName name="Slicer_Week_Number">#N/A</definedName>
    <definedName name="WBS_Activities" comment="Activity names from the WBS master.">tbl_Dim_WBS[Activity_Name]</definedName>
    <definedName name="WBS_Budgets" comment="Activity budget list from the WBS master.">tbl_Dim_WBS[Total_Budget]</definedName>
    <definedName name="WBS_IDs" comment="WBS ID list from the WBS master.">tbl_Dim_WBS[WBS_ID]</definedName>
    <definedName name="WBS_Types" comment="Activity type list from the WBS master.">tbl_Dim_WBS[Type]</definedName>
  </definedNames>
  <calcPr calcId="191029" fullCalcOnLoad="1" calcCompleted="0"/>
  <pivotCaches>
    <pivotCache xmlns:r="http://schemas.openxmlformats.org/officeDocument/2006/relationships" cacheId="23" r:id="rId26"/>
    <pivotCache xmlns:r="http://schemas.openxmlformats.org/officeDocument/2006/relationships" cacheId="27" r:id="rId27"/>
    <pivotCache xmlns:r="http://schemas.openxmlformats.org/officeDocument/2006/relationships" cacheId="31" r:id="rId28"/>
  </pivotCaches>
</workbook>
</file>

<file path=xl/styles.xml><?xml version="1.0" encoding="utf-8"?>
<styleSheet xmlns="http://schemas.openxmlformats.org/spreadsheetml/2006/main">
  <numFmts count="4">
    <numFmt numFmtId="164" formatCode="0.0%"/>
    <numFmt numFmtId="165" formatCode="yyyy\-mm\-dd"/>
    <numFmt numFmtId="166" formatCode="#,##0.00\ &quot;NOK&quot;"/>
    <numFmt numFmtId="167" formatCode="#,##0\ &quot;NOK&quot;"/>
  </numFmts>
  <fonts count="4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FFFF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990000"/>
      <sz val="11"/>
      <scheme val="minor"/>
    </font>
    <font>
      <name val="Calibri"/>
      <family val="2"/>
      <color rgb="FF274E13"/>
      <sz val="11"/>
      <scheme val="minor"/>
    </font>
    <font>
      <name val="Calibri"/>
      <family val="2"/>
      <color rgb="FF7F6000"/>
      <sz val="11"/>
      <scheme val="minor"/>
    </font>
    <font>
      <name val="Calibri"/>
      <family val="2"/>
      <b val="1"/>
      <color rgb="FF990000"/>
      <sz val="11"/>
      <scheme val="minor"/>
    </font>
    <font>
      <name val="Calibri"/>
      <family val="2"/>
      <b val="1"/>
      <color rgb="FF274E13"/>
      <sz val="11"/>
      <scheme val="minor"/>
    </font>
    <font>
      <name val="Calibri"/>
      <family val="2"/>
      <b val="1"/>
      <color rgb="FF7F6000"/>
      <sz val="11"/>
      <scheme val="minor"/>
    </font>
    <font>
      <name val="Aptos"/>
      <i val="1"/>
      <color rgb="FF7F8C8D"/>
      <sz val="10"/>
    </font>
    <font>
      <name val="Aptos"/>
      <b val="1"/>
      <color rgb="FF000000"/>
      <sz val="10"/>
    </font>
    <font>
      <name val="Aptos"/>
      <color rgb="FF000000"/>
      <sz val="10"/>
    </font>
    <font>
      <name val="Aptos"/>
      <b val="1"/>
      <color rgb="FF333333"/>
      <sz val="10"/>
    </font>
    <font>
      <name val="Aptos"/>
      <b val="1"/>
      <color rgb="FF2C3E50"/>
      <sz val="10"/>
    </font>
    <font>
      <name val="Aptos"/>
      <color theme="1"/>
      <sz val="10"/>
    </font>
    <font>
      <name val="Aptos"/>
      <b val="1"/>
      <color rgb="FFFFFFFF"/>
      <sz val="10"/>
    </font>
    <font>
      <name val="Aptos"/>
      <b val="1"/>
      <color rgb="FF274E13"/>
      <sz val="10"/>
    </font>
    <font>
      <name val="Aptos"/>
      <b val="1"/>
      <color theme="1"/>
      <sz val="10"/>
    </font>
    <font>
      <name val="Aptos"/>
      <b val="1"/>
      <color rgb="FF7F8C8D"/>
      <sz val="10"/>
    </font>
    <font>
      <name val="Aptos"/>
      <b val="1"/>
      <color rgb="FF7F6000"/>
      <sz val="10"/>
    </font>
    <font>
      <name val="Aptos"/>
      <b val="1"/>
      <color rgb="FF990000"/>
      <sz val="10"/>
    </font>
    <font>
      <name val="Aptos"/>
      <color rgb="FF333333"/>
      <sz val="10"/>
    </font>
    <font>
      <name val="Calibri"/>
      <family val="2"/>
      <b val="1"/>
      <color rgb="FFFFFFFF"/>
      <sz val="18"/>
      <scheme val="minor"/>
    </font>
    <font>
      <name val="Calibri"/>
      <family val="2"/>
      <i val="1"/>
      <color rgb="FF666666"/>
      <sz val="11"/>
      <scheme val="minor"/>
    </font>
    <font>
      <name val="Calibri"/>
      <family val="2"/>
      <b val="1"/>
      <color rgb="FF4F6D7A"/>
      <sz val="11"/>
      <scheme val="minor"/>
    </font>
    <font>
      <name val="Calibri"/>
      <family val="2"/>
      <color rgb="FF4F6D7A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666666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i val="1"/>
      <color rgb="FF555555"/>
      <sz val="11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color theme="1"/>
      <sz val="9"/>
      <scheme val="minor"/>
    </font>
    <font>
      <name val="Calibri"/>
      <b val="1"/>
      <color rgb="FFFFFFFF"/>
      <sz val="18"/>
      <scheme val="minor"/>
    </font>
    <font>
      <name val="Calibri"/>
      <i val="1"/>
      <color rgb="FF555555"/>
      <sz val="11"/>
      <scheme val="minor"/>
    </font>
    <font>
      <name val="Calibri"/>
      <b val="1"/>
      <color rgb="FFFFFFFF"/>
      <sz val="11"/>
      <scheme val="minor"/>
    </font>
    <font>
      <name val="Calibri"/>
      <color rgb="FF333333"/>
      <sz val="11"/>
      <scheme val="minor"/>
    </font>
    <font>
      <name val="Calibri"/>
      <b val="1"/>
      <color rgb="FF7F1D1D"/>
      <sz val="11"/>
      <scheme val="minor"/>
    </font>
    <font>
      <name val="Calibri"/>
      <color rgb="FF7F1D1D"/>
      <sz val="11"/>
      <scheme val="minor"/>
    </font>
    <font>
      <name val="Calibri"/>
      <b val="1"/>
      <color rgb="FF7F1D1D"/>
      <sz val="14"/>
      <scheme val="minor"/>
    </font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theme="1"/>
      <sz val="12"/>
      <scheme val="minor"/>
    </font>
  </fonts>
  <fills count="27">
    <fill>
      <patternFill/>
    </fill>
    <fill>
      <patternFill patternType="gray125"/>
    </fill>
    <fill>
      <patternFill patternType="solid">
        <fgColor rgb="FFF2F4F4"/>
        <bgColor rgb="FFF2F4F4"/>
      </patternFill>
    </fill>
    <fill>
      <patternFill patternType="solid">
        <fgColor rgb="FFFBFCFC"/>
        <bgColor rgb="FFFBFCFC"/>
      </patternFill>
    </fill>
    <fill>
      <patternFill patternType="solid">
        <fgColor rgb="FF1F4E3D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6F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F6D7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7F1D1D"/>
        <bgColor indexed="64"/>
      </patternFill>
    </fill>
    <fill>
      <patternFill patternType="solid">
        <fgColor rgb="FF991B1B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1F5F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08">
    <xf numFmtId="0" fontId="0" fillId="0" borderId="0" pivotButton="0" quotePrefix="0" xfId="0"/>
    <xf numFmtId="0" fontId="2" fillId="4" borderId="0" pivotButton="0" quotePrefix="0" xfId="0"/>
    <xf numFmtId="0" fontId="0" fillId="0" borderId="3" pivotButton="0" quotePrefix="0" xfId="0"/>
    <xf numFmtId="0" fontId="3" fillId="4" borderId="3" pivotButton="0" quotePrefix="0" xfId="0"/>
    <xf numFmtId="0" fontId="5" fillId="6" borderId="3" pivotButton="0" quotePrefix="0" xfId="0"/>
    <xf numFmtId="0" fontId="0" fillId="7" borderId="3" pivotButton="0" quotePrefix="0" xfId="0"/>
    <xf numFmtId="0" fontId="8" fillId="6" borderId="3" pivotButton="0" quotePrefix="0" xfId="0"/>
    <xf numFmtId="0" fontId="1" fillId="0" borderId="3" pivotButton="0" quotePrefix="0" xfId="0"/>
    <xf numFmtId="0" fontId="9" fillId="7" borderId="3" pivotButton="0" quotePrefix="0" xfId="0"/>
    <xf numFmtId="0" fontId="7" fillId="5" borderId="3" pivotButton="0" quotePrefix="0" xfId="0"/>
    <xf numFmtId="164" fontId="11" fillId="0" borderId="3" applyAlignment="1" pivotButton="0" quotePrefix="0" xfId="0">
      <alignment horizontal="right"/>
    </xf>
    <xf numFmtId="4" fontId="11" fillId="0" borderId="3" applyAlignment="1" pivotButton="0" quotePrefix="0" xfId="0">
      <alignment horizontal="right"/>
    </xf>
    <xf numFmtId="2" fontId="11" fillId="0" borderId="3" applyAlignment="1" pivotButton="0" quotePrefix="0" xfId="0">
      <alignment horizontal="right"/>
    </xf>
    <xf numFmtId="164" fontId="11" fillId="3" borderId="3" applyAlignment="1" pivotButton="0" quotePrefix="0" xfId="0">
      <alignment horizontal="right"/>
    </xf>
    <xf numFmtId="4" fontId="11" fillId="3" borderId="3" applyAlignment="1" pivotButton="0" quotePrefix="0" xfId="0">
      <alignment horizontal="right"/>
    </xf>
    <xf numFmtId="2" fontId="11" fillId="3" borderId="3" applyAlignment="1" pivotButton="0" quotePrefix="0" xfId="0">
      <alignment horizontal="right"/>
    </xf>
    <xf numFmtId="0" fontId="11" fillId="3" borderId="3" applyAlignment="1" pivotButton="0" quotePrefix="0" xfId="0">
      <alignment horizontal="center"/>
    </xf>
    <xf numFmtId="0" fontId="18" fillId="0" borderId="3" pivotButton="0" quotePrefix="0" xfId="0"/>
    <xf numFmtId="0" fontId="15" fillId="0" borderId="4" pivotButton="0" quotePrefix="0" xfId="0"/>
    <xf numFmtId="0" fontId="15" fillId="0" borderId="2" pivotButton="0" quotePrefix="0" xfId="0"/>
    <xf numFmtId="4" fontId="12" fillId="0" borderId="1" applyAlignment="1" pivotButton="0" quotePrefix="0" xfId="0">
      <alignment horizontal="right"/>
    </xf>
    <xf numFmtId="4" fontId="11" fillId="3" borderId="1" applyAlignment="1" pivotButton="0" quotePrefix="0" xfId="0">
      <alignment horizontal="right"/>
    </xf>
    <xf numFmtId="0" fontId="14" fillId="0" borderId="3" pivotButton="0" quotePrefix="0" xfId="0"/>
    <xf numFmtId="0" fontId="15" fillId="0" borderId="3" pivotButton="0" quotePrefix="0" xfId="0"/>
    <xf numFmtId="0" fontId="10" fillId="0" borderId="3" pivotButton="0" quotePrefix="0" xfId="0"/>
    <xf numFmtId="0" fontId="11" fillId="0" borderId="3" pivotButton="0" quotePrefix="0" xfId="0"/>
    <xf numFmtId="165" fontId="12" fillId="0" borderId="3" applyAlignment="1" pivotButton="0" quotePrefix="0" xfId="0">
      <alignment horizontal="left"/>
    </xf>
    <xf numFmtId="0" fontId="12" fillId="0" borderId="3" applyAlignment="1" pivotButton="0" quotePrefix="0" xfId="0">
      <alignment horizontal="left"/>
    </xf>
    <xf numFmtId="0" fontId="12" fillId="0" borderId="3" pivotButton="0" quotePrefix="0" xfId="0"/>
    <xf numFmtId="0" fontId="19" fillId="0" borderId="3" pivotButton="0" quotePrefix="0" xfId="0"/>
    <xf numFmtId="0" fontId="16" fillId="4" borderId="3" applyAlignment="1" pivotButton="0" quotePrefix="0" xfId="0">
      <alignment horizontal="center"/>
    </xf>
    <xf numFmtId="4" fontId="12" fillId="0" borderId="3" applyAlignment="1" pivotButton="0" quotePrefix="0" xfId="0">
      <alignment horizontal="right"/>
    </xf>
    <xf numFmtId="0" fontId="11" fillId="3" borderId="3" applyAlignment="1" pivotButton="0" quotePrefix="0" xfId="0">
      <alignment horizontal="left"/>
    </xf>
    <xf numFmtId="0" fontId="11" fillId="3" borderId="3" pivotButton="0" quotePrefix="0" xfId="0"/>
    <xf numFmtId="4" fontId="12" fillId="0" borderId="3" pivotButton="0" quotePrefix="0" xfId="0"/>
    <xf numFmtId="2" fontId="12" fillId="0" borderId="3" pivotButton="0" quotePrefix="0" xfId="0"/>
    <xf numFmtId="0" fontId="16" fillId="4" borderId="5" applyAlignment="1" pivotButton="0" quotePrefix="0" xfId="0">
      <alignment horizontal="center"/>
    </xf>
    <xf numFmtId="0" fontId="15" fillId="0" borderId="6" pivotButton="0" quotePrefix="0" xfId="0"/>
    <xf numFmtId="4" fontId="12" fillId="0" borderId="2" applyAlignment="1" pivotButton="0" quotePrefix="0" xfId="0">
      <alignment horizontal="right"/>
    </xf>
    <xf numFmtId="4" fontId="11" fillId="3" borderId="2" applyAlignment="1" pivotButton="0" quotePrefix="0" xfId="0">
      <alignment horizontal="right"/>
    </xf>
    <xf numFmtId="4" fontId="12" fillId="0" borderId="4" applyAlignment="1" pivotButton="0" quotePrefix="0" xfId="0">
      <alignment horizontal="right"/>
    </xf>
    <xf numFmtId="4" fontId="11" fillId="3" borderId="4" applyAlignment="1" pivotButton="0" quotePrefix="0" xfId="0">
      <alignment horizontal="right"/>
    </xf>
    <xf numFmtId="0" fontId="15" fillId="0" borderId="5" pivotButton="0" quotePrefix="0" xfId="0"/>
    <xf numFmtId="0" fontId="23" fillId="4" borderId="0" pivotButton="0" quotePrefix="0" xfId="0"/>
    <xf numFmtId="0" fontId="24" fillId="0" borderId="0" applyAlignment="1" pivotButton="0" quotePrefix="0" xfId="0">
      <alignment wrapText="1"/>
    </xf>
    <xf numFmtId="0" fontId="3" fillId="4" borderId="3" applyAlignment="1" pivotButton="0" quotePrefix="0" xfId="0">
      <alignment horizontal="center"/>
    </xf>
    <xf numFmtId="165" fontId="0" fillId="0" borderId="3" pivotButton="0" quotePrefix="0" xfId="0"/>
    <xf numFmtId="1" fontId="0" fillId="0" borderId="3" pivotButton="0" quotePrefix="0" xfId="0"/>
    <xf numFmtId="164" fontId="0" fillId="0" borderId="3" pivotButton="0" quotePrefix="0" xfId="0"/>
    <xf numFmtId="4" fontId="0" fillId="0" borderId="3" pivotButton="0" quotePrefix="0" xfId="0"/>
    <xf numFmtId="2" fontId="0" fillId="0" borderId="3" pivotButton="0" quotePrefix="0" xfId="0"/>
    <xf numFmtId="0" fontId="1" fillId="0" borderId="0" pivotButton="0" quotePrefix="0" xfId="0"/>
    <xf numFmtId="0" fontId="7" fillId="5" borderId="0" pivotButton="0" quotePrefix="0" xfId="0"/>
    <xf numFmtId="0" fontId="25" fillId="0" borderId="3" pivotButton="0" quotePrefix="0" xfId="0"/>
    <xf numFmtId="0" fontId="0" fillId="0" borderId="3" applyAlignment="1" pivotButton="0" quotePrefix="0" xfId="0">
      <alignment wrapText="1"/>
    </xf>
    <xf numFmtId="0" fontId="1" fillId="9" borderId="3" pivotButton="0" quotePrefix="0" xfId="0"/>
    <xf numFmtId="165" fontId="1" fillId="9" borderId="3" pivotButton="0" quotePrefix="0" xfId="0"/>
    <xf numFmtId="1" fontId="1" fillId="9" borderId="3" pivotButton="0" quotePrefix="0" xfId="0"/>
    <xf numFmtId="4" fontId="1" fillId="9" borderId="3" pivotButton="0" quotePrefix="0" xfId="0"/>
    <xf numFmtId="164" fontId="1" fillId="9" borderId="3" pivotButton="0" quotePrefix="0" xfId="0"/>
    <xf numFmtId="2" fontId="1" fillId="9" borderId="3" pivotButton="0" quotePrefix="0" xfId="0"/>
    <xf numFmtId="0" fontId="0" fillId="0" borderId="0" applyAlignment="1" pivotButton="0" quotePrefix="0" xfId="0">
      <alignment wrapText="1"/>
    </xf>
    <xf numFmtId="0" fontId="0" fillId="8" borderId="3" pivotButton="0" quotePrefix="0" xfId="0"/>
    <xf numFmtId="0" fontId="26" fillId="0" borderId="3" applyAlignment="1" pivotButton="0" quotePrefix="0" xfId="0">
      <alignment wrapText="1"/>
    </xf>
    <xf numFmtId="0" fontId="25" fillId="0" borderId="0" pivotButton="0" quotePrefix="0" xfId="0"/>
    <xf numFmtId="0" fontId="3" fillId="10" borderId="3" pivotButton="0" quotePrefix="0" xfId="0"/>
    <xf numFmtId="0" fontId="27" fillId="11" borderId="3" pivotButton="0" quotePrefix="0" xfId="0"/>
    <xf numFmtId="0" fontId="3" fillId="12" borderId="3" pivotButton="0" quotePrefix="0" xfId="0"/>
    <xf numFmtId="0" fontId="28" fillId="13" borderId="3" pivotButton="0" quotePrefix="0" xfId="0"/>
    <xf numFmtId="0" fontId="1" fillId="0" borderId="3" applyAlignment="1" pivotButton="0" quotePrefix="0" xfId="0">
      <alignment wrapText="1"/>
    </xf>
    <xf numFmtId="0" fontId="3" fillId="14" borderId="0" pivotButton="0" quotePrefix="0" xfId="0"/>
    <xf numFmtId="165" fontId="0" fillId="7" borderId="3" pivotButton="0" quotePrefix="0" xfId="0"/>
    <xf numFmtId="0" fontId="3" fillId="14" borderId="3" pivotButton="0" quotePrefix="0" xfId="0"/>
    <xf numFmtId="0" fontId="0" fillId="7" borderId="3" applyAlignment="1" pivotButton="0" quotePrefix="0" xfId="0">
      <alignment wrapText="1"/>
    </xf>
    <xf numFmtId="0" fontId="0" fillId="9" borderId="3" pivotButton="0" quotePrefix="0" xfId="0"/>
    <xf numFmtId="0" fontId="0" fillId="15" borderId="3" pivotButton="0" quotePrefix="0" xfId="0"/>
    <xf numFmtId="0" fontId="0" fillId="16" borderId="3" pivotButton="0" quotePrefix="0" xfId="0"/>
    <xf numFmtId="0" fontId="0" fillId="17" borderId="3" pivotButton="0" quotePrefix="0" xfId="0"/>
    <xf numFmtId="0" fontId="0" fillId="10" borderId="3" pivotButton="0" quotePrefix="0" xfId="0"/>
    <xf numFmtId="0" fontId="0" fillId="18" borderId="3" pivotButton="0" quotePrefix="0" xfId="0"/>
    <xf numFmtId="0" fontId="0" fillId="19" borderId="3" pivotButton="0" quotePrefix="0" xfId="0"/>
    <xf numFmtId="0" fontId="0" fillId="20" borderId="3" pivotButton="0" quotePrefix="0" xfId="0"/>
    <xf numFmtId="0" fontId="1" fillId="20" borderId="3" pivotButton="0" quotePrefix="0" xfId="0"/>
    <xf numFmtId="0" fontId="1" fillId="10" borderId="3" pivotButton="0" quotePrefix="0" xfId="0"/>
    <xf numFmtId="0" fontId="1" fillId="18" borderId="3" pivotButton="0" quotePrefix="0" xfId="0"/>
    <xf numFmtId="165" fontId="3" fillId="4" borderId="3" applyAlignment="1" pivotButton="0" quotePrefix="0" xfId="0">
      <alignment horizontal="center"/>
    </xf>
    <xf numFmtId="2" fontId="7" fillId="5" borderId="3" pivotButton="0" quotePrefix="0" xfId="0"/>
    <xf numFmtId="4" fontId="7" fillId="5" borderId="3" pivotButton="0" quotePrefix="0" xfId="0"/>
    <xf numFmtId="2" fontId="8" fillId="6" borderId="3" pivotButton="0" quotePrefix="0" xfId="0"/>
    <xf numFmtId="4" fontId="8" fillId="6" borderId="3" pivotButton="0" quotePrefix="0" xfId="0"/>
    <xf numFmtId="2" fontId="0" fillId="15" borderId="3" pivotButton="0" quotePrefix="0" xfId="0"/>
    <xf numFmtId="2" fontId="1" fillId="15" borderId="3" pivotButton="0" quotePrefix="0" xfId="0"/>
    <xf numFmtId="4" fontId="0" fillId="15" borderId="3" pivotButton="0" quotePrefix="0" xfId="0"/>
    <xf numFmtId="4" fontId="1" fillId="15" borderId="3" pivotButton="0" quotePrefix="0" xfId="0"/>
    <xf numFmtId="165" fontId="29" fillId="15" borderId="3" applyAlignment="1" pivotButton="0" quotePrefix="0" xfId="0">
      <alignment horizontal="center"/>
    </xf>
    <xf numFmtId="0" fontId="29" fillId="15" borderId="3" applyAlignment="1" pivotButton="0" quotePrefix="0" xfId="0">
      <alignment horizontal="center"/>
    </xf>
    <xf numFmtId="164" fontId="7" fillId="5" borderId="3" pivotButton="0" quotePrefix="0" xfId="0"/>
    <xf numFmtId="164" fontId="8" fillId="6" borderId="3" pivotButton="0" quotePrefix="0" xfId="0"/>
    <xf numFmtId="14" fontId="0" fillId="0" borderId="3" pivotButton="0" quotePrefix="0" xfId="0"/>
    <xf numFmtId="0" fontId="0" fillId="0" borderId="3" applyAlignment="1" pivotButton="0" quotePrefix="0" xfId="0">
      <alignment wrapText="1"/>
    </xf>
    <xf numFmtId="0" fontId="23" fillId="4" borderId="0" applyAlignment="1" pivotButton="0" quotePrefix="0" xfId="0">
      <alignment horizontal="left"/>
    </xf>
    <xf numFmtId="0" fontId="23" fillId="4" borderId="0" pivotButton="0" quotePrefix="0" xfId="0"/>
    <xf numFmtId="0" fontId="24" fillId="0" borderId="0" applyAlignment="1" pivotButton="0" quotePrefix="0" xfId="0">
      <alignment wrapText="1"/>
    </xf>
    <xf numFmtId="0" fontId="3" fillId="4" borderId="3" pivotButton="0" quotePrefix="0" xfId="0"/>
    <xf numFmtId="0" fontId="0" fillId="7" borderId="3" applyAlignment="1" pivotButton="0" quotePrefix="0" xfId="0">
      <alignment wrapText="1"/>
    </xf>
    <xf numFmtId="0" fontId="3" fillId="14" borderId="3" pivotButton="0" quotePrefix="0" xfId="0"/>
    <xf numFmtId="0" fontId="3" fillId="14" borderId="0" pivotButton="0" quotePrefix="0" xfId="0"/>
    <xf numFmtId="0" fontId="0" fillId="0" borderId="0" applyAlignment="1" pivotButton="0" quotePrefix="0" xfId="0">
      <alignment wrapText="1"/>
    </xf>
    <xf numFmtId="166" fontId="14" fillId="3" borderId="3" applyAlignment="1" pivotButton="0" quotePrefix="0" xfId="0">
      <alignment horizontal="left" vertical="center"/>
    </xf>
    <xf numFmtId="166" fontId="15" fillId="0" borderId="3" pivotButton="0" quotePrefix="0" xfId="0"/>
    <xf numFmtId="166" fontId="18" fillId="0" borderId="3" pivotButton="0" quotePrefix="0" xfId="0"/>
    <xf numFmtId="166" fontId="18" fillId="0" borderId="2" pivotButton="0" quotePrefix="0" xfId="0"/>
    <xf numFmtId="166" fontId="13" fillId="8" borderId="3" applyAlignment="1" pivotButton="0" quotePrefix="0" xfId="0">
      <alignment horizontal="left" vertical="center"/>
    </xf>
    <xf numFmtId="166" fontId="13" fillId="8" borderId="3" pivotButton="0" quotePrefix="0" xfId="0"/>
    <xf numFmtId="166" fontId="13" fillId="8" borderId="2" pivotButton="0" quotePrefix="0" xfId="0"/>
    <xf numFmtId="2" fontId="14" fillId="3" borderId="3" applyAlignment="1" pivotButton="0" quotePrefix="0" xfId="0">
      <alignment horizontal="left" vertical="center"/>
    </xf>
    <xf numFmtId="2" fontId="18" fillId="0" borderId="3" pivotButton="0" quotePrefix="0" xfId="0"/>
    <xf numFmtId="2" fontId="18" fillId="0" borderId="2" pivotButton="0" quotePrefix="0" xfId="0"/>
    <xf numFmtId="164" fontId="14" fillId="3" borderId="3" applyAlignment="1" pivotButton="0" quotePrefix="0" xfId="0">
      <alignment horizontal="left" vertical="center"/>
    </xf>
    <xf numFmtId="164" fontId="18" fillId="0" borderId="3" pivotButton="0" quotePrefix="0" xfId="0"/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0" fillId="0" borderId="0" applyAlignment="1" pivotButton="0" quotePrefix="0" xfId="0">
      <alignment wrapText="1"/>
    </xf>
    <xf numFmtId="0" fontId="3" fillId="4" borderId="6" applyAlignment="1" pivotButton="0" quotePrefix="0" xfId="0">
      <alignment horizontal="center"/>
    </xf>
    <xf numFmtId="0" fontId="0" fillId="0" borderId="5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3" fillId="4" borderId="4" applyAlignment="1" pivotButton="0" quotePrefix="0" xfId="0">
      <alignment horizontal="center"/>
    </xf>
    <xf numFmtId="0" fontId="0" fillId="0" borderId="4" pivotButton="0" quotePrefix="0" xfId="0"/>
    <xf numFmtId="0" fontId="0" fillId="0" borderId="2" pivotButton="0" quotePrefix="0" xfId="0"/>
    <xf numFmtId="0" fontId="3" fillId="4" borderId="7" applyAlignment="1" pivotButton="0" quotePrefix="0" xfId="0">
      <alignment horizontal="center"/>
    </xf>
    <xf numFmtId="0" fontId="3" fillId="4" borderId="8" applyAlignment="1" pivotButton="0" quotePrefix="0" xfId="0">
      <alignment horizontal="center"/>
    </xf>
    <xf numFmtId="0" fontId="0" fillId="0" borderId="9" pivotButton="0" quotePrefix="0" xfId="0"/>
    <xf numFmtId="0" fontId="0" fillId="0" borderId="5" pivotButton="0" quotePrefix="0" xfId="0"/>
    <xf numFmtId="0" fontId="0" fillId="0" borderId="10" pivotButton="0" quotePrefix="0" xfId="0"/>
    <xf numFmtId="0" fontId="3" fillId="4" borderId="2" pivotButton="0" quotePrefix="0" xfId="0"/>
    <xf numFmtId="4" fontId="0" fillId="0" borderId="2" pivotButton="0" quotePrefix="0" xfId="0"/>
    <xf numFmtId="0" fontId="3" fillId="4" borderId="7" pivotButton="0" quotePrefix="0" xfId="0"/>
    <xf numFmtId="0" fontId="3" fillId="4" borderId="6" pivotButton="0" quotePrefix="0" xfId="0"/>
    <xf numFmtId="0" fontId="3" fillId="4" borderId="8" pivotButton="0" quotePrefix="0" xfId="0"/>
    <xf numFmtId="4" fontId="0" fillId="0" borderId="5" pivotButton="0" quotePrefix="0" xfId="0"/>
    <xf numFmtId="4" fontId="0" fillId="0" borderId="10" pivotButton="0" quotePrefix="0" xfId="0"/>
    <xf numFmtId="0" fontId="0" fillId="0" borderId="2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8" fillId="6" borderId="5" pivotButton="0" quotePrefix="0" xfId="0"/>
    <xf numFmtId="165" fontId="0" fillId="0" borderId="2" pivotButton="0" quotePrefix="0" xfId="0"/>
    <xf numFmtId="166" fontId="0" fillId="0" borderId="2" pivotButton="0" quotePrefix="0" xfId="0"/>
    <xf numFmtId="2" fontId="0" fillId="0" borderId="2" pivotButton="0" quotePrefix="0" xfId="0"/>
    <xf numFmtId="2" fontId="0" fillId="0" borderId="10" pivotButton="0" quotePrefix="0" xfId="0"/>
    <xf numFmtId="0" fontId="5" fillId="6" borderId="4" pivotButton="0" quotePrefix="0" xfId="0"/>
    <xf numFmtId="0" fontId="6" fillId="7" borderId="4" pivotButton="0" quotePrefix="0" xfId="0"/>
    <xf numFmtId="0" fontId="4" fillId="5" borderId="4" pivotButton="0" quotePrefix="0" xfId="0"/>
    <xf numFmtId="0" fontId="4" fillId="5" borderId="9" pivotButton="0" quotePrefix="0" xfId="0"/>
    <xf numFmtId="165" fontId="0" fillId="0" borderId="5" pivotButton="0" quotePrefix="0" xfId="0"/>
    <xf numFmtId="1" fontId="0" fillId="0" borderId="5" pivotButton="0" quotePrefix="0" xfId="0"/>
    <xf numFmtId="164" fontId="0" fillId="0" borderId="5" pivotButton="0" quotePrefix="0" xfId="0"/>
    <xf numFmtId="2" fontId="0" fillId="0" borderId="5" pivotButton="0" quotePrefix="0" xfId="0"/>
    <xf numFmtId="0" fontId="0" fillId="7" borderId="4" pivotButton="0" quotePrefix="0" xfId="0"/>
    <xf numFmtId="0" fontId="0" fillId="7" borderId="2" pivotButton="0" quotePrefix="0" xfId="0"/>
    <xf numFmtId="0" fontId="0" fillId="7" borderId="9" pivotButton="0" quotePrefix="0" xfId="0"/>
    <xf numFmtId="0" fontId="0" fillId="7" borderId="5" pivotButton="0" quotePrefix="0" xfId="0"/>
    <xf numFmtId="0" fontId="0" fillId="7" borderId="5" applyAlignment="1" pivotButton="0" quotePrefix="0" xfId="0">
      <alignment wrapText="1"/>
    </xf>
    <xf numFmtId="0" fontId="0" fillId="7" borderId="10" pivotButton="0" quotePrefix="0" xfId="0"/>
    <xf numFmtId="0" fontId="17" fillId="6" borderId="4" pivotButton="0" quotePrefix="0" xfId="0"/>
    <xf numFmtId="0" fontId="20" fillId="7" borderId="4" pivotButton="0" quotePrefix="0" xfId="0"/>
    <xf numFmtId="0" fontId="18" fillId="0" borderId="2" pivotButton="0" quotePrefix="0" xfId="0"/>
    <xf numFmtId="0" fontId="16" fillId="4" borderId="7" pivotButton="0" quotePrefix="0" xfId="0"/>
    <xf numFmtId="0" fontId="16" fillId="4" borderId="6" pivotButton="0" quotePrefix="0" xfId="0"/>
    <xf numFmtId="0" fontId="16" fillId="4" borderId="8" pivotButton="0" quotePrefix="0" xfId="0"/>
    <xf numFmtId="0" fontId="21" fillId="5" borderId="9" pivotButton="0" quotePrefix="0" xfId="0"/>
    <xf numFmtId="0" fontId="18" fillId="0" borderId="5" pivotButton="0" quotePrefix="0" xfId="0"/>
    <xf numFmtId="0" fontId="18" fillId="0" borderId="10" pivotButton="0" quotePrefix="0" xfId="0"/>
    <xf numFmtId="0" fontId="12" fillId="0" borderId="4" applyAlignment="1" pivotButton="0" quotePrefix="0" xfId="0">
      <alignment horizontal="left"/>
    </xf>
    <xf numFmtId="0" fontId="11" fillId="0" borderId="2" applyAlignment="1" pivotButton="0" quotePrefix="0" xfId="0">
      <alignment horizontal="center"/>
    </xf>
    <xf numFmtId="0" fontId="13" fillId="2" borderId="7" applyAlignment="1" pivotButton="0" quotePrefix="0" xfId="0">
      <alignment horizontal="left"/>
    </xf>
    <xf numFmtId="0" fontId="13" fillId="2" borderId="6" applyAlignment="1" pivotButton="0" quotePrefix="0" xfId="0">
      <alignment horizontal="left"/>
    </xf>
    <xf numFmtId="0" fontId="13" fillId="2" borderId="6" applyAlignment="1" pivotButton="0" quotePrefix="0" xfId="0">
      <alignment horizontal="right"/>
    </xf>
    <xf numFmtId="0" fontId="13" fillId="2" borderId="11" applyAlignment="1" pivotButton="0" quotePrefix="0" xfId="0">
      <alignment horizontal="right"/>
    </xf>
    <xf numFmtId="0" fontId="13" fillId="2" borderId="12" applyAlignment="1" pivotButton="0" quotePrefix="0" xfId="0">
      <alignment horizontal="center"/>
    </xf>
    <xf numFmtId="0" fontId="12" fillId="0" borderId="9" applyAlignment="1" pivotButton="0" quotePrefix="0" xfId="0">
      <alignment horizontal="left"/>
    </xf>
    <xf numFmtId="0" fontId="12" fillId="0" borderId="5" applyAlignment="1" pivotButton="0" quotePrefix="0" xfId="0">
      <alignment horizontal="left"/>
    </xf>
    <xf numFmtId="4" fontId="12" fillId="0" borderId="5" applyAlignment="1" pivotButton="0" quotePrefix="0" xfId="0">
      <alignment horizontal="right"/>
    </xf>
    <xf numFmtId="4" fontId="12" fillId="0" borderId="10" applyAlignment="1" pivotButton="0" quotePrefix="0" xfId="0">
      <alignment horizontal="right"/>
    </xf>
    <xf numFmtId="164" fontId="11" fillId="0" borderId="5" applyAlignment="1" pivotButton="0" quotePrefix="0" xfId="0">
      <alignment horizontal="right"/>
    </xf>
    <xf numFmtId="4" fontId="12" fillId="0" borderId="13" applyAlignment="1" pivotButton="0" quotePrefix="0" xfId="0">
      <alignment horizontal="right"/>
    </xf>
    <xf numFmtId="4" fontId="11" fillId="0" borderId="5" applyAlignment="1" pivotButton="0" quotePrefix="0" xfId="0">
      <alignment horizontal="right"/>
    </xf>
    <xf numFmtId="2" fontId="11" fillId="0" borderId="5" applyAlignment="1" pivotButton="0" quotePrefix="0" xfId="0">
      <alignment horizontal="right"/>
    </xf>
    <xf numFmtId="4" fontId="12" fillId="0" borderId="9" applyAlignment="1" pivotButton="0" quotePrefix="0" xfId="0">
      <alignment horizontal="right"/>
    </xf>
    <xf numFmtId="0" fontId="11" fillId="0" borderId="10" applyAlignment="1" pivotButton="0" quotePrefix="0" xfId="0">
      <alignment horizontal="center"/>
    </xf>
    <xf numFmtId="0" fontId="12" fillId="0" borderId="4" applyAlignment="1" pivotButton="0" quotePrefix="0" xfId="0">
      <alignment horizontal="right"/>
    </xf>
    <xf numFmtId="2" fontId="12" fillId="0" borderId="2" pivotButton="0" quotePrefix="0" xfId="0"/>
    <xf numFmtId="0" fontId="13" fillId="2" borderId="7" applyAlignment="1" pivotButton="0" quotePrefix="0" xfId="0">
      <alignment horizontal="right"/>
    </xf>
    <xf numFmtId="0" fontId="13" fillId="2" borderId="8" applyAlignment="1" pivotButton="0" quotePrefix="0" xfId="0">
      <alignment horizontal="right"/>
    </xf>
    <xf numFmtId="0" fontId="12" fillId="0" borderId="9" applyAlignment="1" pivotButton="0" quotePrefix="0" xfId="0">
      <alignment horizontal="right"/>
    </xf>
    <xf numFmtId="165" fontId="12" fillId="0" borderId="5" applyAlignment="1" pivotButton="0" quotePrefix="0" xfId="0">
      <alignment horizontal="left"/>
    </xf>
    <xf numFmtId="4" fontId="12" fillId="0" borderId="5" pivotButton="0" quotePrefix="0" xfId="0"/>
    <xf numFmtId="2" fontId="12" fillId="0" borderId="5" pivotButton="0" quotePrefix="0" xfId="0"/>
    <xf numFmtId="2" fontId="12" fillId="0" borderId="10" pivotButton="0" quotePrefix="0" xfId="0"/>
    <xf numFmtId="17" fontId="3" fillId="4" borderId="6" applyAlignment="1" pivotButton="0" quotePrefix="0" xfId="0">
      <alignment horizontal="center"/>
    </xf>
    <xf numFmtId="0" fontId="12" fillId="0" borderId="4" pivotButton="0" quotePrefix="0" xfId="0"/>
    <xf numFmtId="0" fontId="16" fillId="4" borderId="7" applyAlignment="1" pivotButton="0" quotePrefix="0" xfId="0">
      <alignment horizontal="center"/>
    </xf>
    <xf numFmtId="0" fontId="16" fillId="4" borderId="6" applyAlignment="1" pivotButton="0" quotePrefix="0" xfId="0">
      <alignment horizontal="center"/>
    </xf>
    <xf numFmtId="0" fontId="16" fillId="4" borderId="8" applyAlignment="1" pivotButton="0" quotePrefix="0" xfId="0">
      <alignment horizontal="center"/>
    </xf>
    <xf numFmtId="0" fontId="12" fillId="0" borderId="9" pivotButton="0" quotePrefix="0" xfId="0"/>
    <xf numFmtId="0" fontId="12" fillId="0" borderId="5" pivotButton="0" quotePrefix="0" xfId="0"/>
    <xf numFmtId="165" fontId="12" fillId="0" borderId="5" pivotButton="0" quotePrefix="0" xfId="0"/>
    <xf numFmtId="165" fontId="21" fillId="5" borderId="5" pivotButton="0" quotePrefix="0" xfId="0"/>
    <xf numFmtId="4" fontId="22" fillId="8" borderId="5" pivotButton="0" quotePrefix="0" xfId="0"/>
    <xf numFmtId="0" fontId="12" fillId="0" borderId="10" pivotButton="0" quotePrefix="0" xfId="0"/>
    <xf numFmtId="4" fontId="12" fillId="0" borderId="2" pivotButton="0" quotePrefix="0" xfId="0"/>
    <xf numFmtId="4" fontId="12" fillId="0" borderId="10" pivotButton="0" quotePrefix="0" xfId="0"/>
    <xf numFmtId="165" fontId="12" fillId="0" borderId="4" pivotButton="0" quotePrefix="0" xfId="0"/>
    <xf numFmtId="1" fontId="12" fillId="0" borderId="2" pivotButton="0" quotePrefix="0" xfId="0"/>
    <xf numFmtId="165" fontId="12" fillId="0" borderId="9" pivotButton="0" quotePrefix="0" xfId="0"/>
    <xf numFmtId="1" fontId="12" fillId="0" borderId="10" pivotButton="0" quotePrefix="0" xfId="0"/>
    <xf numFmtId="164" fontId="12" fillId="0" borderId="2" pivotButton="0" quotePrefix="0" xfId="0"/>
    <xf numFmtId="164" fontId="12" fillId="0" borderId="10" pivotButton="0" quotePrefix="0" xfId="0"/>
    <xf numFmtId="0" fontId="0" fillId="9" borderId="7" pivotButton="0" quotePrefix="0" xfId="0"/>
    <xf numFmtId="0" fontId="0" fillId="9" borderId="6" pivotButton="0" quotePrefix="0" xfId="0"/>
    <xf numFmtId="0" fontId="0" fillId="9" borderId="8" pivotButton="0" quotePrefix="0" xfId="0"/>
    <xf numFmtId="0" fontId="7" fillId="5" borderId="4" pivotButton="0" quotePrefix="0" xfId="0"/>
    <xf numFmtId="0" fontId="8" fillId="6" borderId="4" pivotButton="0" quotePrefix="0" xfId="0"/>
    <xf numFmtId="0" fontId="7" fillId="5" borderId="2" pivotButton="0" quotePrefix="0" xfId="0"/>
    <xf numFmtId="0" fontId="8" fillId="6" borderId="2" pivotButton="0" quotePrefix="0" xfId="0"/>
    <xf numFmtId="0" fontId="8" fillId="6" borderId="9" pivotButton="0" quotePrefix="0" xfId="0"/>
    <xf numFmtId="4" fontId="8" fillId="6" borderId="5" pivotButton="0" quotePrefix="0" xfId="0"/>
    <xf numFmtId="164" fontId="8" fillId="6" borderId="5" pivotButton="0" quotePrefix="0" xfId="0"/>
    <xf numFmtId="2" fontId="8" fillId="6" borderId="5" pivotButton="0" quotePrefix="0" xfId="0"/>
    <xf numFmtId="0" fontId="8" fillId="6" borderId="10" pivotButton="0" quotePrefix="0" xfId="0"/>
    <xf numFmtId="14" fontId="0" fillId="0" borderId="5" pivotButton="0" quotePrefix="0" xfId="0"/>
    <xf numFmtId="0" fontId="0" fillId="8" borderId="9" pivotButton="0" quotePrefix="0" xfId="0"/>
    <xf numFmtId="49" fontId="0" fillId="0" borderId="3" pivotButton="0" quotePrefix="0" xfId="0"/>
    <xf numFmtId="0" fontId="23" fillId="21" borderId="0" pivotButton="0" quotePrefix="0" xfId="0"/>
    <xf numFmtId="0" fontId="30" fillId="0" borderId="0" applyAlignment="1" pivotButton="0" quotePrefix="0" xfId="0">
      <alignment wrapText="1"/>
    </xf>
    <xf numFmtId="0" fontId="31" fillId="22" borderId="0" pivotButton="0" quotePrefix="0" xfId="0"/>
    <xf numFmtId="0" fontId="31" fillId="22" borderId="0" pivotButton="0" quotePrefix="0" xfId="0"/>
    <xf numFmtId="0" fontId="32" fillId="21" borderId="0" pivotButton="0" quotePrefix="0" xfId="0"/>
    <xf numFmtId="0" fontId="33" fillId="0" borderId="0" pivotButton="0" quotePrefix="0" xfId="0"/>
    <xf numFmtId="0" fontId="25" fillId="0" borderId="5" pivotButton="0" quotePrefix="0" xfId="0"/>
    <xf numFmtId="0" fontId="34" fillId="23" borderId="0" pivotButton="0" quotePrefix="0" xfId="0"/>
    <xf numFmtId="0" fontId="35" fillId="0" borderId="0" applyAlignment="1" pivotButton="0" quotePrefix="0" xfId="0">
      <alignment wrapText="1"/>
    </xf>
    <xf numFmtId="0" fontId="36" fillId="24" borderId="0" pivotButton="0" quotePrefix="0" xfId="0"/>
    <xf numFmtId="0" fontId="37" fillId="0" borderId="0" applyAlignment="1" pivotButton="0" quotePrefix="0" xfId="0">
      <alignment wrapText="1"/>
    </xf>
    <xf numFmtId="0" fontId="38" fillId="25" borderId="0" applyAlignment="1" pivotButton="0" quotePrefix="0" xfId="0">
      <alignment horizontal="center" vertical="center"/>
    </xf>
    <xf numFmtId="0" fontId="39" fillId="25" borderId="0" applyAlignment="1" pivotButton="0" quotePrefix="0" xfId="0">
      <alignment horizontal="center" vertical="center"/>
    </xf>
    <xf numFmtId="1" fontId="40" fillId="25" borderId="0" applyAlignment="1" pivotButton="0" quotePrefix="0" xfId="0">
      <alignment horizontal="center" vertical="center"/>
    </xf>
    <xf numFmtId="2" fontId="40" fillId="25" borderId="0" applyAlignment="1" pivotButton="0" quotePrefix="0" xfId="0">
      <alignment horizontal="center" vertical="center"/>
    </xf>
    <xf numFmtId="167" fontId="40" fillId="25" borderId="0" applyAlignment="1" pivotButton="0" quotePrefix="0" xfId="0">
      <alignment horizontal="center" vertical="center"/>
    </xf>
    <xf numFmtId="0" fontId="36" fillId="23" borderId="0" applyAlignment="1" pivotButton="0" quotePrefix="0" xfId="0">
      <alignment wrapText="1"/>
    </xf>
    <xf numFmtId="0" fontId="41" fillId="0" borderId="0" applyAlignment="1" pivotButton="0" quotePrefix="0" xfId="0">
      <alignment horizontal="center" wrapText="1"/>
    </xf>
    <xf numFmtId="0" fontId="41" fillId="0" borderId="0" applyAlignment="1" pivotButton="0" quotePrefix="0" xfId="0">
      <alignment wrapText="1"/>
    </xf>
    <xf numFmtId="165" fontId="41" fillId="0" borderId="0" applyAlignment="1" pivotButton="0" quotePrefix="0" xfId="0">
      <alignment horizontal="center" wrapText="1"/>
    </xf>
    <xf numFmtId="0" fontId="36" fillId="24" borderId="0" pivotButton="0" quotePrefix="0" xfId="0"/>
    <xf numFmtId="0" fontId="37" fillId="0" borderId="0" applyAlignment="1" pivotButton="0" quotePrefix="0" xfId="0">
      <alignment wrapText="1"/>
    </xf>
    <xf numFmtId="0" fontId="41" fillId="0" borderId="0" pivotButton="0" quotePrefix="0" xfId="0"/>
    <xf numFmtId="0" fontId="34" fillId="21" borderId="0" pivotButton="0" quotePrefix="0" xfId="0"/>
    <xf numFmtId="0" fontId="35" fillId="0" borderId="0" applyAlignment="1" pivotButton="0" quotePrefix="0" xfId="0">
      <alignment wrapText="1"/>
    </xf>
    <xf numFmtId="0" fontId="36" fillId="22" borderId="0" pivotButton="0" quotePrefix="0" xfId="0"/>
    <xf numFmtId="0" fontId="42" fillId="26" borderId="0" applyAlignment="1" pivotButton="0" quotePrefix="0" xfId="0">
      <alignment horizontal="center"/>
    </xf>
    <xf numFmtId="1" fontId="43" fillId="26" borderId="0" applyAlignment="1" pivotButton="0" quotePrefix="0" xfId="0">
      <alignment horizontal="center"/>
    </xf>
    <xf numFmtId="167" fontId="43" fillId="26" borderId="0" applyAlignment="1" pivotButton="0" quotePrefix="0" xfId="0">
      <alignment horizontal="center"/>
    </xf>
    <xf numFmtId="2" fontId="43" fillId="26" borderId="0" applyAlignment="1" pivotButton="0" quotePrefix="0" xfId="0">
      <alignment horizontal="center"/>
    </xf>
    <xf numFmtId="0" fontId="41" fillId="0" borderId="0" pivotButton="1" quotePrefix="0" xfId="0"/>
    <xf numFmtId="1" fontId="41" fillId="0" borderId="0" pivotButton="0" quotePrefix="0" xfId="0"/>
    <xf numFmtId="167" fontId="41" fillId="0" borderId="0" pivotButton="0" quotePrefix="0" xfId="0"/>
    <xf numFmtId="0" fontId="41" fillId="0" borderId="0" applyAlignment="1" pivotButton="0" quotePrefix="0" xfId="0">
      <alignment horizontal="left"/>
    </xf>
    <xf numFmtId="4" fontId="41" fillId="0" borderId="0" pivotButton="0" quotePrefix="0" xfId="0"/>
    <xf numFmtId="164" fontId="41" fillId="0" borderId="0" pivotButton="0" quotePrefix="0" xfId="0"/>
    <xf numFmtId="2" fontId="41" fillId="0" borderId="0" pivotButton="0" quotePrefix="0" xfId="0"/>
    <xf numFmtId="0" fontId="0" fillId="0" borderId="1" pivotButton="0" quotePrefix="0" xfId="0"/>
    <xf numFmtId="0" fontId="0" fillId="0" borderId="13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15" pivotButton="0" quotePrefix="0" xfId="0"/>
    <xf numFmtId="0" fontId="0" fillId="0" borderId="7" pivotButton="0" quotePrefix="0" xfId="0"/>
    <xf numFmtId="165" fontId="0" fillId="0" borderId="3" pivotButton="0" quotePrefix="0" xfId="0"/>
    <xf numFmtId="165" fontId="0" fillId="7" borderId="3" pivotButton="0" quotePrefix="0" xfId="0"/>
    <xf numFmtId="165" fontId="0" fillId="0" borderId="2" pivotButton="0" quotePrefix="0" xfId="0"/>
    <xf numFmtId="164" fontId="0" fillId="0" borderId="3" pivotButton="0" quotePrefix="0" xfId="0"/>
    <xf numFmtId="165" fontId="0" fillId="0" borderId="5" pivotButton="0" quotePrefix="0" xfId="0"/>
    <xf numFmtId="164" fontId="0" fillId="0" borderId="5" pivotButton="0" quotePrefix="0" xfId="0"/>
    <xf numFmtId="165" fontId="1" fillId="9" borderId="3" pivotButton="0" quotePrefix="0" xfId="0"/>
    <xf numFmtId="164" fontId="1" fillId="9" borderId="3" pivotButton="0" quotePrefix="0" xfId="0"/>
    <xf numFmtId="165" fontId="12" fillId="0" borderId="3" applyAlignment="1" pivotButton="0" quotePrefix="0" xfId="0">
      <alignment horizontal="left"/>
    </xf>
    <xf numFmtId="164" fontId="14" fillId="3" borderId="3" applyAlignment="1" pivotButton="0" quotePrefix="0" xfId="0">
      <alignment horizontal="left" vertical="center"/>
    </xf>
    <xf numFmtId="164" fontId="11" fillId="0" borderId="3" applyAlignment="1" pivotButton="0" quotePrefix="0" xfId="0">
      <alignment horizontal="right"/>
    </xf>
    <xf numFmtId="164" fontId="11" fillId="0" borderId="5" applyAlignment="1" pivotButton="0" quotePrefix="0" xfId="0">
      <alignment horizontal="right"/>
    </xf>
    <xf numFmtId="164" fontId="11" fillId="3" borderId="3" applyAlignment="1" pivotButton="0" quotePrefix="0" xfId="0">
      <alignment horizontal="right"/>
    </xf>
    <xf numFmtId="165" fontId="12" fillId="0" borderId="5" applyAlignment="1" pivotButton="0" quotePrefix="0" xfId="0">
      <alignment horizontal="left"/>
    </xf>
    <xf numFmtId="165" fontId="41" fillId="0" borderId="0" applyAlignment="1" pivotButton="0" quotePrefix="0" xfId="0">
      <alignment horizontal="center" wrapText="1"/>
    </xf>
    <xf numFmtId="164" fontId="41" fillId="0" borderId="0" pivotButton="0" quotePrefix="0" xfId="0"/>
    <xf numFmtId="165" fontId="12" fillId="0" borderId="5" pivotButton="0" quotePrefix="0" xfId="0"/>
    <xf numFmtId="165" fontId="21" fillId="5" borderId="5" pivotButton="0" quotePrefix="0" xfId="0"/>
    <xf numFmtId="165" fontId="12" fillId="0" borderId="4" pivotButton="0" quotePrefix="0" xfId="0"/>
    <xf numFmtId="165" fontId="12" fillId="0" borderId="9" pivotButton="0" quotePrefix="0" xfId="0"/>
    <xf numFmtId="164" fontId="12" fillId="0" borderId="2" pivotButton="0" quotePrefix="0" xfId="0"/>
    <xf numFmtId="164" fontId="12" fillId="0" borderId="10" pivotButton="0" quotePrefix="0" xfId="0"/>
    <xf numFmtId="165" fontId="3" fillId="4" borderId="3" applyAlignment="1" pivotButton="0" quotePrefix="0" xfId="0">
      <alignment horizontal="center"/>
    </xf>
    <xf numFmtId="165" fontId="29" fillId="15" borderId="3" applyAlignment="1" pivotButton="0" quotePrefix="0" xfId="0">
      <alignment horizontal="center"/>
    </xf>
    <xf numFmtId="164" fontId="7" fillId="5" borderId="3" pivotButton="0" quotePrefix="0" xfId="0"/>
    <xf numFmtId="164" fontId="8" fillId="6" borderId="3" pivotButton="0" quotePrefix="0" xfId="0"/>
    <xf numFmtId="164" fontId="8" fillId="6" borderId="5" pivotButton="0" quotePrefix="0" xfId="0"/>
    <xf numFmtId="164" fontId="0" fillId="0" borderId="0" pivotButton="0" quotePrefix="0" xfId="0"/>
  </cellXfs>
  <cellStyles count="1">
    <cellStyle name="Normal" xfId="0" builtinId="0"/>
  </cellStyles>
  <dxfs count="584"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  <numFmt numFmtId="1" formatCode="0"/>
    </dxf>
    <dxf>
      <font>
        <name val="Calibri"/>
      </font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1F4E79"/>
      </font>
      <fill>
        <patternFill patternType="solid">
          <fgColor indexed="64"/>
          <bgColor rgb="FFD9EAF7"/>
        </patternFill>
      </fill>
    </dxf>
    <dxf>
      <font>
        <color rgb="FF1F4E79"/>
      </font>
      <fill>
        <patternFill patternType="solid">
          <fgColor indexed="64"/>
          <bgColor rgb="FFD9EAF7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FFFFFF"/>
      </font>
      <fill>
        <patternFill patternType="solid">
          <fgColor indexed="64"/>
          <bgColor rgb="FF2E7D32"/>
        </patternFill>
      </fill>
    </dxf>
    <dxf>
      <font>
        <color rgb="FF111827"/>
      </font>
      <fill>
        <patternFill patternType="solid">
          <fgColor indexed="64"/>
          <bgColor rgb="FFF59E0B"/>
        </patternFill>
      </fill>
    </dxf>
    <dxf>
      <font>
        <color rgb="FFFFFFFF"/>
      </font>
      <fill>
        <patternFill patternType="solid">
          <fgColor indexed="64"/>
          <bgColor rgb="FFC62828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name val="Calibri"/>
      </font>
      <numFmt numFmtId="164" formatCode="yyyy\-mm\-dd"/>
      <alignment horizontal="center" wrapText="1"/>
    </dxf>
    <dxf>
      <font>
        <name val="Calibri"/>
      </font>
      <alignment wrapText="1"/>
    </dxf>
    <dxf>
      <font>
        <name val="Calibri"/>
        <b val="1"/>
        <color rgb="FFFFFFFF"/>
      </font>
      <fill>
        <patternFill patternType="solid">
          <fgColor indexed="64"/>
          <bgColor rgb="FF7F1D1D"/>
        </patternFill>
      </fill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horizontal="center" wrapText="1"/>
    </dxf>
    <dxf>
      <font>
        <name val="Calibri"/>
      </font>
      <alignment horizontal="center" wrapText="1"/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0.0%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9" formatCode="m/d/yyyy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9" formatCode="m/d/yyyy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fill>
        <patternFill patternType="solid">
          <fgColor indexed="64"/>
          <bgColor rgb="FFF4CCCC"/>
        </patternFill>
      </fill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fill>
        <patternFill patternType="solid">
          <fgColor indexed="64"/>
          <bgColor rgb="FFF4CCCC"/>
        </patternFill>
      </fill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2" formatCode="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2" formatCode="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165" formatCode="0.0%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fill>
        <patternFill patternType="solid">
          <fgColor indexed="64"/>
          <bgColor rgb="FFF4CCCC"/>
        </patternFill>
      </fill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ill>
        <patternFill patternType="solid">
          <fgColor indexed="64"/>
          <bgColor rgb="FFE2F0D9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bottom style="thin">
          <color rgb="FFB7B7B7"/>
        </bottom>
      </border>
    </dxf>
    <dxf>
      <border outline="0">
        <top style="thin">
          <color rgb="FFB7B7B7"/>
        </top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0.0%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left style="thin">
          <color rgb="FFB7B7B7"/>
        </left>
        <right style="thin">
          <color rgb="FFB7B7B7"/>
        </right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65" formatCode="0.0%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64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64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64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" formatCode="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64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/>
        <top style="thin">
          <color rgb="FFB7B7B7"/>
        </top>
        <bottom/>
        <vertical/>
        <horizontal/>
      </border>
    </dxf>
    <dxf>
      <font>
        <name val="Aptos"/>
        <strike val="0"/>
        <outline val="0"/>
        <shadow val="0"/>
        <condense val="0"/>
        <color rgb="FF333333"/>
        <extend val="0"/>
        <sz val="10"/>
        <vertAlign val="baseline"/>
      </font>
      <numFmt numFmtId="4" formatCode="#,##0.00"/>
      <fill>
        <patternFill patternType="solid">
          <fgColor indexed="64"/>
          <bgColor rgb="FFF3F6F4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name val="Aptos"/>
        <b val="1"/>
        <strike val="0"/>
        <outline val="0"/>
        <shadow val="0"/>
        <condense val="0"/>
        <color rgb="FF990000"/>
        <extend val="0"/>
        <sz val="10"/>
        <vertAlign val="baseline"/>
      </font>
      <numFmt numFmtId="164" formatCode="yyyy\-mm\-dd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64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/>
        <right style="thin">
          <color rgb="FFB7B7B7"/>
        </right>
        <top style="thin">
          <color rgb="FFB7B7B7"/>
        </top>
        <bottom/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333333"/>
        <extend val="0"/>
        <sz val="10"/>
        <vertAlign val="baseline"/>
      </font>
      <fill>
        <patternFill patternType="solid">
          <fgColor rgb="FFF2F4F4"/>
          <bgColor rgb="FFF2F4F4"/>
        </patternFill>
      </fill>
      <alignment horizontal="right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64" formatCode="yyyy\-mm\-dd"/>
      <alignment horizontal="lef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alignment horizontal="right" vertical="bottom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bottom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2" formatCode="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2" formatCode="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/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165" formatCode="0.0%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bottom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b val="1"/>
        <strike val="0"/>
        <outline val="0"/>
        <shadow val="0"/>
        <condense val="0"/>
        <color theme="1"/>
        <extend val="0"/>
        <sz val="10"/>
        <vertAlign val="baseline"/>
      </font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b val="1"/>
        <strike val="0"/>
        <outline val="0"/>
        <shadow val="0"/>
        <condense val="0"/>
        <color theme="1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274E13"/>
        <extend val="0"/>
        <sz val="11"/>
        <vertAlign val="baseline"/>
        <scheme val="minor"/>
      </font>
      <fill>
        <patternFill patternType="solid">
          <fgColor indexed="64"/>
          <bgColor rgb="FFD9EAD3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0.0%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274E13"/>
        <extend val="0"/>
        <sz val="11"/>
        <vertAlign val="baseline"/>
        <scheme val="minor"/>
      </font>
      <fill>
        <patternFill patternType="solid">
          <fgColor indexed="64"/>
          <bgColor rgb="FFD9EAD3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wrapText="1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wrapText="1"/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bottom style="thin">
          <color rgb="FFB7B7B7"/>
        </bottom>
      </border>
    </dxf>
    <dxf>
      <border outline="0"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4F6D7A"/>
        <extend val="0"/>
        <sz val="11"/>
        <vertAlign val="baseline"/>
        <scheme val="minor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bottom style="thin">
          <color rgb="FFB7B7B7"/>
        </bottom>
      </border>
    </dxf>
    <dxf>
      <border outline="0">
        <top style="thin">
          <color rgb="FFB7B7B7"/>
        </top>
      </border>
    </dxf>
    <dxf>
      <fill>
        <patternFill patternType="solid">
          <fgColor rgb="00FDEDEC"/>
          <bgColor rgb="00FDEDEC"/>
        </patternFill>
      </fill>
      <border>
        <left style="dotted">
          <color rgb="00FF0000"/>
        </left>
        <right style="dotted">
          <color rgb="00FF0000"/>
        </right>
      </border>
    </dxf>
    <dxf>
      <font>
        <b val="1"/>
        <color rgb="00F39C12"/>
      </font>
      <fill>
        <patternFill patternType="solid">
          <fgColor rgb="00FEF9E7"/>
          <bgColor rgb="00FEF9E7"/>
        </patternFill>
      </fill>
      <border>
        <left style="thin">
          <color rgb="00F39C12"/>
        </left>
        <right style="thin">
          <color rgb="00F39C12"/>
        </right>
        <top style="thin">
          <color rgb="00F39C12"/>
        </top>
        <bottom style="thin">
          <color rgb="00F39C12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pivotCacheDefinition" Target="/xl/pivotCache/pivotCacheDefinition1.xml" Id="rId26"/><Relationship Type="http://schemas.openxmlformats.org/officeDocument/2006/relationships/pivotCacheDefinition" Target="/xl/pivotCache/pivotCacheDefinition2.xml" Id="rId27"/><Relationship Type="http://schemas.openxmlformats.org/officeDocument/2006/relationships/pivotCacheDefinition" Target="/xl/pivotCache/pivotCacheDefinition3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3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Baseline Gantt Schedule by WBS — RAG Bars + 2026-06-30 Status Line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3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nb-NO"/>
        </a:p>
      </txPr>
    </title>
    <plotArea>
      <layout/>
      <barChart>
        <barDir val="bar"/>
        <grouping val="stacked"/>
        <varyColors val="0"/>
        <ser>
          <idx val="0"/>
          <order val="0"/>
          <tx>
            <strRef>
              <f>'EVM Charts'!$E$4</f>
              <strCache>
                <ptCount val="1"/>
                <pt idx="0">
                  <v>Start Offset</v>
                </pt>
              </strCache>
            </strRef>
          </tx>
          <spPr>
            <a:solidFill xmlns:a="http://schemas.openxmlformats.org/drawingml/2006/main">
              <a:srgbClr val="FFFFF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nb-NO"/>
              </a:p>
            </txPr>
            <dLblPos val="inEnd"/>
            <showLegendKey val="0"/>
            <showVal val="0"/>
            <showCatName val="1"/>
            <showSerName val="0"/>
            <showPercent val="0"/>
            <showBubbleSize val="0"/>
            <showLeaderLines val="0"/>
          </dLbls>
          <cat>
            <strRef>
              <f>'EVM Charts'!$B$5:$B$16</f>
              <strCache>
                <ptCount val="12"/>
                <pt idx="0">
                  <v>Project Management</v>
                </pt>
                <pt idx="1">
                  <v>Site Survey &amp; Mobilization</v>
                </pt>
                <pt idx="2">
                  <v>Design &amp; Engineering</v>
                </pt>
                <pt idx="3">
                  <v>Procurement - Materials</v>
                </pt>
                <pt idx="4">
                  <v>Demolition &amp; Prep</v>
                </pt>
                <pt idx="5">
                  <v>Electrical Rough-In</v>
                </pt>
                <pt idx="6">
                  <v>HVAC Installation</v>
                </pt>
                <pt idx="7">
                  <v>Partitions &amp; Drywall</v>
                </pt>
                <pt idx="8">
                  <v>Flooring</v>
                </pt>
                <pt idx="9">
                  <v>Fixtures &amp; Furniture</v>
                </pt>
                <pt idx="10">
                  <v>Testing / Commissioning</v>
                </pt>
                <pt idx="11">
                  <v>Handover &amp; Closeout</v>
                </pt>
              </strCache>
            </strRef>
          </cat>
          <val>
            <numRef>
              <f>'EVM Charts'!$E$5:$E$16</f>
              <numCache>
                <formatCode>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7</v>
                </pt>
                <pt idx="4">
                  <v>7</v>
                </pt>
                <pt idx="5">
                  <v>21</v>
                </pt>
                <pt idx="6">
                  <v>28</v>
                </pt>
                <pt idx="7">
                  <v>35</v>
                </pt>
                <pt idx="8">
                  <v>49</v>
                </pt>
                <pt idx="9">
                  <v>56</v>
                </pt>
                <pt idx="10">
                  <v>70</v>
                </pt>
                <pt idx="11">
                  <v>77</v>
                </pt>
              </numCache>
            </numRef>
          </val>
        </ser>
        <ser>
          <idx val="1"/>
          <order val="1"/>
          <tx>
            <strRef>
              <f>'EVM Charts'!$F$4</f>
              <strCache>
                <ptCount val="1"/>
                <pt idx="0">
                  <v>Duration Days</v>
                </pt>
              </strCache>
            </strRef>
          </tx>
          <spPr>
            <a:solidFill xmlns:a="http://schemas.openxmlformats.org/drawingml/2006/main">
              <a:schemeClr val="bg1">
                <a:lumMod val="85000"/>
              </a:schemeClr>
            </a:solidFill>
            <a:ln xmlns:a="http://schemas.openxmlformats.org/drawingml/2006/main">
              <a:solidFill>
                <a:srgbClr val="666666"/>
              </a:solidFill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5"/>
            <invertIfNegative val="0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6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7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8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9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10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11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Lbls>
            <delete val="1"/>
          </dLbls>
          <cat>
            <strRef>
              <f>'EVM Charts'!$B$5:$B$16</f>
              <strCache>
                <ptCount val="12"/>
                <pt idx="0">
                  <v>Project Management</v>
                </pt>
                <pt idx="1">
                  <v>Site Survey &amp; Mobilization</v>
                </pt>
                <pt idx="2">
                  <v>Design &amp; Engineering</v>
                </pt>
                <pt idx="3">
                  <v>Procurement - Materials</v>
                </pt>
                <pt idx="4">
                  <v>Demolition &amp; Prep</v>
                </pt>
                <pt idx="5">
                  <v>Electrical Rough-In</v>
                </pt>
                <pt idx="6">
                  <v>HVAC Installation</v>
                </pt>
                <pt idx="7">
                  <v>Partitions &amp; Drywall</v>
                </pt>
                <pt idx="8">
                  <v>Flooring</v>
                </pt>
                <pt idx="9">
                  <v>Fixtures &amp; Furniture</v>
                </pt>
                <pt idx="10">
                  <v>Testing / Commissioning</v>
                </pt>
                <pt idx="11">
                  <v>Handover &amp; Closeout</v>
                </pt>
              </strCache>
            </strRef>
          </cat>
          <val>
            <numRef>
              <f>'EVM Charts'!$F$5:$F$16</f>
              <numCache>
                <formatCode>0</formatCode>
                <ptCount val="12"/>
                <pt idx="0">
                  <v>84</v>
                </pt>
                <pt idx="1">
                  <v>7</v>
                </pt>
                <pt idx="2">
                  <v>21</v>
                </pt>
                <pt idx="3">
                  <v>28</v>
                </pt>
                <pt idx="4">
                  <v>21</v>
                </pt>
                <pt idx="5">
                  <v>21</v>
                </pt>
                <pt idx="6">
                  <v>28</v>
                </pt>
                <pt idx="7">
                  <v>28</v>
                </pt>
                <pt idx="8">
                  <v>21</v>
                </pt>
                <pt idx="9">
                  <v>21</v>
                </pt>
                <pt idx="10">
                  <v>14</v>
                </pt>
                <pt idx="11">
                  <v>7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1694832975"/>
        <axId val="1078821968"/>
      </barChart>
      <catAx>
        <axId val="1694832975"/>
        <scaling>
          <orientation val="minMax"/>
        </scaling>
        <delete val="1"/>
        <axPos val="l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WBS Activity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143583341862684"/>
              <y val="0.2837863975056809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nb-NO"/>
            </a:p>
          </txPr>
        </title>
        <numFmt formatCode="General" sourceLinked="1"/>
        <majorTickMark val="none"/>
        <minorTickMark val="none"/>
        <tickLblPos val="nextTo"/>
        <crossAx val="1078821968"/>
        <crosses val="autoZero"/>
        <auto val="1"/>
        <lblAlgn val="ctr"/>
        <lblOffset val="100"/>
        <noMultiLvlLbl val="0"/>
      </catAx>
      <valAx>
        <axId val="107882196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nb-NO"/>
          </a:p>
        </txPr>
        <crossAx val="169483297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nb-NO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3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EVM S-Curve — RAG Lines + 2026-06-30 Status Line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3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nb-NO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'EVM Charts'!$C$23</f>
              <strCache>
                <ptCount val="1"/>
                <pt idx="0">
                  <v>Cum PV</v>
                </pt>
              </strCache>
            </strRef>
          </tx>
          <spPr>
            <a:ln xmlns:a="http://schemas.openxmlformats.org/drawingml/2006/main" w="28575" cap="rnd">
              <a:solidFill>
                <a:srgbClr val="70AD47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'EVM Charts'!$B$24:$B$35</f>
              <numCache>
                <formatCode>yyyy\-mm\-dd</formatCode>
                <ptCount val="12"/>
                <pt idx="0">
                  <v>46150</v>
                </pt>
                <pt idx="1">
                  <v>46157</v>
                </pt>
                <pt idx="2">
                  <v>46164</v>
                </pt>
                <pt idx="3">
                  <v>46171</v>
                </pt>
                <pt idx="4">
                  <v>46178</v>
                </pt>
                <pt idx="5">
                  <v>46185</v>
                </pt>
                <pt idx="6">
                  <v>46192</v>
                </pt>
                <pt idx="7">
                  <v>46199</v>
                </pt>
                <pt idx="8">
                  <v>46206</v>
                </pt>
                <pt idx="9">
                  <v>46213</v>
                </pt>
                <pt idx="10">
                  <v>46220</v>
                </pt>
                <pt idx="11">
                  <v>46227</v>
                </pt>
              </numCache>
            </numRef>
          </cat>
          <val>
            <numRef>
              <f>'EVM Charts'!$C$24:$C$35</f>
              <numCache>
                <formatCode>#,##0.00</formatCode>
                <ptCount val="12"/>
                <pt idx="0">
                  <v>16400</v>
                </pt>
                <pt idx="1">
                  <v>39200</v>
                </pt>
                <pt idx="2">
                  <v>62000</v>
                </pt>
                <pt idx="3">
                  <v>87066.67</v>
                </pt>
                <pt idx="4">
                  <v>116733.34</v>
                </pt>
                <pt idx="5">
                  <v>142900</v>
                </pt>
                <pt idx="6">
                  <v>160400</v>
                </pt>
                <pt idx="7">
                  <v>189816.67</v>
                </pt>
                <pt idx="8">
                  <v>220233.34</v>
                </pt>
                <pt idx="9">
                  <v>243650</v>
                </pt>
                <pt idx="10">
                  <v>259350</v>
                </pt>
                <pt idx="11">
                  <v>268650</v>
                </pt>
              </numCache>
            </numRef>
          </val>
          <smooth val="0"/>
        </ser>
        <ser>
          <idx val="1"/>
          <order val="1"/>
          <tx>
            <strRef>
              <f>'EVM Charts'!$D$23</f>
              <strCache>
                <ptCount val="1"/>
                <pt idx="0">
                  <v>Cum AC</v>
                </pt>
              </strCache>
            </strRef>
          </tx>
          <spPr>
            <a:ln xmlns:a="http://schemas.openxmlformats.org/drawingml/2006/main" w="28575" cap="rnd">
              <a:solidFill>
                <a:srgbClr val="C0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'EVM Charts'!$B$24:$B$35</f>
              <numCache>
                <formatCode>yyyy\-mm\-dd</formatCode>
                <ptCount val="12"/>
                <pt idx="0">
                  <v>46150</v>
                </pt>
                <pt idx="1">
                  <v>46157</v>
                </pt>
                <pt idx="2">
                  <v>46164</v>
                </pt>
                <pt idx="3">
                  <v>46171</v>
                </pt>
                <pt idx="4">
                  <v>46178</v>
                </pt>
                <pt idx="5">
                  <v>46185</v>
                </pt>
                <pt idx="6">
                  <v>46192</v>
                </pt>
                <pt idx="7">
                  <v>46199</v>
                </pt>
                <pt idx="8">
                  <v>46206</v>
                </pt>
                <pt idx="9">
                  <v>46213</v>
                </pt>
                <pt idx="10">
                  <v>46220</v>
                </pt>
                <pt idx="11">
                  <v>46227</v>
                </pt>
              </numCache>
            </numRef>
          </cat>
          <val>
            <numRef>
              <f>'EVM Charts'!$D$24:$D$35</f>
              <numCache>
                <formatCode>#,##0.00</formatCode>
                <ptCount val="12"/>
                <pt idx="0">
                  <v>16295.04</v>
                </pt>
                <pt idx="1">
                  <v>38949.12</v>
                </pt>
                <pt idx="2">
                  <v>61603.2</v>
                </pt>
                <pt idx="3">
                  <v>86509.44000000002</v>
                </pt>
                <pt idx="4">
                  <v>115986.24</v>
                </pt>
                <pt idx="5">
                  <v>141985.44</v>
                </pt>
                <pt idx="6">
                  <v>141985.44</v>
                </pt>
                <pt idx="7">
                  <v>141985.44</v>
                </pt>
                <pt idx="8">
                  <v>141985.44</v>
                </pt>
                <pt idx="9">
                  <v>141985.44</v>
                </pt>
                <pt idx="10">
                  <v>141985.44</v>
                </pt>
                <pt idx="11">
                  <v>141985.44</v>
                </pt>
              </numCache>
            </numRef>
          </val>
          <smooth val="0"/>
        </ser>
        <ser>
          <idx val="2"/>
          <order val="2"/>
          <tx>
            <strRef>
              <f>'EVM Charts'!$E$23</f>
              <strCache>
                <ptCount val="1"/>
                <pt idx="0">
                  <v>Cum EV</v>
                </pt>
              </strCache>
            </strRef>
          </tx>
          <spPr>
            <a:ln xmlns:a="http://schemas.openxmlformats.org/drawingml/2006/main" w="31750" cap="rnd">
              <a:solidFill>
                <a:srgbClr val="FFC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'EVM Charts'!$B$24:$B$35</f>
              <numCache>
                <formatCode>yyyy\-mm\-dd</formatCode>
                <ptCount val="12"/>
                <pt idx="0">
                  <v>46150</v>
                </pt>
                <pt idx="1">
                  <v>46157</v>
                </pt>
                <pt idx="2">
                  <v>46164</v>
                </pt>
                <pt idx="3">
                  <v>46171</v>
                </pt>
                <pt idx="4">
                  <v>46178</v>
                </pt>
                <pt idx="5">
                  <v>46185</v>
                </pt>
                <pt idx="6">
                  <v>46192</v>
                </pt>
                <pt idx="7">
                  <v>46199</v>
                </pt>
                <pt idx="8">
                  <v>46206</v>
                </pt>
                <pt idx="9">
                  <v>46213</v>
                </pt>
                <pt idx="10">
                  <v>46220</v>
                </pt>
                <pt idx="11">
                  <v>46227</v>
                </pt>
              </numCache>
            </numRef>
          </cat>
          <val>
            <numRef>
              <f>'EVM Charts'!$E$24:$E$35</f>
              <numCache>
                <formatCode>#,##0.00</formatCode>
                <ptCount val="12"/>
                <pt idx="0">
                  <v>15087.994</v>
                </pt>
                <pt idx="1">
                  <v>36064.0036</v>
                </pt>
                <pt idx="2">
                  <v>57040</v>
                </pt>
                <pt idx="3">
                  <v>80101.32799999999</v>
                </pt>
                <pt idx="4">
                  <v>107394.674</v>
                </pt>
                <pt idx="5">
                  <v>131467.996</v>
                </pt>
                <pt idx="6">
                  <v>131467.996</v>
                </pt>
                <pt idx="7">
                  <v>131467.996</v>
                </pt>
                <pt idx="8">
                  <v>131467.996</v>
                </pt>
                <pt idx="9">
                  <v>131467.996</v>
                </pt>
                <pt idx="10">
                  <v>131467.996</v>
                </pt>
                <pt idx="11">
                  <v>131467.996</v>
                </pt>
              </numCache>
            </numRef>
          </val>
          <smooth val="0"/>
        </ser>
        <ser>
          <idx val="3"/>
          <order val="3"/>
          <tx>
            <strRef>
              <f>'EVM Charts'!H23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howVal val="1"/>
          </dLbls>
          <val>
            <numRef>
              <f>'EVM Charts'!$H$24:$H$35</f>
            </numRef>
          </val>
        </ser>
        <ser>
          <idx val="4"/>
          <order val="4"/>
          <tx>
            <strRef>
              <f>'EVM Charts'!I23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howVal val="1"/>
          </dLbls>
          <val>
            <numRef>
              <f>'EVM Charts'!$I$24:$I$35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39690000"/>
        <axId val="1078743728"/>
      </lineChart>
      <dateAx>
        <axId val="639690000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Week Date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nb-NO"/>
            </a:p>
          </txPr>
        </title>
        <numFmt formatCode="dd\ mmm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nb-NO"/>
          </a:p>
        </txPr>
        <crossAx val="1078743728"/>
        <crosses val="autoZero"/>
        <lblOffset val="100"/>
        <baseTimeUnit val="days"/>
      </dateAx>
      <valAx>
        <axId val="10787437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Cumulative NOK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nb-NO"/>
            </a:p>
          </txPr>
        </title>
        <numFmt formatCode="#,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nb-NO"/>
          </a:p>
        </txPr>
        <crossAx val="63969000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nb-NO"/>
        </a:p>
      </txPr>
    </legend>
    <plotVisOnly val="0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19050</colOff>
      <row>1</row>
      <rowOff>73025</rowOff>
    </from>
    <to>
      <col>12</col>
      <colOff>161924</colOff>
      <row>1</row>
      <rowOff>3854450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12</col>
      <colOff>244475</colOff>
      <row>1</row>
      <rowOff>63500</rowOff>
    </from>
    <to>
      <col>20</col>
      <colOff>133350</colOff>
      <row>1</row>
      <rowOff>3648075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3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Frank Ellingsen" refreshedDate="46238.83787685185" createdVersion="8" refreshedVersion="8" minRefreshableVersion="3" recordCount="12" r:id="rId1">
  <cacheSource type="worksheet">
    <worksheetSource ref="A4:T16" sheet="Task Plan"/>
  </cacheSource>
  <cacheFields count="20">
    <cacheField name="WBS ID" uniqueList="1" numFmtId="0" sqlType="0" hierarchy="0" level="0" databaseField="1">
      <sharedItems count="0"/>
    </cacheField>
    <cacheField name="WBS Code" uniqueList="1" numFmtId="0" sqlType="0" hierarchy="0" level="0" databaseField="1">
      <sharedItems count="0" containsInteger="1" containsNumber="1" containsSemiMixedTypes="0" containsString="0" minValue="1" maxValue="12"/>
    </cacheField>
    <cacheField name="Task / Activity" uniqueList="1" numFmtId="0" sqlType="0" hierarchy="0" level="0" databaseField="1">
      <sharedItems count="0"/>
    </cacheField>
    <cacheField name="Type" uniqueList="1" numFmtId="0" sqlType="0" hierarchy="0" level="0" databaseField="1">
      <sharedItems count="3">
        <s v="Labor"/>
        <s v="Material"/>
        <s v="Subcontractor"/>
      </sharedItems>
    </cacheField>
    <cacheField name="Baseline Start" uniqueList="1" numFmtId="164" sqlType="0" hierarchy="0" level="0" databaseField="1">
      <sharedItems count="0" containsDate="1" containsNonDate="0" containsSemiMixedTypes="0" containsString="0" minDate="2026-05-04T00:00:00" maxDate="2026-07-21T00:00:00"/>
    </cacheField>
    <cacheField name="Baseline Finish" uniqueList="1" numFmtId="164" sqlType="0" hierarchy="0" level="0" databaseField="1">
      <sharedItems count="0" containsDate="1" containsNonDate="0" containsSemiMixedTypes="0" containsString="0" minDate="2026-05-10T00:00:00" maxDate="2026-07-27T00:00:00"/>
    </cacheField>
    <cacheField name="Duration Days" uniqueList="1" numFmtId="1" sqlType="0" hierarchy="0" level="0" databaseField="1">
      <sharedItems count="0" containsInteger="1" containsNumber="1" containsSemiMixedTypes="0" containsString="0" minValue="7" maxValue="84"/>
    </cacheField>
    <cacheField name="BAC (NOK)" uniqueList="1" numFmtId="4" sqlType="0" hierarchy="0" level="0" databaseField="1">
      <sharedItems count="0" containsInteger="1" containsNumber="1" containsSemiMixedTypes="0" containsString="0" minValue="3600" maxValue="42000"/>
    </cacheField>
    <cacheField name="PV @ Status" uniqueList="1" numFmtId="4" sqlType="0" hierarchy="0" level="0" databaseField="1">
      <sharedItems count="0" containsNumber="1" containsSemiMixedTypes="0" containsString="0" minValue="0" maxValue="42000"/>
    </cacheField>
    <cacheField name="AC @ Status" uniqueList="1" numFmtId="4" sqlType="0" hierarchy="0" level="0" databaseField="1">
      <sharedItems count="0" containsNumber="1" containsSemiMixedTypes="0" containsString="0" minValue="0" maxValue="41300"/>
    </cacheField>
    <cacheField name="Progress %" uniqueList="1" numFmtId="165" sqlType="0" hierarchy="0" level="0" databaseField="1">
      <sharedItems count="0" containsNumber="1" containsSemiMixedTypes="0" containsString="0" minValue="0" maxValue="1"/>
    </cacheField>
    <cacheField name="EV @ Status" uniqueList="1" numFmtId="4" sqlType="0" hierarchy="0" level="0" databaseField="1">
      <sharedItems count="0" containsNumber="1" containsSemiMixedTypes="0" containsString="0" minValue="0" maxValue="42000"/>
    </cacheField>
    <cacheField name="SV" uniqueList="1" numFmtId="4" sqlType="0" hierarchy="0" level="0" databaseField="1">
      <sharedItems count="0" containsNumber="1" containsSemiMixedTypes="0" containsString="0" minValue="-23833.34" maxValue="0"/>
    </cacheField>
    <cacheField name="CV" uniqueList="1" numFmtId="4" sqlType="0" hierarchy="0" level="0" databaseField="1">
      <sharedItems count="0" containsNumber="1" containsSemiMixedTypes="0" containsString="0" minValue="-8006.239999999998" maxValue="1004.959999999999"/>
    </cacheField>
    <cacheField name="SPI" uniqueList="1" numFmtId="2" sqlType="0" hierarchy="0" level="0" databaseField="1">
      <sharedItems count="0" containsNumber="1" containsSemiMixedTypes="0" containsString="0" minValue="0" maxValue="1"/>
    </cacheField>
    <cacheField name="CPI" uniqueList="1" numFmtId="2" sqlType="0" hierarchy="0" level="0" databaseField="1">
      <sharedItems count="0" containsNumber="1" containsSemiMixedTypes="0" containsString="0" minValue="0.6944910830397646" maxValue="1.055232634827953"/>
    </cacheField>
    <cacheField name="EAC" uniqueList="1" numFmtId="4" sqlType="0" hierarchy="0" level="0" databaseField="1">
      <sharedItems count="0" containsNumber="1" containsSemiMixedTypes="0" containsString="0" minValue="3600" maxValue="43692"/>
    </cacheField>
    <cacheField name="ETC" uniqueList="1" numFmtId="4" sqlType="0" hierarchy="0" level="0" databaseField="1">
      <sharedItems count="0" containsNumber="1" containsSemiMixedTypes="0" containsString="0" minValue="0" maxValue="35750"/>
    </cacheField>
    <cacheField name="VAC" uniqueList="1" numFmtId="4" sqlType="0" hierarchy="0" level="0" databaseField="1">
      <sharedItems count="0" containsNumber="1" containsSemiMixedTypes="0" containsString="0" minValue="-11437.48571428571" maxValue="1004.959999999999"/>
    </cacheField>
    <cacheField name="Status" uniqueList="1" numFmtId="0" sqlType="0" hierarchy="0" level="0" databaseField="1">
      <sharedItems count="2">
        <s v="Red"/>
        <s v="Green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Frank Ellingsen" refreshedDate="46238.83791122685" createdVersion="8" refreshedVersion="8" minRefreshableVersion="3" recordCount="99" r:id="rId1">
  <cacheSource type="worksheet">
    <worksheetSource ref="A1:E100" sheet="Fact_Actual_Costs"/>
  </cacheSource>
  <cacheFields count="5">
    <cacheField name="Date" uniqueList="1" numFmtId="164" sqlType="0" hierarchy="0" level="0" databaseField="1">
      <sharedItems count="0" containsDate="1" containsNonDate="0" containsSemiMixedTypes="0" containsString="0" minDate="2026-05-04T00:00:00" maxDate="2026-06-13T00:00:00"/>
    </cacheField>
    <cacheField name="WBS_ID" uniqueList="1" numFmtId="0" sqlType="0" hierarchy="0" level="0" databaseField="1">
      <sharedItems count="8">
        <s v="WBS-01"/>
        <s v="WBS-02"/>
        <s v="WBS-03"/>
        <s v="WBS-04"/>
        <s v="WBS-05"/>
        <s v="WBS-06"/>
        <s v="WBS-07"/>
        <s v="WBS-08"/>
      </sharedItems>
    </cacheField>
    <cacheField name="Resource_ID" uniqueList="1" numFmtId="0" sqlType="0" hierarchy="0" level="0" databaseField="1">
      <sharedItems count="0"/>
    </cacheField>
    <cacheField name="Actual_Cost" uniqueList="1" numFmtId="4" sqlType="0" hierarchy="0" level="0" databaseField="1">
      <sharedItems count="0" containsNumber="1" containsSemiMixedTypes="0" containsString="0" minValue="320" maxValue="10500"/>
    </cacheField>
    <cacheField name="Hours_Worked" uniqueList="1" numFmtId="2" sqlType="0" hierarchy="0" level="0" databaseField="1">
      <sharedItems count="0" containsNumber="1" containsSemiMixedTypes="0" containsString="0" minValue="0" maxValue="0.79"/>
    </cacheField>
  </cacheFields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refreshedBy="Frank Ellingsen" refreshedDate="46238.83791886574" createdVersion="8" refreshedVersion="8" minRefreshableVersion="3" recordCount="12" r:id="rId1">
  <cacheSource type="worksheet">
    <worksheetSource ref="A4:N16" sheet="EVM"/>
  </cacheSource>
  <cacheFields count="14">
    <cacheField name="Week" uniqueList="1" numFmtId="0" sqlType="0" hierarchy="0" level="0" databaseField="1">
      <sharedItems count="12" containsInteger="1" containsNumber="1" containsSemiMixedTypes="0" containsString="0" minValue="1" maxValue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Week Date" uniqueList="1" numFmtId="164" sqlType="0" hierarchy="0" level="0" databaseField="1">
      <sharedItems count="0" containsDate="1" containsNonDate="0" containsSemiMixedTypes="0" containsString="0" minDate="2026-05-08T00:00:00" maxDate="2026-07-25T00:00:00"/>
    </cacheField>
    <cacheField name="Cum PV" uniqueList="1" numFmtId="4" sqlType="0" hierarchy="0" level="0" databaseField="1">
      <sharedItems count="0" containsNumber="1" containsSemiMixedTypes="0" containsString="0" minValue="16400" maxValue="268650"/>
    </cacheField>
    <cacheField name="Cum AC" uniqueList="1" numFmtId="4" sqlType="0" hierarchy="0" level="0" databaseField="1">
      <sharedItems count="0" containsNumber="1" containsSemiMixedTypes="0" containsString="0" minValue="16295.04" maxValue="141985.44"/>
    </cacheField>
    <cacheField name="Cum EV" uniqueList="1" numFmtId="4" sqlType="0" hierarchy="0" level="0" databaseField="1">
      <sharedItems count="0" containsNumber="1" containsSemiMixedTypes="0" containsString="0" minValue="15087.994" maxValue="131467.996"/>
    </cacheField>
    <cacheField name="SV" uniqueList="1" numFmtId="4" sqlType="0" hierarchy="0" level="0" databaseField="1">
      <sharedItems count="0" containsNumber="1" containsSemiMixedTypes="0" containsString="0" minValue="-137182.004" maxValue="-1312.005999999999"/>
    </cacheField>
    <cacheField name="CV" uniqueList="1" numFmtId="4" sqlType="0" hierarchy="0" level="0" databaseField="1">
      <sharedItems count="0" containsNumber="1" containsSemiMixedTypes="0" containsString="0" minValue="-10517.44399999999" maxValue="-1207.046"/>
    </cacheField>
    <cacheField name="SPI" uniqueList="1" numFmtId="2" sqlType="0" hierarchy="0" level="0" databaseField="1">
      <sharedItems count="0" containsNumber="1" containsSemiMixedTypes="0" containsString="0" minValue="0.4893653303554812" maxValue="0.9200000918367348"/>
    </cacheField>
    <cacheField name="CPI" uniqueList="1" numFmtId="2" sqlType="0" hierarchy="0" level="0" databaseField="1">
      <sharedItems count="0" containsNumber="1" containsSemiMixedTypes="0" containsString="0" minValue="0.925925557715722" maxValue="0.9259260183542016"/>
    </cacheField>
    <cacheField name="BAC" uniqueList="1" numFmtId="4" sqlType="0" hierarchy="0" level="0" databaseField="1">
      <sharedItems count="0" containsInteger="1" containsNumber="1" containsSemiMixedTypes="0" containsString="0" minValue="268650" maxValue="268650"/>
    </cacheField>
    <cacheField name="EAC" uniqueList="1" numFmtId="4" sqlType="0" hierarchy="0" level="0" databaseField="1">
      <sharedItems count="0" containsNumber="1" containsSemiMixedTypes="0" containsString="0" minValue="290141.9710372922" maxValue="290142.1153799504"/>
    </cacheField>
    <cacheField name="ETC" uniqueList="1" numFmtId="4" sqlType="0" hierarchy="0" level="0" databaseField="1">
      <sharedItems count="0" containsNumber="1" containsSemiMixedTypes="0" containsString="0" minValue="148156.5688277606" maxValue="273847.0753799505"/>
    </cacheField>
    <cacheField name="VAC" uniqueList="1" numFmtId="4" sqlType="0" hierarchy="0" level="0" databaseField="1">
      <sharedItems count="0" containsNumber="1" containsSemiMixedTypes="0" containsString="0" minValue="-21492.11537995044" maxValue="-21491.97103729215"/>
    </cacheField>
    <cacheField name="Status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12">
  <r>
    <s v="WBS-01"/>
    <n v="1"/>
    <s v="Project Management"/>
    <x v="0"/>
    <d v="2026-05-04T00:00:00"/>
    <d v="2026-07-26T00:00:00"/>
    <n v="84"/>
    <n v="18000"/>
    <n v="13500"/>
    <n v="9600"/>
    <n v="0.5"/>
    <n v="9000"/>
    <n v="-4500"/>
    <n v="-600"/>
    <n v="0.6666666666666666"/>
    <n v="0.9375"/>
    <n v="19200"/>
    <n v="9600"/>
    <n v="-1200"/>
    <x v="0"/>
  </r>
  <r>
    <s v="WBS-02"/>
    <n v="2"/>
    <s v="Site Survey &amp; Mobilization"/>
    <x v="0"/>
    <d v="2026-05-04T00:00:00"/>
    <d v="2026-05-10T00:00:00"/>
    <n v="7"/>
    <n v="8500"/>
    <n v="8500"/>
    <n v="8700"/>
    <n v="1"/>
    <n v="8500"/>
    <n v="0"/>
    <n v="-200"/>
    <n v="1"/>
    <n v="0.9770114942528736"/>
    <n v="8700"/>
    <n v="0"/>
    <n v="-200"/>
    <x v="0"/>
  </r>
  <r>
    <s v="WBS-03"/>
    <n v="3"/>
    <s v="Design &amp; Engineering"/>
    <x v="0"/>
    <d v="2026-05-04T00:00:00"/>
    <d v="2026-05-24T00:00:00"/>
    <n v="21"/>
    <n v="19200"/>
    <n v="19200"/>
    <n v="18195.04"/>
    <n v="1"/>
    <n v="19200"/>
    <n v="0"/>
    <n v="1004.959999999999"/>
    <n v="1"/>
    <n v="1.055232634827953"/>
    <n v="18195.04"/>
    <n v="0"/>
    <n v="1004.959999999999"/>
    <x v="1"/>
  </r>
  <r>
    <s v="WBS-04"/>
    <n v="4"/>
    <s v="Procurement - Materials"/>
    <x v="1"/>
    <d v="2026-05-11T00:00:00"/>
    <d v="2026-06-07T00:00:00"/>
    <n v="28"/>
    <n v="42000"/>
    <n v="42000"/>
    <n v="41300"/>
    <n v="1"/>
    <n v="42000"/>
    <n v="0"/>
    <n v="700"/>
    <n v="1"/>
    <n v="1.016949152542373"/>
    <n v="41300"/>
    <n v="0"/>
    <n v="700"/>
    <x v="1"/>
  </r>
  <r>
    <s v="WBS-05"/>
    <n v="5"/>
    <s v="Demolition &amp; Prep"/>
    <x v="0"/>
    <d v="2026-05-11T00:00:00"/>
    <d v="2026-05-31T00:00:00"/>
    <n v="21"/>
    <n v="13200"/>
    <n v="13200"/>
    <n v="13408.16"/>
    <n v="1"/>
    <n v="13200"/>
    <n v="0"/>
    <n v="-208.159999999998"/>
    <n v="1"/>
    <n v="0.9844751255951601"/>
    <n v="13408.16"/>
    <n v="0"/>
    <n v="-208.159999999998"/>
    <x v="0"/>
  </r>
  <r>
    <s v="WBS-06"/>
    <n v="6"/>
    <s v="Electrical Rough-In"/>
    <x v="0"/>
    <d v="2026-05-25T00:00:00"/>
    <d v="2026-06-14T00:00:00"/>
    <n v="21"/>
    <n v="26000"/>
    <n v="26000"/>
    <n v="26206.24"/>
    <n v="0.7"/>
    <n v="18200"/>
    <n v="-7800"/>
    <n v="-8006.239999999998"/>
    <n v="0.7"/>
    <n v="0.6944910830397646"/>
    <n v="37437.48571428571"/>
    <n v="11231.24571428572"/>
    <n v="-11437.48571428571"/>
    <x v="0"/>
  </r>
  <r>
    <s v="WBS-07"/>
    <n v="7"/>
    <s v="HVAC Installation"/>
    <x v="2"/>
    <d v="2026-06-01T00:00:00"/>
    <d v="2026-06-28T00:00:00"/>
    <n v="28"/>
    <n v="36000"/>
    <n v="36000"/>
    <n v="17476.8"/>
    <n v="0.4"/>
    <n v="14400"/>
    <n v="-21600"/>
    <n v="-3076.799999999999"/>
    <n v="0.4"/>
    <n v="0.8239494644328481"/>
    <n v="43692"/>
    <n v="26215.2"/>
    <n v="-7692"/>
    <x v="0"/>
  </r>
  <r>
    <s v="WBS-08"/>
    <n v="8"/>
    <s v="Partitions &amp; Drywall"/>
    <x v="2"/>
    <d v="2026-06-08T00:00:00"/>
    <d v="2026-07-05T00:00:00"/>
    <n v="28"/>
    <n v="28000"/>
    <n v="28000"/>
    <n v="7099.2"/>
    <n v="0.248857"/>
    <n v="6967.996"/>
    <n v="-21032.004"/>
    <n v="-131.2039999999997"/>
    <n v="0.248857"/>
    <n v="0.9815184809556007"/>
    <n v="28527.22647946411"/>
    <n v="21428.02647946411"/>
    <n v="-527.2264794641087"/>
    <x v="0"/>
  </r>
  <r>
    <s v="WBS-09"/>
    <n v="9"/>
    <s v="Flooring"/>
    <x v="1"/>
    <d v="2026-06-22T00:00:00"/>
    <d v="2026-07-12T00:00:00"/>
    <n v="21"/>
    <n v="35750"/>
    <n v="23833.34"/>
    <n v="0"/>
    <n v="0"/>
    <n v="0"/>
    <n v="-23833.34"/>
    <n v="0"/>
    <n v="0"/>
    <n v="1"/>
    <n v="35750"/>
    <n v="35750"/>
    <n v="0"/>
    <x v="0"/>
  </r>
  <r>
    <s v="WBS-10"/>
    <n v="10"/>
    <s v="Fixtures &amp; Furniture"/>
    <x v="1"/>
    <d v="2026-06-29T00:00:00"/>
    <d v="2026-07-19T00:00:00"/>
    <n v="21"/>
    <n v="30000"/>
    <n v="10000"/>
    <n v="0"/>
    <n v="0"/>
    <n v="0"/>
    <n v="-10000"/>
    <n v="0"/>
    <n v="0"/>
    <n v="1"/>
    <n v="30000"/>
    <n v="30000"/>
    <n v="0"/>
    <x v="0"/>
  </r>
  <r>
    <s v="WBS-11"/>
    <n v="11"/>
    <s v="Testing / Commissioning"/>
    <x v="0"/>
    <d v="2026-07-13T00:00:00"/>
    <d v="2026-07-26T00:00:00"/>
    <n v="14"/>
    <n v="8400"/>
    <n v="0"/>
    <n v="0"/>
    <n v="0"/>
    <n v="0"/>
    <n v="0"/>
    <n v="0"/>
    <n v="1"/>
    <n v="1"/>
    <n v="8400"/>
    <n v="8400"/>
    <n v="0"/>
    <x v="1"/>
  </r>
  <r>
    <s v="WBS-12"/>
    <n v="12"/>
    <s v="Handover &amp; Closeout"/>
    <x v="0"/>
    <d v="2026-07-20T00:00:00"/>
    <d v="2026-07-26T00:00:00"/>
    <n v="7"/>
    <n v="3600"/>
    <n v="0"/>
    <n v="0"/>
    <n v="0"/>
    <n v="0"/>
    <n v="0"/>
    <n v="0"/>
    <n v="1"/>
    <n v="1"/>
    <n v="3600"/>
    <n v="3600"/>
    <n v="0"/>
    <x v="1"/>
  </r>
</pivotCacheRecords>
</file>

<file path=xl/pivotCache/pivotCacheRecords2.xml><?xml version="1.0" encoding="utf-8"?>
<pivotCacheRecords xmlns="http://schemas.openxmlformats.org/spreadsheetml/2006/main" count="12">
  <r>
    <s v="WBS-01"/>
    <n v="1"/>
    <s v="Project Management"/>
    <x v="0"/>
    <d v="2026-05-04T00:00:00"/>
    <d v="2026-07-26T00:00:00"/>
    <n v="84"/>
    <n v="18000"/>
    <n v="13500"/>
    <n v="9600"/>
    <n v="0.5"/>
    <n v="9000"/>
    <n v="-4500"/>
    <n v="-600"/>
    <n v="0.6666666666666666"/>
    <n v="0.9375"/>
    <n v="19200"/>
    <n v="9600"/>
    <n v="-1200"/>
    <x v="0"/>
  </r>
  <r>
    <s v="WBS-02"/>
    <n v="2"/>
    <s v="Site Survey &amp; Mobilization"/>
    <x v="0"/>
    <d v="2026-05-04T00:00:00"/>
    <d v="2026-05-10T00:00:00"/>
    <n v="7"/>
    <n v="8500"/>
    <n v="8500"/>
    <n v="8700"/>
    <n v="1"/>
    <n v="8500"/>
    <n v="0"/>
    <n v="-200"/>
    <n v="1"/>
    <n v="0.9770114942528736"/>
    <n v="8700"/>
    <n v="0"/>
    <n v="-200"/>
    <x v="0"/>
  </r>
  <r>
    <s v="WBS-03"/>
    <n v="3"/>
    <s v="Design &amp; Engineering"/>
    <x v="0"/>
    <d v="2026-05-04T00:00:00"/>
    <d v="2026-05-24T00:00:00"/>
    <n v="21"/>
    <n v="19200"/>
    <n v="19200"/>
    <n v="18195.04"/>
    <n v="1"/>
    <n v="19200"/>
    <n v="0"/>
    <n v="1004.959999999999"/>
    <n v="1"/>
    <n v="1.055232634827953"/>
    <n v="18195.04"/>
    <n v="0"/>
    <n v="1004.959999999999"/>
    <x v="1"/>
  </r>
  <r>
    <s v="WBS-04"/>
    <n v="4"/>
    <s v="Procurement - Materials"/>
    <x v="1"/>
    <d v="2026-05-11T00:00:00"/>
    <d v="2026-06-07T00:00:00"/>
    <n v="28"/>
    <n v="42000"/>
    <n v="42000"/>
    <n v="41300"/>
    <n v="1"/>
    <n v="42000"/>
    <n v="0"/>
    <n v="700"/>
    <n v="1"/>
    <n v="1.016949152542373"/>
    <n v="41300"/>
    <n v="0"/>
    <n v="700"/>
    <x v="1"/>
  </r>
  <r>
    <s v="WBS-05"/>
    <n v="5"/>
    <s v="Demolition &amp; Prep"/>
    <x v="0"/>
    <d v="2026-05-11T00:00:00"/>
    <d v="2026-05-31T00:00:00"/>
    <n v="21"/>
    <n v="13200"/>
    <n v="13200"/>
    <n v="13408.16"/>
    <n v="1"/>
    <n v="13200"/>
    <n v="0"/>
    <n v="-208.159999999998"/>
    <n v="1"/>
    <n v="0.9844751255951601"/>
    <n v="13408.16"/>
    <n v="0"/>
    <n v="-208.159999999998"/>
    <x v="0"/>
  </r>
  <r>
    <s v="WBS-06"/>
    <n v="6"/>
    <s v="Electrical Rough-In"/>
    <x v="0"/>
    <d v="2026-05-25T00:00:00"/>
    <d v="2026-06-14T00:00:00"/>
    <n v="21"/>
    <n v="26000"/>
    <n v="26000"/>
    <n v="26206.24"/>
    <n v="0.7"/>
    <n v="18200"/>
    <n v="-7800"/>
    <n v="-8006.239999999998"/>
    <n v="0.7"/>
    <n v="0.6944910830397646"/>
    <n v="37437.48571428571"/>
    <n v="11231.24571428572"/>
    <n v="-11437.48571428571"/>
    <x v="0"/>
  </r>
  <r>
    <s v="WBS-07"/>
    <n v="7"/>
    <s v="HVAC Installation"/>
    <x v="2"/>
    <d v="2026-06-01T00:00:00"/>
    <d v="2026-06-28T00:00:00"/>
    <n v="28"/>
    <n v="36000"/>
    <n v="36000"/>
    <n v="17476.8"/>
    <n v="0.4"/>
    <n v="14400"/>
    <n v="-21600"/>
    <n v="-3076.799999999999"/>
    <n v="0.4"/>
    <n v="0.8239494644328481"/>
    <n v="43692"/>
    <n v="26215.2"/>
    <n v="-7692"/>
    <x v="0"/>
  </r>
  <r>
    <s v="WBS-08"/>
    <n v="8"/>
    <s v="Partitions &amp; Drywall"/>
    <x v="2"/>
    <d v="2026-06-08T00:00:00"/>
    <d v="2026-07-05T00:00:00"/>
    <n v="28"/>
    <n v="28000"/>
    <n v="28000"/>
    <n v="7099.2"/>
    <n v="0.248857"/>
    <n v="6967.996"/>
    <n v="-21032.004"/>
    <n v="-131.2039999999997"/>
    <n v="0.248857"/>
    <n v="0.9815184809556007"/>
    <n v="28527.22647946411"/>
    <n v="21428.02647946411"/>
    <n v="-527.2264794641087"/>
    <x v="0"/>
  </r>
  <r>
    <s v="WBS-09"/>
    <n v="9"/>
    <s v="Flooring"/>
    <x v="1"/>
    <d v="2026-06-22T00:00:00"/>
    <d v="2026-07-12T00:00:00"/>
    <n v="21"/>
    <n v="35750"/>
    <n v="23833.34"/>
    <n v="0"/>
    <n v="0"/>
    <n v="0"/>
    <n v="-23833.34"/>
    <n v="0"/>
    <n v="0"/>
    <n v="1"/>
    <n v="35750"/>
    <n v="35750"/>
    <n v="0"/>
    <x v="0"/>
  </r>
  <r>
    <s v="WBS-10"/>
    <n v="10"/>
    <s v="Fixtures &amp; Furniture"/>
    <x v="1"/>
    <d v="2026-06-29T00:00:00"/>
    <d v="2026-07-19T00:00:00"/>
    <n v="21"/>
    <n v="30000"/>
    <n v="10000"/>
    <n v="0"/>
    <n v="0"/>
    <n v="0"/>
    <n v="-10000"/>
    <n v="0"/>
    <n v="0"/>
    <n v="1"/>
    <n v="30000"/>
    <n v="30000"/>
    <n v="0"/>
    <x v="0"/>
  </r>
  <r>
    <s v="WBS-11"/>
    <n v="11"/>
    <s v="Testing / Commissioning"/>
    <x v="0"/>
    <d v="2026-07-13T00:00:00"/>
    <d v="2026-07-26T00:00:00"/>
    <n v="14"/>
    <n v="8400"/>
    <n v="0"/>
    <n v="0"/>
    <n v="0"/>
    <n v="0"/>
    <n v="0"/>
    <n v="0"/>
    <n v="1"/>
    <n v="1"/>
    <n v="8400"/>
    <n v="8400"/>
    <n v="0"/>
    <x v="1"/>
  </r>
  <r>
    <s v="WBS-12"/>
    <n v="12"/>
    <s v="Handover &amp; Closeout"/>
    <x v="0"/>
    <d v="2026-07-20T00:00:00"/>
    <d v="2026-07-26T00:00:00"/>
    <n v="7"/>
    <n v="3600"/>
    <n v="0"/>
    <n v="0"/>
    <n v="0"/>
    <n v="0"/>
    <n v="0"/>
    <n v="0"/>
    <n v="1"/>
    <n v="1"/>
    <n v="3600"/>
    <n v="3600"/>
    <n v="0"/>
    <x v="1"/>
  </r>
</pivotCacheRecords>
</file>

<file path=xl/pivotCache/pivotCacheRecords3.xml><?xml version="1.0" encoding="utf-8"?>
<pivotCacheRecords xmlns="http://schemas.openxmlformats.org/spreadsheetml/2006/main" count="12">
  <r>
    <s v="WBS-01"/>
    <n v="1"/>
    <s v="Project Management"/>
    <x v="0"/>
    <d v="2026-05-04T00:00:00"/>
    <d v="2026-07-26T00:00:00"/>
    <n v="84"/>
    <n v="18000"/>
    <n v="13500"/>
    <n v="9600"/>
    <n v="0.5"/>
    <n v="9000"/>
    <n v="-4500"/>
    <n v="-600"/>
    <n v="0.6666666666666666"/>
    <n v="0.9375"/>
    <n v="19200"/>
    <n v="9600"/>
    <n v="-1200"/>
    <x v="0"/>
  </r>
  <r>
    <s v="WBS-02"/>
    <n v="2"/>
    <s v="Site Survey &amp; Mobilization"/>
    <x v="0"/>
    <d v="2026-05-04T00:00:00"/>
    <d v="2026-05-10T00:00:00"/>
    <n v="7"/>
    <n v="8500"/>
    <n v="8500"/>
    <n v="8700"/>
    <n v="1"/>
    <n v="8500"/>
    <n v="0"/>
    <n v="-200"/>
    <n v="1"/>
    <n v="0.9770114942528736"/>
    <n v="8700"/>
    <n v="0"/>
    <n v="-200"/>
    <x v="0"/>
  </r>
  <r>
    <s v="WBS-03"/>
    <n v="3"/>
    <s v="Design &amp; Engineering"/>
    <x v="0"/>
    <d v="2026-05-04T00:00:00"/>
    <d v="2026-05-24T00:00:00"/>
    <n v="21"/>
    <n v="19200"/>
    <n v="19200"/>
    <n v="18195.04"/>
    <n v="1"/>
    <n v="19200"/>
    <n v="0"/>
    <n v="1004.959999999999"/>
    <n v="1"/>
    <n v="1.055232634827953"/>
    <n v="18195.04"/>
    <n v="0"/>
    <n v="1004.959999999999"/>
    <x v="1"/>
  </r>
  <r>
    <s v="WBS-04"/>
    <n v="4"/>
    <s v="Procurement - Materials"/>
    <x v="1"/>
    <d v="2026-05-11T00:00:00"/>
    <d v="2026-06-07T00:00:00"/>
    <n v="28"/>
    <n v="42000"/>
    <n v="42000"/>
    <n v="41300"/>
    <n v="1"/>
    <n v="42000"/>
    <n v="0"/>
    <n v="700"/>
    <n v="1"/>
    <n v="1.016949152542373"/>
    <n v="41300"/>
    <n v="0"/>
    <n v="700"/>
    <x v="1"/>
  </r>
  <r>
    <s v="WBS-05"/>
    <n v="5"/>
    <s v="Demolition &amp; Prep"/>
    <x v="0"/>
    <d v="2026-05-11T00:00:00"/>
    <d v="2026-05-31T00:00:00"/>
    <n v="21"/>
    <n v="13200"/>
    <n v="13200"/>
    <n v="13408.16"/>
    <n v="1"/>
    <n v="13200"/>
    <n v="0"/>
    <n v="-208.159999999998"/>
    <n v="1"/>
    <n v="0.9844751255951601"/>
    <n v="13408.16"/>
    <n v="0"/>
    <n v="-208.159999999998"/>
    <x v="0"/>
  </r>
  <r>
    <s v="WBS-06"/>
    <n v="6"/>
    <s v="Electrical Rough-In"/>
    <x v="0"/>
    <d v="2026-05-25T00:00:00"/>
    <d v="2026-06-14T00:00:00"/>
    <n v="21"/>
    <n v="26000"/>
    <n v="26000"/>
    <n v="26206.24"/>
    <n v="0.7"/>
    <n v="18200"/>
    <n v="-7800"/>
    <n v="-8006.239999999998"/>
    <n v="0.7"/>
    <n v="0.6944910830397646"/>
    <n v="37437.48571428571"/>
    <n v="11231.24571428572"/>
    <n v="-11437.48571428571"/>
    <x v="0"/>
  </r>
  <r>
    <s v="WBS-07"/>
    <n v="7"/>
    <s v="HVAC Installation"/>
    <x v="2"/>
    <d v="2026-06-01T00:00:00"/>
    <d v="2026-06-28T00:00:00"/>
    <n v="28"/>
    <n v="36000"/>
    <n v="36000"/>
    <n v="17476.8"/>
    <n v="0.4"/>
    <n v="14400"/>
    <n v="-21600"/>
    <n v="-3076.799999999999"/>
    <n v="0.4"/>
    <n v="0.8239494644328481"/>
    <n v="43692"/>
    <n v="26215.2"/>
    <n v="-7692"/>
    <x v="0"/>
  </r>
  <r>
    <s v="WBS-08"/>
    <n v="8"/>
    <s v="Partitions &amp; Drywall"/>
    <x v="2"/>
    <d v="2026-06-08T00:00:00"/>
    <d v="2026-07-05T00:00:00"/>
    <n v="28"/>
    <n v="28000"/>
    <n v="28000"/>
    <n v="7099.2"/>
    <n v="0.248857"/>
    <n v="6967.996"/>
    <n v="-21032.004"/>
    <n v="-131.2039999999997"/>
    <n v="0.248857"/>
    <n v="0.9815184809556007"/>
    <n v="28527.22647946411"/>
    <n v="21428.02647946411"/>
    <n v="-527.2264794641087"/>
    <x v="0"/>
  </r>
  <r>
    <s v="WBS-09"/>
    <n v="9"/>
    <s v="Flooring"/>
    <x v="1"/>
    <d v="2026-06-22T00:00:00"/>
    <d v="2026-07-12T00:00:00"/>
    <n v="21"/>
    <n v="35750"/>
    <n v="23833.34"/>
    <n v="0"/>
    <n v="0"/>
    <n v="0"/>
    <n v="-23833.34"/>
    <n v="0"/>
    <n v="0"/>
    <n v="1"/>
    <n v="35750"/>
    <n v="35750"/>
    <n v="0"/>
    <x v="0"/>
  </r>
  <r>
    <s v="WBS-10"/>
    <n v="10"/>
    <s v="Fixtures &amp; Furniture"/>
    <x v="1"/>
    <d v="2026-06-29T00:00:00"/>
    <d v="2026-07-19T00:00:00"/>
    <n v="21"/>
    <n v="30000"/>
    <n v="10000"/>
    <n v="0"/>
    <n v="0"/>
    <n v="0"/>
    <n v="-10000"/>
    <n v="0"/>
    <n v="0"/>
    <n v="1"/>
    <n v="30000"/>
    <n v="30000"/>
    <n v="0"/>
    <x v="0"/>
  </r>
  <r>
    <s v="WBS-11"/>
    <n v="11"/>
    <s v="Testing / Commissioning"/>
    <x v="0"/>
    <d v="2026-07-13T00:00:00"/>
    <d v="2026-07-26T00:00:00"/>
    <n v="14"/>
    <n v="8400"/>
    <n v="0"/>
    <n v="0"/>
    <n v="0"/>
    <n v="0"/>
    <n v="0"/>
    <n v="0"/>
    <n v="1"/>
    <n v="1"/>
    <n v="8400"/>
    <n v="8400"/>
    <n v="0"/>
    <x v="1"/>
  </r>
  <r>
    <s v="WBS-12"/>
    <n v="12"/>
    <s v="Handover &amp; Closeout"/>
    <x v="0"/>
    <d v="2026-07-20T00:00:00"/>
    <d v="2026-07-26T00:00:00"/>
    <n v="7"/>
    <n v="3600"/>
    <n v="0"/>
    <n v="0"/>
    <n v="0"/>
    <n v="0"/>
    <n v="0"/>
    <n v="0"/>
    <n v="1"/>
    <n v="1"/>
    <n v="3600"/>
    <n v="3600"/>
    <n v="0"/>
    <x v="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t_Status_Cost_Value" cacheId="2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6:H39" firstHeaderRow="0" firstDataRow="1" firstDataCol="1"/>
  <pivotFields count="20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1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165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</pivotFields>
  <rowFields count="1">
    <field x="19"/>
  </rowFields>
  <rowItems count="3">
    <i t="data" r="0" i="0">
      <x v="0"/>
    </i>
    <i t="data" r="0" i="0">
      <x v="1"/>
    </i>
    <i t="grand" r="0" i="0">
      <x v="0"/>
    </i>
  </rowItems>
  <colFields count="1">
    <field x="-2"/>
  </colFields>
  <colItems count="7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  <i t="data" r="0" i="5">
      <x v="5"/>
    </i>
    <i t="data" r="0" i="6">
      <x v="6"/>
    </i>
  </colItems>
  <dataFields count="7">
    <dataField name="Sum of BAC (NOK)" fld="7" subtotal="sum" showDataAs="normal" baseField="0" baseItem="0" numFmtId="4"/>
    <dataField name="Sum of PV @ Status" fld="8" subtotal="sum" showDataAs="normal" baseField="0" baseItem="0" numFmtId="4"/>
    <dataField name="Sum of AC @ Status" fld="9" subtotal="sum" showDataAs="normal" baseField="0" baseItem="0" numFmtId="4"/>
    <dataField name="Sum of EV @ Status" fld="11" subtotal="sum" showDataAs="normal" baseField="0" baseItem="0" numFmtId="4"/>
    <dataField name="Sum of SV" fld="12" subtotal="sum" showDataAs="normal" baseField="0" baseItem="0" numFmtId="4"/>
    <dataField name="Sum of CV" fld="13" subtotal="sum" showDataAs="normal" baseField="0" baseItem="0" numFmtId="4"/>
    <dataField name="Sum of VAC" fld="18" subtotal="sum" showDataAs="normal" baseField="0" baseItem="0" numFmtId="4"/>
  </dataFields>
  <formats count="6">
    <format action="formatting" dxfId="11">
      <pivotArea type="all" dataOnly="0" outline="0" fieldPosition="0"/>
    </format>
    <format action="formatting" dxfId="10">
      <pivotArea type="normal" dataOnly="1" outline="0" collapsedLevelsAreSubtotals="1" fieldPosition="0"/>
    </format>
    <format action="formatting" dxfId="9">
      <pivotArea field="19" type="button" dataOnly="0" labelOnly="1" outline="0" axis="axisRow" fieldPosition="0"/>
    </format>
    <format action="formatting" dxfId="8">
      <pivotArea type="normal" dataOnly="0" labelOnly="1" outline="1" fieldPosition="0">
        <references count="1">
          <reference field="19"/>
        </references>
      </pivotArea>
    </format>
    <format action="formatting" dxfId="7">
      <pivotArea type="normal" dataOnly="0" labelOnly="1" grandRow="1" outline="0" fieldPosition="0"/>
    </format>
    <format action="formatting" dxfId="6">
      <pivotArea type="normal" dataOnly="0" labelOnly="1" outline="0" fieldPosition="0">
        <references count="1">
          <reference field="4294967294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t_ActualCosts_By_WBS" cacheId="27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45:C54" firstHeaderRow="0" firstDataRow="1" firstDataCol="1"/>
  <pivotFields count="5">
    <pivotField showDropDowns="1" compact="1" numFmtId="164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2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 of Actual_Cost" fld="3" subtotal="sum" showDataAs="normal" baseField="0" baseItem="0" numFmtId="4"/>
    <dataField name="Sum of Hours_Worked" fld="4" subtotal="sum" showDataAs="normal" baseField="0" baseItem="0" numFmtId="2"/>
  </dataFields>
  <formats count="6">
    <format action="formatting" dxfId="17">
      <pivotArea type="all" dataOnly="0" outline="0" fieldPosition="0"/>
    </format>
    <format action="formatting" dxfId="16">
      <pivotArea type="normal" dataOnly="1" outline="0" collapsedLevelsAreSubtotals="1" fieldPosition="0"/>
    </format>
    <format action="formatting" dxfId="15">
      <pivotArea field="1" type="button" dataOnly="0" labelOnly="1" outline="0" axis="axisRow" fieldPosition="0"/>
    </format>
    <format action="formatting" dxfId="14">
      <pivotArea type="normal" dataOnly="0" labelOnly="1" outline="1" fieldPosition="0">
        <references count="1">
          <reference field="1"/>
        </references>
      </pivotArea>
    </format>
    <format action="formatting" dxfId="13">
      <pivotArea type="normal" dataOnly="0" labelOnly="1" grandRow="1" outline="0" fieldPosition="0"/>
    </format>
    <format action="formatting" dxfId="12">
      <pivotArea type="normal" dataOnly="0" labelOnly="1" outline="0" fieldPosition="0">
        <references count="1">
          <reference field="4294967294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t_Weekly_EVM" cacheId="3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63:G76" firstHeaderRow="0" firstDataRow="1" firstDataCol="1"/>
  <pivotFields count="14"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efault" sd="1"/>
      </items>
    </pivotField>
    <pivotField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Fields count="1">
    <field x="-2"/>
  </colFields>
  <colItems count="6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  <i t="data" r="0" i="5">
      <x v="5"/>
    </i>
  </colItems>
  <dataFields count="6">
    <dataField name="Sum of Cum PV" fld="2" subtotal="sum" showDataAs="normal" baseField="0" baseItem="0" numFmtId="4"/>
    <dataField name="Sum of Cum AC" fld="3" subtotal="sum" showDataAs="normal" baseField="0" baseItem="0" numFmtId="4"/>
    <dataField name="Sum of Cum EV" fld="4" subtotal="sum" showDataAs="normal" baseField="0" baseItem="0" numFmtId="4"/>
    <dataField name="Sum of SV" fld="5" subtotal="sum" showDataAs="normal" baseField="0" baseItem="0" numFmtId="4"/>
    <dataField name="Sum of CV" fld="6" subtotal="sum" showDataAs="normal" baseField="0" baseItem="0" numFmtId="4"/>
    <dataField name="Sum of VAC" fld="12" subtotal="sum" showDataAs="normal" baseField="0" baseItem="0" numFmtId="4"/>
  </dataFields>
  <formats count="6">
    <format action="formatting" dxfId="23">
      <pivotArea type="all" dataOnly="0" outline="0" fieldPosition="0"/>
    </format>
    <format action="formatting" dxfId="22">
      <pivotArea type="normal" dataOnly="1" outline="0" collapsedLevelsAreSubtotals="1" fieldPosition="0"/>
    </format>
    <format action="formatting" dxfId="21">
      <pivotArea field="0" type="button" dataOnly="0" labelOnly="1" outline="0" axis="axisRow" fieldPosition="0"/>
    </format>
    <format action="formatting" dxfId="20">
      <pivotArea type="normal" dataOnly="0" labelOnly="1" outline="1" fieldPosition="0">
        <references count="1">
          <reference field="0"/>
        </references>
      </pivotArea>
    </format>
    <format action="formatting" dxfId="19">
      <pivotArea type="normal" dataOnly="0" labelOnly="1" grandRow="1" outline="0" fieldPosition="0"/>
    </format>
    <format action="formatting" dxfId="18">
      <pivotArea type="normal" dataOnly="0" labelOnly="1" outline="0" fieldPosition="0">
        <references count="1">
          <reference field="4294967294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t_Type_Cost_Value" cacheId="2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27:H31" firstHeaderRow="0" firstDataRow="1" firstDataCol="1"/>
  <pivotFields count="20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1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165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Fields count="1">
    <field x="-2"/>
  </colFields>
  <colItems count="7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  <i t="data" r="0" i="5">
      <x v="5"/>
    </i>
    <i t="data" r="0" i="6">
      <x v="6"/>
    </i>
  </colItems>
  <dataFields count="7">
    <dataField name="Sum of BAC (NOK)" fld="7" subtotal="sum" showDataAs="normal" baseField="0" baseItem="0" numFmtId="4"/>
    <dataField name="Sum of PV @ Status" fld="8" subtotal="sum" showDataAs="normal" baseField="0" baseItem="0" numFmtId="4"/>
    <dataField name="Sum of AC @ Status" fld="9" subtotal="sum" showDataAs="normal" baseField="0" baseItem="0" numFmtId="4"/>
    <dataField name="Sum of EV @ Status" fld="11" subtotal="sum" showDataAs="normal" baseField="0" baseItem="0" numFmtId="4"/>
    <dataField name="Sum of SV" fld="12" subtotal="sum" showDataAs="normal" baseField="0" baseItem="0" numFmtId="4"/>
    <dataField name="Sum of CV" fld="13" subtotal="sum" showDataAs="normal" baseField="0" baseItem="0" numFmtId="4"/>
    <dataField name="Sum of VAC" fld="18" subtotal="sum" showDataAs="normal" baseField="0" baseItem="0" numFmtId="4"/>
  </dataFields>
  <formats count="6">
    <format action="formatting" dxfId="5">
      <pivotArea type="all" dataOnly="0" outline="0" fieldPosition="0"/>
    </format>
    <format action="formatting" dxfId="4">
      <pivotArea type="normal" dataOnly="1" outline="0" collapsedLevelsAreSubtotals="1" fieldPosition="0"/>
    </format>
    <format action="formatting" dxfId="3">
      <pivotArea field="3" type="button" dataOnly="0" labelOnly="1" outline="0" axis="axisRow" fieldPosition="0"/>
    </format>
    <format action="formatting" dxfId="2">
      <pivotArea type="normal" dataOnly="0" labelOnly="1" outline="1" fieldPosition="0">
        <references count="1">
          <reference field="3"/>
        </references>
      </pivotArea>
    </format>
    <format action="formatting" dxfId="1">
      <pivotArea type="normal" dataOnly="0" labelOnly="1" grandRow="1" outline="0" fieldPosition="0"/>
    </format>
    <format action="formatting" dxfId="0">
      <pivotArea type="normal" dataOnly="0" labelOnly="1" outline="0" fieldPosition="0">
        <references count="1">
          <reference field="4294967294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bl_Cover_Contents" displayName="tbl_Cover_Contents" ref="A4:B21" headerRowCount="1" totalsRowShown="0" headerRowDxfId="577" headerRowBorderDxfId="580" tableBorderDxfId="581">
  <autoFilter ref="A4:B21"/>
  <tableColumns count="2">
    <tableColumn id="1" name="Sheet" dataDxfId="579"/>
    <tableColumn id="2" name="Purpose" dataDxfId="578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bl_Glossary" displayName="tbl_Glossary" ref="A4:E38" headerRowCount="1" totalsRowShown="0" headerRowDxfId="568" dataDxfId="569" headerRowBorderDxfId="575" tableBorderDxfId="576">
  <autoFilter ref="A4:E38"/>
  <tableColumns count="5">
    <tableColumn id="1" name="Category" dataDxfId="574"/>
    <tableColumn id="2" name="Term" dataDxfId="573"/>
    <tableColumn id="3" name="Abbrev." dataDxfId="572"/>
    <tableColumn id="4" name="Definition" dataDxfId="571"/>
    <tableColumn id="5" name="Workbook reference" dataDxfId="570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tbl_Review_ActionLog" displayName="tbl_Review_ActionLog" ref="A20:F21" headerRowCount="1" totalsRowShown="0" headerRowDxfId="558" headerRowBorderDxfId="566" tableBorderDxfId="567" totalsRowBorderDxfId="565">
  <autoFilter ref="A20:F25"/>
  <tableColumns count="6">
    <tableColumn id="1" name="BETTER / ACTION LOG" dataDxfId="564"/>
    <tableColumn id="2" name="Owner" dataDxfId="563"/>
    <tableColumn id="3" name="Due date" dataDxfId="562"/>
    <tableColumn id="4" name="Decision required?" dataDxfId="561"/>
    <tableColumn id="5" name="RAG" dataDxfId="560"/>
    <tableColumn id="6" name="Linked workbook evidence" dataDxfId="559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tbl_PID_ProjectControls" displayName="tbl_PID_ProjectControls" ref="A53:E54" headerRowCount="1" totalsRowShown="0" headerRowDxfId="549" headerRowBorderDxfId="556" tableBorderDxfId="557" totalsRowBorderDxfId="555">
  <autoFilter ref="A53:E56"/>
  <tableColumns count="5">
    <tableColumn id="1" name="Frequency / timing" dataDxfId="554"/>
    <tableColumn id="2" name="How control is reported" dataDxfId="553"/>
    <tableColumn id="3" name="Responsibility" dataDxfId="552"/>
    <tableColumn id="4" name="Next report date" dataDxfId="551"/>
    <tableColumn id="5" name="Status" dataDxfId="550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id="5" name="tbl_PID_RiskControl" displayName="tbl_PID_RiskControl" ref="A63:E64" headerRowCount="1" totalsRowShown="0" headerRowDxfId="540" headerRowBorderDxfId="547" tableBorderDxfId="548" totalsRowBorderDxfId="546">
  <autoFilter ref="A63:E69"/>
  <tableColumns count="5">
    <tableColumn id="1" name="Project Risk" dataDxfId="545"/>
    <tableColumn id="2" name="Containment Measures" dataDxfId="544"/>
    <tableColumn id="3" name="Owner" dataDxfId="543"/>
    <tableColumn id="4" name="Due Date" dataDxfId="542"/>
    <tableColumn id="5" name="RAG" dataDxfId="541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id="6" name="tbl_PID_Financials" displayName="tbl_PID_Financials" ref="A74:F76" headerRowCount="1" totalsRowShown="0" headerRowDxfId="530" headerRowBorderDxfId="538" tableBorderDxfId="539" totalsRowBorderDxfId="537">
  <autoFilter ref="A74:F79"/>
  <tableColumns count="6">
    <tableColumn id="1" name="Financial Implications" dataDxfId="536"/>
    <tableColumn id="2" name="Q1" dataDxfId="535"/>
    <tableColumn id="3" name="Q2" dataDxfId="534"/>
    <tableColumn id="4" name="Q3" dataDxfId="533"/>
    <tableColumn id="5" name="Q4" dataDxfId="532"/>
    <tableColumn id="6" name="Total" dataDxfId="531">
      <calculatedColumnFormula>SUM(B75:E75)</calculatedColumnFormula>
    </tableColumn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id="7" name="tbl_Method_Roadmap" displayName="tbl_Method_Roadmap" ref="A4:H16" headerRowCount="1" totalsRowShown="0" headerRowDxfId="518" headerRowBorderDxfId="528" tableBorderDxfId="529" totalsRowBorderDxfId="527">
  <autoFilter ref="A4:H16"/>
  <tableColumns count="8">
    <tableColumn id="1" name="Step" dataDxfId="526"/>
    <tableColumn id="2" name="Method step" dataDxfId="525"/>
    <tableColumn id="3" name="Purpose" dataDxfId="524"/>
    <tableColumn id="4" name="Workbook implementation" dataDxfId="523"/>
    <tableColumn id="5" name="Primary sheet / range" dataDxfId="522"/>
    <tableColumn id="6" name="Owner" dataDxfId="521"/>
    <tableColumn id="7" name="Status" dataDxfId="520"/>
    <tableColumn id="8" name="Source" dataDxfId="519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id="8" name="tbl_PMEVM_Compliance" displayName="tbl_PMEVM_Compliance" ref="A4:E13" headerRowCount="1" totalsRowShown="0" headerRowDxfId="509" headerRowBorderDxfId="516" tableBorderDxfId="517" totalsRowBorderDxfId="515">
  <autoFilter ref="A4:E13"/>
  <tableColumns count="5">
    <tableColumn id="1" name="Guideline requirement" dataDxfId="514"/>
    <tableColumn id="2" name="Workbook implementation" dataDxfId="513"/>
    <tableColumn id="3" name="Location" dataDxfId="512"/>
    <tableColumn id="4" name="Status" dataDxfId="511"/>
    <tableColumn id="5" name="Evidence" dataDxfId="510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id="9" name="tbl_Setup_Controls" displayName="tbl_Setup_Controls" ref="A4:B15" headerRowCount="1" totalsRowShown="0" headerRowDxfId="503" headerRowBorderDxfId="507" tableBorderDxfId="508" totalsRowBorderDxfId="506">
  <autoFilter ref="A4:B15"/>
  <tableColumns count="2">
    <tableColumn id="1" name="Control" dataDxfId="505"/>
    <tableColumn id="2" name="Value" dataDxfId="504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bl_Setup_RAG" displayName="tbl_Setup_RAG" ref="A17:D20" headerRowCount="1" totalsRowShown="0" headerRowDxfId="496" headerRowBorderDxfId="501" tableBorderDxfId="502" totalsRowBorderDxfId="500">
  <autoFilter ref="A17:D20"/>
  <tableColumns count="4">
    <tableColumn id="1" name="RAG"/>
    <tableColumn id="2" name="Metric" dataDxfId="499"/>
    <tableColumn id="3" name="Rule" dataDxfId="498"/>
    <tableColumn id="4" name="Interpretation" dataDxfId="497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bl_Task_Plan" displayName="tbl_Task_Plan" ref="A4:T7" headerRowCount="1" totalsRowShown="0" headerRowDxfId="472" headerRowBorderDxfId="494" tableBorderDxfId="495" totalsRowBorderDxfId="493">
  <autoFilter ref="A4:T16"/>
  <tableColumns count="20">
    <tableColumn id="1" name="WBS ID" dataDxfId="492">
      <calculatedColumnFormula>Dim_WBS!A2</calculatedColumnFormula>
    </tableColumn>
    <tableColumn id="2" name="WBS Code" dataDxfId="491">
      <calculatedColumnFormula>Dim_WBS!B2</calculatedColumnFormula>
    </tableColumn>
    <tableColumn id="3" name="Task / Activity" dataDxfId="490">
      <calculatedColumnFormula>Dim_WBS!C2</calculatedColumnFormula>
    </tableColumn>
    <tableColumn id="4" name="Type" dataDxfId="489">
      <calculatedColumnFormula>Dim_WBS!D2</calculatedColumnFormula>
    </tableColumn>
    <tableColumn id="5" name="Baseline Start" dataDxfId="488">
      <calculatedColumnFormula>_xlfn.MINIFS(Fact_Baseline_PV!$A:$A,Fact_Baseline_PV!$B:$B,A5)</calculatedColumnFormula>
    </tableColumn>
    <tableColumn id="6" name="Baseline Finish" dataDxfId="487">
      <calculatedColumnFormula>_xlfn.MAXIFS(Fact_Baseline_PV!$A:$A,Fact_Baseline_PV!$B:$B,A5)+6</calculatedColumnFormula>
    </tableColumn>
    <tableColumn id="7" name="Duration Days" dataDxfId="486">
      <calculatedColumnFormula>F5-E5+1</calculatedColumnFormula>
    </tableColumn>
    <tableColumn id="8" name="BAC (NOK)" dataDxfId="485">
      <calculatedColumnFormula>Dim_WBS!E2</calculatedColumnFormula>
    </tableColumn>
    <tableColumn id="9" name="PV @ Status" dataDxfId="484">
      <calculatedColumnFormula>SUMIFS(Fact_Baseline_PV!$C:$C,Fact_Baseline_PV!$B:$B,A5,Fact_Baseline_PV!$A:$A,"&lt;="&amp;Setup!$B$9)</calculatedColumnFormula>
    </tableColumn>
    <tableColumn id="10" name="AC @ Status" dataDxfId="483">
      <calculatedColumnFormula>SUMIFS(Fact_Actual_Costs!$D:$D,Fact_Actual_Costs!$B:$B,A5,Fact_Actual_Costs!$A:$A,"&lt;="&amp;Setup!$B$9)</calculatedColumnFormula>
    </tableColumn>
    <tableColumn id="11" name="Progress %" dataDxfId="482">
      <calculatedColumnFormula array="1">IFERROR(LOOKUP(2,1/(Fact_Physical_Progress!$B$2:$B$35=A5)/(Fact_Physical_Progress!$A$2:$A$35&lt;=Setup!$B$9),Fact_Physical_Progress!$C$2:$C$35),0)</calculatedColumnFormula>
    </tableColumn>
    <tableColumn id="12" name="EV @ Status" dataDxfId="481">
      <calculatedColumnFormula>H5*K5</calculatedColumnFormula>
    </tableColumn>
    <tableColumn id="13" name="SV" dataDxfId="480">
      <calculatedColumnFormula>L5-I5</calculatedColumnFormula>
    </tableColumn>
    <tableColumn id="14" name="CV" dataDxfId="479">
      <calculatedColumnFormula>L5-J5</calculatedColumnFormula>
    </tableColumn>
    <tableColumn id="15" name="SPI" dataDxfId="478">
      <calculatedColumnFormula>IFERROR(L5/I5,1)</calculatedColumnFormula>
    </tableColumn>
    <tableColumn id="16" name="CPI" dataDxfId="477">
      <calculatedColumnFormula>IFERROR(L5/J5,1)</calculatedColumnFormula>
    </tableColumn>
    <tableColumn id="17" name="EAC" dataDxfId="476">
      <calculatedColumnFormula>IF(P5&gt;0,H5/P5,H5)</calculatedColumnFormula>
    </tableColumn>
    <tableColumn id="18" name="ETC" dataDxfId="475">
      <calculatedColumnFormula>Q5-J5</calculatedColumnFormula>
    </tableColumn>
    <tableColumn id="19" name="VAC" dataDxfId="474">
      <calculatedColumnFormula>H5-Q5</calculatedColumnFormula>
    </tableColumn>
    <tableColumn id="20" name="Status" dataDxfId="473">
      <calculatedColumnFormula>IF(OR(N5&lt;0,P5&lt;Setup!$B$12,O5&lt;Setup!$B$12),"Red",IF(OR(P5&lt;Setup!$B$13,O5&lt;Setup!$B$13),"Amber","Green"))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Task_Capture" displayName="tbl_Task_Capture" ref="A4:J6" headerRowCount="1" totalsRowShown="0" headerRowDxfId="458" headerRowBorderDxfId="470" tableBorderDxfId="471" totalsRowBorderDxfId="469">
  <autoFilter ref="A4:J18"/>
  <tableColumns count="10">
    <tableColumn id="1" name="Phase / Area" dataDxfId="468"/>
    <tableColumn id="2" name="Task" dataDxfId="467"/>
    <tableColumn id="3" name="WBS ID" dataDxfId="466"/>
    <tableColumn id="4" name="Type" dataDxfId="465"/>
    <tableColumn id="5" name="Included?" dataDxfId="464"/>
    <tableColumn id="6" name="Event / Milestone?" dataDxfId="463"/>
    <tableColumn id="7" name="Owner" dataDxfId="462"/>
    <tableColumn id="8" name="Notes" dataDxfId="461"/>
    <tableColumn id="9" name="Source / next action" dataDxfId="460"/>
    <tableColumn id="10" name="Mapped to Task Plan" dataDxfId="459"/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id="13" name="tbl_Dashboard_RAGLegend" displayName="tbl_Dashboard_RAGLegend" ref="N4:P7" headerRowCount="1" totalsRowShown="0" headerRowDxfId="452" headerRowBorderDxfId="456" tableBorderDxfId="457" totalsRowBorderDxfId="455">
  <autoFilter ref="N4:P7"/>
  <tableColumns count="3">
    <tableColumn id="1" name="RAG Legend"/>
    <tableColumn id="2" name="Rule" dataDxfId="454"/>
    <tableColumn id="3" name="Meaning" dataDxfId="45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Dashboard_WBSPerformance" displayName="tbl_Dashboard_WBSPerformance" ref="A17:P29" headerRowCount="1" totalsRowShown="0" tableBorderDxfId="451">
  <autoFilter ref="A17:P29"/>
  <tableColumns count="16">
    <tableColumn id="1" name="WBS ID" dataDxfId="450">
      <calculatedColumnFormula>'Task Plan'!A5</calculatedColumnFormula>
    </tableColumn>
    <tableColumn id="2" name="Activity Name" dataDxfId="449">
      <calculatedColumnFormula>'Task Plan'!C5</calculatedColumnFormula>
    </tableColumn>
    <tableColumn id="3" name="Type" dataDxfId="448">
      <calculatedColumnFormula>'Task Plan'!D5</calculatedColumnFormula>
    </tableColumn>
    <tableColumn id="4" name="Budget (BAC)" dataDxfId="447">
      <calculatedColumnFormula>'Task Plan'!H5</calculatedColumnFormula>
    </tableColumn>
    <tableColumn id="5" name="Planned Value (PV)" dataDxfId="446">
      <calculatedColumnFormula>'Task Plan'!I5</calculatedColumnFormula>
    </tableColumn>
    <tableColumn id="6" name="Actual Cost (AC)" dataDxfId="445">
      <calculatedColumnFormula>'Task Plan'!J5</calculatedColumnFormula>
    </tableColumn>
    <tableColumn id="7" name="Progress %" dataDxfId="444">
      <calculatedColumnFormula>'Task Plan'!K5</calculatedColumnFormula>
    </tableColumn>
    <tableColumn id="8" name="Earned Value (EV)" dataDxfId="443">
      <calculatedColumnFormula>'Task Plan'!L5</calculatedColumnFormula>
    </tableColumn>
    <tableColumn id="9" name="CV" dataDxfId="442">
      <calculatedColumnFormula>'Task Plan'!N5</calculatedColumnFormula>
    </tableColumn>
    <tableColumn id="10" name="SV" dataDxfId="441">
      <calculatedColumnFormula>'Task Plan'!M5</calculatedColumnFormula>
    </tableColumn>
    <tableColumn id="11" name="CPI" dataDxfId="440">
      <calculatedColumnFormula>'Task Plan'!P5</calculatedColumnFormula>
    </tableColumn>
    <tableColumn id="12" name="SPI" dataDxfId="439">
      <calculatedColumnFormula>'Task Plan'!O5</calculatedColumnFormula>
    </tableColumn>
    <tableColumn id="13" name="EAC" dataDxfId="438">
      <calculatedColumnFormula>'Task Plan'!Q5</calculatedColumnFormula>
    </tableColumn>
    <tableColumn id="14" name="ETC" dataDxfId="437">
      <calculatedColumnFormula>'Task Plan'!R5</calculatedColumnFormula>
    </tableColumn>
    <tableColumn id="15" name="VAC" dataDxfId="436">
      <calculatedColumnFormula>'Task Plan'!S5</calculatedColumnFormula>
    </tableColumn>
    <tableColumn id="16" name="Status" dataDxfId="435">
      <calculatedColumnFormula>IF('Task Plan'!T5="Red","🔴 Overrun",IF('Task Plan'!T5="Amber","🟡 Warning","On Track"))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_Dashboard_WeeklyTrends" displayName="tbl_Dashboard_WeeklyTrends" ref="A35:K47" headerRowCount="1" totalsRowShown="0" headerRowDxfId="419" dataDxfId="420" headerRowBorderDxfId="433" tableBorderDxfId="434" totalsRowBorderDxfId="432">
  <autoFilter ref="A35:K47"/>
  <tableColumns count="11">
    <tableColumn id="1" name="Week" dataDxfId="431"/>
    <tableColumn id="2" name="Week Date" dataDxfId="430"/>
    <tableColumn id="3" name="Weekly PV" dataDxfId="429">
      <calculatedColumnFormula>SUMIFS(Fact_Baseline_PV!C:C, Fact_Baseline_PV!A:A, B36)</calculatedColumnFormula>
    </tableColumn>
    <tableColumn id="4" name="Cum PV" dataDxfId="428">
      <calculatedColumnFormula>SUM(C$36:C36)</calculatedColumnFormula>
    </tableColumn>
    <tableColumn id="5" name="Weekly AC" dataDxfId="427">
      <calculatedColumnFormula>SUMIFS(Fact_Actual_Costs!D:D, Fact_Actual_Costs!A:A, "&gt;="&amp;B36, Fact_Actual_Costs!A:A, "&lt;="&amp;B36+6)</calculatedColumnFormula>
    </tableColumn>
    <tableColumn id="6" name="Cum AC" dataDxfId="426">
      <calculatedColumnFormula>SUM(E$36:E36)</calculatedColumnFormula>
    </tableColumn>
    <tableColumn id="7" name="Cum EV" dataDxfId="425">
      <calculatedColumnFormula>SUMPRODUCT(Dim_WBS!$E$2:$E$13, SUMIFS(Fact_Physical_Progress!$C$2:$C$100, Fact_Physical_Progress!$B$2:$B$100, Dim_WBS!$A$2:$A$13, Fact_Physical_Progress!$A$2:$A$100, "&lt;="&amp;B36+4))</calculatedColumnFormula>
    </tableColumn>
    <tableColumn id="8" name="CV" dataDxfId="424">
      <calculatedColumnFormula>G36-F36</calculatedColumnFormula>
    </tableColumn>
    <tableColumn id="9" name="SV" dataDxfId="423">
      <calculatedColumnFormula>G36-D36</calculatedColumnFormula>
    </tableColumn>
    <tableColumn id="10" name="CPI" dataDxfId="422">
      <calculatedColumnFormula>IF(F36&gt;0, G36/F36, 1)</calculatedColumnFormula>
    </tableColumn>
    <tableColumn id="11" name="SPI" dataDxfId="421">
      <calculatedColumnFormula>IF(D36&gt;0, G36/D36, 1)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_Red_Action_Recommendations" displayName="tbl_Red_Action_Recommendations" ref="A13:H14" headerRowCount="1" totalsRowShown="0" headerRowDxfId="202" dataDxfId="201">
  <autoFilter ref="A13:H21"/>
  <tableColumns count="8">
    <tableColumn id="1" name="Priority" dataDxfId="209"/>
    <tableColumn id="2" name="WBS ID" dataDxfId="208"/>
    <tableColumn id="3" name="Activity" dataDxfId="207">
      <calculatedColumnFormula>_xlfn.XLOOKUP(B14,tbl_Task_Plan[WBS ID],tbl_Task_Plan[Task / Activity],"")</calculatedColumnFormula>
    </tableColumn>
    <tableColumn id="4" name="Red driver" dataDxfId="206"/>
    <tableColumn id="5" name="Live evidence" dataDxfId="205">
      <calculatedColumnFormula>TEXT(_xlfn.XLOOKUP(B14,tbl_Task_Plan[WBS ID],tbl_Task_Plan[Progress %]),"0%")&amp;" complete; SPI "&amp;TEXT(_xlfn.XLOOKUP(B14,tbl_Task_Plan[WBS ID],tbl_Task_Plan[SPI]),"0.00")&amp;"; CPI "&amp;TEXT(_xlfn.XLOOKUP(B14,tbl_Task_Plan[WBS ID],tbl_Task_Plan[CPI]),"0.00")&amp;"; SV "&amp;TEXT(_xlfn.XLOOKUP(B14,tbl_Task_Plan[WBS ID],tbl_Task_Plan[SV]),"#,##0")&amp;" NOK"</calculatedColumnFormula>
    </tableColumn>
    <tableColumn id="6" name="Recommended action" dataDxfId="204"/>
    <tableColumn id="7" name="Owner" dataDxfId="203"/>
    <tableColumn id="8" name="Due date" dataDxfId="200"/>
  </tableColumns>
  <tableStyleInfo name="TableStyleMedium3" showFirstColumn="0" showLastColumn="0" showRowStripes="1" showColumnStripes="0"/>
</table>
</file>

<file path=xl/tables/table17.xml><?xml version="1.0" encoding="utf-8"?>
<table xmlns="http://schemas.openxmlformats.org/spreadsheetml/2006/main" id="17" name="tbl_Pivot_DescriptiveStats" displayName="tbl_Pivot_DescriptiveStats" ref="A13:G23" headerRowCount="1" totalsRowShown="0" headerRowDxfId="25" dataDxfId="24">
  <autoFilter ref="A13:G23"/>
  <tableColumns count="7">
    <tableColumn id="1" name="Metric" dataDxfId="32"/>
    <tableColumn id="2" name="Count" dataDxfId="31"/>
    <tableColumn id="3" name="Mean" dataDxfId="30"/>
    <tableColumn id="4" name="Median" dataDxfId="29"/>
    <tableColumn id="5" name="Std Dev" dataDxfId="28"/>
    <tableColumn id="6" name="Min" dataDxfId="27"/>
    <tableColumn id="7" name="Max" dataDxfId="2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_Resource_WeeklyGrid" displayName="tbl_Resource_WeeklyGrid" ref="A4:X28" headerRowCount="1" totalsRowShown="0" headerRowDxfId="391" headerRowBorderDxfId="417" tableBorderDxfId="418" totalsRowBorderDxfId="416">
  <autoFilter ref="A4:X28"/>
  <tableColumns count="24">
    <tableColumn id="1" name="WBS ID" dataDxfId="415"/>
    <tableColumn id="2" name="Activity" dataDxfId="414"/>
    <tableColumn id="3" name="Resource / Role" dataDxfId="413"/>
    <tableColumn id="4" name="Measure" dataDxfId="412"/>
    <tableColumn id="5" name="Wk1" dataDxfId="411"/>
    <tableColumn id="6" name="Wk2" dataDxfId="410"/>
    <tableColumn id="7" name="Wk3" dataDxfId="409"/>
    <tableColumn id="8" name="Wk4" dataDxfId="408"/>
    <tableColumn id="9" name="Wk5" dataDxfId="407"/>
    <tableColumn id="10" name="Wk6" dataDxfId="406"/>
    <tableColumn id="11" name="Wk7" dataDxfId="405"/>
    <tableColumn id="12" name="Wk8" dataDxfId="404"/>
    <tableColumn id="13" name="Wk9" dataDxfId="403"/>
    <tableColumn id="14" name="Wk10" dataDxfId="402"/>
    <tableColumn id="15" name="Wk11" dataDxfId="401"/>
    <tableColumn id="16" name="Wk12" dataDxfId="400"/>
    <tableColumn id="17" name="Total" dataDxfId="399">
      <calculatedColumnFormula>SUM(E5:P5)</calculatedColumnFormula>
    </tableColumn>
    <tableColumn id="18" name="BAC" dataDxfId="398">
      <calculatedColumnFormula>VLOOKUP(A5,Dim_WBS!$A$2:$E$13,5,FALSE)</calculatedColumnFormula>
    </tableColumn>
    <tableColumn id="19" name="Actual @ Status" dataDxfId="397">
      <calculatedColumnFormula>SUMIFS(Fact_Actual_Costs!$D$2:$D$100,Fact_Actual_Costs!$B$2:$B$100,A5,Fact_Actual_Costs!$A$2:$A$100,"&lt;="&amp;Setup!$B$9)</calculatedColumnFormula>
    </tableColumn>
    <tableColumn id="20" name="Remaining BAC" dataDxfId="396">
      <calculatedColumnFormula>R5-S5</calculatedColumnFormula>
    </tableColumn>
    <tableColumn id="21" name="CPI" dataDxfId="395">
      <calculatedColumnFormula>IFERROR((R5*VLOOKUP(A5,'Task Plan'!$A$5:$K$16,11,FALSE))/S5,1)</calculatedColumnFormula>
    </tableColumn>
    <tableColumn id="22" name="RAG" dataDxfId="394">
      <calculatedColumnFormula>IF(U5&lt;Setup!$B$12,"Red",IF(U5&lt;Setup!$B$13,"Amber","Green"))</calculatedColumnFormula>
    </tableColumn>
    <tableColumn id="23" name="Template source" dataDxfId="393"/>
    <tableColumn id="24" name="Notes" dataDxfId="392"/>
  </tableColumns>
  <tableStyleInfo name="TableStyleMedium6" showFirstColumn="0" showLastColumn="0" showRowStripes="1" showColumnStripes="0"/>
</table>
</file>

<file path=xl/tables/table19.xml><?xml version="1.0" encoding="utf-8"?>
<table xmlns="http://schemas.openxmlformats.org/spreadsheetml/2006/main" id="19" name="tbl_Resource_MonthlySummary" displayName="tbl_Resource_MonthlySummary" ref="A31:L34" headerRowCount="1" totalsRowShown="0" headerRowDxfId="384" headerRowBorderDxfId="389" tableBorderDxfId="390" totalsRowBorderDxfId="388">
  <autoFilter ref="A31:L34"/>
  <tableColumns count="12">
    <tableColumn id="1" name="Gantt of Gantts / monthly workload summary" dataDxfId="387"/>
    <tableColumn id="2" name="May-26"/>
    <tableColumn id="3" name="Jun-26"/>
    <tableColumn id="4" name="Jul-26"/>
    <tableColumn id="5" name="Aug-26"/>
    <tableColumn id="6" name="Sep-26"/>
    <tableColumn id="7" name="Oct-26"/>
    <tableColumn id="8" name="Nov-26"/>
    <tableColumn id="9" name="Dec-26"/>
    <tableColumn id="10" name="Total">
      <calculatedColumnFormula>SUM(B32:I32)</calculatedColumnFormula>
    </tableColumn>
    <tableColumn id="11" name="Source" dataDxfId="386"/>
    <tableColumn id="12" name="Interpretation" dataDxfId="385"/>
  </tableColumns>
  <tableStyleInfo name="TableStyleMedium6" showFirstColumn="0" showLastColumn="0" showRowStripes="1" showColumnStripes="0"/>
</table>
</file>

<file path=xl/tables/table20.xml><?xml version="1.0" encoding="utf-8"?>
<table xmlns="http://schemas.openxmlformats.org/spreadsheetml/2006/main" id="20" name="tbl_Dim_Project" displayName="tbl_Dim_Project" ref="A1:F2" headerRowCount="1" totalsRowShown="0" headerRowDxfId="374" headerRowBorderDxfId="382" tableBorderDxfId="383" totalsRowBorderDxfId="381">
  <autoFilter ref="A1:F2"/>
  <tableColumns count="6">
    <tableColumn id="1" name="Project_ID" dataDxfId="380"/>
    <tableColumn id="2" name="Project_Name" dataDxfId="379"/>
    <tableColumn id="3" name="Start_Date" dataDxfId="378"/>
    <tableColumn id="4" name="End_Date" dataDxfId="377"/>
    <tableColumn id="5" name="BAC" dataDxfId="376"/>
    <tableColumn id="6" name="Sector" dataDxfId="375"/>
  </tableColumns>
  <tableStyleInfo name="TableStyleMedium4" showFirstColumn="0" showLastColumn="0" showRowStripes="1" showColumnStripes="0"/>
</table>
</file>

<file path=xl/tables/table21.xml><?xml version="1.0" encoding="utf-8"?>
<table xmlns="http://schemas.openxmlformats.org/spreadsheetml/2006/main" id="21" name="tbl_Dim_WBS" displayName="tbl_Dim_WBS" ref="A1:E4" headerRowCount="1" totalsRowShown="0" headerRowDxfId="364" dataDxfId="365" headerRowBorderDxfId="372" tableBorderDxfId="373" totalsRowBorderDxfId="371">
  <autoFilter ref="A1:E13"/>
  <tableColumns count="5">
    <tableColumn id="1" name="WBS_ID" dataDxfId="370"/>
    <tableColumn id="2" name="WBS_Code" dataDxfId="369"/>
    <tableColumn id="3" name="Activity_Name" dataDxfId="368"/>
    <tableColumn id="4" name="Type" dataDxfId="367"/>
    <tableColumn id="5" name="Total_Budget" dataDxfId="366"/>
  </tableColumns>
  <tableStyleInfo name="TableStyleMedium4" showFirstColumn="0" showLastColumn="0" showRowStripes="1" showColumnStripes="0"/>
</table>
</file>

<file path=xl/tables/table22.xml><?xml version="1.0" encoding="utf-8"?>
<table xmlns="http://schemas.openxmlformats.org/spreadsheetml/2006/main" id="22" name="tbl_Dim_Resource" displayName="tbl_Dim_Resource" ref="A1:D3" headerRowCount="1" totalsRowShown="0" headerRowDxfId="356" headerRowBorderDxfId="362" tableBorderDxfId="363" totalsRowBorderDxfId="361">
  <autoFilter ref="A1:D12"/>
  <tableColumns count="4">
    <tableColumn id="1" name="Resource_ID" dataDxfId="360"/>
    <tableColumn id="2" name="Resource_Name" dataDxfId="359"/>
    <tableColumn id="3" name="Role" dataDxfId="358"/>
    <tableColumn id="4" name="Hourly_Rate" dataDxfId="357"/>
  </tableColumns>
  <tableStyleInfo name="TableStyleMedium4" showFirstColumn="0" showLastColumn="0" showRowStripes="1" showColumnStripes="0"/>
</table>
</file>

<file path=xl/tables/table23.xml><?xml version="1.0" encoding="utf-8"?>
<table xmlns="http://schemas.openxmlformats.org/spreadsheetml/2006/main" id="23" name="tbl_Dim_Calendar" displayName="tbl_Dim_Calendar" ref="A1:G85" headerRowCount="1" totalsRowShown="0" headerRowDxfId="344" dataDxfId="345" headerRowBorderDxfId="354" tableBorderDxfId="355" totalsRowBorderDxfId="353">
  <autoFilter ref="A1:G85"/>
  <tableColumns count="7">
    <tableColumn id="1" name="Date" dataDxfId="352"/>
    <tableColumn id="2" name="Year" dataDxfId="351"/>
    <tableColumn id="3" name="Month" dataDxfId="350"/>
    <tableColumn id="4" name="Month_Name" dataDxfId="349"/>
    <tableColumn id="5" name="Quarter" dataDxfId="348"/>
    <tableColumn id="6" name="Week_Number" dataDxfId="347"/>
    <tableColumn id="7" name="Is_Weekday" dataDxfId="346"/>
  </tableColumns>
  <tableStyleInfo name="TableStyleMedium4" showFirstColumn="0" showLastColumn="0" showRowStripes="1" showColumnStripes="0"/>
</table>
</file>

<file path=xl/tables/table24.xml><?xml version="1.0" encoding="utf-8"?>
<table xmlns="http://schemas.openxmlformats.org/spreadsheetml/2006/main" id="24" name="tbl_Fact_Baseline_PV" displayName="tbl_Fact_Baseline_PV" ref="A1:C7" headerRowCount="1" totalsRowShown="0" headerRowDxfId="337" headerRowBorderDxfId="342" tableBorderDxfId="343" totalsRowBorderDxfId="341">
  <autoFilter ref="A1:C44"/>
  <tableColumns count="3">
    <tableColumn id="1" name="Date" dataDxfId="340"/>
    <tableColumn id="2" name="WBS_ID" dataDxfId="339"/>
    <tableColumn id="3" name="Planned_Value" dataDxfId="338"/>
  </tableColumns>
  <tableStyleInfo name="TableStyleMedium4" showFirstColumn="0" showLastColumn="0" showRowStripes="1" showColumnStripes="0"/>
</table>
</file>

<file path=xl/tables/table25.xml><?xml version="1.0" encoding="utf-8"?>
<table xmlns="http://schemas.openxmlformats.org/spreadsheetml/2006/main" id="25" name="tbl_Fact_Actual_Costs" displayName="tbl_Fact_Actual_Costs" ref="A1:E5" headerRowCount="1" totalsRowShown="0" headerRowDxfId="328" headerRowBorderDxfId="335" tableBorderDxfId="336" totalsRowBorderDxfId="334">
  <autoFilter ref="A1:E100"/>
  <tableColumns count="5">
    <tableColumn id="1" name="Date" dataDxfId="333"/>
    <tableColumn id="2" name="WBS_ID" dataDxfId="332"/>
    <tableColumn id="3" name="Resource_ID" dataDxfId="331"/>
    <tableColumn id="4" name="Actual_Cost" dataDxfId="330"/>
    <tableColumn id="5" name="Hours_Worked" dataDxfId="329"/>
  </tableColumns>
  <tableStyleInfo name="TableStyleMedium4" showFirstColumn="0" showLastColumn="0" showRowStripes="1" showColumnStripes="0"/>
</table>
</file>

<file path=xl/tables/table26.xml><?xml version="1.0" encoding="utf-8"?>
<table xmlns="http://schemas.openxmlformats.org/spreadsheetml/2006/main" id="26" name="tbl_Fact_Physical_Progress" displayName="tbl_Fact_Physical_Progress" ref="A1:C5" headerRowCount="1" totalsRowShown="0" headerRowDxfId="321" headerRowBorderDxfId="326" tableBorderDxfId="327" totalsRowBorderDxfId="325">
  <autoFilter ref="A1:C35"/>
  <tableColumns count="3">
    <tableColumn id="1" name="Date" dataDxfId="324"/>
    <tableColumn id="2" name="WBS_ID" dataDxfId="323"/>
    <tableColumn id="3" name="Physical_Progress_Pct" dataDxfId="322"/>
  </tableColumns>
  <tableStyleInfo name="TableStyleMedium4" showFirstColumn="0" showLastColumn="0" showRowStripes="1" showColumnStripes="0"/>
</table>
</file>

<file path=xl/tables/table27.xml><?xml version="1.0" encoding="utf-8"?>
<table xmlns="http://schemas.openxmlformats.org/spreadsheetml/2006/main" id="27" name="tbl_EVM_Weekly" displayName="tbl_EVM_Weekly" ref="A4:N16" headerRowCount="1" totalsRowShown="0" headerRowDxfId="303" headerRowBorderDxfId="319" tableBorderDxfId="320" totalsRowBorderDxfId="318">
  <autoFilter ref="A4:N16"/>
  <tableColumns count="14">
    <tableColumn id="1" name="Week" dataDxfId="317"/>
    <tableColumn id="2" name="Week Date" dataDxfId="316"/>
    <tableColumn id="3" name="Cum PV" dataDxfId="315">
      <calculatedColumnFormula>SUMIFS(Fact_Baseline_PV!$C:$C,Fact_Baseline_PV!$A:$A,"&lt;="&amp;B5)</calculatedColumnFormula>
    </tableColumn>
    <tableColumn id="4" name="Cum AC" dataDxfId="314">
      <calculatedColumnFormula>SUMIFS(Fact_Actual_Costs!$D:$D,Fact_Actual_Costs!$A:$A,"&lt;="&amp;B5)</calculatedColumnFormula>
    </tableColumn>
    <tableColumn id="5" name="Cum EV" dataDxfId="313">
      <calculatedColumnFormula array="1">SUM(IFERROR(LOOKUP(2,1/(Fact_Physical_Progress!$B$2:$B$35=Dim_WBS!$A$2)/(Fact_Physical_Progress!$A$2:$A$35&lt;=B5),Fact_Physical_Progress!$C$2:$C$35),0)*Dim_WBS!$E$2,IFERROR(LOOKUP(2,1/(Fact_Physical_Progress!$B$2:$B$35=Dim_WBS!$A$3)/(Fact_Physical_Progress!$A$2:$A$35&lt;=B5),Fact_Physical_Progress!$C$2:$C$35),0)*Dim_WBS!$E$3,IFERROR(LOOKUP(2,1/(Fact_Physical_Progress!$B$2:$B$35=Dim_WBS!$A$4)/(Fact_Physical_Progress!$A$2:$A$35&lt;=B5),Fact_Physical_Progress!$C$2:$C$35),0)*Dim_WBS!$E$4,IFERROR(LOOKUP(2,1/(Fact_Physical_Progress!$B$2:$B$35=Dim_WBS!$A$5)/(Fact_Physical_Progress!$A$2:$A$35&lt;=B5),Fact_Physical_Progress!$C$2:$C$35),0)*Dim_WBS!$E$5,IFERROR(LOOKUP(2,1/(Fact_Physical_Progress!$B$2:$B$35=Dim_WBS!$A$6)/(Fact_Physical_Progress!$A$2:$A$35&lt;=B5),Fact_Physical_Progress!$C$2:$C$35),0)*Dim_WBS!$E$6,IFERROR(LOOKUP(2,1/(Fact_Physical_Progress!$B$2:$B$35=Dim_WBS!$A$7)/(Fact_Physical_Progress!$A$2:$A$35&lt;=B5),Fact_Physical_Progress!$C$2:$C$35),0)*Dim_WBS!$E$7,IFERROR(LOOKUP(2,1/(Fact_Physical_Progress!$B$2:$B$35=Dim_WBS!$A$8)/(Fact_Physical_Progress!$A$2:$A$35&lt;=B5),Fact_Physical_Progress!$C$2:$C$35),0)*Dim_WBS!$E$8,IFERROR(LOOKUP(2,1/(Fact_Physical_Progress!$B$2:$B$35=Dim_WBS!$A$9)/(Fact_Physical_Progress!$A$2:$A$35&lt;=B5),Fact_Physical_Progress!$C$2:$C$35),0)*Dim_WBS!$E$9,IFERROR(LOOKUP(2,1/(Fact_Physical_Progress!$B$2:$B$35=Dim_WBS!$A$10)/(Fact_Physical_Progress!$A$2:$A$35&lt;=B5),Fact_Physical_Progress!$C$2:$C$35),0)*Dim_WBS!$E$10,IFERROR(LOOKUP(2,1/(Fact_Physical_Progress!$B$2:$B$35=Dim_WBS!$A$11)/(Fact_Physical_Progress!$A$2:$A$35&lt;=B5),Fact_Physical_Progress!$C$2:$C$35),0)*Dim_WBS!$E$11,IFERROR(LOOKUP(2,1/(Fact_Physical_Progress!$B$2:$B$35=Dim_WBS!$A$12)/(Fact_Physical_Progress!$A$2:$A$35&lt;=B5),Fact_Physical_Progress!$C$2:$C$35),0)*Dim_WBS!$E$12,IFERROR(LOOKUP(2,1/(Fact_Physical_Progress!$B$2:$B$35=Dim_WBS!$A$13)/(Fact_Physical_Progress!$A$2:$A$35&lt;=B5),Fact_Physical_Progress!$C$2:$C$35),0)*Dim_WBS!$E$13)</calculatedColumnFormula>
    </tableColumn>
    <tableColumn id="6" name="SV" dataDxfId="312">
      <calculatedColumnFormula>E5-C5</calculatedColumnFormula>
    </tableColumn>
    <tableColumn id="7" name="CV" dataDxfId="311">
      <calculatedColumnFormula>E5-D5</calculatedColumnFormula>
    </tableColumn>
    <tableColumn id="8" name="SPI" dataDxfId="310">
      <calculatedColumnFormula>IFERROR(E5/C5,1)</calculatedColumnFormula>
    </tableColumn>
    <tableColumn id="9" name="CPI" dataDxfId="309">
      <calculatedColumnFormula>IFERROR(E5/D5,1)</calculatedColumnFormula>
    </tableColumn>
    <tableColumn id="10" name="BAC" dataDxfId="308">
      <calculatedColumnFormula>Setup!$B$11</calculatedColumnFormula>
    </tableColumn>
    <tableColumn id="11" name="EAC" dataDxfId="307">
      <calculatedColumnFormula>IF(I5&gt;0,J5/I5,J5)</calculatedColumnFormula>
    </tableColumn>
    <tableColumn id="12" name="ETC" dataDxfId="306">
      <calculatedColumnFormula>K5-D5</calculatedColumnFormula>
    </tableColumn>
    <tableColumn id="13" name="VAC" dataDxfId="305">
      <calculatedColumnFormula>J5-K5</calculatedColumnFormula>
    </tableColumn>
    <tableColumn id="14" name="Status" dataDxfId="304">
      <calculatedColumnFormula>IF(OR(F5&lt;0,G5&lt;0,H5&lt;Setup!$B$12,I5&lt;Setup!$B$12),"Red",IF(OR(H5&lt;Setup!$B$13,I5&lt;Setup!$B$13),"Amber","Green"))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bl_EVM_Validation" displayName="tbl_EVM_Validation" ref="A19:M25" headerRowCount="1" totalsRowShown="0" headerRowDxfId="289" tableBorderDxfId="302">
  <autoFilter ref="A19:M25"/>
  <tableColumns count="13">
    <tableColumn id="1" name="Formula" dataDxfId="301"/>
    <tableColumn id="2" name="Workbook implementation" dataDxfId="300"/>
    <tableColumn id="3" name="Guideline meaning" dataDxfId="299"/>
    <tableColumn id="4" name="Current status-date value" dataDxfId="298">
      <calculatedColumnFormula>B20</calculatedColumnFormula>
    </tableColumn>
    <tableColumn id="5" name="Check" dataDxfId="297"/>
    <tableColumn id="6" name="Source" dataDxfId="296"/>
    <tableColumn id="7" name="Column1"/>
    <tableColumn id="8" name="Status tie-out" dataDxfId="295"/>
    <tableColumn id="9" name="Dashboard value" dataDxfId="294"/>
    <tableColumn id="10" name="Task Plan value" dataDxfId="293"/>
    <tableColumn id="11" name="Variance" dataDxfId="292">
      <calculatedColumnFormula>J20-I20</calculatedColumnFormula>
    </tableColumn>
    <tableColumn id="12" name="Check2" dataDxfId="291">
      <calculatedColumnFormula>IF(ABS(K20)&lt;0.01,"OK","Review")</calculatedColumnFormula>
    </tableColumn>
    <tableColumn id="13" name="Source3" dataDxfId="290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bl_Charts_GanttHelper" displayName="tbl_Charts_GanttHelper" ref="A4:H16" headerRowCount="1" totalsRowShown="0" headerRowDxfId="277" headerRowBorderDxfId="287" tableBorderDxfId="288" totalsRowBorderDxfId="286">
  <autoFilter ref="A4:H16"/>
  <tableColumns count="8">
    <tableColumn id="1" name="WBS ID" dataDxfId="285">
      <calculatedColumnFormula>Dim_WBS!A2</calculatedColumnFormula>
    </tableColumn>
    <tableColumn id="2" name="Activity" dataDxfId="284">
      <calculatedColumnFormula>Dim_WBS!C2</calculatedColumnFormula>
    </tableColumn>
    <tableColumn id="3" name="Start" dataDxfId="283">
      <calculatedColumnFormula>_xlfn.MINIFS(Fact_Baseline_PV!$A:$A,Fact_Baseline_PV!$B:$B,A5)</calculatedColumnFormula>
    </tableColumn>
    <tableColumn id="4" name="Finish" dataDxfId="282">
      <calculatedColumnFormula>_xlfn.MAXIFS(Fact_Baseline_PV!$A:$A,Fact_Baseline_PV!$B:$B,A5)+6</calculatedColumnFormula>
    </tableColumn>
    <tableColumn id="5" name="Start Offset" dataDxfId="281">
      <calculatedColumnFormula>C5-$O$1</calculatedColumnFormula>
    </tableColumn>
    <tableColumn id="6" name="Duration Days" dataDxfId="280">
      <calculatedColumnFormula>D5-C5+1</calculatedColumnFormula>
    </tableColumn>
    <tableColumn id="7" name="Progress %" dataDxfId="279">
      <calculatedColumnFormula array="1">IFERROR(LOOKUP(2,1/(Fact_Physical_Progress!$B$2:$B$35=A5)/(Fact_Physical_Progress!$A$2:$A$35&lt;=$O$3),Fact_Physical_Progress!$C$2:$C$35),0)</calculatedColumnFormula>
    </tableColumn>
    <tableColumn id="8" name="RAG" dataDxfId="278">
      <calculatedColumnFormula>IF(G5&lt;0.5,"Red",IF(G5&lt;0.8,"Amber","Green"))</calculatedColumnFormula>
    </tableColumn>
  </tableColumns>
  <tableStyleInfo name="TableStyleMedium6" showFirstColumn="0" showLastColumn="0" showRowStripes="1" showColumnStripes="0"/>
</table>
</file>

<file path=xl/tables/table30.xml><?xml version="1.0" encoding="utf-8"?>
<table xmlns="http://schemas.openxmlformats.org/spreadsheetml/2006/main" id="30" name="tbl_Charts_RAGLegend" displayName="tbl_Charts_RAGLegend" ref="N5:P10" headerRowCount="1" totalsRowShown="0" headerRowDxfId="272" headerRowBorderDxfId="275" tableBorderDxfId="276">
  <autoFilter ref="N5:P10"/>
  <tableColumns count="3">
    <tableColumn id="1" name="RAG Legend"/>
    <tableColumn id="2" name="Rule" dataDxfId="274"/>
    <tableColumn id="3" name="Used in charts" dataDxfId="273"/>
  </tableColumns>
  <tableStyleInfo name="TableStyleMedium6" showFirstColumn="0" showLastColumn="0" showRowStripes="1" showColumnStripes="0"/>
</table>
</file>

<file path=xl/tables/table31.xml><?xml version="1.0" encoding="utf-8"?>
<table xmlns="http://schemas.openxmlformats.org/spreadsheetml/2006/main" id="31" name="tbl_Charts_SCurveHelper" displayName="tbl_Charts_SCurveHelper" ref="A23:I35" headerRowCount="1" totalsRowShown="0" headerRowDxfId="261" headerRowBorderDxfId="270" tableBorderDxfId="271" totalsRowBorderDxfId="269">
  <autoFilter ref="A23:G35"/>
  <tableColumns count="7">
    <tableColumn id="1" name="Week" dataDxfId="268"/>
    <tableColumn id="2" name="Week Date" dataDxfId="267"/>
    <tableColumn id="3" name="Cum PV" dataDxfId="266">
      <calculatedColumnFormula>SUMIFS(Fact_Baseline_PV!$C:$C,Fact_Baseline_PV!$A:$A,"&lt;="&amp;B24)</calculatedColumnFormula>
    </tableColumn>
    <tableColumn id="4" name="Cum AC" dataDxfId="265">
      <calculatedColumnFormula>SUMIFS(Fact_Actual_Costs!$D:$D,Fact_Actual_Costs!$A:$A,"&lt;="&amp;B24)</calculatedColumnFormula>
    </tableColumn>
    <tableColumn id="5" name="Cum EV" dataDxfId="264">
      <calculatedColumnFormula array="1">SUM(IFERROR(LOOKUP(2,1/(Fact_Physical_Progress!$B$2:$B$35=Dim_WBS!$A$2)/(Fact_Physical_Progress!$A$2:$A$35&lt;=B24),Fact_Physical_Progress!$C$2:$C$35),0)*Dim_WBS!$E$2,IFERROR(LOOKUP(2,1/(Fact_Physical_Progress!$B$2:$B$35=Dim_WBS!$A$3)/(Fact_Physical_Progress!$A$2:$A$35&lt;=B24),Fact_Physical_Progress!$C$2:$C$35),0)*Dim_WBS!$E$3,IFERROR(LOOKUP(2,1/(Fact_Physical_Progress!$B$2:$B$35=Dim_WBS!$A$4)/(Fact_Physical_Progress!$A$2:$A$35&lt;=B24),Fact_Physical_Progress!$C$2:$C$35),0)*Dim_WBS!$E$4,IFERROR(LOOKUP(2,1/(Fact_Physical_Progress!$B$2:$B$35=Dim_WBS!$A$5)/(Fact_Physical_Progress!$A$2:$A$35&lt;=B24),Fact_Physical_Progress!$C$2:$C$35),0)*Dim_WBS!$E$5,IFERROR(LOOKUP(2,1/(Fact_Physical_Progress!$B$2:$B$35=Dim_WBS!$A$6)/(Fact_Physical_Progress!$A$2:$A$35&lt;=B24),Fact_Physical_Progress!$C$2:$C$35),0)*Dim_WBS!$E$6,IFERROR(LOOKUP(2,1/(Fact_Physical_Progress!$B$2:$B$35=Dim_WBS!$A$7)/(Fact_Physical_Progress!$A$2:$A$35&lt;=B24),Fact_Physical_Progress!$C$2:$C$35),0)*Dim_WBS!$E$7,IFERROR(LOOKUP(2,1/(Fact_Physical_Progress!$B$2:$B$35=Dim_WBS!$A$8)/(Fact_Physical_Progress!$A$2:$A$35&lt;=B24),Fact_Physical_Progress!$C$2:$C$35),0)*Dim_WBS!$E$8,IFERROR(LOOKUP(2,1/(Fact_Physical_Progress!$B$2:$B$35=Dim_WBS!$A$9)/(Fact_Physical_Progress!$A$2:$A$35&lt;=B24),Fact_Physical_Progress!$C$2:$C$35),0)*Dim_WBS!$E$9,IFERROR(LOOKUP(2,1/(Fact_Physical_Progress!$B$2:$B$35=Dim_WBS!$A$10)/(Fact_Physical_Progress!$A$2:$A$35&lt;=B24),Fact_Physical_Progress!$C$2:$C$35),0)*Dim_WBS!$E$10,IFERROR(LOOKUP(2,1/(Fact_Physical_Progress!$B$2:$B$35=Dim_WBS!$A$11)/(Fact_Physical_Progress!$A$2:$A$35&lt;=B24),Fact_Physical_Progress!$C$2:$C$35),0)*Dim_WBS!$E$11,IFERROR(LOOKUP(2,1/(Fact_Physical_Progress!$B$2:$B$35=Dim_WBS!$A$12)/(Fact_Physical_Progress!$A$2:$A$35&lt;=B24),Fact_Physical_Progress!$C$2:$C$35),0)*Dim_WBS!$E$12,IFERROR(LOOKUP(2,1/(Fact_Physical_Progress!$B$2:$B$35=Dim_WBS!$A$13)/(Fact_Physical_Progress!$A$2:$A$35&lt;=B24),Fact_Physical_Progress!$C$2:$C$35),0)*Dim_WBS!$E$13)</calculatedColumnFormula>
    </tableColumn>
    <tableColumn id="6" name="CPI" dataDxfId="263">
      <calculatedColumnFormula>IFERROR(E24/D24,0)</calculatedColumnFormula>
    </tableColumn>
    <tableColumn id="7" name="SPI" dataDxfId="262">
      <calculatedColumnFormula>IFERROR(E24/C24,0)</calculatedColumnFormula>
    </tableColumn>
  </tableColumns>
  <tableStyleInfo name="TableStyleMedium6" showFirstColumn="0" showLastColumn="0" showRowStripes="1" showColumnStripes="0"/>
</table>
</file>

<file path=xl/tables/table32.xml><?xml version="1.0" encoding="utf-8"?>
<table xmlns="http://schemas.openxmlformats.org/spreadsheetml/2006/main" id="32" name="tbl_SimpleGantt_Mapping" displayName="tbl_SimpleGantt_Mapping" ref="A6:E8" headerRowCount="1" totalsRowShown="0" headerRowDxfId="252" headerRowBorderDxfId="259" tableBorderDxfId="260" totalsRowBorderDxfId="258">
  <autoFilter ref="A6:E8"/>
  <tableColumns count="5">
    <tableColumn id="1" name="Template element" dataDxfId="257"/>
    <tableColumn id="2" name="Implemented as" dataDxfId="256"/>
    <tableColumn id="3" name="Source table" dataDxfId="255"/>
    <tableColumn id="4" name="Meaning" dataDxfId="254"/>
    <tableColumn id="5" name="Classification" dataDxfId="253"/>
  </tableColumns>
  <tableStyleInfo name="TableStyleMedium6" showFirstColumn="0" showLastColumn="0" showRowStripes="1" showColumnStripes="0"/>
</table>
</file>

<file path=xl/tables/table33.xml><?xml version="1.0" encoding="utf-8"?>
<table xmlns="http://schemas.openxmlformats.org/spreadsheetml/2006/main" id="33" name="tbl_SimpleGantt_TaskSummary" displayName="tbl_SimpleGantt_TaskSummary" ref="A46:K58" headerRowCount="1" totalsRowShown="0" headerRowDxfId="236" dataDxfId="237" headerRowBorderDxfId="250" tableBorderDxfId="251" totalsRowBorderDxfId="249">
  <autoFilter ref="A46:K58"/>
  <tableColumns count="11">
    <tableColumn id="1" name="Task" dataDxfId="248"/>
    <tableColumn id="2" name="BAC" dataDxfId="247"/>
    <tableColumn id="3" name="PV @ Status" dataDxfId="246"/>
    <tableColumn id="4" name="AC @ Status" dataDxfId="245"/>
    <tableColumn id="5" name="Progress %" dataDxfId="244"/>
    <tableColumn id="6" name="EV @ Status" dataDxfId="243"/>
    <tableColumn id="7" name="SV" dataDxfId="242"/>
    <tableColumn id="8" name="CV" dataDxfId="241"/>
    <tableColumn id="9" name="SPI" dataDxfId="240"/>
    <tableColumn id="10" name="CPI" dataDxfId="239"/>
    <tableColumn id="11" name="RAG" dataDxfId="238"/>
  </tableColumns>
  <tableStyleInfo name="TableStyleMedium6" showFirstColumn="0" showLastColumn="0" showRowStripes="1" showColumnStripes="0"/>
</table>
</file>

<file path=xl/tables/table34.xml><?xml version="1.0" encoding="utf-8"?>
<table xmlns="http://schemas.openxmlformats.org/spreadsheetml/2006/main" id="34" name="tbl_SimpleGantt_Legend" displayName="tbl_SimpleGantt_Legend" ref="A62:C66" headerRowCount="1" totalsRowShown="0" headerRowDxfId="230" headerRowBorderDxfId="234" tableBorderDxfId="235" totalsRowBorderDxfId="233">
  <autoFilter ref="A62:C66"/>
  <tableColumns count="3">
    <tableColumn id="1" name="Legend"/>
    <tableColumn id="2" name="Meaning" dataDxfId="232"/>
    <tableColumn id="3" name="Applied to" dataDxfId="231"/>
  </tableColumns>
  <tableStyleInfo name="TableStyleMedium6" showFirstColumn="0" showLastColumn="0" showRowStripes="1" showColumnStripes="0"/>
</table>
</file>

<file path=xl/tables/table35.xml><?xml version="1.0" encoding="utf-8"?>
<table xmlns="http://schemas.openxmlformats.org/spreadsheetml/2006/main" id="35" name="tbl_PERT_Data" displayName="tbl_PERT_Data" ref="A4:J6" headerRowCount="1" totalsRowShown="0" headerRowDxfId="216" headerRowBorderDxfId="228" tableBorderDxfId="229" totalsRowBorderDxfId="227">
  <autoFilter ref="A4:J16"/>
  <tableColumns count="10">
    <tableColumn id="1" name="WBS ID" dataDxfId="226"/>
    <tableColumn id="2" name="Activity" dataDxfId="225"/>
    <tableColumn id="3" name="Baseline Start" dataDxfId="224"/>
    <tableColumn id="4" name="Baseline Finish" dataDxfId="223"/>
    <tableColumn id="5" name="Duration" dataDxfId="222"/>
    <tableColumn id="6" name="Progress" dataDxfId="221"/>
    <tableColumn id="7" name="SPI" dataDxfId="220"/>
    <tableColumn id="8" name="CPI" dataDxfId="219"/>
    <tableColumn id="9" name="RAG" dataDxfId="218"/>
    <tableColumn id="10" name="Inferred predecessor(s)" dataDxfId="217"/>
  </tableColumns>
  <tableStyleInfo name="TableStyleMedium6" showFirstColumn="0" showLastColumn="0" showRowStripes="1" showColumnStripes="0"/>
</table>
</file>

<file path=xl/tables/table36.xml><?xml version="1.0" encoding="utf-8"?>
<table xmlns="http://schemas.openxmlformats.org/spreadsheetml/2006/main" id="36" name="tbl_PERT_Legend" displayName="tbl_PERT_Legend" ref="L4:N8" headerRowCount="1" totalsRowShown="0" headerRowDxfId="210" headerRowBorderDxfId="214" tableBorderDxfId="215" totalsRowBorderDxfId="213">
  <autoFilter ref="L4:N8"/>
  <tableColumns count="3">
    <tableColumn id="1" name="Visio-style PERT Legend"/>
    <tableColumn id="2" name="Column1" dataDxfId="212"/>
    <tableColumn id="3" name="Column2" dataDxfId="21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table" Target="/xl/tables/table14.xml" Id="rId2"/><Relationship Type="http://schemas.openxmlformats.org/officeDocument/2006/relationships/table" Target="/xl/tables/table15.xml" Id="rId3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7.xml" Id="rId1"/><Relationship Type="http://schemas.openxmlformats.org/officeDocument/2006/relationships/pivotTable" Target="/xl/pivotTables/pivotTable1.xml" Id="rId2"/><Relationship Type="http://schemas.openxmlformats.org/officeDocument/2006/relationships/pivotTable" Target="/xl/pivotTables/pivotTable2.xml" Id="rId3"/><Relationship Type="http://schemas.openxmlformats.org/officeDocument/2006/relationships/pivotTable" Target="/xl/pivotTables/pivotTable3.xml" Id="rId4"/><Relationship Type="http://schemas.openxmlformats.org/officeDocument/2006/relationships/pivotTable" Target="/xl/pivotTables/pivotTable4.xml" Id="rId5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8.xml" Id="rId1"/><Relationship Type="http://schemas.openxmlformats.org/officeDocument/2006/relationships/table" Target="/xl/tables/table19.xml" Id="rId2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7.xml" Id="rId1"/><Relationship Type="http://schemas.openxmlformats.org/officeDocument/2006/relationships/table" Target="/xl/tables/table28.xml" Id="rId2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9.xml" Id="rId2"/><Relationship Type="http://schemas.openxmlformats.org/officeDocument/2006/relationships/table" Target="/xl/tables/table30.xml" Id="rId3"/><Relationship Type="http://schemas.openxmlformats.org/officeDocument/2006/relationships/table" Target="/xl/tables/table31.xml" Id="rId4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32.xml" Id="rId1"/><Relationship Type="http://schemas.openxmlformats.org/officeDocument/2006/relationships/table" Target="/xl/tables/table33.xml" Id="rId2"/><Relationship Type="http://schemas.openxmlformats.org/officeDocument/2006/relationships/table" Target="/xl/tables/table34.xml" Id="rId3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35.xml" Id="rId1"/><Relationship Type="http://schemas.openxmlformats.org/officeDocument/2006/relationships/table" Target="/xl/tables/table36.xml" Id="rId2"/></Relationships>
</file>

<file path=xl/worksheets/sheet1.xml><?xml version="1.0" encoding="utf-8"?>
<worksheet xmlns="http://schemas.openxmlformats.org/spreadsheetml/2006/main">
  <sheetPr>
    <tabColor rgb="FF7030A0"/>
    <outlinePr summaryBelow="1" summaryRight="1"/>
    <pageSetUpPr/>
  </sheetPr>
  <dimension ref="A1:H39"/>
  <sheetViews>
    <sheetView showGridLines="0" topLeftCell="B1" workbookViewId="0">
      <selection activeCell="D8" sqref="D8"/>
    </sheetView>
  </sheetViews>
  <sheetFormatPr baseColWidth="8" defaultRowHeight="14.5"/>
  <cols>
    <col width="36.36328125" customWidth="1" style="120" min="1" max="1"/>
    <col width="63.6328125" customWidth="1" style="120" min="2" max="2"/>
    <col width="23.6328125" customWidth="1" style="120" min="4" max="4"/>
    <col width="17.26953125" customWidth="1" style="120" min="5" max="5"/>
    <col width="24.54296875" customWidth="1" style="120" min="6" max="8"/>
  </cols>
  <sheetData>
    <row r="1" ht="30" customHeight="1" s="120">
      <c r="A1" s="100" t="inlineStr">
        <is>
          <t>Office Fit-Out Project Control Workbook</t>
        </is>
      </c>
    </row>
    <row r="2" ht="32" customHeight="1" s="120">
      <c r="A2" s="102" t="inlineStr">
        <is>
          <t>PM-EVM compliant workbook map: setup controls, task plan, Gantt, EVM S-curve, dashboard, source dimensions, and fact tables.</t>
        </is>
      </c>
    </row>
    <row r="4">
      <c r="A4" s="126" t="inlineStr">
        <is>
          <t>Sheet</t>
        </is>
      </c>
      <c r="B4" s="126" t="inlineStr">
        <is>
          <t>Purpose</t>
        </is>
      </c>
      <c r="D4" s="103" t="inlineStr">
        <is>
          <t>Tab Color Legend</t>
        </is>
      </c>
      <c r="E4" s="273" t="n"/>
      <c r="F4" s="273" t="n"/>
      <c r="G4" s="273" t="n"/>
      <c r="H4" s="130" t="n"/>
    </row>
    <row r="5" ht="29" customHeight="1" s="120">
      <c r="A5" s="53" t="inlineStr">
        <is>
          <t>Setup</t>
        </is>
      </c>
      <c r="B5" s="99" t="inlineStr">
        <is>
          <t>Project-level controls: project metadata, status date, reporting period, and RAG thresholds.</t>
        </is>
      </c>
      <c r="D5" s="103" t="inlineStr">
        <is>
          <t>Color</t>
        </is>
      </c>
      <c r="E5" s="103" t="inlineStr">
        <is>
          <t>Category</t>
        </is>
      </c>
      <c r="F5" s="103" t="inlineStr">
        <is>
          <t>Sheets</t>
        </is>
      </c>
      <c r="G5" s="103" t="n"/>
      <c r="H5" s="103" t="n"/>
    </row>
    <row r="6" ht="29" customHeight="1" s="120">
      <c r="A6" s="53" t="inlineStr">
        <is>
          <t>Task Plan</t>
        </is>
      </c>
      <c r="B6" s="99" t="inlineStr">
        <is>
          <t>Integrated WBS/task control table linking baseline dates, BAC, progress, AC, EV, variances, forecasts, and RAG status.</t>
        </is>
      </c>
      <c r="D6" s="76" t="n"/>
      <c r="E6" s="7" t="inlineStr">
        <is>
          <t>Navigation / Reference</t>
        </is>
      </c>
      <c r="F6" s="99" t="inlineStr">
        <is>
          <t>Cover, Glossary</t>
        </is>
      </c>
      <c r="G6" s="273" t="n"/>
      <c r="H6" s="130" t="n"/>
    </row>
    <row r="7" ht="29" customHeight="1" s="120">
      <c r="A7" s="53" t="inlineStr">
        <is>
          <t>EVM</t>
        </is>
      </c>
      <c r="B7" s="99" t="inlineStr">
        <is>
          <t>Weekly EVM reporting table with cumulative PV, AC, EV, SV, CV, SPI, CPI, EAC, ETC, and VAC.</t>
        </is>
      </c>
      <c r="D7" s="77" t="n"/>
      <c r="E7" s="7" t="inlineStr">
        <is>
          <t>Method / Governance</t>
        </is>
      </c>
      <c r="F7" s="99" t="inlineStr">
        <is>
          <t>Method Roadmap, PID, PM-EVM Compliance, Review</t>
        </is>
      </c>
      <c r="G7" s="273" t="n"/>
      <c r="H7" s="130" t="n"/>
    </row>
    <row r="8" ht="29" customHeight="1" s="120">
      <c r="A8" s="53" t="inlineStr">
        <is>
          <t>EVM Charts</t>
        </is>
      </c>
      <c r="B8" s="99" t="inlineStr">
        <is>
          <t>Baseline Gantt schedule and EVM S-curve generated from the same WBS, budget, progress, and actual-cost data.</t>
        </is>
      </c>
      <c r="D8" s="78" t="inlineStr">
        <is>
          <t xml:space="preserve"> </t>
        </is>
      </c>
      <c r="E8" s="7" t="inlineStr">
        <is>
          <t>Controls / Planning</t>
        </is>
      </c>
      <c r="F8" s="99" t="inlineStr">
        <is>
          <t>Setup, Task Plan, Task Capture, Resource Grid</t>
        </is>
      </c>
      <c r="G8" s="273" t="n"/>
      <c r="H8" s="130" t="n"/>
    </row>
    <row r="9" ht="29" customHeight="1" s="120">
      <c r="A9" s="53" t="inlineStr">
        <is>
          <t>EVM Dashboard</t>
        </is>
      </c>
      <c r="B9" s="99" t="inlineStr">
        <is>
          <t>Management view with KPI tiles, WBS performance breakdown, trends, and RAG coloring.</t>
        </is>
      </c>
      <c r="D9" s="79" t="n"/>
      <c r="E9" s="7" t="inlineStr">
        <is>
          <t>Management Outputs</t>
        </is>
      </c>
      <c r="F9" s="99" t="inlineStr">
        <is>
          <t>EVM Dashboard, EVM, EVM Charts</t>
        </is>
      </c>
      <c r="G9" s="273" t="n"/>
      <c r="H9" s="130" t="n"/>
    </row>
    <row r="10">
      <c r="A10" s="53" t="inlineStr">
        <is>
          <t>PM-EVM Compliance</t>
        </is>
      </c>
      <c r="B10" s="99" t="inlineStr">
        <is>
          <t>Checklist mapping the workbook to the attached PM-EVM guideline.</t>
        </is>
      </c>
      <c r="D10" s="80" t="n"/>
      <c r="E10" s="7" t="inlineStr">
        <is>
          <t>Dimension Data</t>
        </is>
      </c>
      <c r="F10" s="99" t="inlineStr">
        <is>
          <t>Dim_Project, Dim_WBS, Dim_Resource, Dim_Calendar</t>
        </is>
      </c>
      <c r="G10" s="273" t="n"/>
      <c r="H10" s="130" t="n"/>
    </row>
    <row r="11">
      <c r="A11" s="53" t="inlineStr">
        <is>
          <t>Dim_* / Fact_*</t>
        </is>
      </c>
      <c r="B11" s="99" t="inlineStr">
        <is>
          <t>Star-schema source data used by the live formulas and charts.</t>
        </is>
      </c>
      <c r="D11" s="81" t="n"/>
      <c r="E11" s="7" t="inlineStr">
        <is>
          <t>Fact Data</t>
        </is>
      </c>
      <c r="F11" s="99" t="inlineStr">
        <is>
          <t>Fact_Baseline_PV, Fact_Actual_Costs, Fact_Physical_Progress</t>
        </is>
      </c>
      <c r="G11" s="273" t="n"/>
      <c r="H11" s="130" t="n"/>
    </row>
    <row r="12" ht="29" customHeight="1" s="120">
      <c r="A12" s="53" t="inlineStr">
        <is>
          <t>Glossary</t>
        </is>
      </c>
      <c r="B12" s="99" t="inlineStr">
        <is>
          <t>Definitions for the EVM, WBS, Gantt, schedule, cost, RAG, and data-model terms used in the workbook.</t>
        </is>
      </c>
    </row>
    <row r="13" ht="29" customHeight="1" s="120">
      <c r="A13" s="53" t="inlineStr">
        <is>
          <t>Method Roadmap</t>
        </is>
      </c>
      <c r="B13" s="99" t="inlineStr">
        <is>
          <t>12-step project management method mapped to workbook sheets and current project controls.</t>
        </is>
      </c>
      <c r="D13" s="103" t="inlineStr">
        <is>
          <t>Input / Control / Output Classification</t>
        </is>
      </c>
      <c r="E13" s="273" t="n"/>
      <c r="F13" s="273" t="n"/>
      <c r="G13" s="273" t="n"/>
      <c r="H13" s="130" t="n"/>
    </row>
    <row r="14" ht="29" customHeight="1" s="120">
      <c r="A14" s="53" t="inlineStr">
        <is>
          <t>PID</t>
        </is>
      </c>
      <c r="B14" s="99" t="inlineStr">
        <is>
          <t>Project Initiation Document template with business case, scope, controls, risk and financial sections.</t>
        </is>
      </c>
      <c r="D14" s="103" t="inlineStr">
        <is>
          <t>Class</t>
        </is>
      </c>
      <c r="E14" s="103" t="inlineStr">
        <is>
          <t>Meaning</t>
        </is>
      </c>
      <c r="F14" s="103" t="inlineStr">
        <is>
          <t>Sheets</t>
        </is>
      </c>
      <c r="G14" s="103" t="n"/>
      <c r="H14" s="103" t="n"/>
    </row>
    <row r="15" ht="58" customHeight="1" s="120">
      <c r="A15" s="53" t="inlineStr">
        <is>
          <t>Task Capture</t>
        </is>
      </c>
      <c r="B15" s="99" t="inlineStr">
        <is>
          <t>Task-list brainstorming sheet based on the attached list-the-tasks method, linked to current WBS.</t>
        </is>
      </c>
      <c r="D15" s="82" t="inlineStr">
        <is>
          <t>Input</t>
        </is>
      </c>
      <c r="E15" s="99" t="inlineStr">
        <is>
          <t>Source data or user-entered templates that feed calculations.</t>
        </is>
      </c>
      <c r="F15" s="99" t="inlineStr">
        <is>
          <t>Dim_Project, Dim_WBS, Dim_Resource, Dim_Calendar, Fact_Baseline_PV, Fact_Actual_Costs, Fact_Physical_Progress, PID, Task Capture, Review</t>
        </is>
      </c>
      <c r="G15" s="273" t="n"/>
      <c r="H15" s="130" t="n"/>
    </row>
    <row r="16" ht="116" customHeight="1" s="120">
      <c r="A16" s="53" t="inlineStr">
        <is>
          <t>Resource Grid</t>
        </is>
      </c>
      <c r="B16" s="99" t="inlineStr">
        <is>
          <t>Weekly hours/cost resource allocation grid adapted from the attached Gantt template.</t>
        </is>
      </c>
      <c r="D16" s="83" t="inlineStr">
        <is>
          <t>Control</t>
        </is>
      </c>
      <c r="E16" s="99" t="inlineStr">
        <is>
          <t>Assumptions, governance, validation, methods, and planning logic that manage how inputs are interpreted.</t>
        </is>
      </c>
      <c r="F16" s="99" t="inlineStr">
        <is>
          <t>Setup, Method Roadmap, PM-EVM Compliance, Task Plan, Resource Grid</t>
        </is>
      </c>
      <c r="G16" s="273" t="n"/>
      <c r="H16" s="130" t="n"/>
    </row>
    <row r="17" ht="101.5" customHeight="1" s="120">
      <c r="A17" s="53" t="inlineStr">
        <is>
          <t>Review</t>
        </is>
      </c>
      <c r="B17" s="99" t="inlineStr">
        <is>
          <t>GOOD / BAD / BETTER review template and action log.</t>
        </is>
      </c>
      <c r="D17" s="84" t="inlineStr">
        <is>
          <t>Output</t>
        </is>
      </c>
      <c r="E17" s="99" t="inlineStr">
        <is>
          <t>Management-facing reports, charts, dashboards, and reference views produced from inputs and controls.</t>
        </is>
      </c>
      <c r="F17" s="99" t="inlineStr">
        <is>
          <t>Cover, Glossary, EVM Dashboard, EVM, EVM Charts</t>
        </is>
      </c>
      <c r="G17" s="273" t="n"/>
      <c r="H17" s="130" t="n"/>
    </row>
    <row r="18" ht="29" customHeight="1" s="120">
      <c r="A18" s="64" t="inlineStr">
        <is>
          <t>Garden Gantt Model</t>
        </is>
      </c>
      <c r="B18" s="107" t="inlineStr">
        <is>
          <t>Attached garden-office Gantt template implemented with current project weekly hours and cost data.</t>
        </is>
      </c>
    </row>
    <row r="19" ht="29" customHeight="1" s="120">
      <c r="A19" s="64" t="inlineStr">
        <is>
          <t>PERT Diagram</t>
        </is>
      </c>
      <c r="B19" s="107" t="inlineStr">
        <is>
          <t>Visio-style PERT network diagram reflecting the current WBS, schedule, progress and RAG status.</t>
        </is>
      </c>
      <c r="D19" s="103" t="inlineStr">
        <is>
          <t>Sheet</t>
        </is>
      </c>
      <c r="E19" s="103" t="inlineStr">
        <is>
          <t>Class</t>
        </is>
      </c>
      <c r="F19" s="103" t="inlineStr">
        <is>
          <t>Reason</t>
        </is>
      </c>
      <c r="G19" s="103" t="n"/>
      <c r="H19" s="103" t="n"/>
    </row>
    <row r="20" ht="29" customHeight="1" s="120">
      <c r="A20" s="242" t="inlineStr">
        <is>
          <t>Red Actions</t>
        </is>
      </c>
      <c r="B20" s="127" t="inlineStr">
        <is>
          <t>Recommended recovery actions for all current red RAG WBS items and control risks.</t>
        </is>
      </c>
      <c r="D20" s="7" t="inlineStr">
        <is>
          <t>Cover</t>
        </is>
      </c>
      <c r="E20" s="84" t="inlineStr">
        <is>
          <t>Output</t>
        </is>
      </c>
      <c r="F20" s="99" t="inlineStr">
        <is>
          <t>Workbook navigation and summary.</t>
        </is>
      </c>
      <c r="G20" s="274" t="n"/>
      <c r="H20" s="134" t="n"/>
    </row>
    <row r="21" ht="29" customHeight="1" s="120">
      <c r="A21" s="242" t="inlineStr">
        <is>
          <t>Pivot Summary</t>
        </is>
      </c>
      <c r="B21" s="127" t="inlineStr">
        <is>
          <t>High-level PivotTables and descriptive statistics for project cost, schedule, EVM, and RAG performance.</t>
        </is>
      </c>
      <c r="D21" s="7" t="inlineStr">
        <is>
          <t>Glossary</t>
        </is>
      </c>
      <c r="E21" s="84" t="inlineStr">
        <is>
          <t>Output</t>
        </is>
      </c>
      <c r="F21" s="275" t="n"/>
      <c r="H21" s="276" t="n"/>
    </row>
    <row r="22">
      <c r="D22" s="7" t="inlineStr">
        <is>
          <t>Review</t>
        </is>
      </c>
      <c r="E22" s="82" t="inlineStr">
        <is>
          <t>Input</t>
        </is>
      </c>
      <c r="F22" s="275" t="n"/>
      <c r="H22" s="276" t="n"/>
    </row>
    <row r="23">
      <c r="D23" s="7" t="inlineStr">
        <is>
          <t>Setup</t>
        </is>
      </c>
      <c r="E23" s="83" t="inlineStr">
        <is>
          <t>Control</t>
        </is>
      </c>
      <c r="F23" s="275" t="n"/>
      <c r="H23" s="276" t="n"/>
    </row>
    <row r="24">
      <c r="D24" s="7" t="inlineStr">
        <is>
          <t>PID</t>
        </is>
      </c>
      <c r="E24" s="82" t="inlineStr">
        <is>
          <t>Input</t>
        </is>
      </c>
      <c r="F24" s="275" t="n"/>
      <c r="H24" s="276" t="n"/>
    </row>
    <row r="25">
      <c r="D25" s="7" t="inlineStr">
        <is>
          <t>Method Roadmap</t>
        </is>
      </c>
      <c r="E25" s="83" t="inlineStr">
        <is>
          <t>Control</t>
        </is>
      </c>
      <c r="F25" s="275" t="n"/>
      <c r="H25" s="276" t="n"/>
    </row>
    <row r="26">
      <c r="D26" s="7" t="inlineStr">
        <is>
          <t>PM-EVM Compliance</t>
        </is>
      </c>
      <c r="E26" s="83" t="inlineStr">
        <is>
          <t>Control</t>
        </is>
      </c>
      <c r="F26" s="275" t="n"/>
      <c r="H26" s="276" t="n"/>
    </row>
    <row r="27">
      <c r="D27" s="7" t="inlineStr">
        <is>
          <t>Task Plan</t>
        </is>
      </c>
      <c r="E27" s="83" t="inlineStr">
        <is>
          <t>Control</t>
        </is>
      </c>
      <c r="F27" s="275" t="n"/>
      <c r="H27" s="276" t="n"/>
    </row>
    <row r="28">
      <c r="D28" s="7" t="inlineStr">
        <is>
          <t>Task Capture</t>
        </is>
      </c>
      <c r="E28" s="82" t="inlineStr">
        <is>
          <t>Input</t>
        </is>
      </c>
      <c r="F28" s="275" t="n"/>
      <c r="H28" s="276" t="n"/>
    </row>
    <row r="29">
      <c r="D29" s="7" t="inlineStr">
        <is>
          <t>EVM Dashboard</t>
        </is>
      </c>
      <c r="E29" s="84" t="inlineStr">
        <is>
          <t>Output</t>
        </is>
      </c>
      <c r="F29" s="275" t="n"/>
      <c r="H29" s="276" t="n"/>
    </row>
    <row r="30">
      <c r="D30" s="7" t="inlineStr">
        <is>
          <t>Resource Grid</t>
        </is>
      </c>
      <c r="E30" s="83" t="inlineStr">
        <is>
          <t>Control</t>
        </is>
      </c>
      <c r="F30" s="275" t="n"/>
      <c r="H30" s="276" t="n"/>
    </row>
    <row r="31">
      <c r="D31" s="7" t="inlineStr">
        <is>
          <t>Dim_Project</t>
        </is>
      </c>
      <c r="E31" s="82" t="inlineStr">
        <is>
          <t>Input</t>
        </is>
      </c>
      <c r="F31" s="275" t="n"/>
      <c r="H31" s="276" t="n"/>
    </row>
    <row r="32">
      <c r="D32" s="7" t="inlineStr">
        <is>
          <t>Dim_WBS</t>
        </is>
      </c>
      <c r="E32" s="82" t="inlineStr">
        <is>
          <t>Input</t>
        </is>
      </c>
      <c r="F32" s="275" t="n"/>
      <c r="H32" s="276" t="n"/>
    </row>
    <row r="33">
      <c r="D33" s="7" t="inlineStr">
        <is>
          <t>Dim_Resource</t>
        </is>
      </c>
      <c r="E33" s="82" t="inlineStr">
        <is>
          <t>Input</t>
        </is>
      </c>
      <c r="F33" s="275" t="n"/>
      <c r="H33" s="276" t="n"/>
    </row>
    <row r="34">
      <c r="D34" s="7" t="inlineStr">
        <is>
          <t>Dim_Calendar</t>
        </is>
      </c>
      <c r="E34" s="82" t="inlineStr">
        <is>
          <t>Input</t>
        </is>
      </c>
      <c r="F34" s="275" t="n"/>
      <c r="H34" s="276" t="n"/>
    </row>
    <row r="35">
      <c r="D35" s="7" t="inlineStr">
        <is>
          <t>Fact_Baseline_PV</t>
        </is>
      </c>
      <c r="E35" s="82" t="inlineStr">
        <is>
          <t>Input</t>
        </is>
      </c>
      <c r="F35" s="275" t="n"/>
      <c r="H35" s="276" t="n"/>
    </row>
    <row r="36">
      <c r="D36" s="7" t="inlineStr">
        <is>
          <t>Fact_Actual_Costs</t>
        </is>
      </c>
      <c r="E36" s="82" t="inlineStr">
        <is>
          <t>Input</t>
        </is>
      </c>
      <c r="F36" s="275" t="n"/>
      <c r="H36" s="276" t="n"/>
    </row>
    <row r="37">
      <c r="D37" s="7" t="inlineStr">
        <is>
          <t>Fact_Physical_Progress</t>
        </is>
      </c>
      <c r="E37" s="82" t="inlineStr">
        <is>
          <t>Input</t>
        </is>
      </c>
      <c r="F37" s="275" t="n"/>
      <c r="H37" s="276" t="n"/>
    </row>
    <row r="38">
      <c r="D38" s="7" t="inlineStr">
        <is>
          <t>EVM</t>
        </is>
      </c>
      <c r="E38" s="84" t="inlineStr">
        <is>
          <t>Output</t>
        </is>
      </c>
      <c r="F38" s="275" t="n"/>
      <c r="H38" s="276" t="n"/>
    </row>
    <row r="39">
      <c r="D39" s="7" t="inlineStr">
        <is>
          <t>EVM Charts</t>
        </is>
      </c>
      <c r="E39" s="84" t="inlineStr">
        <is>
          <t>Output</t>
        </is>
      </c>
      <c r="F39" s="277" t="n"/>
      <c r="G39" s="278" t="n"/>
      <c r="H39" s="279" t="n"/>
    </row>
  </sheetData>
  <mergeCells count="14">
    <mergeCell ref="A1:H1"/>
    <mergeCell ref="F10:H10"/>
    <mergeCell ref="F16:H16"/>
    <mergeCell ref="F6:H6"/>
    <mergeCell ref="A2:H2"/>
    <mergeCell ref="D13:H13"/>
    <mergeCell ref="F8:H8"/>
    <mergeCell ref="F17:H17"/>
    <mergeCell ref="F9:H9"/>
    <mergeCell ref="F7:H7"/>
    <mergeCell ref="D4:H4"/>
    <mergeCell ref="F20:H39"/>
    <mergeCell ref="F15:H15"/>
    <mergeCell ref="F11:H1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3"/>
  <sheetViews>
    <sheetView topLeftCell="H1" workbookViewId="0">
      <selection activeCell="Q1" sqref="Q1"/>
    </sheetView>
  </sheetViews>
  <sheetFormatPr baseColWidth="8" defaultRowHeight="14.5"/>
  <cols>
    <col width="27.26953125" customWidth="1" style="120" min="1" max="1"/>
    <col width="21.81640625" customWidth="1" style="120" min="2" max="3"/>
    <col width="34.54296875" customWidth="1" style="120" min="4" max="4"/>
    <col width="13.6328125" customWidth="1" style="120" min="5" max="11"/>
  </cols>
  <sheetData>
    <row r="1" ht="23.5" customHeight="1" s="120">
      <c r="A1" s="236" t="inlineStr">
        <is>
          <t>Workbook Slicer Controls</t>
        </is>
      </c>
      <c r="B1" s="236" t="n"/>
      <c r="C1" s="236" t="n"/>
      <c r="D1" s="236" t="n"/>
      <c r="E1" s="236" t="n"/>
      <c r="F1" s="236" t="n"/>
      <c r="G1" s="236" t="n"/>
      <c r="H1" s="236" t="n"/>
      <c r="I1" s="236" t="n"/>
      <c r="J1" s="236" t="n"/>
      <c r="K1" s="236" t="n"/>
    </row>
    <row r="2" ht="87" customHeight="1" s="120">
      <c r="A2" s="237" t="inlineStr">
        <is>
          <t>Use this panel to filter the source Excel Tables directly. Slicers are grouped by reporting outputs, source inputs, and governance/control tables.</t>
        </is>
      </c>
      <c r="B2" s="237" t="n"/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</row>
    <row r="4" ht="15.5" customHeight="1" s="120">
      <c r="A4" s="239" t="inlineStr">
        <is>
          <t>MANAGEMENT OUTPUTS</t>
        </is>
      </c>
    </row>
    <row r="30" ht="15.5" customHeight="1" s="120">
      <c r="A30" s="239" t="inlineStr">
        <is>
          <t>SOURCE INPUTS</t>
        </is>
      </c>
      <c r="B30" s="239" t="n"/>
      <c r="C30" s="239" t="n"/>
      <c r="D30" s="239" t="n"/>
      <c r="E30" s="239" t="n"/>
      <c r="F30" s="239" t="n"/>
      <c r="G30" s="239" t="n"/>
      <c r="H30" s="239" t="n"/>
      <c r="I30" s="239" t="n"/>
      <c r="J30" s="239" t="n"/>
      <c r="K30" s="239" t="n"/>
    </row>
    <row r="56" ht="15.5" customHeight="1" s="120">
      <c r="A56" s="239" t="inlineStr">
        <is>
          <t>GOVERNANCE / CONTROL</t>
        </is>
      </c>
      <c r="B56" s="239" t="n"/>
      <c r="C56" s="239" t="n"/>
      <c r="D56" s="239" t="n"/>
      <c r="E56" s="239" t="n"/>
      <c r="F56" s="239" t="n"/>
      <c r="G56" s="239" t="n"/>
      <c r="H56" s="239" t="n"/>
      <c r="I56" s="239" t="n"/>
      <c r="J56" s="239" t="n"/>
      <c r="K56" s="239" t="n"/>
    </row>
    <row r="105">
      <c r="A105" s="240" t="inlineStr">
        <is>
          <t>Slicer name</t>
        </is>
      </c>
      <c r="B105" s="240" t="inlineStr">
        <is>
          <t>Source area</t>
        </is>
      </c>
      <c r="C105" s="240" t="inlineStr">
        <is>
          <t>Field</t>
        </is>
      </c>
      <c r="D105" s="240" t="inlineStr">
        <is>
          <t>Caption</t>
        </is>
      </c>
    </row>
    <row r="106">
      <c r="A106" s="241" t="inlineStr">
        <is>
          <t>slc_Dashboard_Status</t>
        </is>
      </c>
      <c r="B106" s="241" t="inlineStr">
        <is>
          <t>Dashboard</t>
        </is>
      </c>
      <c r="C106" s="241" t="inlineStr">
        <is>
          <t>Status</t>
        </is>
      </c>
      <c r="D106" s="241" t="inlineStr">
        <is>
          <t>Dashboard: Status</t>
        </is>
      </c>
    </row>
    <row r="107">
      <c r="A107" s="241" t="inlineStr">
        <is>
          <t>slc_Dashboard_Type</t>
        </is>
      </c>
      <c r="B107" s="241" t="inlineStr">
        <is>
          <t>Dashboard</t>
        </is>
      </c>
      <c r="C107" s="241" t="inlineStr">
        <is>
          <t>Type</t>
        </is>
      </c>
      <c r="D107" s="241" t="inlineStr">
        <is>
          <t>Dashboard: Type</t>
        </is>
      </c>
    </row>
    <row r="108">
      <c r="A108" s="241" t="inlineStr">
        <is>
          <t>slc_TaskPlan_Status</t>
        </is>
      </c>
      <c r="B108" s="241" t="inlineStr">
        <is>
          <t>Task Plan</t>
        </is>
      </c>
      <c r="C108" s="241" t="inlineStr">
        <is>
          <t>Status</t>
        </is>
      </c>
      <c r="D108" s="241" t="inlineStr">
        <is>
          <t>Task Plan: Status</t>
        </is>
      </c>
    </row>
    <row r="109">
      <c r="A109" s="241" t="inlineStr">
        <is>
          <t>slc_TaskPlan_Type</t>
        </is>
      </c>
      <c r="B109" s="241" t="inlineStr">
        <is>
          <t>Task Plan</t>
        </is>
      </c>
      <c r="C109" s="241" t="inlineStr">
        <is>
          <t>Type</t>
        </is>
      </c>
      <c r="D109" s="241" t="inlineStr">
        <is>
          <t>Task Plan: Type</t>
        </is>
      </c>
    </row>
    <row r="110">
      <c r="A110" s="241" t="inlineStr">
        <is>
          <t>slc_TaskPlan_WBSID</t>
        </is>
      </c>
      <c r="B110" s="241" t="inlineStr">
        <is>
          <t>Task Plan</t>
        </is>
      </c>
      <c r="C110" s="241" t="inlineStr">
        <is>
          <t>WBS ID</t>
        </is>
      </c>
      <c r="D110" s="241" t="inlineStr">
        <is>
          <t>Task Plan: WBS ID</t>
        </is>
      </c>
    </row>
    <row r="111">
      <c r="A111" s="241" t="inlineStr">
        <is>
          <t>slc_EVM_Status</t>
        </is>
      </c>
      <c r="B111" s="241" t="inlineStr">
        <is>
          <t>EVM</t>
        </is>
      </c>
      <c r="C111" s="241" t="inlineStr">
        <is>
          <t>Status</t>
        </is>
      </c>
      <c r="D111" s="241" t="inlineStr">
        <is>
          <t>EVM: Status</t>
        </is>
      </c>
    </row>
    <row r="112">
      <c r="A112" s="241" t="inlineStr">
        <is>
          <t>slc_EVM_Week</t>
        </is>
      </c>
      <c r="B112" s="241" t="inlineStr">
        <is>
          <t>EVM</t>
        </is>
      </c>
      <c r="C112" s="241" t="inlineStr">
        <is>
          <t>Week</t>
        </is>
      </c>
      <c r="D112" s="241" t="inlineStr">
        <is>
          <t>EVM: Week</t>
        </is>
      </c>
    </row>
    <row r="113">
      <c r="A113" s="241" t="inlineStr">
        <is>
          <t>slc_PERT_RAG</t>
        </is>
      </c>
      <c r="B113" s="241" t="inlineStr">
        <is>
          <t>PERT</t>
        </is>
      </c>
      <c r="C113" s="241" t="inlineStr">
        <is>
          <t>RAG</t>
        </is>
      </c>
      <c r="D113" s="241" t="inlineStr">
        <is>
          <t>PERT: RAG</t>
        </is>
      </c>
    </row>
    <row r="114">
      <c r="A114" s="241" t="inlineStr">
        <is>
          <t>slc_Resource_Measure</t>
        </is>
      </c>
      <c r="B114" s="241" t="inlineStr">
        <is>
          <t>Resource Grid</t>
        </is>
      </c>
      <c r="C114" s="241" t="inlineStr">
        <is>
          <t>Measure</t>
        </is>
      </c>
      <c r="D114" s="241" t="inlineStr">
        <is>
          <t>Resource Grid: Measure</t>
        </is>
      </c>
    </row>
    <row r="115">
      <c r="A115" s="241" t="inlineStr">
        <is>
          <t>slc_Resource_RAG</t>
        </is>
      </c>
      <c r="B115" s="241" t="inlineStr">
        <is>
          <t>Resource Grid</t>
        </is>
      </c>
      <c r="C115" s="241" t="inlineStr">
        <is>
          <t>RAG</t>
        </is>
      </c>
      <c r="D115" s="241" t="inlineStr">
        <is>
          <t>Resource Grid: RAG</t>
        </is>
      </c>
    </row>
    <row r="116">
      <c r="A116" s="241" t="inlineStr">
        <is>
          <t>slc_Calendar_Month</t>
        </is>
      </c>
      <c r="B116" s="241" t="inlineStr">
        <is>
          <t>Calendar</t>
        </is>
      </c>
      <c r="C116" s="241" t="inlineStr">
        <is>
          <t>Month</t>
        </is>
      </c>
      <c r="D116" s="241" t="inlineStr">
        <is>
          <t>Calendar: Month</t>
        </is>
      </c>
    </row>
    <row r="117">
      <c r="A117" s="241" t="inlineStr">
        <is>
          <t>slc_Calendar_Week</t>
        </is>
      </c>
      <c r="B117" s="241" t="inlineStr">
        <is>
          <t>Calendar</t>
        </is>
      </c>
      <c r="C117" s="241" t="inlineStr">
        <is>
          <t>Week</t>
        </is>
      </c>
      <c r="D117" s="241" t="inlineStr">
        <is>
          <t>Calendar: Week</t>
        </is>
      </c>
    </row>
    <row r="118">
      <c r="A118" s="241" t="inlineStr">
        <is>
          <t>slc_DimResource_Role</t>
        </is>
      </c>
      <c r="B118" s="241" t="inlineStr">
        <is>
          <t>Resources</t>
        </is>
      </c>
      <c r="C118" s="241" t="inlineStr">
        <is>
          <t>Role</t>
        </is>
      </c>
      <c r="D118" s="241" t="inlineStr">
        <is>
          <t>Resources: Role</t>
        </is>
      </c>
    </row>
    <row r="119">
      <c r="A119" s="241" t="inlineStr">
        <is>
          <t>slc_DimWBS_Type</t>
        </is>
      </c>
      <c r="B119" s="241" t="inlineStr">
        <is>
          <t>WBS Master</t>
        </is>
      </c>
      <c r="C119" s="241" t="inlineStr">
        <is>
          <t>Type</t>
        </is>
      </c>
      <c r="D119" s="241" t="inlineStr">
        <is>
          <t>WBS Master: Type</t>
        </is>
      </c>
    </row>
    <row r="120">
      <c r="A120" s="241" t="inlineStr">
        <is>
          <t>slc_DimWBS_WBSID</t>
        </is>
      </c>
      <c r="B120" s="241" t="inlineStr">
        <is>
          <t>WBS Master</t>
        </is>
      </c>
      <c r="C120" s="241" t="inlineStr">
        <is>
          <t>WBS ID</t>
        </is>
      </c>
      <c r="D120" s="241" t="inlineStr">
        <is>
          <t>WBS Master: WBS ID</t>
        </is>
      </c>
    </row>
    <row r="121">
      <c r="A121" s="241" t="inlineStr">
        <is>
          <t>slc_ActualCosts_ResourceID</t>
        </is>
      </c>
      <c r="B121" s="241" t="inlineStr">
        <is>
          <t>Actual Costs</t>
        </is>
      </c>
      <c r="C121" s="241" t="inlineStr">
        <is>
          <t>Resource</t>
        </is>
      </c>
      <c r="D121" s="241" t="inlineStr">
        <is>
          <t>Actual Costs: Resource</t>
        </is>
      </c>
    </row>
    <row r="122">
      <c r="A122" s="241" t="inlineStr">
        <is>
          <t>slc_ActualCosts_WBSID</t>
        </is>
      </c>
      <c r="B122" s="241" t="inlineStr">
        <is>
          <t>Actual Costs</t>
        </is>
      </c>
      <c r="C122" s="241" t="inlineStr">
        <is>
          <t>WBS ID</t>
        </is>
      </c>
      <c r="D122" s="241" t="inlineStr">
        <is>
          <t>Actual Costs: WBS ID</t>
        </is>
      </c>
    </row>
    <row r="123">
      <c r="A123" s="241" t="inlineStr">
        <is>
          <t>slc_BaselinePV_WBSID</t>
        </is>
      </c>
      <c r="B123" s="241" t="inlineStr">
        <is>
          <t>Baseline PV</t>
        </is>
      </c>
      <c r="C123" s="241" t="inlineStr">
        <is>
          <t>WBS ID</t>
        </is>
      </c>
      <c r="D123" s="241" t="inlineStr">
        <is>
          <t>Baseline PV: WBS ID</t>
        </is>
      </c>
    </row>
    <row r="124">
      <c r="A124" s="241" t="inlineStr">
        <is>
          <t>slc_Progress_WBSID</t>
        </is>
      </c>
      <c r="B124" s="241" t="inlineStr">
        <is>
          <t>Progress</t>
        </is>
      </c>
      <c r="C124" s="241" t="inlineStr">
        <is>
          <t>WBS ID</t>
        </is>
      </c>
      <c r="D124" s="241" t="inlineStr">
        <is>
          <t>Progress: WBS ID</t>
        </is>
      </c>
    </row>
    <row r="125">
      <c r="A125" s="241" t="inlineStr">
        <is>
          <t>slc_TaskCapture_Type</t>
        </is>
      </c>
      <c r="B125" s="241" t="inlineStr">
        <is>
          <t>Task Capture</t>
        </is>
      </c>
      <c r="C125" s="241" t="inlineStr">
        <is>
          <t>Type</t>
        </is>
      </c>
      <c r="D125" s="241" t="inlineStr">
        <is>
          <t>Task Capture: Type</t>
        </is>
      </c>
    </row>
    <row r="126">
      <c r="A126" s="241" t="inlineStr">
        <is>
          <t>slc_Method_Status</t>
        </is>
      </c>
      <c r="B126" s="241" t="inlineStr">
        <is>
          <t>Method Roadmap</t>
        </is>
      </c>
      <c r="C126" s="241" t="inlineStr">
        <is>
          <t>Status</t>
        </is>
      </c>
      <c r="D126" s="241" t="inlineStr">
        <is>
          <t>Method Roadmap: Status</t>
        </is>
      </c>
    </row>
    <row r="127">
      <c r="A127" s="241" t="inlineStr">
        <is>
          <t>slc_PIDRisk_Owner</t>
        </is>
      </c>
      <c r="B127" s="241" t="inlineStr">
        <is>
          <t>PID Risks</t>
        </is>
      </c>
      <c r="C127" s="241" t="inlineStr">
        <is>
          <t>Owner</t>
        </is>
      </c>
      <c r="D127" s="241" t="inlineStr">
        <is>
          <t>PID Risks: Owner</t>
        </is>
      </c>
    </row>
    <row r="128">
      <c r="A128" s="241" t="inlineStr">
        <is>
          <t>slc_PIDRisk_RAG</t>
        </is>
      </c>
      <c r="B128" s="241" t="inlineStr">
        <is>
          <t>PID Risks</t>
        </is>
      </c>
      <c r="C128" s="241" t="inlineStr">
        <is>
          <t>RAG</t>
        </is>
      </c>
      <c r="D128" s="241" t="inlineStr">
        <is>
          <t>PID Risks: RAG</t>
        </is>
      </c>
    </row>
    <row r="129">
      <c r="A129" s="241" t="inlineStr">
        <is>
          <t>slc_Review_Owner</t>
        </is>
      </c>
      <c r="B129" s="241" t="inlineStr">
        <is>
          <t>Review Actions</t>
        </is>
      </c>
      <c r="C129" s="241" t="inlineStr">
        <is>
          <t>Owner</t>
        </is>
      </c>
      <c r="D129" s="241" t="inlineStr">
        <is>
          <t>Review Actions: Owner</t>
        </is>
      </c>
    </row>
    <row r="130">
      <c r="A130" s="241" t="inlineStr">
        <is>
          <t>slc_Review_RAG</t>
        </is>
      </c>
      <c r="B130" s="241" t="inlineStr">
        <is>
          <t>Review Actions</t>
        </is>
      </c>
      <c r="C130" s="241" t="inlineStr">
        <is>
          <t>RAG</t>
        </is>
      </c>
      <c r="D130" s="241" t="inlineStr">
        <is>
          <t>Review Actions: RAG</t>
        </is>
      </c>
    </row>
    <row r="131">
      <c r="A131" s="241" t="inlineStr">
        <is>
          <t>slc_Compliance_Status</t>
        </is>
      </c>
      <c r="B131" s="241" t="inlineStr">
        <is>
          <t>PM-EVM</t>
        </is>
      </c>
      <c r="C131" s="241" t="inlineStr">
        <is>
          <t>Status</t>
        </is>
      </c>
      <c r="D131" s="241" t="inlineStr">
        <is>
          <t>PM-EVM: Status</t>
        </is>
      </c>
    </row>
    <row r="132">
      <c r="A132" s="241" t="inlineStr">
        <is>
          <t>slc_Glossary_Category</t>
        </is>
      </c>
      <c r="B132" s="241" t="inlineStr">
        <is>
          <t>Glossary</t>
        </is>
      </c>
      <c r="C132" s="241" t="inlineStr">
        <is>
          <t>Category</t>
        </is>
      </c>
      <c r="D132" s="241" t="inlineStr">
        <is>
          <t>Glossary: Category</t>
        </is>
      </c>
    </row>
    <row r="133">
      <c r="A133" s="241" t="inlineStr">
        <is>
          <t>slc_Method_Owner</t>
        </is>
      </c>
      <c r="B133" s="241" t="inlineStr">
        <is>
          <t>Method Roadmap</t>
        </is>
      </c>
      <c r="C133" s="241" t="inlineStr">
        <is>
          <t>Owner</t>
        </is>
      </c>
      <c r="D133" s="241" t="inlineStr">
        <is>
          <t>Method Roadmap: Owner</t>
        </is>
      </c>
    </row>
  </sheetData>
  <mergeCells count="1">
    <mergeCell ref="A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7030A0"/>
    <outlinePr summaryBelow="1" summaryRight="1"/>
    <pageSetUpPr/>
  </sheetPr>
  <dimension ref="A1:E38"/>
  <sheetViews>
    <sheetView showGridLines="0" topLeftCell="A19" workbookViewId="0">
      <selection activeCell="Q1" sqref="Q1"/>
    </sheetView>
  </sheetViews>
  <sheetFormatPr baseColWidth="8" defaultRowHeight="14.5"/>
  <cols>
    <col width="20.90625" customWidth="1" style="120" min="1" max="1"/>
    <col width="27.26953125" customWidth="1" style="120" min="2" max="2"/>
    <col width="13.6328125" customWidth="1" style="120" min="3" max="3"/>
    <col width="47.26953125" customWidth="1" style="120" min="4" max="4"/>
    <col width="30.90625" customWidth="1" style="120" min="5" max="5"/>
  </cols>
  <sheetData>
    <row r="1" ht="23.5" customHeight="1" s="120">
      <c r="A1" s="101" t="inlineStr">
        <is>
          <t>Project Control Glossary</t>
        </is>
      </c>
    </row>
    <row r="2">
      <c r="A2" s="102" t="inlineStr">
        <is>
          <t>Definitions for the EVM, WBS, Gantt, schedule, cost, and RAG terms used across this workbook.</t>
        </is>
      </c>
    </row>
    <row r="4">
      <c r="A4" s="126" t="inlineStr">
        <is>
          <t>Category</t>
        </is>
      </c>
      <c r="B4" s="126" t="inlineStr">
        <is>
          <t>Term</t>
        </is>
      </c>
      <c r="C4" s="126" t="inlineStr">
        <is>
          <t>Abbrev.</t>
        </is>
      </c>
      <c r="D4" s="126" t="inlineStr">
        <is>
          <t>Definition</t>
        </is>
      </c>
      <c r="E4" s="126" t="inlineStr">
        <is>
          <t>Workbook reference</t>
        </is>
      </c>
    </row>
    <row r="5">
      <c r="A5" s="62" t="inlineStr">
        <is>
          <t>Project setup</t>
        </is>
      </c>
      <c r="B5" s="7" t="inlineStr">
        <is>
          <t>Project Start</t>
        </is>
      </c>
      <c r="C5" s="7" t="n"/>
      <c r="D5" s="99" t="inlineStr">
        <is>
          <t>Approved start date for the project control baseline.</t>
        </is>
      </c>
      <c r="E5" s="63" t="inlineStr">
        <is>
          <t>Setup!B7 / Dim_Project!C2</t>
        </is>
      </c>
    </row>
    <row r="6">
      <c r="A6" s="62" t="inlineStr">
        <is>
          <t>Project setup</t>
        </is>
      </c>
      <c r="B6" s="7" t="inlineStr">
        <is>
          <t>Project End</t>
        </is>
      </c>
      <c r="C6" s="7" t="n"/>
      <c r="D6" s="99" t="inlineStr">
        <is>
          <t>Approved planned end date for the project.</t>
        </is>
      </c>
      <c r="E6" s="63" t="inlineStr">
        <is>
          <t>Setup!B8 / Dim_Project!D2</t>
        </is>
      </c>
    </row>
    <row r="7" ht="29" customHeight="1" s="120">
      <c r="A7" s="62" t="inlineStr">
        <is>
          <t>Project setup</t>
        </is>
      </c>
      <c r="B7" s="7" t="inlineStr">
        <is>
          <t>Status Date</t>
        </is>
      </c>
      <c r="C7" s="7" t="n"/>
      <c r="D7" s="99" t="inlineStr">
        <is>
          <t>Cut-off date for reported progress, actual costs, and EVM metrics.</t>
        </is>
      </c>
      <c r="E7" s="63" t="inlineStr">
        <is>
          <t>Setup!B9 / EVM Dashboard!B4</t>
        </is>
      </c>
    </row>
    <row r="8" ht="29" customHeight="1" s="120">
      <c r="A8" s="62" t="inlineStr">
        <is>
          <t>Scope / WBS</t>
        </is>
      </c>
      <c r="B8" s="7" t="inlineStr">
        <is>
          <t>Work Breakdown Structure</t>
        </is>
      </c>
      <c r="C8" s="7" t="inlineStr">
        <is>
          <t>WBS</t>
        </is>
      </c>
      <c r="D8" s="99" t="inlineStr">
        <is>
          <t>Hierarchical breakdown of project scope into controllable work packages or activities.</t>
        </is>
      </c>
      <c r="E8" s="63" t="inlineStr">
        <is>
          <t>Dim_WBS / Task Plan</t>
        </is>
      </c>
    </row>
    <row r="9" ht="29" customHeight="1" s="120">
      <c r="A9" s="62" t="inlineStr">
        <is>
          <t>Scope / WBS</t>
        </is>
      </c>
      <c r="B9" s="7" t="inlineStr">
        <is>
          <t>WBS ID</t>
        </is>
      </c>
      <c r="C9" s="7" t="n"/>
      <c r="D9" s="99" t="inlineStr">
        <is>
          <t>Unique identifier used to connect WBS activities to baseline PV, actual costs, and progress facts.</t>
        </is>
      </c>
      <c r="E9" s="63" t="inlineStr">
        <is>
          <t>Dim_WBS!A:A</t>
        </is>
      </c>
    </row>
    <row r="10" ht="29" customHeight="1" s="120">
      <c r="A10" s="62" t="inlineStr">
        <is>
          <t>Scope / WBS</t>
        </is>
      </c>
      <c r="B10" s="7" t="inlineStr">
        <is>
          <t>Activity / Task</t>
        </is>
      </c>
      <c r="C10" s="7" t="n"/>
      <c r="D10" s="99" t="inlineStr">
        <is>
          <t>A controllable unit of project work with budget, schedule, progress, and cost tracking.</t>
        </is>
      </c>
      <c r="E10" s="63" t="inlineStr">
        <is>
          <t>Task Plan!C:C</t>
        </is>
      </c>
    </row>
    <row r="11" ht="29" customHeight="1" s="120">
      <c r="A11" s="62" t="inlineStr">
        <is>
          <t>Schedule</t>
        </is>
      </c>
      <c r="B11" s="7" t="inlineStr">
        <is>
          <t>Baseline Start</t>
        </is>
      </c>
      <c r="C11" s="7" t="n"/>
      <c r="D11" s="99" t="inlineStr">
        <is>
          <t>Planned start date for a WBS activity from the approved baseline.</t>
        </is>
      </c>
      <c r="E11" s="63" t="inlineStr">
        <is>
          <t>Task Plan!E:E</t>
        </is>
      </c>
    </row>
    <row r="12" ht="29" customHeight="1" s="120">
      <c r="A12" s="62" t="inlineStr">
        <is>
          <t>Schedule</t>
        </is>
      </c>
      <c r="B12" s="7" t="inlineStr">
        <is>
          <t>Baseline Finish</t>
        </is>
      </c>
      <c r="C12" s="7" t="n"/>
      <c r="D12" s="99" t="inlineStr">
        <is>
          <t>Planned finish date for a WBS activity from the approved baseline.</t>
        </is>
      </c>
      <c r="E12" s="63" t="inlineStr">
        <is>
          <t>Task Plan!F:F</t>
        </is>
      </c>
    </row>
    <row r="13" ht="29" customHeight="1" s="120">
      <c r="A13" s="62" t="inlineStr">
        <is>
          <t>Schedule</t>
        </is>
      </c>
      <c r="B13" s="7" t="inlineStr">
        <is>
          <t>Duration Days</t>
        </is>
      </c>
      <c r="C13" s="7" t="n"/>
      <c r="D13" s="99" t="inlineStr">
        <is>
          <t>Calendar-day span between baseline start and finish dates.</t>
        </is>
      </c>
      <c r="E13" s="63" t="inlineStr">
        <is>
          <t>Task Plan!G:G</t>
        </is>
      </c>
    </row>
    <row r="14" ht="29" customHeight="1" s="120">
      <c r="A14" s="62" t="inlineStr">
        <is>
          <t>Schedule</t>
        </is>
      </c>
      <c r="B14" s="7" t="inlineStr">
        <is>
          <t>Gantt Chart</t>
        </is>
      </c>
      <c r="C14" s="7" t="n"/>
      <c r="D14" s="99" t="inlineStr">
        <is>
          <t>Timeline chart showing planned activity timing and duration by WBS activity.</t>
        </is>
      </c>
      <c r="E14" s="63" t="inlineStr">
        <is>
          <t>EVM Charts!Gantt Schedule</t>
        </is>
      </c>
    </row>
    <row r="15">
      <c r="A15" s="62" t="inlineStr">
        <is>
          <t>Cost / EVM</t>
        </is>
      </c>
      <c r="B15" s="7" t="inlineStr">
        <is>
          <t>Budget at Completion</t>
        </is>
      </c>
      <c r="C15" s="7" t="inlineStr">
        <is>
          <t>BAC</t>
        </is>
      </c>
      <c r="D15" s="99" t="inlineStr">
        <is>
          <t>Approved total budget for the project or WBS activity.</t>
        </is>
      </c>
      <c r="E15" s="63" t="inlineStr">
        <is>
          <t>Setup!B11 / Task Plan!H:H</t>
        </is>
      </c>
    </row>
    <row r="16" ht="29" customHeight="1" s="120">
      <c r="A16" s="62" t="inlineStr">
        <is>
          <t>Cost / EVM</t>
        </is>
      </c>
      <c r="B16" s="7" t="inlineStr">
        <is>
          <t>Planned Value</t>
        </is>
      </c>
      <c r="C16" s="7" t="inlineStr">
        <is>
          <t>PV</t>
        </is>
      </c>
      <c r="D16" s="99" t="inlineStr">
        <is>
          <t>Budgeted value of work planned to be complete by a given date.</t>
        </is>
      </c>
      <c r="E16" s="63" t="inlineStr">
        <is>
          <t>Task Plan!I:I / EVM!C:C</t>
        </is>
      </c>
    </row>
    <row r="17">
      <c r="A17" s="62" t="inlineStr">
        <is>
          <t>Cost / EVM</t>
        </is>
      </c>
      <c r="B17" s="7" t="inlineStr">
        <is>
          <t>Actual Cost</t>
        </is>
      </c>
      <c r="C17" s="7" t="inlineStr">
        <is>
          <t>AC</t>
        </is>
      </c>
      <c r="D17" s="99" t="inlineStr">
        <is>
          <t>Actual cost incurred by a given date.</t>
        </is>
      </c>
      <c r="E17" s="63" t="inlineStr">
        <is>
          <t>Task Plan!J:J / EVM!D:D</t>
        </is>
      </c>
    </row>
    <row r="18" ht="29" customHeight="1" s="120">
      <c r="A18" s="62" t="inlineStr">
        <is>
          <t>Cost / EVM</t>
        </is>
      </c>
      <c r="B18" s="7" t="inlineStr">
        <is>
          <t>Physical Progress</t>
        </is>
      </c>
      <c r="C18" s="7" t="inlineStr">
        <is>
          <t>Progress %</t>
        </is>
      </c>
      <c r="D18" s="99" t="inlineStr">
        <is>
          <t>Latest reported percent complete for each WBS activity as of the status date.</t>
        </is>
      </c>
      <c r="E18" s="63" t="inlineStr">
        <is>
          <t>Task Plan!K:K</t>
        </is>
      </c>
    </row>
    <row r="19" ht="29" customHeight="1" s="120">
      <c r="A19" s="62" t="inlineStr">
        <is>
          <t>Cost / EVM</t>
        </is>
      </c>
      <c r="B19" s="7" t="inlineStr">
        <is>
          <t>Earned Value</t>
        </is>
      </c>
      <c r="C19" s="7" t="inlineStr">
        <is>
          <t>EV</t>
        </is>
      </c>
      <c r="D19" s="99" t="inlineStr">
        <is>
          <t>Budgeted value of the work actually completed; calculated as BAC × progress.</t>
        </is>
      </c>
      <c r="E19" s="63" t="inlineStr">
        <is>
          <t>Task Plan!L:L / EVM!E:E</t>
        </is>
      </c>
    </row>
    <row r="20" ht="29" customHeight="1" s="120">
      <c r="A20" s="62" t="inlineStr">
        <is>
          <t>Variance</t>
        </is>
      </c>
      <c r="B20" s="7" t="inlineStr">
        <is>
          <t>Schedule Variance</t>
        </is>
      </c>
      <c r="C20" s="7" t="inlineStr">
        <is>
          <t>SV</t>
        </is>
      </c>
      <c r="D20" s="99" t="inlineStr">
        <is>
          <t>EV minus PV; negative means less work completed than planned.</t>
        </is>
      </c>
      <c r="E20" s="63" t="inlineStr">
        <is>
          <t>Task Plan!M:M / EVM!F:F</t>
        </is>
      </c>
    </row>
    <row r="21" ht="29" customHeight="1" s="120">
      <c r="A21" s="62" t="inlineStr">
        <is>
          <t>Variance</t>
        </is>
      </c>
      <c r="B21" s="7" t="inlineStr">
        <is>
          <t>Cost Variance</t>
        </is>
      </c>
      <c r="C21" s="7" t="inlineStr">
        <is>
          <t>CV</t>
        </is>
      </c>
      <c r="D21" s="99" t="inlineStr">
        <is>
          <t>EV minus AC; negative means cost overrun for completed work.</t>
        </is>
      </c>
      <c r="E21" s="63" t="inlineStr">
        <is>
          <t>Task Plan!N:N / EVM!G:G</t>
        </is>
      </c>
    </row>
    <row r="22" ht="29" customHeight="1" s="120">
      <c r="A22" s="62" t="inlineStr">
        <is>
          <t>Performance index</t>
        </is>
      </c>
      <c r="B22" s="7" t="inlineStr">
        <is>
          <t>Schedule Performance Index</t>
        </is>
      </c>
      <c r="C22" s="7" t="inlineStr">
        <is>
          <t>SPI</t>
        </is>
      </c>
      <c r="D22" s="99" t="inlineStr">
        <is>
          <t>EV divided by PV; below 1.0 indicates unfavorable schedule efficiency.</t>
        </is>
      </c>
      <c r="E22" s="63" t="inlineStr">
        <is>
          <t>Task Plan!O:O / EVM!H:H</t>
        </is>
      </c>
    </row>
    <row r="23" ht="29" customHeight="1" s="120">
      <c r="A23" s="62" t="inlineStr">
        <is>
          <t>Performance index</t>
        </is>
      </c>
      <c r="B23" s="7" t="inlineStr">
        <is>
          <t>Cost Performance Index</t>
        </is>
      </c>
      <c r="C23" s="7" t="inlineStr">
        <is>
          <t>CPI</t>
        </is>
      </c>
      <c r="D23" s="99" t="inlineStr">
        <is>
          <t>EV divided by AC; below 1.0 indicates unfavorable cost efficiency.</t>
        </is>
      </c>
      <c r="E23" s="63" t="inlineStr">
        <is>
          <t>Task Plan!P:P / EVM!I:I</t>
        </is>
      </c>
    </row>
    <row r="24" ht="29" customHeight="1" s="120">
      <c r="A24" s="62" t="inlineStr">
        <is>
          <t>Forecast</t>
        </is>
      </c>
      <c r="B24" s="7" t="inlineStr">
        <is>
          <t>Estimate at Completion</t>
        </is>
      </c>
      <c r="C24" s="7" t="inlineStr">
        <is>
          <t>EAC</t>
        </is>
      </c>
      <c r="D24" s="99" t="inlineStr">
        <is>
          <t>Forecast final project or WBS cost, typically BAC divided by CPI.</t>
        </is>
      </c>
      <c r="E24" s="63" t="inlineStr">
        <is>
          <t>Task Plan!Q:Q / EVM!K:K</t>
        </is>
      </c>
    </row>
    <row r="25" ht="29" customHeight="1" s="120">
      <c r="A25" s="62" t="inlineStr">
        <is>
          <t>Forecast</t>
        </is>
      </c>
      <c r="B25" s="7" t="inlineStr">
        <is>
          <t>Estimate to Complete</t>
        </is>
      </c>
      <c r="C25" s="7" t="inlineStr">
        <is>
          <t>ETC</t>
        </is>
      </c>
      <c r="D25" s="99" t="inlineStr">
        <is>
          <t>Forecast remaining cost to complete the work; EAC minus AC.</t>
        </is>
      </c>
      <c r="E25" s="63" t="inlineStr">
        <is>
          <t>Task Plan!R:R / EVM!L:L</t>
        </is>
      </c>
    </row>
    <row r="26" ht="29" customHeight="1" s="120">
      <c r="A26" s="62" t="inlineStr">
        <is>
          <t>Forecast</t>
        </is>
      </c>
      <c r="B26" s="7" t="inlineStr">
        <is>
          <t>Variance at Completion</t>
        </is>
      </c>
      <c r="C26" s="7" t="inlineStr">
        <is>
          <t>VAC</t>
        </is>
      </c>
      <c r="D26" s="99" t="inlineStr">
        <is>
          <t>Expected budget variance at completion; BAC minus EAC.</t>
        </is>
      </c>
      <c r="E26" s="63" t="inlineStr">
        <is>
          <t>Task Plan!S:S / EVM!M:M</t>
        </is>
      </c>
    </row>
    <row r="27" ht="29" customHeight="1" s="120">
      <c r="A27" s="62" t="inlineStr">
        <is>
          <t>Chart</t>
        </is>
      </c>
      <c r="B27" s="7" t="inlineStr">
        <is>
          <t>EVM S-Curve</t>
        </is>
      </c>
      <c r="C27" s="7" t="n"/>
      <c r="D27" s="99" t="inlineStr">
        <is>
          <t>Line chart comparing cumulative PV, EV, and AC over time.</t>
        </is>
      </c>
      <c r="E27" s="63" t="inlineStr">
        <is>
          <t>EVM Charts!EVM S-Curve</t>
        </is>
      </c>
    </row>
    <row r="28" ht="29" customHeight="1" s="120">
      <c r="A28" s="62" t="inlineStr">
        <is>
          <t>RAG</t>
        </is>
      </c>
      <c r="B28" s="7" t="inlineStr">
        <is>
          <t>Green</t>
        </is>
      </c>
      <c r="C28" s="7" t="n"/>
      <c r="D28" s="99" t="inlineStr">
        <is>
          <t>Good condition: on/above plan, favorable variance, or acceptable performance threshold.</t>
        </is>
      </c>
      <c r="E28" s="63" t="inlineStr">
        <is>
          <t>Setup!A18:D18</t>
        </is>
      </c>
    </row>
    <row r="29" ht="29" customHeight="1" s="120">
      <c r="A29" s="62" t="inlineStr">
        <is>
          <t>RAG</t>
        </is>
      </c>
      <c r="B29" s="6" t="inlineStr">
        <is>
          <t>Amber</t>
        </is>
      </c>
      <c r="C29" s="6" t="n"/>
      <c r="D29" s="99" t="inlineStr">
        <is>
          <t>Watch condition: close to threshold or mid-progress; monitor closely.</t>
        </is>
      </c>
      <c r="E29" s="63" t="inlineStr">
        <is>
          <t>Setup!A19:D19</t>
        </is>
      </c>
    </row>
    <row r="30" ht="29" customHeight="1" s="120">
      <c r="A30" s="62" t="inlineStr">
        <is>
          <t>RAG</t>
        </is>
      </c>
      <c r="B30" s="8" t="inlineStr">
        <is>
          <t>Red</t>
        </is>
      </c>
      <c r="C30" s="8" t="n"/>
      <c r="D30" s="99" t="inlineStr">
        <is>
          <t>Action condition: negative variance, low progress, CPI/SPI below threshold, or overrun.</t>
        </is>
      </c>
      <c r="E30" s="63" t="inlineStr">
        <is>
          <t>Setup!A20:D20</t>
        </is>
      </c>
    </row>
    <row r="31" ht="29" customHeight="1" s="120">
      <c r="A31" s="62" t="inlineStr">
        <is>
          <t>Reporting</t>
        </is>
      </c>
      <c r="B31" s="9" t="inlineStr">
        <is>
          <t>Dashboard</t>
        </is>
      </c>
      <c r="C31" s="9" t="n"/>
      <c r="D31" s="99" t="inlineStr">
        <is>
          <t>Management summary view showing KPIs, WBS performance, trend data, and RAG status.</t>
        </is>
      </c>
      <c r="E31" s="63" t="inlineStr">
        <is>
          <t>EVM Dashboard!A1:P47</t>
        </is>
      </c>
    </row>
    <row r="32" ht="29" customHeight="1" s="120">
      <c r="A32" s="62" t="inlineStr">
        <is>
          <t>Reporting</t>
        </is>
      </c>
      <c r="B32" s="7" t="inlineStr">
        <is>
          <t>Tie-out</t>
        </is>
      </c>
      <c r="C32" s="7" t="n"/>
      <c r="D32" s="99" t="inlineStr">
        <is>
          <t>Validation that dashboard KPIs match the detailed EVM reporting table at the status date.</t>
        </is>
      </c>
      <c r="E32" s="63" t="inlineStr">
        <is>
          <t>EVM!H19:M25</t>
        </is>
      </c>
    </row>
    <row r="33" ht="29" customHeight="1" s="120">
      <c r="A33" s="62" t="inlineStr">
        <is>
          <t>Data model</t>
        </is>
      </c>
      <c r="B33" s="7" t="inlineStr">
        <is>
          <t>Dimension Table</t>
        </is>
      </c>
      <c r="C33" s="7" t="inlineStr">
        <is>
          <t>Dim</t>
        </is>
      </c>
      <c r="D33" s="99" t="inlineStr">
        <is>
          <t>Reference table describing projects, WBS, resources, or calendar dates.</t>
        </is>
      </c>
      <c r="E33" s="63" t="inlineStr">
        <is>
          <t>Dim_Project / Dim_WBS / Dim_Resource / Dim_Calendar</t>
        </is>
      </c>
    </row>
    <row r="34" ht="43.5" customHeight="1" s="120">
      <c r="A34" s="62" t="inlineStr">
        <is>
          <t>Data model</t>
        </is>
      </c>
      <c r="B34" s="7" t="inlineStr">
        <is>
          <t>Fact Table</t>
        </is>
      </c>
      <c r="C34" s="7" t="inlineStr">
        <is>
          <t>Fact</t>
        </is>
      </c>
      <c r="D34" s="99" t="inlineStr">
        <is>
          <t>Transaction or event table containing planned values, actual costs, or progress observations.</t>
        </is>
      </c>
      <c r="E34" s="63" t="inlineStr">
        <is>
          <t>Fact_Baseline_PV / Fact_Actual_Costs / Fact_Physical_Progress</t>
        </is>
      </c>
    </row>
    <row r="36" ht="29" customHeight="1" s="120">
      <c r="A36" s="99" t="inlineStr">
        <is>
          <t>Workbook classification</t>
        </is>
      </c>
      <c r="B36" s="69" t="inlineStr">
        <is>
          <t>Input</t>
        </is>
      </c>
      <c r="C36" s="99" t="n"/>
      <c r="D36" s="99" t="inlineStr">
        <is>
          <t>Source data or user-entered content that feeds project calculations and reports.</t>
        </is>
      </c>
      <c r="E36" s="99" t="inlineStr">
        <is>
          <t>Cover!D13:H39</t>
        </is>
      </c>
    </row>
    <row r="37" ht="29" customHeight="1" s="120">
      <c r="A37" s="99" t="inlineStr">
        <is>
          <t>Workbook classification</t>
        </is>
      </c>
      <c r="B37" s="69" t="inlineStr">
        <is>
          <t>Control</t>
        </is>
      </c>
      <c r="C37" s="99" t="n"/>
      <c r="D37" s="99" t="inlineStr">
        <is>
          <t>Assumptions, thresholds, validation, governance, and planning logic used to interpret inputs.</t>
        </is>
      </c>
      <c r="E37" s="99" t="inlineStr">
        <is>
          <t>Cover!D13:H39</t>
        </is>
      </c>
    </row>
    <row r="38" ht="29" customHeight="1" s="120">
      <c r="A38" s="127" t="inlineStr">
        <is>
          <t>Workbook classification</t>
        </is>
      </c>
      <c r="B38" s="128" t="inlineStr">
        <is>
          <t>Output</t>
        </is>
      </c>
      <c r="C38" s="127" t="n"/>
      <c r="D38" s="127" t="inlineStr">
        <is>
          <t>Reports, charts, dashboards, and references produced from the input data and control logic.</t>
        </is>
      </c>
      <c r="E38" s="127" t="inlineStr">
        <is>
          <t>Cover!D13:H39</t>
        </is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5B9BD5"/>
    <outlinePr summaryBelow="1" summaryRight="1"/>
    <pageSetUpPr/>
  </sheetPr>
  <dimension ref="A1:F30"/>
  <sheetViews>
    <sheetView showGridLines="0" workbookViewId="0">
      <selection activeCell="Q1" sqref="Q1"/>
    </sheetView>
  </sheetViews>
  <sheetFormatPr baseColWidth="8" defaultRowHeight="14.5"/>
  <cols>
    <col width="43.6328125" customWidth="1" style="120" min="1" max="1"/>
    <col width="20.90625" customWidth="1" style="120" min="2" max="2"/>
    <col width="16.36328125" customWidth="1" style="120" min="3" max="3"/>
    <col width="18.36328125" customWidth="1" style="120" min="4" max="4"/>
    <col width="11.81640625" customWidth="1" style="120" min="5" max="5"/>
    <col width="34.54296875" customWidth="1" style="120" min="6" max="6"/>
  </cols>
  <sheetData>
    <row r="1" ht="23.5" customHeight="1" s="120">
      <c r="A1" s="101" t="inlineStr">
        <is>
          <t>Project Review &amp; Lessons</t>
        </is>
      </c>
    </row>
    <row r="2">
      <c r="A2" s="102" t="inlineStr">
        <is>
          <t>Review template from attachment: GOOD / BAD / BETTER plus action log for plan adjustments and lessons learned.</t>
        </is>
      </c>
    </row>
    <row r="4">
      <c r="A4" s="2" t="inlineStr">
        <is>
          <t>Project Description</t>
        </is>
      </c>
      <c r="B4" s="2">
        <f>Control_Project_Name</f>
        <v/>
      </c>
    </row>
    <row r="5">
      <c r="A5" s="2" t="inlineStr">
        <is>
          <t>Project Period</t>
        </is>
      </c>
      <c r="B5" s="2">
        <f>TEXT(Control_Project_Start,"yyyy-mm-dd")&amp;" to "&amp;TEXT(Control_Project_End,"yyyy-mm-dd")</f>
        <v/>
      </c>
    </row>
    <row r="6">
      <c r="A6" s="2" t="inlineStr">
        <is>
          <t>Status Date</t>
        </is>
      </c>
      <c r="B6" s="280">
        <f>Control_Status_Date</f>
        <v/>
      </c>
    </row>
    <row r="7">
      <c r="A7" s="2" t="inlineStr">
        <is>
          <t>Review Owner</t>
        </is>
      </c>
      <c r="B7" s="280" t="inlineStr">
        <is>
          <t>Frank Ellingsen</t>
        </is>
      </c>
    </row>
    <row r="8">
      <c r="A8" s="2" t="inlineStr">
        <is>
          <t>Review Date</t>
        </is>
      </c>
      <c r="B8" s="280">
        <f>TODAY()</f>
        <v/>
      </c>
    </row>
    <row r="10">
      <c r="A10" s="105" t="inlineStr">
        <is>
          <t>GOOD — what went well that others should repeat?</t>
        </is>
      </c>
      <c r="B10" s="105" t="n"/>
      <c r="C10" s="105" t="n"/>
      <c r="D10" s="105" t="n"/>
      <c r="E10" s="105" t="n"/>
      <c r="F10" s="105" t="n"/>
    </row>
    <row r="11">
      <c r="A11" s="74" t="n"/>
      <c r="B11" s="74" t="n"/>
      <c r="C11" s="74" t="n"/>
      <c r="D11" s="74" t="n"/>
      <c r="E11" s="74" t="n"/>
      <c r="F11" s="74" t="n"/>
    </row>
    <row r="12">
      <c r="A12" s="74" t="n"/>
      <c r="B12" s="74" t="n"/>
      <c r="C12" s="74" t="n"/>
      <c r="D12" s="74" t="n"/>
      <c r="E12" s="74" t="n"/>
      <c r="F12" s="74" t="n"/>
    </row>
    <row r="13">
      <c r="A13" s="74" t="n"/>
      <c r="B13" s="74" t="n"/>
      <c r="C13" s="74" t="n"/>
      <c r="D13" s="74" t="n"/>
      <c r="E13" s="74" t="n"/>
      <c r="F13" s="74" t="n"/>
    </row>
    <row r="15">
      <c r="A15" s="105" t="inlineStr">
        <is>
          <t>BAD — what mistakes were made or unexpected issues occurred?</t>
        </is>
      </c>
      <c r="B15" s="105" t="n"/>
      <c r="C15" s="105" t="n"/>
      <c r="D15" s="105" t="n"/>
      <c r="E15" s="105" t="n"/>
      <c r="F15" s="105" t="n"/>
    </row>
    <row r="16">
      <c r="A16" s="75" t="n"/>
      <c r="B16" s="75" t="n"/>
      <c r="C16" s="75" t="n"/>
      <c r="D16" s="75" t="n"/>
      <c r="E16" s="75" t="n"/>
      <c r="F16" s="75" t="n"/>
    </row>
    <row r="17">
      <c r="A17" s="75" t="n"/>
      <c r="B17" s="75" t="n"/>
      <c r="C17" s="75" t="n"/>
      <c r="D17" s="75" t="n"/>
      <c r="E17" s="75" t="n"/>
      <c r="F17" s="75" t="n"/>
    </row>
    <row r="18">
      <c r="A18" s="75" t="n"/>
      <c r="B18" s="75" t="n"/>
      <c r="C18" s="75" t="n"/>
      <c r="D18" s="75" t="n"/>
      <c r="E18" s="75" t="n"/>
      <c r="F18" s="75" t="n"/>
    </row>
    <row r="20">
      <c r="A20" s="132" t="inlineStr">
        <is>
          <t>BETTER / ACTION LOG</t>
        </is>
      </c>
      <c r="B20" s="126" t="inlineStr">
        <is>
          <t>Owner</t>
        </is>
      </c>
      <c r="C20" s="126" t="inlineStr">
        <is>
          <t>Due date</t>
        </is>
      </c>
      <c r="D20" s="126" t="inlineStr">
        <is>
          <t>Decision required?</t>
        </is>
      </c>
      <c r="E20" s="126" t="inlineStr">
        <is>
          <t>RAG</t>
        </is>
      </c>
      <c r="F20" s="133" t="inlineStr">
        <is>
          <t>Linked workbook evidence</t>
        </is>
      </c>
    </row>
    <row r="21">
      <c r="A21" s="130" t="inlineStr">
        <is>
          <t>ACT-01</t>
        </is>
      </c>
      <c r="B21" s="2" t="inlineStr">
        <is>
          <t>2026-09-10</t>
        </is>
      </c>
      <c r="C21" s="2" t="inlineStr">
        <is>
          <t>Verify steel delivery delay impact</t>
        </is>
      </c>
      <c r="D21" s="2" t="inlineStr">
        <is>
          <t>Alex Smith</t>
        </is>
      </c>
      <c r="E21" s="2" t="inlineStr">
        <is>
          <t>High</t>
        </is>
      </c>
      <c r="F21" s="131" t="inlineStr">
        <is>
          <t>Open</t>
        </is>
      </c>
    </row>
    <row r="22">
      <c r="A22" s="130" t="inlineStr">
        <is>
          <t>Review cost efficiency and current EAC forecast</t>
        </is>
      </c>
      <c r="B22" s="2" t="inlineStr">
        <is>
          <t>Project Controls</t>
        </is>
      </c>
      <c r="C22" s="2" t="n"/>
      <c r="D22" s="2" t="inlineStr">
        <is>
          <t>Yes</t>
        </is>
      </c>
      <c r="E22" s="2" t="inlineStr">
        <is>
          <t>Red</t>
        </is>
      </c>
      <c r="F22" s="131" t="inlineStr">
        <is>
          <t>EVM Dashboard!G10 / Task Plan!Q17</t>
        </is>
      </c>
    </row>
    <row r="23">
      <c r="A23" s="130" t="inlineStr">
        <is>
          <t>Confirm mitigation for red WBS activities in Gantt</t>
        </is>
      </c>
      <c r="B23" s="2" t="inlineStr">
        <is>
          <t>Project Manager</t>
        </is>
      </c>
      <c r="C23" s="2" t="n"/>
      <c r="D23" s="2" t="inlineStr">
        <is>
          <t>Yes</t>
        </is>
      </c>
      <c r="E23" s="2" t="inlineStr">
        <is>
          <t>Red</t>
        </is>
      </c>
      <c r="F23" s="131" t="inlineStr">
        <is>
          <t>EVM Charts!Gantt Schedule</t>
        </is>
      </c>
    </row>
    <row r="24">
      <c r="A24" s="130" t="inlineStr">
        <is>
          <t>Check future material/subcontractor dependencies</t>
        </is>
      </c>
      <c r="B24" s="2" t="inlineStr">
        <is>
          <t>Planner</t>
        </is>
      </c>
      <c r="C24" s="2" t="n"/>
      <c r="D24" s="2" t="inlineStr">
        <is>
          <t>No</t>
        </is>
      </c>
      <c r="E24" s="2" t="inlineStr">
        <is>
          <t>Amber</t>
        </is>
      </c>
      <c r="F24" s="131" t="inlineStr">
        <is>
          <t>Task Plan / Resource Grid</t>
        </is>
      </c>
    </row>
    <row r="25">
      <c r="A25" s="134" t="inlineStr">
        <is>
          <t>Capture lessons from completed WBS items</t>
        </is>
      </c>
      <c r="B25" s="135" t="inlineStr">
        <is>
          <t>Project Team</t>
        </is>
      </c>
      <c r="C25" s="135" t="n"/>
      <c r="D25" s="135" t="inlineStr">
        <is>
          <t>No</t>
        </is>
      </c>
      <c r="E25" s="135" t="inlineStr">
        <is>
          <t>Amber</t>
        </is>
      </c>
      <c r="F25" s="136" t="inlineStr">
        <is>
          <t>Task Capture / Review</t>
        </is>
      </c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30">
      <c r="A30" s="2" t="inlineStr">
        <is>
          <t>Review source</t>
        </is>
      </c>
      <c r="B30" s="2" t="inlineStr">
        <is>
          <t>13.1.2 Review Template.pdf</t>
        </is>
      </c>
      <c r="C30" s="2" t="n"/>
      <c r="D30" s="2" t="n"/>
      <c r="E30" s="2" t="n"/>
      <c r="F30" s="2" t="n"/>
    </row>
  </sheetData>
  <mergeCells count="2">
    <mergeCell ref="A2:F2"/>
    <mergeCell ref="A1:F1"/>
  </mergeCells>
  <conditionalFormatting sqref="E21:E25">
    <cfRule type="expression" priority="1" dxfId="35">
      <formula>ISNUMBER(SEARCH("Red",E21))</formula>
    </cfRule>
    <cfRule type="expression" priority="2" dxfId="34">
      <formula>ISNUMBER(SEARCH("Amber",E21))</formula>
    </cfRule>
    <cfRule type="expression" priority="3" dxfId="33">
      <formula>ISNUMBER(SEARCH("Green",E21))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5B9BD5"/>
    <outlinePr summaryBelow="1" summaryRight="1"/>
    <pageSetUpPr/>
  </sheetPr>
  <dimension ref="A1:H79"/>
  <sheetViews>
    <sheetView showGridLines="0" topLeftCell="A51" zoomScale="85" zoomScaleNormal="85" workbookViewId="0">
      <selection activeCell="Q1" sqref="Q1"/>
    </sheetView>
  </sheetViews>
  <sheetFormatPr baseColWidth="8" defaultRowHeight="14.5"/>
  <cols>
    <col width="30" customWidth="1" style="120" min="1" max="1"/>
    <col width="27.26953125" customWidth="1" style="120" min="2" max="2"/>
    <col width="17.26953125" customWidth="1" style="120" min="3" max="8"/>
  </cols>
  <sheetData>
    <row r="1" ht="23.5" customHeight="1" s="120">
      <c r="A1" s="101" t="inlineStr">
        <is>
          <t>Project Initiation Document (PID)</t>
        </is>
      </c>
    </row>
    <row r="2">
      <c r="A2" s="102" t="inlineStr">
        <is>
          <t>PID template from the attached method, prefilled with current workbook metadata where available. Fill yellow cells during project definition.</t>
        </is>
      </c>
    </row>
    <row r="4">
      <c r="A4" s="106" t="inlineStr">
        <is>
          <t>Project header</t>
        </is>
      </c>
      <c r="B4" s="106" t="n"/>
      <c r="C4" s="106" t="n"/>
      <c r="D4" s="106" t="n"/>
      <c r="E4" s="106" t="n"/>
      <c r="F4" s="106" t="n"/>
      <c r="G4" s="106" t="n"/>
      <c r="H4" s="106" t="n"/>
    </row>
    <row r="5">
      <c r="A5" s="2" t="inlineStr">
        <is>
          <t>Project Name</t>
        </is>
      </c>
      <c r="B5" s="235">
        <f>Control_Project_Name</f>
        <v/>
      </c>
    </row>
    <row r="6">
      <c r="A6" s="2" t="inlineStr">
        <is>
          <t>Project Number</t>
        </is>
      </c>
      <c r="B6" s="235">
        <f>Control_Project_ID</f>
        <v/>
      </c>
    </row>
    <row r="7">
      <c r="A7" s="2" t="inlineStr">
        <is>
          <t>Project Risk Level</t>
        </is>
      </c>
      <c r="B7" s="5" t="inlineStr">
        <is>
          <t>H/M/L</t>
        </is>
      </c>
    </row>
    <row r="8">
      <c r="A8" s="2" t="inlineStr">
        <is>
          <t>Prepared by</t>
        </is>
      </c>
      <c r="B8" s="5" t="inlineStr">
        <is>
          <t>Frank Ellingsen</t>
        </is>
      </c>
    </row>
    <row r="9">
      <c r="A9" s="2" t="inlineStr">
        <is>
          <t>Date</t>
        </is>
      </c>
      <c r="B9" s="281">
        <f>TODAY()</f>
        <v/>
      </c>
    </row>
    <row r="10">
      <c r="A10" s="2" t="inlineStr">
        <is>
          <t>Persons consulted</t>
        </is>
      </c>
      <c r="B10" s="5" t="n"/>
    </row>
    <row r="11">
      <c r="A11" s="2" t="inlineStr">
        <is>
          <t>Key Driver</t>
        </is>
      </c>
      <c r="B11" s="5" t="inlineStr">
        <is>
          <t>Cost / Quality / Time</t>
        </is>
      </c>
    </row>
    <row r="13">
      <c r="A13" s="105" t="inlineStr">
        <is>
          <t>1. Business Case</t>
        </is>
      </c>
      <c r="B13" s="273" t="n"/>
      <c r="C13" s="273" t="n"/>
      <c r="D13" s="273" t="n"/>
      <c r="E13" s="273" t="n"/>
      <c r="F13" s="273" t="n"/>
      <c r="G13" s="273" t="n"/>
      <c r="H13" s="130" t="n"/>
    </row>
    <row r="14">
      <c r="A14" s="104" t="inlineStr">
        <is>
          <t>Why this project; why now; options considered; what if we do not do it; benefits; payback period.</t>
        </is>
      </c>
      <c r="B14" s="274" t="n"/>
      <c r="C14" s="274" t="n"/>
      <c r="D14" s="274" t="n"/>
      <c r="E14" s="274" t="n"/>
      <c r="F14" s="274" t="n"/>
      <c r="G14" s="274" t="n"/>
      <c r="H14" s="134" t="n"/>
    </row>
    <row r="15">
      <c r="A15" s="275" t="n"/>
      <c r="H15" s="276" t="n"/>
    </row>
    <row r="16">
      <c r="A16" s="277" t="n"/>
      <c r="B16" s="278" t="n"/>
      <c r="C16" s="278" t="n"/>
      <c r="D16" s="278" t="n"/>
      <c r="E16" s="278" t="n"/>
      <c r="F16" s="278" t="n"/>
      <c r="G16" s="278" t="n"/>
      <c r="H16" s="279" t="n"/>
    </row>
    <row r="18">
      <c r="A18" s="105" t="inlineStr">
        <is>
          <t>2.1 In Scope / Included</t>
        </is>
      </c>
      <c r="B18" s="273" t="n"/>
      <c r="C18" s="273" t="n"/>
      <c r="D18" s="273" t="n"/>
      <c r="E18" s="273" t="n"/>
      <c r="F18" s="273" t="n"/>
      <c r="G18" s="273" t="n"/>
      <c r="H18" s="130" t="n"/>
    </row>
    <row r="19">
      <c r="A19" s="104" t="inlineStr">
        <is>
          <t>Work and deliverables included in the project.</t>
        </is>
      </c>
      <c r="B19" s="274" t="n"/>
      <c r="C19" s="274" t="n"/>
      <c r="D19" s="274" t="n"/>
      <c r="E19" s="274" t="n"/>
      <c r="F19" s="274" t="n"/>
      <c r="G19" s="274" t="n"/>
      <c r="H19" s="134" t="n"/>
    </row>
    <row r="20">
      <c r="A20" s="275" t="n"/>
      <c r="H20" s="276" t="n"/>
    </row>
    <row r="21">
      <c r="A21" s="277" t="n"/>
      <c r="B21" s="278" t="n"/>
      <c r="C21" s="278" t="n"/>
      <c r="D21" s="278" t="n"/>
      <c r="E21" s="278" t="n"/>
      <c r="F21" s="278" t="n"/>
      <c r="G21" s="278" t="n"/>
      <c r="H21" s="279" t="n"/>
    </row>
    <row r="23">
      <c r="A23" s="105" t="inlineStr">
        <is>
          <t>2.2 Out of Scope / Excluded</t>
        </is>
      </c>
      <c r="B23" s="273" t="n"/>
      <c r="C23" s="273" t="n"/>
      <c r="D23" s="273" t="n"/>
      <c r="E23" s="273" t="n"/>
      <c r="F23" s="273" t="n"/>
      <c r="G23" s="273" t="n"/>
      <c r="H23" s="130" t="n"/>
    </row>
    <row r="24">
      <c r="A24" s="104" t="inlineStr">
        <is>
          <t>Work explicitly excluded from the project.</t>
        </is>
      </c>
      <c r="B24" s="274" t="n"/>
      <c r="C24" s="274" t="n"/>
      <c r="D24" s="274" t="n"/>
      <c r="E24" s="274" t="n"/>
      <c r="F24" s="274" t="n"/>
      <c r="G24" s="274" t="n"/>
      <c r="H24" s="134" t="n"/>
    </row>
    <row r="25">
      <c r="A25" s="275" t="n"/>
      <c r="H25" s="276" t="n"/>
    </row>
    <row r="26">
      <c r="A26" s="277" t="n"/>
      <c r="B26" s="278" t="n"/>
      <c r="C26" s="278" t="n"/>
      <c r="D26" s="278" t="n"/>
      <c r="E26" s="278" t="n"/>
      <c r="F26" s="278" t="n"/>
      <c r="G26" s="278" t="n"/>
      <c r="H26" s="279" t="n"/>
    </row>
    <row r="28">
      <c r="A28" s="105" t="inlineStr">
        <is>
          <t>2.3 Dependencies</t>
        </is>
      </c>
      <c r="B28" s="273" t="n"/>
      <c r="C28" s="273" t="n"/>
      <c r="D28" s="273" t="n"/>
      <c r="E28" s="273" t="n"/>
      <c r="F28" s="273" t="n"/>
      <c r="G28" s="273" t="n"/>
      <c r="H28" s="130" t="n"/>
    </row>
    <row r="29">
      <c r="A29" s="104" t="inlineStr">
        <is>
          <t>How the project impacts or is impacted by other projects or programmes.</t>
        </is>
      </c>
      <c r="B29" s="274" t="n"/>
      <c r="C29" s="274" t="n"/>
      <c r="D29" s="274" t="n"/>
      <c r="E29" s="274" t="n"/>
      <c r="F29" s="274" t="n"/>
      <c r="G29" s="274" t="n"/>
      <c r="H29" s="134" t="n"/>
    </row>
    <row r="30">
      <c r="A30" s="275" t="n"/>
      <c r="H30" s="276" t="n"/>
    </row>
    <row r="31">
      <c r="A31" s="277" t="n"/>
      <c r="B31" s="278" t="n"/>
      <c r="C31" s="278" t="n"/>
      <c r="D31" s="278" t="n"/>
      <c r="E31" s="278" t="n"/>
      <c r="F31" s="278" t="n"/>
      <c r="G31" s="278" t="n"/>
      <c r="H31" s="279" t="n"/>
    </row>
    <row r="33">
      <c r="A33" s="105" t="inlineStr">
        <is>
          <t>2.4 Constraints</t>
        </is>
      </c>
      <c r="B33" s="273" t="n"/>
      <c r="C33" s="273" t="n"/>
      <c r="D33" s="273" t="n"/>
      <c r="E33" s="273" t="n"/>
      <c r="F33" s="273" t="n"/>
      <c r="G33" s="273" t="n"/>
      <c r="H33" s="130" t="n"/>
    </row>
    <row r="34">
      <c r="A34" s="104" t="inlineStr">
        <is>
          <t>Deadlines, budget limits, resource limitations or other delivery constraints.</t>
        </is>
      </c>
      <c r="B34" s="274" t="n"/>
      <c r="C34" s="274" t="n"/>
      <c r="D34" s="274" t="n"/>
      <c r="E34" s="274" t="n"/>
      <c r="F34" s="274" t="n"/>
      <c r="G34" s="274" t="n"/>
      <c r="H34" s="134" t="n"/>
    </row>
    <row r="35">
      <c r="A35" s="275" t="n"/>
      <c r="H35" s="276" t="n"/>
    </row>
    <row r="36">
      <c r="A36" s="277" t="n"/>
      <c r="B36" s="278" t="n"/>
      <c r="C36" s="278" t="n"/>
      <c r="D36" s="278" t="n"/>
      <c r="E36" s="278" t="n"/>
      <c r="F36" s="278" t="n"/>
      <c r="G36" s="278" t="n"/>
      <c r="H36" s="279" t="n"/>
    </row>
    <row r="38">
      <c r="A38" s="105" t="inlineStr">
        <is>
          <t>2.5 Assumptions</t>
        </is>
      </c>
      <c r="B38" s="273" t="n"/>
      <c r="C38" s="273" t="n"/>
      <c r="D38" s="273" t="n"/>
      <c r="E38" s="273" t="n"/>
      <c r="F38" s="273" t="n"/>
      <c r="G38" s="273" t="n"/>
      <c r="H38" s="130" t="n"/>
    </row>
    <row r="39">
      <c r="A39" s="104" t="inlineStr">
        <is>
          <t>Assumptions currently being used for planning.</t>
        </is>
      </c>
      <c r="B39" s="274" t="n"/>
      <c r="C39" s="274" t="n"/>
      <c r="D39" s="274" t="n"/>
      <c r="E39" s="274" t="n"/>
      <c r="F39" s="274" t="n"/>
      <c r="G39" s="274" t="n"/>
      <c r="H39" s="134" t="n"/>
    </row>
    <row r="40">
      <c r="A40" s="275" t="n"/>
      <c r="H40" s="276" t="n"/>
    </row>
    <row r="41">
      <c r="A41" s="277" t="n"/>
      <c r="B41" s="278" t="n"/>
      <c r="C41" s="278" t="n"/>
      <c r="D41" s="278" t="n"/>
      <c r="E41" s="278" t="n"/>
      <c r="F41" s="278" t="n"/>
      <c r="G41" s="278" t="n"/>
      <c r="H41" s="279" t="n"/>
    </row>
    <row r="43">
      <c r="A43" s="105" t="inlineStr">
        <is>
          <t>3. Key Actions Proposed</t>
        </is>
      </c>
      <c r="B43" s="273" t="n"/>
      <c r="C43" s="273" t="n"/>
      <c r="D43" s="273" t="n"/>
      <c r="E43" s="273" t="n"/>
      <c r="F43" s="273" t="n"/>
      <c r="G43" s="273" t="n"/>
      <c r="H43" s="130" t="n"/>
    </row>
    <row r="44">
      <c r="A44" s="104" t="inlineStr">
        <is>
          <t>Must include a high-level or detailed Gantt chart.</t>
        </is>
      </c>
      <c r="B44" s="274" t="n"/>
      <c r="C44" s="274" t="n"/>
      <c r="D44" s="274" t="n"/>
      <c r="E44" s="274" t="n"/>
      <c r="F44" s="274" t="n"/>
      <c r="G44" s="274" t="n"/>
      <c r="H44" s="134" t="n"/>
    </row>
    <row r="45">
      <c r="A45" s="275" t="n"/>
      <c r="H45" s="276" t="n"/>
    </row>
    <row r="46">
      <c r="A46" s="277" t="n"/>
      <c r="B46" s="278" t="n"/>
      <c r="C46" s="278" t="n"/>
      <c r="D46" s="278" t="n"/>
      <c r="E46" s="278" t="n"/>
      <c r="F46" s="278" t="n"/>
      <c r="G46" s="278" t="n"/>
      <c r="H46" s="279" t="n"/>
    </row>
    <row r="48">
      <c r="A48" s="105" t="inlineStr">
        <is>
          <t>4. Project Controls and Reporting</t>
        </is>
      </c>
      <c r="B48" s="273" t="n"/>
      <c r="C48" s="273" t="n"/>
      <c r="D48" s="273" t="n"/>
      <c r="E48" s="273" t="n"/>
      <c r="F48" s="273" t="n"/>
      <c r="G48" s="273" t="n"/>
      <c r="H48" s="130" t="n"/>
    </row>
    <row r="49">
      <c r="A49" s="104" t="inlineStr">
        <is>
          <t>How progress will be reported, frequency, method and responsibility.</t>
        </is>
      </c>
      <c r="B49" s="274" t="n"/>
      <c r="C49" s="274" t="n"/>
      <c r="D49" s="274" t="n"/>
      <c r="E49" s="274" t="n"/>
      <c r="F49" s="274" t="n"/>
      <c r="G49" s="274" t="n"/>
      <c r="H49" s="134" t="n"/>
    </row>
    <row r="50">
      <c r="A50" s="275" t="n"/>
      <c r="H50" s="276" t="n"/>
    </row>
    <row r="51">
      <c r="A51" s="277" t="n"/>
      <c r="B51" s="278" t="n"/>
      <c r="C51" s="278" t="n"/>
      <c r="D51" s="278" t="n"/>
      <c r="E51" s="278" t="n"/>
      <c r="F51" s="278" t="n"/>
      <c r="G51" s="278" t="n"/>
      <c r="H51" s="279" t="n"/>
    </row>
    <row r="53">
      <c r="A53" s="132" t="inlineStr">
        <is>
          <t>Frequency / timing</t>
        </is>
      </c>
      <c r="B53" s="126" t="inlineStr">
        <is>
          <t>How control is reported</t>
        </is>
      </c>
      <c r="C53" s="126" t="inlineStr">
        <is>
          <t>Responsibility</t>
        </is>
      </c>
      <c r="D53" s="126" t="inlineStr">
        <is>
          <t>Next report date</t>
        </is>
      </c>
      <c r="E53" s="133" t="inlineStr">
        <is>
          <t>Status</t>
        </is>
      </c>
    </row>
    <row r="54">
      <c r="A54" s="130" t="inlineStr">
        <is>
          <t>Project Controller</t>
        </is>
      </c>
      <c r="B54" s="2" t="inlineStr">
        <is>
          <t>Cost and Schedule control Lead</t>
        </is>
      </c>
      <c r="C54" s="2" t="inlineStr">
        <is>
          <t>Frank Ellingsen</t>
        </is>
      </c>
      <c r="D54" s="2" t="inlineStr">
        <is>
          <t>frank@company.com</t>
        </is>
      </c>
      <c r="E54" s="131" t="inlineStr">
        <is>
          <t>Approved</t>
        </is>
      </c>
    </row>
    <row r="55">
      <c r="A55" s="130" t="inlineStr">
        <is>
          <t>Stage end</t>
        </is>
      </c>
      <c r="B55" s="2" t="inlineStr">
        <is>
          <t>PID / Review pack</t>
        </is>
      </c>
      <c r="C55" s="2" t="inlineStr">
        <is>
          <t>Project Manager</t>
        </is>
      </c>
      <c r="D55" s="2" t="n"/>
      <c r="E55" s="131" t="inlineStr">
        <is>
          <t>Planned</t>
        </is>
      </c>
    </row>
    <row r="56">
      <c r="A56" s="134" t="inlineStr">
        <is>
          <t>Monthly</t>
        </is>
      </c>
      <c r="B56" s="135" t="inlineStr">
        <is>
          <t>Board summary</t>
        </is>
      </c>
      <c r="C56" s="135" t="inlineStr">
        <is>
          <t>Project Manager</t>
        </is>
      </c>
      <c r="D56" s="135" t="n"/>
      <c r="E56" s="136" t="inlineStr">
        <is>
          <t>Planned</t>
        </is>
      </c>
    </row>
    <row r="58">
      <c r="A58" s="105" t="inlineStr">
        <is>
          <t>5. Risk Control</t>
        </is>
      </c>
      <c r="B58" s="273" t="n"/>
      <c r="C58" s="273" t="n"/>
      <c r="D58" s="273" t="n"/>
      <c r="E58" s="273" t="n"/>
      <c r="F58" s="273" t="n"/>
      <c r="G58" s="273" t="n"/>
      <c r="H58" s="130" t="n"/>
    </row>
    <row r="59">
      <c r="A59" s="104" t="inlineStr">
        <is>
          <t>Project risks and containment measures.</t>
        </is>
      </c>
      <c r="B59" s="274" t="n"/>
      <c r="C59" s="274" t="n"/>
      <c r="D59" s="274" t="n"/>
      <c r="E59" s="274" t="n"/>
      <c r="F59" s="274" t="n"/>
      <c r="G59" s="274" t="n"/>
      <c r="H59" s="134" t="n"/>
    </row>
    <row r="60">
      <c r="A60" s="275" t="n"/>
      <c r="H60" s="276" t="n"/>
    </row>
    <row r="61">
      <c r="A61" s="277" t="n"/>
      <c r="B61" s="278" t="n"/>
      <c r="C61" s="278" t="n"/>
      <c r="D61" s="278" t="n"/>
      <c r="E61" s="278" t="n"/>
      <c r="F61" s="278" t="n"/>
      <c r="G61" s="278" t="n"/>
      <c r="H61" s="279" t="n"/>
    </row>
    <row r="63">
      <c r="A63" s="132" t="inlineStr">
        <is>
          <t>Project Risk</t>
        </is>
      </c>
      <c r="B63" s="126" t="inlineStr">
        <is>
          <t>Containment Measures</t>
        </is>
      </c>
      <c r="C63" s="126" t="inlineStr">
        <is>
          <t>Owner</t>
        </is>
      </c>
      <c r="D63" s="126" t="inlineStr">
        <is>
          <t>Due Date</t>
        </is>
      </c>
      <c r="E63" s="133" t="inlineStr">
        <is>
          <t>RAG</t>
        </is>
      </c>
    </row>
    <row r="64">
      <c r="A64" s="130" t="inlineStr">
        <is>
          <t>RSK-01</t>
        </is>
      </c>
      <c r="B64" s="2" t="inlineStr">
        <is>
          <t>Steel Price Fluctuation</t>
        </is>
      </c>
      <c r="C64" s="2" t="inlineStr">
        <is>
          <t>Medium</t>
        </is>
      </c>
      <c r="D64" s="2" t="inlineStr">
        <is>
          <t>High</t>
        </is>
      </c>
      <c r="E64" s="131" t="inlineStr">
        <is>
          <t>Fixed-price supply contracts</t>
        </is>
      </c>
    </row>
    <row r="65">
      <c r="A65" s="130" t="inlineStr">
        <is>
          <t>Cost overrun</t>
        </is>
      </c>
      <c r="B65" s="2" t="inlineStr">
        <is>
          <t>Monitor CPI/CV/EAC and review WBS cost drivers.</t>
        </is>
      </c>
      <c r="C65" s="2" t="inlineStr">
        <is>
          <t>Project Controls</t>
        </is>
      </c>
      <c r="D65" s="2" t="n"/>
      <c r="E65" s="131" t="inlineStr">
        <is>
          <t>Red</t>
        </is>
      </c>
    </row>
    <row r="66">
      <c r="A66" s="130" t="inlineStr">
        <is>
          <t>Resource availability</t>
        </is>
      </c>
      <c r="B66" s="2" t="inlineStr">
        <is>
          <t>Use weekly Resource Grid to identify conflicts.</t>
        </is>
      </c>
      <c r="C66" s="2" t="inlineStr">
        <is>
          <t>Resource Manager</t>
        </is>
      </c>
      <c r="D66" s="2" t="n"/>
      <c r="E66" s="131" t="inlineStr">
        <is>
          <t>Amber</t>
        </is>
      </c>
    </row>
    <row r="67">
      <c r="A67" s="130" t="inlineStr">
        <is>
          <t>Scope creep</t>
        </is>
      </c>
      <c r="B67" s="2" t="inlineStr">
        <is>
          <t>Confirm in/out of scope and change-control route in PID.</t>
        </is>
      </c>
      <c r="C67" s="2" t="inlineStr">
        <is>
          <t>Project Manager</t>
        </is>
      </c>
      <c r="D67" s="2" t="n"/>
      <c r="E67" s="131" t="inlineStr">
        <is>
          <t>Amber</t>
        </is>
      </c>
    </row>
    <row r="68">
      <c r="A68" s="130" t="inlineStr">
        <is>
          <t>Quality issue</t>
        </is>
      </c>
      <c r="B68" s="2" t="inlineStr">
        <is>
          <t>Define acceptance criteria and quality checks by task.</t>
        </is>
      </c>
      <c r="C68" s="2" t="inlineStr">
        <is>
          <t>Project Manager</t>
        </is>
      </c>
      <c r="D68" s="2" t="n"/>
      <c r="E68" s="131" t="inlineStr">
        <is>
          <t>Amber</t>
        </is>
      </c>
    </row>
    <row r="69">
      <c r="A69" s="134" t="inlineStr">
        <is>
          <t>Supplier delay</t>
        </is>
      </c>
      <c r="B69" s="135" t="inlineStr">
        <is>
          <t>Track procurement/material activities and delivery milestones.</t>
        </is>
      </c>
      <c r="C69" s="135" t="inlineStr">
        <is>
          <t>Project Manager</t>
        </is>
      </c>
      <c r="D69" s="135" t="n"/>
      <c r="E69" s="136" t="inlineStr">
        <is>
          <t>Amber</t>
        </is>
      </c>
    </row>
    <row r="70">
      <c r="A70" s="2" t="n"/>
      <c r="B70" s="2" t="n"/>
      <c r="C70" s="2" t="n"/>
      <c r="D70" s="2" t="n"/>
      <c r="E70" s="2" t="n"/>
    </row>
    <row r="72">
      <c r="A72" s="105" t="inlineStr">
        <is>
          <t>6. Financial Implications</t>
        </is>
      </c>
      <c r="B72" s="273" t="n"/>
      <c r="C72" s="273" t="n"/>
      <c r="D72" s="273" t="n"/>
      <c r="E72" s="273" t="n"/>
      <c r="F72" s="273" t="n"/>
      <c r="G72" s="273" t="n"/>
      <c r="H72" s="130" t="n"/>
    </row>
    <row r="73" ht="14.5" customHeight="1" s="120">
      <c r="A73" s="99" t="inlineStr">
        <is>
          <t>Quarterly/annual financial profile adapted from the PID template; Year 1 is linked to the current baseline planned value.</t>
        </is>
      </c>
      <c r="B73" s="273" t="n"/>
      <c r="C73" s="273" t="n"/>
      <c r="D73" s="273" t="n"/>
      <c r="E73" s="273" t="n"/>
      <c r="F73" s="273" t="n"/>
      <c r="G73" s="273" t="n"/>
      <c r="H73" s="130" t="n"/>
    </row>
    <row r="74">
      <c r="A74" s="139" t="inlineStr">
        <is>
          <t>Financial Implications</t>
        </is>
      </c>
      <c r="B74" s="140" t="inlineStr">
        <is>
          <t>Q1</t>
        </is>
      </c>
      <c r="C74" s="140" t="inlineStr">
        <is>
          <t>Q2</t>
        </is>
      </c>
      <c r="D74" s="140" t="inlineStr">
        <is>
          <t>Q3</t>
        </is>
      </c>
      <c r="E74" s="140" t="inlineStr">
        <is>
          <t>Q4</t>
        </is>
      </c>
      <c r="F74" s="141" t="inlineStr">
        <is>
          <t>Total</t>
        </is>
      </c>
    </row>
    <row r="75">
      <c r="A75" s="130" t="inlineStr">
        <is>
          <t>Labor</t>
        </is>
      </c>
      <c r="B75" s="49" t="n">
        <v>35000</v>
      </c>
      <c r="C75" s="49" t="n">
        <v>33500</v>
      </c>
      <c r="D75" s="49" t="n">
        <v>1500</v>
      </c>
      <c r="E75" s="49" t="inlineStr">
        <is>
          <t>On track</t>
        </is>
      </c>
      <c r="F75" s="138" t="inlineStr">
        <is>
          <t>Green</t>
        </is>
      </c>
    </row>
    <row r="76">
      <c r="A76" s="130" t="inlineStr">
        <is>
          <t>Materials</t>
        </is>
      </c>
      <c r="B76" s="49" t="n">
        <v>25000</v>
      </c>
      <c r="C76" s="49" t="n">
        <v>25000</v>
      </c>
      <c r="D76" s="49" t="n">
        <v>0</v>
      </c>
      <c r="E76" s="49" t="inlineStr">
        <is>
          <t>Fully committed</t>
        </is>
      </c>
      <c r="F76" s="138" t="inlineStr">
        <is>
          <t>Green</t>
        </is>
      </c>
    </row>
    <row r="77">
      <c r="A77" s="130" t="inlineStr">
        <is>
          <t>Amount Year 3</t>
        </is>
      </c>
      <c r="B77" s="49" t="n">
        <v>0</v>
      </c>
      <c r="C77" s="49" t="n">
        <v>0</v>
      </c>
      <c r="D77" s="49" t="n">
        <v>0</v>
      </c>
      <c r="E77" s="49" t="n">
        <v>0</v>
      </c>
      <c r="F77" s="138">
        <f>SUM(B77:E77)</f>
        <v/>
      </c>
    </row>
    <row r="78">
      <c r="A78" s="130" t="inlineStr">
        <is>
          <t>Amount Year 4</t>
        </is>
      </c>
      <c r="B78" s="49" t="n">
        <v>0</v>
      </c>
      <c r="C78" s="49" t="n">
        <v>0</v>
      </c>
      <c r="D78" s="49" t="n">
        <v>0</v>
      </c>
      <c r="E78" s="49" t="n">
        <v>0</v>
      </c>
      <c r="F78" s="138">
        <f>SUM(B78:E78)</f>
        <v/>
      </c>
    </row>
    <row r="79">
      <c r="A79" s="134" t="inlineStr">
        <is>
          <t>Amount Year 5</t>
        </is>
      </c>
      <c r="B79" s="142" t="n">
        <v>0</v>
      </c>
      <c r="C79" s="142" t="n">
        <v>0</v>
      </c>
      <c r="D79" s="142" t="n">
        <v>0</v>
      </c>
      <c r="E79" s="142" t="n">
        <v>0</v>
      </c>
      <c r="F79" s="143">
        <f>SUM(B79:E79)</f>
        <v/>
      </c>
    </row>
  </sheetData>
  <mergeCells count="22">
    <mergeCell ref="A48:H48"/>
    <mergeCell ref="A34:H36"/>
    <mergeCell ref="A19:H21"/>
    <mergeCell ref="A73:H73"/>
    <mergeCell ref="A24:H26"/>
    <mergeCell ref="A49:H51"/>
    <mergeCell ref="A1:H1"/>
    <mergeCell ref="A39:H41"/>
    <mergeCell ref="A18:H18"/>
    <mergeCell ref="A2:H2"/>
    <mergeCell ref="A33:H33"/>
    <mergeCell ref="A23:H23"/>
    <mergeCell ref="A43:H43"/>
    <mergeCell ref="A38:H38"/>
    <mergeCell ref="A29:H31"/>
    <mergeCell ref="A72:H72"/>
    <mergeCell ref="A28:H28"/>
    <mergeCell ref="A14:H16"/>
    <mergeCell ref="A13:H13"/>
    <mergeCell ref="A44:H46"/>
    <mergeCell ref="A59:H61"/>
    <mergeCell ref="A58:H58"/>
  </mergeCells>
  <conditionalFormatting sqref="E64:E69">
    <cfRule type="expression" priority="1" dxfId="35">
      <formula>ISNUMBER(SEARCH("Red",E64))</formula>
    </cfRule>
    <cfRule type="expression" priority="2" dxfId="34">
      <formula>ISNUMBER(SEARCH("Amber",E64))</formula>
    </cfRule>
    <cfRule type="expression" priority="3" dxfId="33">
      <formula>ISNUMBER(SEARCH("Green",E64))</formula>
    </cfRule>
  </conditionalFormatting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>
    <tabColor rgb="FF5B9BD5"/>
    <outlinePr summaryBelow="1" summaryRight="1"/>
    <pageSetUpPr/>
  </sheetPr>
  <dimension ref="A1:H16"/>
  <sheetViews>
    <sheetView showGridLines="0" workbookViewId="0">
      <selection activeCell="Q1" sqref="Q1"/>
    </sheetView>
  </sheetViews>
  <sheetFormatPr baseColWidth="8" defaultRowHeight="14.5"/>
  <cols>
    <col width="8.1796875" customWidth="1" style="120" min="1" max="1"/>
    <col width="27.26953125" customWidth="1" style="120" min="2" max="2"/>
    <col width="40" customWidth="1" style="120" min="3" max="3"/>
    <col width="41.81640625" customWidth="1" style="120" min="4" max="4"/>
    <col width="26.36328125" customWidth="1" style="120" min="5" max="5"/>
    <col width="20" customWidth="1" style="120" min="6" max="6"/>
    <col width="16.36328125" customWidth="1" style="120" min="7" max="7"/>
    <col width="32.7265625" customWidth="1" style="120" min="8" max="8"/>
  </cols>
  <sheetData>
    <row r="1" ht="23.5" customHeight="1" s="120">
      <c r="A1" s="101" t="inlineStr">
        <is>
          <t>12-Step Project Management Method Roadmap</t>
        </is>
      </c>
    </row>
    <row r="2">
      <c r="A2" s="102" t="inlineStr">
        <is>
          <t>Course method embedded into the workbook: define, list, sequence, estimate, check, Gantt, resource, risk, monitor progress/cost, adjust, and review.</t>
        </is>
      </c>
    </row>
    <row r="4">
      <c r="A4" s="132" t="inlineStr">
        <is>
          <t>Step</t>
        </is>
      </c>
      <c r="B4" s="126" t="inlineStr">
        <is>
          <t>Method step</t>
        </is>
      </c>
      <c r="C4" s="126" t="inlineStr">
        <is>
          <t>Purpose</t>
        </is>
      </c>
      <c r="D4" s="126" t="inlineStr">
        <is>
          <t>Workbook implementation</t>
        </is>
      </c>
      <c r="E4" s="126" t="inlineStr">
        <is>
          <t>Primary sheet / range</t>
        </is>
      </c>
      <c r="F4" s="126" t="inlineStr">
        <is>
          <t>Owner</t>
        </is>
      </c>
      <c r="G4" s="126" t="inlineStr">
        <is>
          <t>Status</t>
        </is>
      </c>
      <c r="H4" s="133" t="inlineStr">
        <is>
          <t>Source</t>
        </is>
      </c>
    </row>
    <row r="5" ht="29" customHeight="1" s="120">
      <c r="A5" s="130" t="n">
        <v>1</v>
      </c>
      <c r="B5" s="2" t="inlineStr">
        <is>
          <t>Define the project</t>
        </is>
      </c>
      <c r="C5" s="99" t="inlineStr">
        <is>
          <t>Create the project definition and controls.</t>
        </is>
      </c>
      <c r="D5" s="99" t="inlineStr">
        <is>
          <t>PID template added with live project metadata.</t>
        </is>
      </c>
      <c r="E5" s="2" t="inlineStr">
        <is>
          <t>PID!A1:H50</t>
        </is>
      </c>
      <c r="F5" s="2" t="inlineStr">
        <is>
          <t>Project Manager</t>
        </is>
      </c>
      <c r="G5" s="2" t="inlineStr">
        <is>
          <t>Active</t>
        </is>
      </c>
      <c r="H5" s="144" t="inlineStr">
        <is>
          <t>1.2 12 Step Process / 2.1.2 PID template</t>
        </is>
      </c>
    </row>
    <row r="6" ht="29" customHeight="1" s="120">
      <c r="A6" s="130" t="n">
        <v>2</v>
      </c>
      <c r="B6" s="2" t="inlineStr">
        <is>
          <t>List the tasks</t>
        </is>
      </c>
      <c r="C6" s="99" t="inlineStr">
        <is>
          <t>Capture all tasks without initially worrying about order, cost, or time.</t>
        </is>
      </c>
      <c r="D6" s="99" t="inlineStr">
        <is>
          <t>Task Capture sheet added; WBS imported from current Dim_WBS and grouped by type.</t>
        </is>
      </c>
      <c r="E6" s="2" t="inlineStr">
        <is>
          <t>Task Capture!A4:J18</t>
        </is>
      </c>
      <c r="F6" s="2" t="inlineStr">
        <is>
          <t>Project Team</t>
        </is>
      </c>
      <c r="G6" s="2" t="inlineStr">
        <is>
          <t>Active</t>
        </is>
      </c>
      <c r="H6" s="144" t="inlineStr">
        <is>
          <t>3.1.5 List the Tasks / 4.1 List of Tasks</t>
        </is>
      </c>
    </row>
    <row r="7" ht="29" customHeight="1" s="120">
      <c r="A7" s="130" t="n">
        <v>3</v>
      </c>
      <c r="B7" s="2" t="inlineStr">
        <is>
          <t>Establish task order</t>
        </is>
      </c>
      <c r="C7" s="99" t="inlineStr">
        <is>
          <t>Convert brainstormed tasks into planned sequencing.</t>
        </is>
      </c>
      <c r="D7" s="99" t="inlineStr">
        <is>
          <t>Task Plan and Gantt use WBS order and baseline dates.</t>
        </is>
      </c>
      <c r="E7" s="2" t="inlineStr">
        <is>
          <t>Task Plan!A4:T17</t>
        </is>
      </c>
      <c r="F7" s="2" t="inlineStr">
        <is>
          <t>Planner</t>
        </is>
      </c>
      <c r="G7" s="2" t="inlineStr">
        <is>
          <t>Active</t>
        </is>
      </c>
      <c r="H7" s="144" t="inlineStr">
        <is>
          <t>1.2 12 Step Process</t>
        </is>
      </c>
    </row>
    <row r="8" ht="29" customHeight="1" s="120">
      <c r="A8" s="130" t="n">
        <v>4</v>
      </c>
      <c r="B8" s="2" t="inlineStr">
        <is>
          <t>Estimate time</t>
        </is>
      </c>
      <c r="C8" s="99" t="inlineStr">
        <is>
          <t>Estimate duration by task.</t>
        </is>
      </c>
      <c r="D8" s="99" t="inlineStr">
        <is>
          <t>Baseline start, finish, and duration calculated per WBS.</t>
        </is>
      </c>
      <c r="E8" s="2" t="inlineStr">
        <is>
          <t>Task Plan!E5:G17</t>
        </is>
      </c>
      <c r="F8" s="2" t="inlineStr">
        <is>
          <t>Planner</t>
        </is>
      </c>
      <c r="G8" s="2" t="inlineStr">
        <is>
          <t>Active</t>
        </is>
      </c>
      <c r="H8" s="144" t="inlineStr">
        <is>
          <t>1.2 12 Step Process</t>
        </is>
      </c>
    </row>
    <row r="9" ht="29" customHeight="1" s="120">
      <c r="A9" s="130" t="n">
        <v>5</v>
      </c>
      <c r="B9" s="2" t="inlineStr">
        <is>
          <t>Margin check &amp; reality check</t>
        </is>
      </c>
      <c r="C9" s="99" t="inlineStr">
        <is>
          <t>Check whether dates, budget, and resource assumptions are feasible.</t>
        </is>
      </c>
      <c r="D9" s="99" t="inlineStr">
        <is>
          <t>Status tie-out, EVM checks, and RAG indicators added.</t>
        </is>
      </c>
      <c r="E9" s="2" t="inlineStr">
        <is>
          <t>EVM!H19:M25</t>
        </is>
      </c>
      <c r="F9" s="2" t="inlineStr">
        <is>
          <t>Project Controls</t>
        </is>
      </c>
      <c r="G9" s="2" t="inlineStr">
        <is>
          <t>Active</t>
        </is>
      </c>
      <c r="H9" s="144" t="inlineStr">
        <is>
          <t>1.2 12 Step Process</t>
        </is>
      </c>
    </row>
    <row r="10" ht="29" customHeight="1" s="120">
      <c r="A10" s="130" t="n">
        <v>6</v>
      </c>
      <c r="B10" s="2" t="inlineStr">
        <is>
          <t>Gantt Chart</t>
        </is>
      </c>
      <c r="C10" s="99" t="inlineStr">
        <is>
          <t>Show planned timing and status.</t>
        </is>
      </c>
      <c r="D10" s="99" t="inlineStr">
        <is>
          <t>Gantt chart with RAG bars and status-date marker exists.</t>
        </is>
      </c>
      <c r="E10" s="2" t="inlineStr">
        <is>
          <t>EVM Charts!Gantt Schedule</t>
        </is>
      </c>
      <c r="F10" s="2" t="inlineStr">
        <is>
          <t>Project Controls</t>
        </is>
      </c>
      <c r="G10" s="2" t="inlineStr">
        <is>
          <t>Active</t>
        </is>
      </c>
      <c r="H10" s="144" t="inlineStr">
        <is>
          <t>8.1.2 Gantt templates</t>
        </is>
      </c>
    </row>
    <row r="11" ht="29" customHeight="1" s="120">
      <c r="A11" s="130" t="n">
        <v>7</v>
      </c>
      <c r="B11" s="2" t="inlineStr">
        <is>
          <t>Resource allocation</t>
        </is>
      </c>
      <c r="C11" s="99" t="inlineStr">
        <is>
          <t>Map tasks to people/resources and weekly loading.</t>
        </is>
      </c>
      <c r="D11" s="99" t="inlineStr">
        <is>
          <t>Resource Grid added with weekly hours and costs by WBS.</t>
        </is>
      </c>
      <c r="E11" s="2" t="inlineStr">
        <is>
          <t>Resource Grid!A4:Z35</t>
        </is>
      </c>
      <c r="F11" s="2" t="inlineStr">
        <is>
          <t>Resource Manager</t>
        </is>
      </c>
      <c r="G11" s="2" t="inlineStr">
        <is>
          <t>Active</t>
        </is>
      </c>
      <c r="H11" s="144" t="inlineStr">
        <is>
          <t>8.1.2 Gantt template from garden office</t>
        </is>
      </c>
    </row>
    <row r="12" ht="29" customHeight="1" s="120">
      <c r="A12" s="130" t="n">
        <v>8</v>
      </c>
      <c r="B12" s="2" t="inlineStr">
        <is>
          <t>Predicting &amp; reducing risk</t>
        </is>
      </c>
      <c r="C12" s="99" t="inlineStr">
        <is>
          <t>Identify project risks and containment measures.</t>
        </is>
      </c>
      <c r="D12" s="99" t="inlineStr">
        <is>
          <t>PID risk-control register added.</t>
        </is>
      </c>
      <c r="E12" s="2" t="inlineStr">
        <is>
          <t>PID!A63:E70</t>
        </is>
      </c>
      <c r="F12" s="2" t="inlineStr">
        <is>
          <t>Project Manager</t>
        </is>
      </c>
      <c r="G12" s="2" t="inlineStr">
        <is>
          <t>Template ready</t>
        </is>
      </c>
      <c r="H12" s="144" t="inlineStr">
        <is>
          <t>2.1.2 PID template</t>
        </is>
      </c>
    </row>
    <row r="13" ht="29" customHeight="1" s="120">
      <c r="A13" s="130" t="n">
        <v>9</v>
      </c>
      <c r="B13" s="2" t="inlineStr">
        <is>
          <t>Monitoring progress</t>
        </is>
      </c>
      <c r="C13" s="99" t="inlineStr">
        <is>
          <t>Track completion against plan.</t>
        </is>
      </c>
      <c r="D13" s="99" t="inlineStr">
        <is>
          <t>Progress is linked from Fact_Physical_Progress to Task Plan and dashboard.</t>
        </is>
      </c>
      <c r="E13" s="2" t="inlineStr">
        <is>
          <t>Task Plan!K5:K17</t>
        </is>
      </c>
      <c r="F13" s="2" t="inlineStr">
        <is>
          <t>Project Controls</t>
        </is>
      </c>
      <c r="G13" s="2" t="inlineStr">
        <is>
          <t>Active</t>
        </is>
      </c>
      <c r="H13" s="144" t="inlineStr">
        <is>
          <t>1.2 12 Step Process</t>
        </is>
      </c>
    </row>
    <row r="14" ht="29" customHeight="1" s="120">
      <c r="A14" s="130" t="n">
        <v>10</v>
      </c>
      <c r="B14" s="2" t="inlineStr">
        <is>
          <t>Monitoring cost</t>
        </is>
      </c>
      <c r="C14" s="99" t="inlineStr">
        <is>
          <t>Track actual cost and forecast.</t>
        </is>
      </c>
      <c r="D14" s="99" t="inlineStr">
        <is>
          <t>EVM reporting monitors AC, CV, CPI, EAC, ETC, VAC.</t>
        </is>
      </c>
      <c r="E14" s="2" t="inlineStr">
        <is>
          <t>EVM!A4:N16</t>
        </is>
      </c>
      <c r="F14" s="2" t="inlineStr">
        <is>
          <t>Project Controls</t>
        </is>
      </c>
      <c r="G14" s="2" t="inlineStr">
        <is>
          <t>Active</t>
        </is>
      </c>
      <c r="H14" s="144" t="inlineStr">
        <is>
          <t>1.2 12 Step Process</t>
        </is>
      </c>
    </row>
    <row r="15" ht="29" customHeight="1" s="120">
      <c r="A15" s="130" t="n">
        <v>11</v>
      </c>
      <c r="B15" s="2" t="inlineStr">
        <is>
          <t>Adjusting the plan</t>
        </is>
      </c>
      <c r="C15" s="99" t="inlineStr">
        <is>
          <t>Use EVM and RAG exceptions to trigger decisions.</t>
        </is>
      </c>
      <c r="D15" s="99" t="inlineStr">
        <is>
          <t>Decision/action log added to Review.</t>
        </is>
      </c>
      <c r="E15" s="2" t="inlineStr">
        <is>
          <t>Review!A20:F28</t>
        </is>
      </c>
      <c r="F15" s="2" t="inlineStr">
        <is>
          <t>Project Board</t>
        </is>
      </c>
      <c r="G15" s="2" t="inlineStr">
        <is>
          <t>Template ready</t>
        </is>
      </c>
      <c r="H15" s="144" t="inlineStr">
        <is>
          <t>1.2 12 Step Process</t>
        </is>
      </c>
    </row>
    <row r="16" ht="29" customHeight="1" s="120">
      <c r="A16" s="134" t="n">
        <v>12</v>
      </c>
      <c r="B16" s="135" t="inlineStr">
        <is>
          <t>Review &amp; lessons</t>
        </is>
      </c>
      <c r="C16" s="127" t="inlineStr">
        <is>
          <t>Capture good, bad, better after delivery.</t>
        </is>
      </c>
      <c r="D16" s="127" t="inlineStr">
        <is>
          <t>Review sheet added with GOOD / BAD / BETTER structure.</t>
        </is>
      </c>
      <c r="E16" s="135" t="inlineStr">
        <is>
          <t>Review!A4:F17</t>
        </is>
      </c>
      <c r="F16" s="135" t="inlineStr">
        <is>
          <t>Project Team</t>
        </is>
      </c>
      <c r="G16" s="135" t="inlineStr">
        <is>
          <t>Template ready</t>
        </is>
      </c>
      <c r="H16" s="145" t="inlineStr">
        <is>
          <t>13.1.2 Review Template</t>
        </is>
      </c>
    </row>
  </sheetData>
  <mergeCells count="2">
    <mergeCell ref="A2:H2"/>
    <mergeCell ref="A1:H1"/>
  </mergeCells>
  <conditionalFormatting sqref="G5:G16">
    <cfRule type="containsText" priority="1" operator="containsText" dxfId="53" text="Active">
      <formula>NOT(ISERROR(SEARCH("Active",G5)))</formula>
    </cfRule>
    <cfRule type="containsText" priority="2" operator="containsText" dxfId="52" text="Template ready">
      <formula>NOT(ISERROR(SEARCH("Template ready",G5)))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5B9BD5"/>
    <outlinePr summaryBelow="1" summaryRight="1"/>
    <pageSetUpPr/>
  </sheetPr>
  <dimension ref="A1:H13"/>
  <sheetViews>
    <sheetView showGridLines="0" workbookViewId="0">
      <selection activeCell="Q1" sqref="Q1"/>
    </sheetView>
  </sheetViews>
  <sheetFormatPr baseColWidth="8" defaultRowHeight="14.5"/>
  <cols>
    <col width="38.1796875" customWidth="1" style="120" min="1" max="1"/>
    <col width="45.453125" customWidth="1" style="120" min="2" max="2"/>
    <col width="25.453125" customWidth="1" style="120" min="3" max="3"/>
    <col width="15.453125" customWidth="1" style="120" min="4" max="4"/>
    <col width="26.36328125" customWidth="1" style="120" min="5" max="5"/>
  </cols>
  <sheetData>
    <row r="1" ht="23.5" customHeight="1" s="120">
      <c r="A1" s="100" t="inlineStr">
        <is>
          <t>PM-EVM Compliance Checklist</t>
        </is>
      </c>
    </row>
    <row r="2">
      <c r="A2" s="102" t="inlineStr">
        <is>
          <t>Workbook compliance map against the attached PM-EVM guideline: WBS, Gantt, EVM, dashboard, live formulas, and exception-focused reporting.</t>
        </is>
      </c>
    </row>
    <row r="4">
      <c r="A4" s="132" t="inlineStr">
        <is>
          <t>Guideline requirement</t>
        </is>
      </c>
      <c r="B4" s="126" t="inlineStr">
        <is>
          <t>Workbook implementation</t>
        </is>
      </c>
      <c r="C4" s="126" t="inlineStr">
        <is>
          <t>Location</t>
        </is>
      </c>
      <c r="D4" s="126" t="inlineStr">
        <is>
          <t>Status</t>
        </is>
      </c>
      <c r="E4" s="133" t="inlineStr">
        <is>
          <t>Evidence</t>
        </is>
      </c>
    </row>
    <row r="5" ht="29" customHeight="1" s="120">
      <c r="A5" s="146" t="inlineStr">
        <is>
          <t>Setup controls: project metadata, status date, reporting period, rates/thresholds</t>
        </is>
      </c>
      <c r="B5" s="99" t="inlineStr">
        <is>
          <t>Added setup control sheet with live project metadata and thresholds</t>
        </is>
      </c>
      <c r="C5" s="2" t="inlineStr">
        <is>
          <t>Setup!A4:D20</t>
        </is>
      </c>
      <c r="D5" s="6" t="inlineStr">
        <is>
          <t>Compliant</t>
        </is>
      </c>
      <c r="E5" s="131" t="inlineStr">
        <is>
          <t>PM-EVM.md lines 117-126</t>
        </is>
      </c>
    </row>
    <row r="6" ht="29" customHeight="1" s="120">
      <c r="A6" s="146" t="inlineStr">
        <is>
          <t>Task Plan as integrated WBS/task control view</t>
        </is>
      </c>
      <c r="B6" s="99" t="inlineStr">
        <is>
          <t>Added live task table combining WBS, dates, BAC, PV, AC, progress, EV, variances, forecasts and RAG</t>
        </is>
      </c>
      <c r="C6" s="2" t="inlineStr">
        <is>
          <t>Task Plan!A4:T17</t>
        </is>
      </c>
      <c r="D6" s="6" t="inlineStr">
        <is>
          <t>Compliant</t>
        </is>
      </c>
      <c r="E6" s="131" t="inlineStr">
        <is>
          <t>PM-EVM.md lines 120-125</t>
        </is>
      </c>
    </row>
    <row r="7" ht="29" customHeight="1" s="120">
      <c r="A7" s="146" t="inlineStr">
        <is>
          <t>Gantt display tied to WBS baseline dates</t>
        </is>
      </c>
      <c r="B7" s="99" t="inlineStr">
        <is>
          <t>Existing EVM Charts Gantt uses WBS activities, baseline start/finish and duration</t>
        </is>
      </c>
      <c r="C7" s="2" t="inlineStr">
        <is>
          <t>EVM Charts!Gantt Schedule</t>
        </is>
      </c>
      <c r="D7" s="6" t="inlineStr">
        <is>
          <t>Compliant</t>
        </is>
      </c>
      <c r="E7" s="131" t="inlineStr">
        <is>
          <t>PM-EVM.md lines 122-125</t>
        </is>
      </c>
    </row>
    <row r="8" ht="29" customHeight="1" s="120">
      <c r="A8" s="146" t="inlineStr">
        <is>
          <t>EVM by reporting period with PV, EV, AC, SV, CV, SPI, CPI, BAC, EAC, ETC, VAC</t>
        </is>
      </c>
      <c r="B8" s="99" t="inlineStr">
        <is>
          <t>Added EVM reporting table with weekly live formulas</t>
        </is>
      </c>
      <c r="C8" s="2" t="inlineStr">
        <is>
          <t>EVM!A4:N16</t>
        </is>
      </c>
      <c r="D8" s="6" t="inlineStr">
        <is>
          <t>Compliant</t>
        </is>
      </c>
      <c r="E8" s="131" t="inlineStr">
        <is>
          <t>PM-EVM.md lines 123-124</t>
        </is>
      </c>
    </row>
    <row r="9" ht="29" customHeight="1" s="120">
      <c r="A9" s="146" t="inlineStr">
        <is>
          <t>S-curve shows cumulative PV, EV, and AC over time</t>
        </is>
      </c>
      <c r="B9" s="99" t="inlineStr">
        <is>
          <t>Existing EVM S-curve chart is sourced from weekly cumulative helper table</t>
        </is>
      </c>
      <c r="C9" s="2" t="inlineStr">
        <is>
          <t>EVM Charts!EVM S-Curve</t>
        </is>
      </c>
      <c r="D9" s="6" t="inlineStr">
        <is>
          <t>Compliant</t>
        </is>
      </c>
      <c r="E9" s="131" t="inlineStr">
        <is>
          <t>PM-EVM.md lines 50-54</t>
        </is>
      </c>
    </row>
    <row r="10" ht="29" customHeight="1" s="120">
      <c r="A10" s="146" t="inlineStr">
        <is>
          <t>Dashboard summarizes management KPIs and top WBS exceptions</t>
        </is>
      </c>
      <c r="B10" s="99" t="inlineStr">
        <is>
          <t>Existing dashboard has KPI tiles, WBS table, RAG, variance/status fields</t>
        </is>
      </c>
      <c r="C10" s="2" t="inlineStr">
        <is>
          <t>EVM Dashboard!A1:P47</t>
        </is>
      </c>
      <c r="D10" s="6" t="inlineStr">
        <is>
          <t>Compliant</t>
        </is>
      </c>
      <c r="E10" s="131" t="inlineStr">
        <is>
          <t>PM-EVM.md lines 781-785</t>
        </is>
      </c>
    </row>
    <row r="11" ht="29" customHeight="1" s="120">
      <c r="A11" s="146" t="inlineStr">
        <is>
          <t>Exception-focused reporting with RAG / traffic-light indicators</t>
        </is>
      </c>
      <c r="B11" s="99" t="inlineStr">
        <is>
          <t>RAG rules applied across performance indices, progress, variances, and status cells</t>
        </is>
      </c>
      <c r="C11" s="2" t="inlineStr">
        <is>
          <t>EVM Dashboard, Task Plan, EVM</t>
        </is>
      </c>
      <c r="D11" s="6" t="inlineStr">
        <is>
          <t>Compliant</t>
        </is>
      </c>
      <c r="E11" s="131" t="inlineStr">
        <is>
          <t>PM-EVM.md lines 781-785</t>
        </is>
      </c>
    </row>
    <row r="12" ht="29" customHeight="1" s="120">
      <c r="A12" s="146" t="inlineStr">
        <is>
          <t>Consistent WBS codes, budgets, dates, and actuals across views</t>
        </is>
      </c>
      <c r="B12" s="99" t="inlineStr">
        <is>
          <t>Task Plan, EVM, Gantt and dashboard all reference Dim_WBS and fact tables</t>
        </is>
      </c>
      <c r="C12" s="2" t="inlineStr">
        <is>
          <t>Dim_WBS / Fact_*</t>
        </is>
      </c>
      <c r="D12" s="6" t="inlineStr">
        <is>
          <t>Compliant</t>
        </is>
      </c>
      <c r="E12" s="131" t="inlineStr">
        <is>
          <t>PM-EVM.md lines 270-274</t>
        </is>
      </c>
    </row>
    <row r="13" ht="29" customHeight="1" s="120">
      <c r="A13" s="147" t="inlineStr">
        <is>
          <t>Validate formulas and totals</t>
        </is>
      </c>
      <c r="B13" s="127" t="inlineStr">
        <is>
          <t>Added formula validation and status-date tie-out to dashboard KPIs</t>
        </is>
      </c>
      <c r="C13" s="135" t="inlineStr">
        <is>
          <t>EVM!H19:M25</t>
        </is>
      </c>
      <c r="D13" s="148" t="inlineStr">
        <is>
          <t>Compliant</t>
        </is>
      </c>
      <c r="E13" s="136" t="inlineStr">
        <is>
          <t>PM-EVM.md lines 783-785</t>
        </is>
      </c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70AD47"/>
    <outlinePr summaryBelow="1" summaryRight="1"/>
    <pageSetUpPr/>
  </sheetPr>
  <dimension ref="A1:H20"/>
  <sheetViews>
    <sheetView showGridLines="0" topLeftCell="E1" workbookViewId="0">
      <selection activeCell="Q1" sqref="Q1"/>
    </sheetView>
  </sheetViews>
  <sheetFormatPr baseColWidth="8" defaultRowHeight="14.5"/>
  <cols>
    <col width="34.54296875" customWidth="1" style="120" min="1" max="1"/>
    <col width="25.453125" customWidth="1" style="120" min="2" max="2"/>
    <col width="19.08984375" customWidth="1" style="120" min="3" max="3"/>
    <col width="41.81640625" customWidth="1" style="120" min="4" max="4"/>
  </cols>
  <sheetData>
    <row r="1" ht="23.5" customHeight="1" s="120">
      <c r="A1" s="100" t="inlineStr">
        <is>
          <t>Setup Controls</t>
        </is>
      </c>
    </row>
    <row r="2">
      <c r="A2" s="102" t="inlineStr">
        <is>
          <t>Single place to review project metadata, status date, reporting period, and RAG thresholds used by the control workbook.</t>
        </is>
      </c>
    </row>
    <row r="4">
      <c r="A4" s="132" t="inlineStr">
        <is>
          <t>Control</t>
        </is>
      </c>
      <c r="B4" s="133" t="inlineStr">
        <is>
          <t>Value</t>
        </is>
      </c>
    </row>
    <row r="5">
      <c r="A5" s="130" t="inlineStr">
        <is>
          <t>Project ID</t>
        </is>
      </c>
      <c r="B5" s="131" t="inlineStr">
        <is>
          <t>P101</t>
        </is>
      </c>
    </row>
    <row r="6">
      <c r="A6" s="130" t="inlineStr">
        <is>
          <t>Project Name</t>
        </is>
      </c>
      <c r="B6" s="131" t="inlineStr">
        <is>
          <t>Office Fit-Out</t>
        </is>
      </c>
    </row>
    <row r="7">
      <c r="A7" s="130" t="inlineStr">
        <is>
          <t>Project Start</t>
        </is>
      </c>
      <c r="B7" s="282" t="inlineStr">
        <is>
          <t>2026-05-04 00:00:00</t>
        </is>
      </c>
    </row>
    <row r="8">
      <c r="A8" s="130" t="inlineStr">
        <is>
          <t>Project End</t>
        </is>
      </c>
      <c r="B8" s="282" t="inlineStr">
        <is>
          <t>2026-07-26 00:00:00</t>
        </is>
      </c>
    </row>
    <row r="9">
      <c r="A9" s="130" t="inlineStr">
        <is>
          <t>Status Date</t>
        </is>
      </c>
      <c r="B9" s="282" t="inlineStr">
        <is>
          <t>2026-06-30 00:00:00</t>
        </is>
      </c>
    </row>
    <row r="10">
      <c r="A10" s="130" t="inlineStr">
        <is>
          <t>Reporting Period</t>
        </is>
      </c>
      <c r="B10" s="131" t="inlineStr">
        <is>
          <t>Weekly</t>
        </is>
      </c>
    </row>
    <row r="11">
      <c r="A11" s="130" t="inlineStr">
        <is>
          <t>Budget at Completion (BAC)</t>
        </is>
      </c>
      <c r="B11" s="150" t="n">
        <v>268650</v>
      </c>
    </row>
    <row r="12">
      <c r="A12" s="130" t="inlineStr">
        <is>
          <t>CPI/SPI Red Threshold</t>
        </is>
      </c>
      <c r="B12" s="151" t="n">
        <v>0.95</v>
      </c>
    </row>
    <row r="13">
      <c r="A13" s="130" t="inlineStr">
        <is>
          <t>CPI/SPI Green Threshold</t>
        </is>
      </c>
      <c r="B13" s="151" t="n">
        <v>1</v>
      </c>
    </row>
    <row r="14">
      <c r="A14" s="130" t="inlineStr">
        <is>
          <t>Progress Amber Threshold</t>
        </is>
      </c>
      <c r="B14" s="151" t="n">
        <v>0.5</v>
      </c>
    </row>
    <row r="15">
      <c r="A15" s="134" t="inlineStr">
        <is>
          <t>Progress Green Threshold</t>
        </is>
      </c>
      <c r="B15" s="152" t="n">
        <v>0.8</v>
      </c>
    </row>
    <row r="17">
      <c r="A17" s="132" t="inlineStr">
        <is>
          <t>RAG</t>
        </is>
      </c>
      <c r="B17" s="126" t="inlineStr">
        <is>
          <t>Metric</t>
        </is>
      </c>
      <c r="C17" s="126" t="inlineStr">
        <is>
          <t>Rule</t>
        </is>
      </c>
      <c r="D17" s="133" t="inlineStr">
        <is>
          <t>Interpretation</t>
        </is>
      </c>
    </row>
    <row r="18">
      <c r="A18" s="153" t="inlineStr">
        <is>
          <t>Green</t>
        </is>
      </c>
      <c r="B18" s="2" t="inlineStr">
        <is>
          <t>CPI/SPI</t>
        </is>
      </c>
      <c r="C18" s="2" t="inlineStr">
        <is>
          <t>&gt;= 1.00</t>
        </is>
      </c>
      <c r="D18" s="131" t="inlineStr">
        <is>
          <t>On or above plan</t>
        </is>
      </c>
    </row>
    <row r="19">
      <c r="A19" s="154" t="inlineStr">
        <is>
          <t>Amber</t>
        </is>
      </c>
      <c r="B19" s="2" t="inlineStr">
        <is>
          <t>CPI/SPI</t>
        </is>
      </c>
      <c r="C19" s="2" t="inlineStr">
        <is>
          <t>0.95 to &lt; 1.00</t>
        </is>
      </c>
      <c r="D19" s="131" t="inlineStr">
        <is>
          <t>Near threshold / watch</t>
        </is>
      </c>
    </row>
    <row r="20">
      <c r="A20" s="156" t="inlineStr">
        <is>
          <t>Red</t>
        </is>
      </c>
      <c r="B20" s="135" t="inlineStr">
        <is>
          <t>CPI/SPI</t>
        </is>
      </c>
      <c r="C20" s="135" t="inlineStr">
        <is>
          <t>&lt; 0.95</t>
        </is>
      </c>
      <c r="D20" s="136" t="inlineStr">
        <is>
          <t>Action required</t>
        </is>
      </c>
    </row>
  </sheetData>
  <mergeCells count="2">
    <mergeCell ref="A2:H2"/>
    <mergeCell ref="A1:H1"/>
  </mergeCells>
  <conditionalFormatting sqref="A18:A20">
    <cfRule type="expression" priority="1" dxfId="35">
      <formula>ISNUMBER(SEARCH("Red",A18))</formula>
    </cfRule>
    <cfRule type="expression" priority="2" dxfId="34">
      <formula>ISNUMBER(SEARCH("Amber",A18))</formula>
    </cfRule>
    <cfRule type="expression" priority="3" dxfId="33">
      <formula>ISNUMBER(SEARCH("Green",A18))</formula>
    </cfRule>
  </conditionalFormatting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tabColor rgb="FF70AD47"/>
    <outlinePr summaryBelow="1" summaryRight="1"/>
    <pageSetUpPr/>
  </sheetPr>
  <dimension ref="A1:T17"/>
  <sheetViews>
    <sheetView showGridLines="0" workbookViewId="0">
      <selection activeCell="Q1" sqref="Q1"/>
    </sheetView>
  </sheetViews>
  <sheetFormatPr baseColWidth="8" defaultRowHeight="14.5"/>
  <cols>
    <col width="12.7265625" customWidth="1" style="120" min="1" max="1"/>
    <col width="11.36328125" customWidth="1" style="120" min="2" max="2"/>
    <col width="30.90625" customWidth="1" style="120" min="3" max="3"/>
    <col width="17.26953125" customWidth="1" style="120" min="4" max="4"/>
    <col width="15.453125" customWidth="1" style="120" min="5" max="6"/>
    <col width="14.7265625" customWidth="1" style="120" min="7" max="7"/>
    <col width="15.453125" customWidth="1" style="120" min="8" max="19"/>
    <col width="13.6328125" customWidth="1" style="120" min="20" max="20"/>
  </cols>
  <sheetData>
    <row r="1" ht="23.5" customHeight="1" s="120">
      <c r="A1" s="100" t="inlineStr">
        <is>
          <t>Task Plan</t>
        </is>
      </c>
    </row>
    <row r="2">
      <c r="A2" s="102" t="inlineStr">
        <is>
          <t>Integrated WBS control table: one live task-level view for scope, schedule, budget, progress, actuals, forecasts, and RAG status.</t>
        </is>
      </c>
    </row>
    <row r="4">
      <c r="A4" s="132" t="inlineStr">
        <is>
          <t>WBS ID</t>
        </is>
      </c>
      <c r="B4" s="126" t="inlineStr">
        <is>
          <t>WBS Code</t>
        </is>
      </c>
      <c r="C4" s="126" t="inlineStr">
        <is>
          <t>Task / Activity</t>
        </is>
      </c>
      <c r="D4" s="126" t="inlineStr">
        <is>
          <t>Type</t>
        </is>
      </c>
      <c r="E4" s="126" t="inlineStr">
        <is>
          <t>Baseline Start</t>
        </is>
      </c>
      <c r="F4" s="126" t="inlineStr">
        <is>
          <t>Baseline Finish</t>
        </is>
      </c>
      <c r="G4" s="126" t="inlineStr">
        <is>
          <t>Duration Days</t>
        </is>
      </c>
      <c r="H4" s="126" t="inlineStr">
        <is>
          <t>BAC (NOK)</t>
        </is>
      </c>
      <c r="I4" s="126" t="inlineStr">
        <is>
          <t>PV @ Status</t>
        </is>
      </c>
      <c r="J4" s="126" t="inlineStr">
        <is>
          <t>AC @ Status</t>
        </is>
      </c>
      <c r="K4" s="126" t="inlineStr">
        <is>
          <t>Progress %</t>
        </is>
      </c>
      <c r="L4" s="126" t="inlineStr">
        <is>
          <t>EV @ Status</t>
        </is>
      </c>
      <c r="M4" s="126" t="inlineStr">
        <is>
          <t>SV</t>
        </is>
      </c>
      <c r="N4" s="126" t="inlineStr">
        <is>
          <t>CV</t>
        </is>
      </c>
      <c r="O4" s="126" t="inlineStr">
        <is>
          <t>SPI</t>
        </is>
      </c>
      <c r="P4" s="126" t="inlineStr">
        <is>
          <t>CPI</t>
        </is>
      </c>
      <c r="Q4" s="126" t="inlineStr">
        <is>
          <t>EAC</t>
        </is>
      </c>
      <c r="R4" s="126" t="inlineStr">
        <is>
          <t>ETC</t>
        </is>
      </c>
      <c r="S4" s="126" t="inlineStr">
        <is>
          <t>VAC</t>
        </is>
      </c>
      <c r="T4" s="133" t="inlineStr">
        <is>
          <t>Status</t>
        </is>
      </c>
    </row>
    <row r="5">
      <c r="A5" s="130" t="inlineStr">
        <is>
          <t>WBS001</t>
        </is>
      </c>
      <c r="B5" s="2" t="inlineStr">
        <is>
          <t>Design Phase</t>
        </is>
      </c>
      <c r="C5" s="2" t="inlineStr">
        <is>
          <t>2026-09-01</t>
        </is>
      </c>
      <c r="D5" s="2" t="inlineStr">
        <is>
          <t>2026-09-14</t>
        </is>
      </c>
      <c r="E5" s="280" t="n">
        <v>14</v>
      </c>
      <c r="F5" s="280" t="inlineStr">
        <is>
          <t>Predecessors</t>
        </is>
      </c>
      <c r="G5" s="47" t="inlineStr">
        <is>
          <t>RES101</t>
        </is>
      </c>
      <c r="H5" s="49" t="inlineStr">
        <is>
          <t>Complete</t>
        </is>
      </c>
      <c r="I5" s="49">
        <f>SUMIFS(Fact_Baseline_PV!$C:$C,Fact_Baseline_PV!$B:$B,A5,Fact_Baseline_PV!$A:$A,"&lt;="&amp;Setup!$B$9)</f>
        <v/>
      </c>
      <c r="J5" s="49">
        <f>SUMIFS(Fact_Actual_Costs!$D:$D,Fact_Actual_Costs!$B:$B,A5,Fact_Actual_Costs!$A:$A,"&lt;="&amp;Setup!$B$9)</f>
        <v/>
      </c>
      <c r="K5" s="283">
        <f t="array" ref="K5">IFERROR(LOOKUP(2,1/(Fact_Physical_Progress!$B$2:$B$35=A5)/(Fact_Physical_Progress!$A$2:$A$35&lt;=Setup!$B$9),Fact_Physical_Progress!$C$2:$C$35),0)</f>
        <v/>
      </c>
      <c r="L5" s="49">
        <f>H5*K5</f>
        <v/>
      </c>
      <c r="M5" s="49">
        <f>L5-I5</f>
        <v/>
      </c>
      <c r="N5" s="49">
        <f>L5-J5</f>
        <v/>
      </c>
      <c r="O5" s="50">
        <f>IFERROR(L5/I5,1)</f>
        <v/>
      </c>
      <c r="P5" s="50">
        <f>IFERROR(L5/J5,1)</f>
        <v/>
      </c>
      <c r="Q5" s="49">
        <f>IF(P5&gt;0,H5/P5,H5)</f>
        <v/>
      </c>
      <c r="R5" s="49">
        <f>Q5-J5</f>
        <v/>
      </c>
      <c r="S5" s="49">
        <f>H5-Q5</f>
        <v/>
      </c>
      <c r="T5" s="131">
        <f>IF(OR(N5&lt;0,P5&lt;Setup!$B$12,O5&lt;Setup!$B$12),"Red",IF(OR(P5&lt;Setup!$B$13,O5&lt;Setup!$B$13),"Amber","Green"))</f>
        <v/>
      </c>
    </row>
    <row r="6">
      <c r="A6" s="130" t="inlineStr">
        <is>
          <t>WBS002</t>
        </is>
      </c>
      <c r="B6" s="2" t="inlineStr">
        <is>
          <t>Structural Steel Work</t>
        </is>
      </c>
      <c r="C6" s="2" t="inlineStr">
        <is>
          <t>2026-09-15</t>
        </is>
      </c>
      <c r="D6" s="2" t="inlineStr">
        <is>
          <t>2026-09-28</t>
        </is>
      </c>
      <c r="E6" s="280" t="n">
        <v>14</v>
      </c>
      <c r="F6" s="280" t="inlineStr">
        <is>
          <t>WBS001</t>
        </is>
      </c>
      <c r="G6" s="47" t="inlineStr">
        <is>
          <t>RES101</t>
        </is>
      </c>
      <c r="H6" s="49" t="inlineStr">
        <is>
          <t>In Progress</t>
        </is>
      </c>
      <c r="I6" s="49">
        <f>SUMIFS(Fact_Baseline_PV!$C:$C,Fact_Baseline_PV!$B:$B,A6,Fact_Baseline_PV!$A:$A,"&lt;="&amp;Setup!$B$9)</f>
        <v/>
      </c>
      <c r="J6" s="49">
        <f>SUMIFS(Fact_Actual_Costs!$D:$D,Fact_Actual_Costs!$B:$B,A6,Fact_Actual_Costs!$A:$A,"&lt;="&amp;Setup!$B$9)</f>
        <v/>
      </c>
      <c r="K6" s="283">
        <f t="array" ref="K6">IFERROR(LOOKUP(2,1/(Fact_Physical_Progress!$B$2:$B$35=A6)/(Fact_Physical_Progress!$A$2:$A$35&lt;=Setup!$B$9),Fact_Physical_Progress!$C$2:$C$35),0)</f>
        <v/>
      </c>
      <c r="L6" s="49">
        <f>H6*K6</f>
        <v/>
      </c>
      <c r="M6" s="49">
        <f>L6-I6</f>
        <v/>
      </c>
      <c r="N6" s="49">
        <f>L6-J6</f>
        <v/>
      </c>
      <c r="O6" s="50">
        <f>IFERROR(L6/I6,1)</f>
        <v/>
      </c>
      <c r="P6" s="50">
        <f>IFERROR(L6/J6,1)</f>
        <v/>
      </c>
      <c r="Q6" s="49">
        <f>IF(P6&gt;0,H6/P6,H6)</f>
        <v/>
      </c>
      <c r="R6" s="49">
        <f>Q6-J6</f>
        <v/>
      </c>
      <c r="S6" s="49">
        <f>H6-Q6</f>
        <v/>
      </c>
      <c r="T6" s="131">
        <f>IF(OR(N6&lt;0,P6&lt;Setup!$B$12,O6&lt;Setup!$B$12),"Red",IF(OR(P6&lt;Setup!$B$13,O6&lt;Setup!$B$13),"Amber","Green"))</f>
        <v/>
      </c>
    </row>
    <row r="7">
      <c r="A7" s="130" t="inlineStr">
        <is>
          <t>WBS003</t>
        </is>
      </c>
      <c r="B7" s="2" t="inlineStr">
        <is>
          <t>Electrical &amp; Outfitting</t>
        </is>
      </c>
      <c r="C7" s="2" t="inlineStr">
        <is>
          <t>2026-09-29</t>
        </is>
      </c>
      <c r="D7" s="2" t="inlineStr">
        <is>
          <t>2026-10-12</t>
        </is>
      </c>
      <c r="E7" s="280" t="n">
        <v>14</v>
      </c>
      <c r="F7" s="280" t="inlineStr">
        <is>
          <t>WBS002</t>
        </is>
      </c>
      <c r="G7" s="47" t="inlineStr">
        <is>
          <t>RES102</t>
        </is>
      </c>
      <c r="H7" s="49" t="inlineStr">
        <is>
          <t>Not Started</t>
        </is>
      </c>
      <c r="I7" s="49">
        <f>SUMIFS(Fact_Baseline_PV!$C:$C,Fact_Baseline_PV!$B:$B,A7,Fact_Baseline_PV!$A:$A,"&lt;="&amp;Setup!$B$9)</f>
        <v/>
      </c>
      <c r="J7" s="49">
        <f>SUMIFS(Fact_Actual_Costs!$D:$D,Fact_Actual_Costs!$B:$B,A7,Fact_Actual_Costs!$A:$A,"&lt;="&amp;Setup!$B$9)</f>
        <v/>
      </c>
      <c r="K7" s="283">
        <f t="array" ref="K7">IFERROR(LOOKUP(2,1/(Fact_Physical_Progress!$B$2:$B$35=A7)/(Fact_Physical_Progress!$A$2:$A$35&lt;=Setup!$B$9),Fact_Physical_Progress!$C$2:$C$35),0)</f>
        <v/>
      </c>
      <c r="L7" s="49">
        <f>H7*K7</f>
        <v/>
      </c>
      <c r="M7" s="49">
        <f>L7-I7</f>
        <v/>
      </c>
      <c r="N7" s="49">
        <f>L7-J7</f>
        <v/>
      </c>
      <c r="O7" s="50">
        <f>IFERROR(L7/I7,1)</f>
        <v/>
      </c>
      <c r="P7" s="50">
        <f>IFERROR(L7/J7,1)</f>
        <v/>
      </c>
      <c r="Q7" s="49">
        <f>IF(P7&gt;0,H7/P7,H7)</f>
        <v/>
      </c>
      <c r="R7" s="49">
        <f>Q7-J7</f>
        <v/>
      </c>
      <c r="S7" s="49">
        <f>H7-Q7</f>
        <v/>
      </c>
      <c r="T7" s="131">
        <f>IF(OR(N7&lt;0,P7&lt;Setup!$B$12,O7&lt;Setup!$B$12),"Red",IF(OR(P7&lt;Setup!$B$13,O7&lt;Setup!$B$13),"Amber","Green"))</f>
        <v/>
      </c>
    </row>
    <row r="8">
      <c r="A8" s="130">
        <f>Dim_WBS!A5</f>
        <v/>
      </c>
      <c r="B8" s="2">
        <f>Dim_WBS!B5</f>
        <v/>
      </c>
      <c r="C8" s="2">
        <f>Dim_WBS!C5</f>
        <v/>
      </c>
      <c r="D8" s="2">
        <f>Dim_WBS!D5</f>
        <v/>
      </c>
      <c r="E8" s="280">
        <f>_xlfn.MINIFS(Fact_Baseline_PV!$A:$A,Fact_Baseline_PV!$B:$B,A8)</f>
        <v/>
      </c>
      <c r="F8" s="280">
        <f>_xlfn.MAXIFS(Fact_Baseline_PV!$A:$A,Fact_Baseline_PV!$B:$B,A8)+6</f>
        <v/>
      </c>
      <c r="G8" s="47">
        <f>F8-E8+1</f>
        <v/>
      </c>
      <c r="H8" s="49">
        <f>Dim_WBS!E5</f>
        <v/>
      </c>
      <c r="I8" s="49">
        <f>SUMIFS(Fact_Baseline_PV!$C:$C,Fact_Baseline_PV!$B:$B,A8,Fact_Baseline_PV!$A:$A,"&lt;="&amp;Setup!$B$9)</f>
        <v/>
      </c>
      <c r="J8" s="49">
        <f>SUMIFS(Fact_Actual_Costs!$D:$D,Fact_Actual_Costs!$B:$B,A8,Fact_Actual_Costs!$A:$A,"&lt;="&amp;Setup!$B$9)</f>
        <v/>
      </c>
      <c r="K8" s="283">
        <f t="array" ref="K8">IFERROR(LOOKUP(2,1/(Fact_Physical_Progress!$B$2:$B$35=A8)/(Fact_Physical_Progress!$A$2:$A$35&lt;=Setup!$B$9),Fact_Physical_Progress!$C$2:$C$35),0)</f>
        <v/>
      </c>
      <c r="L8" s="49">
        <f>H8*K8</f>
        <v/>
      </c>
      <c r="M8" s="49">
        <f>L8-I8</f>
        <v/>
      </c>
      <c r="N8" s="49">
        <f>L8-J8</f>
        <v/>
      </c>
      <c r="O8" s="50">
        <f>IFERROR(L8/I8,1)</f>
        <v/>
      </c>
      <c r="P8" s="50">
        <f>IFERROR(L8/J8,1)</f>
        <v/>
      </c>
      <c r="Q8" s="49">
        <f>IF(P8&gt;0,H8/P8,H8)</f>
        <v/>
      </c>
      <c r="R8" s="49">
        <f>Q8-J8</f>
        <v/>
      </c>
      <c r="S8" s="49">
        <f>H8-Q8</f>
        <v/>
      </c>
      <c r="T8" s="131">
        <f>IF(OR(N8&lt;0,P8&lt;Setup!$B$12,O8&lt;Setup!$B$12),"Red",IF(OR(P8&lt;Setup!$B$13,O8&lt;Setup!$B$13),"Amber","Green"))</f>
        <v/>
      </c>
    </row>
    <row r="9">
      <c r="A9" s="130">
        <f>Dim_WBS!A6</f>
        <v/>
      </c>
      <c r="B9" s="2">
        <f>Dim_WBS!B6</f>
        <v/>
      </c>
      <c r="C9" s="2">
        <f>Dim_WBS!C6</f>
        <v/>
      </c>
      <c r="D9" s="2">
        <f>Dim_WBS!D6</f>
        <v/>
      </c>
      <c r="E9" s="280">
        <f>_xlfn.MINIFS(Fact_Baseline_PV!$A:$A,Fact_Baseline_PV!$B:$B,A9)</f>
        <v/>
      </c>
      <c r="F9" s="280">
        <f>_xlfn.MAXIFS(Fact_Baseline_PV!$A:$A,Fact_Baseline_PV!$B:$B,A9)+6</f>
        <v/>
      </c>
      <c r="G9" s="47">
        <f>F9-E9+1</f>
        <v/>
      </c>
      <c r="H9" s="49">
        <f>Dim_WBS!E6</f>
        <v/>
      </c>
      <c r="I9" s="49">
        <f>SUMIFS(Fact_Baseline_PV!$C:$C,Fact_Baseline_PV!$B:$B,A9,Fact_Baseline_PV!$A:$A,"&lt;="&amp;Setup!$B$9)</f>
        <v/>
      </c>
      <c r="J9" s="49">
        <f>SUMIFS(Fact_Actual_Costs!$D:$D,Fact_Actual_Costs!$B:$B,A9,Fact_Actual_Costs!$A:$A,"&lt;="&amp;Setup!$B$9)</f>
        <v/>
      </c>
      <c r="K9" s="283">
        <f t="array" ref="K9">IFERROR(LOOKUP(2,1/(Fact_Physical_Progress!$B$2:$B$35=A9)/(Fact_Physical_Progress!$A$2:$A$35&lt;=Setup!$B$9),Fact_Physical_Progress!$C$2:$C$35),0)</f>
        <v/>
      </c>
      <c r="L9" s="49">
        <f>H9*K9</f>
        <v/>
      </c>
      <c r="M9" s="49">
        <f>L9-I9</f>
        <v/>
      </c>
      <c r="N9" s="49">
        <f>L9-J9</f>
        <v/>
      </c>
      <c r="O9" s="50">
        <f>IFERROR(L9/I9,1)</f>
        <v/>
      </c>
      <c r="P9" s="50">
        <f>IFERROR(L9/J9,1)</f>
        <v/>
      </c>
      <c r="Q9" s="49">
        <f>IF(P9&gt;0,H9/P9,H9)</f>
        <v/>
      </c>
      <c r="R9" s="49">
        <f>Q9-J9</f>
        <v/>
      </c>
      <c r="S9" s="49">
        <f>H9-Q9</f>
        <v/>
      </c>
      <c r="T9" s="131">
        <f>IF(OR(N9&lt;0,P9&lt;Setup!$B$12,O9&lt;Setup!$B$12),"Red",IF(OR(P9&lt;Setup!$B$13,O9&lt;Setup!$B$13),"Amber","Green"))</f>
        <v/>
      </c>
    </row>
    <row r="10">
      <c r="A10" s="130">
        <f>Dim_WBS!A7</f>
        <v/>
      </c>
      <c r="B10" s="2">
        <f>Dim_WBS!B7</f>
        <v/>
      </c>
      <c r="C10" s="2">
        <f>Dim_WBS!C7</f>
        <v/>
      </c>
      <c r="D10" s="2">
        <f>Dim_WBS!D7</f>
        <v/>
      </c>
      <c r="E10" s="280">
        <f>_xlfn.MINIFS(Fact_Baseline_PV!$A:$A,Fact_Baseline_PV!$B:$B,A10)</f>
        <v/>
      </c>
      <c r="F10" s="280">
        <f>_xlfn.MAXIFS(Fact_Baseline_PV!$A:$A,Fact_Baseline_PV!$B:$B,A10)+6</f>
        <v/>
      </c>
      <c r="G10" s="47">
        <f>F10-E10+1</f>
        <v/>
      </c>
      <c r="H10" s="49">
        <f>Dim_WBS!E7</f>
        <v/>
      </c>
      <c r="I10" s="49">
        <f>SUMIFS(Fact_Baseline_PV!$C:$C,Fact_Baseline_PV!$B:$B,A10,Fact_Baseline_PV!$A:$A,"&lt;="&amp;Setup!$B$9)</f>
        <v/>
      </c>
      <c r="J10" s="49">
        <f>SUMIFS(Fact_Actual_Costs!$D:$D,Fact_Actual_Costs!$B:$B,A10,Fact_Actual_Costs!$A:$A,"&lt;="&amp;Setup!$B$9)</f>
        <v/>
      </c>
      <c r="K10" s="283">
        <f t="array" ref="K10">IFERROR(LOOKUP(2,1/(Fact_Physical_Progress!$B$2:$B$35=A10)/(Fact_Physical_Progress!$A$2:$A$35&lt;=Setup!$B$9),Fact_Physical_Progress!$C$2:$C$35),0)</f>
        <v/>
      </c>
      <c r="L10" s="49">
        <f>H10*K10</f>
        <v/>
      </c>
      <c r="M10" s="49">
        <f>L10-I10</f>
        <v/>
      </c>
      <c r="N10" s="49">
        <f>L10-J10</f>
        <v/>
      </c>
      <c r="O10" s="50">
        <f>IFERROR(L10/I10,1)</f>
        <v/>
      </c>
      <c r="P10" s="50">
        <f>IFERROR(L10/J10,1)</f>
        <v/>
      </c>
      <c r="Q10" s="49">
        <f>IF(P10&gt;0,H10/P10,H10)</f>
        <v/>
      </c>
      <c r="R10" s="49">
        <f>Q10-J10</f>
        <v/>
      </c>
      <c r="S10" s="49">
        <f>H10-Q10</f>
        <v/>
      </c>
      <c r="T10" s="131">
        <f>IF(OR(N10&lt;0,P10&lt;Setup!$B$12,O10&lt;Setup!$B$12),"Red",IF(OR(P10&lt;Setup!$B$13,O10&lt;Setup!$B$13),"Amber","Green"))</f>
        <v/>
      </c>
    </row>
    <row r="11">
      <c r="A11" s="130">
        <f>Dim_WBS!A8</f>
        <v/>
      </c>
      <c r="B11" s="2">
        <f>Dim_WBS!B8</f>
        <v/>
      </c>
      <c r="C11" s="2">
        <f>Dim_WBS!C8</f>
        <v/>
      </c>
      <c r="D11" s="2">
        <f>Dim_WBS!D8</f>
        <v/>
      </c>
      <c r="E11" s="280">
        <f>_xlfn.MINIFS(Fact_Baseline_PV!$A:$A,Fact_Baseline_PV!$B:$B,A11)</f>
        <v/>
      </c>
      <c r="F11" s="280">
        <f>_xlfn.MAXIFS(Fact_Baseline_PV!$A:$A,Fact_Baseline_PV!$B:$B,A11)+6</f>
        <v/>
      </c>
      <c r="G11" s="47">
        <f>F11-E11+1</f>
        <v/>
      </c>
      <c r="H11" s="49">
        <f>Dim_WBS!E8</f>
        <v/>
      </c>
      <c r="I11" s="49">
        <f>SUMIFS(Fact_Baseline_PV!$C:$C,Fact_Baseline_PV!$B:$B,A11,Fact_Baseline_PV!$A:$A,"&lt;="&amp;Setup!$B$9)</f>
        <v/>
      </c>
      <c r="J11" s="49">
        <f>SUMIFS(Fact_Actual_Costs!$D:$D,Fact_Actual_Costs!$B:$B,A11,Fact_Actual_Costs!$A:$A,"&lt;="&amp;Setup!$B$9)</f>
        <v/>
      </c>
      <c r="K11" s="283">
        <f t="array" ref="K11">IFERROR(LOOKUP(2,1/(Fact_Physical_Progress!$B$2:$B$35=A11)/(Fact_Physical_Progress!$A$2:$A$35&lt;=Setup!$B$9),Fact_Physical_Progress!$C$2:$C$35),0)</f>
        <v/>
      </c>
      <c r="L11" s="49">
        <f>H11*K11</f>
        <v/>
      </c>
      <c r="M11" s="49">
        <f>L11-I11</f>
        <v/>
      </c>
      <c r="N11" s="49">
        <f>L11-J11</f>
        <v/>
      </c>
      <c r="O11" s="50">
        <f>IFERROR(L11/I11,1)</f>
        <v/>
      </c>
      <c r="P11" s="50">
        <f>IFERROR(L11/J11,1)</f>
        <v/>
      </c>
      <c r="Q11" s="49">
        <f>IF(P11&gt;0,H11/P11,H11)</f>
        <v/>
      </c>
      <c r="R11" s="49">
        <f>Q11-J11</f>
        <v/>
      </c>
      <c r="S11" s="49">
        <f>H11-Q11</f>
        <v/>
      </c>
      <c r="T11" s="131">
        <f>IF(OR(N11&lt;0,P11&lt;Setup!$B$12,O11&lt;Setup!$B$12),"Red",IF(OR(P11&lt;Setup!$B$13,O11&lt;Setup!$B$13),"Amber","Green"))</f>
        <v/>
      </c>
    </row>
    <row r="12">
      <c r="A12" s="130">
        <f>Dim_WBS!A9</f>
        <v/>
      </c>
      <c r="B12" s="2">
        <f>Dim_WBS!B9</f>
        <v/>
      </c>
      <c r="C12" s="2">
        <f>Dim_WBS!C9</f>
        <v/>
      </c>
      <c r="D12" s="2">
        <f>Dim_WBS!D9</f>
        <v/>
      </c>
      <c r="E12" s="280">
        <f>_xlfn.MINIFS(Fact_Baseline_PV!$A:$A,Fact_Baseline_PV!$B:$B,A12)</f>
        <v/>
      </c>
      <c r="F12" s="280">
        <f>_xlfn.MAXIFS(Fact_Baseline_PV!$A:$A,Fact_Baseline_PV!$B:$B,A12)+6</f>
        <v/>
      </c>
      <c r="G12" s="47">
        <f>F12-E12+1</f>
        <v/>
      </c>
      <c r="H12" s="49">
        <f>Dim_WBS!E9</f>
        <v/>
      </c>
      <c r="I12" s="49">
        <f>SUMIFS(Fact_Baseline_PV!$C:$C,Fact_Baseline_PV!$B:$B,A12,Fact_Baseline_PV!$A:$A,"&lt;="&amp;Setup!$B$9)</f>
        <v/>
      </c>
      <c r="J12" s="49">
        <f>SUMIFS(Fact_Actual_Costs!$D:$D,Fact_Actual_Costs!$B:$B,A12,Fact_Actual_Costs!$A:$A,"&lt;="&amp;Setup!$B$9)</f>
        <v/>
      </c>
      <c r="K12" s="283">
        <f t="array" ref="K12">IFERROR(LOOKUP(2,1/(Fact_Physical_Progress!$B$2:$B$35=A12)/(Fact_Physical_Progress!$A$2:$A$35&lt;=Setup!$B$9),Fact_Physical_Progress!$C$2:$C$35),0)</f>
        <v/>
      </c>
      <c r="L12" s="49">
        <f>H12*K12</f>
        <v/>
      </c>
      <c r="M12" s="49">
        <f>L12-I12</f>
        <v/>
      </c>
      <c r="N12" s="49">
        <f>L12-J12</f>
        <v/>
      </c>
      <c r="O12" s="50">
        <f>IFERROR(L12/I12,1)</f>
        <v/>
      </c>
      <c r="P12" s="50">
        <f>IFERROR(L12/J12,1)</f>
        <v/>
      </c>
      <c r="Q12" s="49">
        <f>IF(P12&gt;0,H12/P12,H12)</f>
        <v/>
      </c>
      <c r="R12" s="49">
        <f>Q12-J12</f>
        <v/>
      </c>
      <c r="S12" s="49">
        <f>H12-Q12</f>
        <v/>
      </c>
      <c r="T12" s="131">
        <f>IF(OR(N12&lt;0,P12&lt;Setup!$B$12,O12&lt;Setup!$B$12),"Red",IF(OR(P12&lt;Setup!$B$13,O12&lt;Setup!$B$13),"Amber","Green"))</f>
        <v/>
      </c>
    </row>
    <row r="13">
      <c r="A13" s="130">
        <f>Dim_WBS!A10</f>
        <v/>
      </c>
      <c r="B13" s="2">
        <f>Dim_WBS!B10</f>
        <v/>
      </c>
      <c r="C13" s="2">
        <f>Dim_WBS!C10</f>
        <v/>
      </c>
      <c r="D13" s="2">
        <f>Dim_WBS!D10</f>
        <v/>
      </c>
      <c r="E13" s="280">
        <f>_xlfn.MINIFS(Fact_Baseline_PV!$A:$A,Fact_Baseline_PV!$B:$B,A13)</f>
        <v/>
      </c>
      <c r="F13" s="280">
        <f>_xlfn.MAXIFS(Fact_Baseline_PV!$A:$A,Fact_Baseline_PV!$B:$B,A13)+6</f>
        <v/>
      </c>
      <c r="G13" s="47">
        <f>F13-E13+1</f>
        <v/>
      </c>
      <c r="H13" s="49">
        <f>Dim_WBS!E10</f>
        <v/>
      </c>
      <c r="I13" s="49">
        <f>SUMIFS(Fact_Baseline_PV!$C:$C,Fact_Baseline_PV!$B:$B,A13,Fact_Baseline_PV!$A:$A,"&lt;="&amp;Setup!$B$9)</f>
        <v/>
      </c>
      <c r="J13" s="49">
        <f>SUMIFS(Fact_Actual_Costs!$D:$D,Fact_Actual_Costs!$B:$B,A13,Fact_Actual_Costs!$A:$A,"&lt;="&amp;Setup!$B$9)</f>
        <v/>
      </c>
      <c r="K13" s="283">
        <f t="array" ref="K13">IFERROR(LOOKUP(2,1/(Fact_Physical_Progress!$B$2:$B$35=A13)/(Fact_Physical_Progress!$A$2:$A$35&lt;=Setup!$B$9),Fact_Physical_Progress!$C$2:$C$35),0)</f>
        <v/>
      </c>
      <c r="L13" s="49">
        <f>H13*K13</f>
        <v/>
      </c>
      <c r="M13" s="49">
        <f>L13-I13</f>
        <v/>
      </c>
      <c r="N13" s="49">
        <f>L13-J13</f>
        <v/>
      </c>
      <c r="O13" s="50">
        <f>IFERROR(L13/I13,1)</f>
        <v/>
      </c>
      <c r="P13" s="50">
        <f>IFERROR(L13/J13,1)</f>
        <v/>
      </c>
      <c r="Q13" s="49">
        <f>IF(P13&gt;0,H13/P13,H13)</f>
        <v/>
      </c>
      <c r="R13" s="49">
        <f>Q13-J13</f>
        <v/>
      </c>
      <c r="S13" s="49">
        <f>H13-Q13</f>
        <v/>
      </c>
      <c r="T13" s="131">
        <f>IF(OR(N13&lt;0,P13&lt;Setup!$B$12,O13&lt;Setup!$B$12),"Red",IF(OR(P13&lt;Setup!$B$13,O13&lt;Setup!$B$13),"Amber","Green"))</f>
        <v/>
      </c>
    </row>
    <row r="14">
      <c r="A14" s="130">
        <f>Dim_WBS!A11</f>
        <v/>
      </c>
      <c r="B14" s="2">
        <f>Dim_WBS!B11</f>
        <v/>
      </c>
      <c r="C14" s="2">
        <f>Dim_WBS!C11</f>
        <v/>
      </c>
      <c r="D14" s="2">
        <f>Dim_WBS!D11</f>
        <v/>
      </c>
      <c r="E14" s="280">
        <f>_xlfn.MINIFS(Fact_Baseline_PV!$A:$A,Fact_Baseline_PV!$B:$B,A14)</f>
        <v/>
      </c>
      <c r="F14" s="280">
        <f>_xlfn.MAXIFS(Fact_Baseline_PV!$A:$A,Fact_Baseline_PV!$B:$B,A14)+6</f>
        <v/>
      </c>
      <c r="G14" s="47">
        <f>F14-E14+1</f>
        <v/>
      </c>
      <c r="H14" s="49">
        <f>Dim_WBS!E11</f>
        <v/>
      </c>
      <c r="I14" s="49">
        <f>SUMIFS(Fact_Baseline_PV!$C:$C,Fact_Baseline_PV!$B:$B,A14,Fact_Baseline_PV!$A:$A,"&lt;="&amp;Setup!$B$9)</f>
        <v/>
      </c>
      <c r="J14" s="49">
        <f>SUMIFS(Fact_Actual_Costs!$D:$D,Fact_Actual_Costs!$B:$B,A14,Fact_Actual_Costs!$A:$A,"&lt;="&amp;Setup!$B$9)</f>
        <v/>
      </c>
      <c r="K14" s="283">
        <f t="array" ref="K14">IFERROR(LOOKUP(2,1/(Fact_Physical_Progress!$B$2:$B$35=A14)/(Fact_Physical_Progress!$A$2:$A$35&lt;=Setup!$B$9),Fact_Physical_Progress!$C$2:$C$35),0)</f>
        <v/>
      </c>
      <c r="L14" s="49">
        <f>H14*K14</f>
        <v/>
      </c>
      <c r="M14" s="49">
        <f>L14-I14</f>
        <v/>
      </c>
      <c r="N14" s="49">
        <f>L14-J14</f>
        <v/>
      </c>
      <c r="O14" s="50">
        <f>IFERROR(L14/I14,1)</f>
        <v/>
      </c>
      <c r="P14" s="50">
        <f>IFERROR(L14/J14,1)</f>
        <v/>
      </c>
      <c r="Q14" s="49">
        <f>IF(P14&gt;0,H14/P14,H14)</f>
        <v/>
      </c>
      <c r="R14" s="49">
        <f>Q14-J14</f>
        <v/>
      </c>
      <c r="S14" s="49">
        <f>H14-Q14</f>
        <v/>
      </c>
      <c r="T14" s="131">
        <f>IF(OR(N14&lt;0,P14&lt;Setup!$B$12,O14&lt;Setup!$B$12),"Red",IF(OR(P14&lt;Setup!$B$13,O14&lt;Setup!$B$13),"Amber","Green"))</f>
        <v/>
      </c>
    </row>
    <row r="15">
      <c r="A15" s="130">
        <f>Dim_WBS!A12</f>
        <v/>
      </c>
      <c r="B15" s="2">
        <f>Dim_WBS!B12</f>
        <v/>
      </c>
      <c r="C15" s="2">
        <f>Dim_WBS!C12</f>
        <v/>
      </c>
      <c r="D15" s="2">
        <f>Dim_WBS!D12</f>
        <v/>
      </c>
      <c r="E15" s="280">
        <f>_xlfn.MINIFS(Fact_Baseline_PV!$A:$A,Fact_Baseline_PV!$B:$B,A15)</f>
        <v/>
      </c>
      <c r="F15" s="280">
        <f>_xlfn.MAXIFS(Fact_Baseline_PV!$A:$A,Fact_Baseline_PV!$B:$B,A15)+6</f>
        <v/>
      </c>
      <c r="G15" s="47">
        <f>F15-E15+1</f>
        <v/>
      </c>
      <c r="H15" s="49">
        <f>Dim_WBS!E12</f>
        <v/>
      </c>
      <c r="I15" s="49">
        <f>SUMIFS(Fact_Baseline_PV!$C:$C,Fact_Baseline_PV!$B:$B,A15,Fact_Baseline_PV!$A:$A,"&lt;="&amp;Setup!$B$9)</f>
        <v/>
      </c>
      <c r="J15" s="49">
        <f>SUMIFS(Fact_Actual_Costs!$D:$D,Fact_Actual_Costs!$B:$B,A15,Fact_Actual_Costs!$A:$A,"&lt;="&amp;Setup!$B$9)</f>
        <v/>
      </c>
      <c r="K15" s="283">
        <f t="array" ref="K15">IFERROR(LOOKUP(2,1/(Fact_Physical_Progress!$B$2:$B$35=A15)/(Fact_Physical_Progress!$A$2:$A$35&lt;=Setup!$B$9),Fact_Physical_Progress!$C$2:$C$35),0)</f>
        <v/>
      </c>
      <c r="L15" s="49">
        <f>H15*K15</f>
        <v/>
      </c>
      <c r="M15" s="49">
        <f>L15-I15</f>
        <v/>
      </c>
      <c r="N15" s="49">
        <f>L15-J15</f>
        <v/>
      </c>
      <c r="O15" s="50">
        <f>IFERROR(L15/I15,1)</f>
        <v/>
      </c>
      <c r="P15" s="50">
        <f>IFERROR(L15/J15,1)</f>
        <v/>
      </c>
      <c r="Q15" s="49">
        <f>IF(P15&gt;0,H15/P15,H15)</f>
        <v/>
      </c>
      <c r="R15" s="49">
        <f>Q15-J15</f>
        <v/>
      </c>
      <c r="S15" s="49">
        <f>H15-Q15</f>
        <v/>
      </c>
      <c r="T15" s="131">
        <f>IF(OR(N15&lt;0,P15&lt;Setup!$B$12,O15&lt;Setup!$B$12),"Red",IF(OR(P15&lt;Setup!$B$13,O15&lt;Setup!$B$13),"Amber","Green"))</f>
        <v/>
      </c>
    </row>
    <row r="16">
      <c r="A16" s="134">
        <f>Dim_WBS!A13</f>
        <v/>
      </c>
      <c r="B16" s="135">
        <f>Dim_WBS!B13</f>
        <v/>
      </c>
      <c r="C16" s="135">
        <f>Dim_WBS!C13</f>
        <v/>
      </c>
      <c r="D16" s="135">
        <f>Dim_WBS!D13</f>
        <v/>
      </c>
      <c r="E16" s="284">
        <f>_xlfn.MINIFS(Fact_Baseline_PV!$A:$A,Fact_Baseline_PV!$B:$B,A16)</f>
        <v/>
      </c>
      <c r="F16" s="284">
        <f>_xlfn.MAXIFS(Fact_Baseline_PV!$A:$A,Fact_Baseline_PV!$B:$B,A16)+6</f>
        <v/>
      </c>
      <c r="G16" s="158">
        <f>F16-E16+1</f>
        <v/>
      </c>
      <c r="H16" s="142">
        <f>Dim_WBS!E13</f>
        <v/>
      </c>
      <c r="I16" s="142">
        <f>SUMIFS(Fact_Baseline_PV!$C:$C,Fact_Baseline_PV!$B:$B,A16,Fact_Baseline_PV!$A:$A,"&lt;="&amp;Setup!$B$9)</f>
        <v/>
      </c>
      <c r="J16" s="142">
        <f>SUMIFS(Fact_Actual_Costs!$D:$D,Fact_Actual_Costs!$B:$B,A16,Fact_Actual_Costs!$A:$A,"&lt;="&amp;Setup!$B$9)</f>
        <v/>
      </c>
      <c r="K16" s="285">
        <f t="array" ref="K16">IFERROR(LOOKUP(2,1/(Fact_Physical_Progress!$B$2:$B$35=A16)/(Fact_Physical_Progress!$A$2:$A$35&lt;=Setup!$B$9),Fact_Physical_Progress!$C$2:$C$35),0)</f>
        <v/>
      </c>
      <c r="L16" s="142">
        <f>H16*K16</f>
        <v/>
      </c>
      <c r="M16" s="142">
        <f>L16-I16</f>
        <v/>
      </c>
      <c r="N16" s="142">
        <f>L16-J16</f>
        <v/>
      </c>
      <c r="O16" s="160">
        <f>IFERROR(L16/I16,1)</f>
        <v/>
      </c>
      <c r="P16" s="160">
        <f>IFERROR(L16/J16,1)</f>
        <v/>
      </c>
      <c r="Q16" s="142">
        <f>IF(P16&gt;0,H16/P16,H16)</f>
        <v/>
      </c>
      <c r="R16" s="142">
        <f>Q16-J16</f>
        <v/>
      </c>
      <c r="S16" s="142">
        <f>H16-Q16</f>
        <v/>
      </c>
      <c r="T16" s="136">
        <f>IF(OR(N16&lt;0,P16&lt;Setup!$B$12,O16&lt;Setup!$B$12),"Red",IF(OR(P16&lt;Setup!$B$13,O16&lt;Setup!$B$13),"Amber","Green"))</f>
        <v/>
      </c>
    </row>
    <row r="17">
      <c r="A17" s="55" t="inlineStr">
        <is>
          <t>Total / Project Portfolio</t>
        </is>
      </c>
      <c r="B17" s="55" t="n"/>
      <c r="C17" s="55" t="n"/>
      <c r="D17" s="55" t="n"/>
      <c r="E17" s="286" t="n"/>
      <c r="F17" s="286" t="n"/>
      <c r="G17" s="57">
        <f>MAX(F5:F16)-MIN(E5:E16)+1</f>
        <v/>
      </c>
      <c r="H17" s="58">
        <f>SUM(H5:H16)</f>
        <v/>
      </c>
      <c r="I17" s="58">
        <f>SUM(I5:I16)</f>
        <v/>
      </c>
      <c r="J17" s="58">
        <f>SUM(J5:J16)</f>
        <v/>
      </c>
      <c r="K17" s="287">
        <f>SUMPRODUCT(H5:H16,K5:K16)/SUM(H5:H16)</f>
        <v/>
      </c>
      <c r="L17" s="58">
        <f>SUM(L5:L16)</f>
        <v/>
      </c>
      <c r="M17" s="58">
        <f>SUM(M5:M16)</f>
        <v/>
      </c>
      <c r="N17" s="58">
        <f>SUM(N5:N16)</f>
        <v/>
      </c>
      <c r="O17" s="60">
        <f>IFERROR(L17/I17,1)</f>
        <v/>
      </c>
      <c r="P17" s="60">
        <f>IFERROR(L17/J17,1)</f>
        <v/>
      </c>
      <c r="Q17" s="58">
        <f>IF(P17&gt;0,H17/P17,H17)</f>
        <v/>
      </c>
      <c r="R17" s="58">
        <f>Q17-J17</f>
        <v/>
      </c>
      <c r="S17" s="58">
        <f>H17-Q17</f>
        <v/>
      </c>
      <c r="T17" s="55">
        <f>IF(OR(N17&lt;0,P17&lt;Setup!$B$12,O17&lt;Setup!$B$12),"Red",IF(OR(P17&lt;Setup!$B$13,O17&lt;Setup!$B$13),"Amber","Green"))</f>
        <v/>
      </c>
    </row>
  </sheetData>
  <mergeCells count="2">
    <mergeCell ref="A1:P1"/>
    <mergeCell ref="A2:P2"/>
  </mergeCells>
  <conditionalFormatting sqref="M5:N17">
    <cfRule type="cellIs" priority="7" operator="lessThan" dxfId="51">
      <formula>0</formula>
    </cfRule>
    <cfRule type="cellIs" priority="8" operator="greaterThanOrEqual" dxfId="53">
      <formula>0</formula>
    </cfRule>
  </conditionalFormatting>
  <conditionalFormatting sqref="O5:P17">
    <cfRule type="cellIs" priority="4" operator="lessThan" dxfId="51">
      <formula>0.95</formula>
    </cfRule>
    <cfRule type="cellIs" priority="5" operator="between" dxfId="52">
      <formula>0.95</formula>
      <formula>0.999999</formula>
    </cfRule>
    <cfRule type="cellIs" priority="6" operator="greaterThanOrEqual" dxfId="53">
      <formula>1</formula>
    </cfRule>
  </conditionalFormatting>
  <conditionalFormatting sqref="T5:T16">
    <cfRule type="expression" priority="9" dxfId="35">
      <formula>ISNUMBER(SEARCH("Red",T5))</formula>
    </cfRule>
    <cfRule type="expression" priority="10" dxfId="34">
      <formula>ISNUMBER(SEARCH("Amber",T5))</formula>
    </cfRule>
    <cfRule type="expression" priority="11" dxfId="33">
      <formula>ISNUMBER(SEARCH("Green",T5))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70AD47"/>
    <outlinePr summaryBelow="1" summaryRight="1"/>
    <pageSetUpPr/>
  </sheetPr>
  <dimension ref="A1:J21"/>
  <sheetViews>
    <sheetView showGridLines="0" workbookViewId="0">
      <selection activeCell="Q1" sqref="Q1"/>
    </sheetView>
  </sheetViews>
  <sheetFormatPr baseColWidth="8" defaultRowHeight="14.5"/>
  <cols>
    <col width="21.81640625" customWidth="1" style="120" min="1" max="1"/>
    <col width="34.54296875" customWidth="1" style="120" min="2" max="2"/>
    <col width="13.6328125" customWidth="1" style="120" min="3" max="4"/>
    <col width="15.453125" customWidth="1" style="120" min="5" max="5"/>
    <col width="18.54296875" customWidth="1" style="120" min="6" max="6"/>
    <col width="15.453125" customWidth="1" style="120" min="7" max="7"/>
    <col width="38.1796875" customWidth="1" style="120" min="8" max="9"/>
    <col width="20.453125" customWidth="1" style="120" min="10" max="10"/>
  </cols>
  <sheetData>
    <row r="1" ht="23.5" customHeight="1" s="120">
      <c r="A1" s="101" t="inlineStr">
        <is>
          <t>Task Capture / List the Tasks</t>
        </is>
      </c>
    </row>
    <row r="2">
      <c r="A2" s="102" t="inlineStr">
        <is>
          <t>Method: first list all tasks without worrying about order, cost, or time; then group into phases and convert into the controlled Task Plan.</t>
        </is>
      </c>
    </row>
    <row r="4">
      <c r="A4" s="132" t="inlineStr">
        <is>
          <t>Phase / Area</t>
        </is>
      </c>
      <c r="B4" s="126" t="inlineStr">
        <is>
          <t>Task</t>
        </is>
      </c>
      <c r="C4" s="126" t="inlineStr">
        <is>
          <t>WBS ID</t>
        </is>
      </c>
      <c r="D4" s="126" t="inlineStr">
        <is>
          <t>Type</t>
        </is>
      </c>
      <c r="E4" s="126" t="inlineStr">
        <is>
          <t>Included?</t>
        </is>
      </c>
      <c r="F4" s="126" t="inlineStr">
        <is>
          <t>Event / Milestone?</t>
        </is>
      </c>
      <c r="G4" s="126" t="inlineStr">
        <is>
          <t>Owner</t>
        </is>
      </c>
      <c r="H4" s="126" t="inlineStr">
        <is>
          <t>Notes</t>
        </is>
      </c>
      <c r="I4" s="126" t="inlineStr">
        <is>
          <t>Source / next action</t>
        </is>
      </c>
      <c r="J4" s="133" t="inlineStr">
        <is>
          <t>Mapped to Task Plan</t>
        </is>
      </c>
    </row>
    <row r="5">
      <c r="A5" s="130" t="inlineStr">
        <is>
          <t>WBS001</t>
        </is>
      </c>
      <c r="B5" s="2" t="inlineStr">
        <is>
          <t>2026-09-07</t>
        </is>
      </c>
      <c r="C5" s="2" t="inlineStr">
        <is>
          <t>RES101</t>
        </is>
      </c>
      <c r="D5" s="2" t="n">
        <v>22.5</v>
      </c>
      <c r="E5" s="4" t="n">
        <v>4500</v>
      </c>
      <c r="F5" s="2" t="n">
        <v>0.25</v>
      </c>
      <c r="G5" s="2" t="inlineStr">
        <is>
          <t>In Progress</t>
        </is>
      </c>
      <c r="H5" s="99" t="inlineStr">
        <is>
          <t>Design initial drafting</t>
        </is>
      </c>
      <c r="I5" s="99" t="inlineStr">
        <is>
          <t>Imported from current WBS</t>
        </is>
      </c>
      <c r="J5" s="131">
        <f>IFERROR(MATCH(C5,'Task Plan'!A:A,0),"")</f>
        <v/>
      </c>
    </row>
    <row r="6">
      <c r="A6" s="130" t="inlineStr">
        <is>
          <t>WBS001</t>
        </is>
      </c>
      <c r="B6" s="2" t="inlineStr">
        <is>
          <t>2026-09-14</t>
        </is>
      </c>
      <c r="C6" s="2" t="inlineStr">
        <is>
          <t>RES101</t>
        </is>
      </c>
      <c r="D6" s="2" t="n">
        <v>80</v>
      </c>
      <c r="E6" s="4" t="n">
        <v>16000</v>
      </c>
      <c r="F6" s="2" t="n">
        <v>1</v>
      </c>
      <c r="G6" s="2" t="inlineStr">
        <is>
          <t>Complete</t>
        </is>
      </c>
      <c r="H6" s="99" t="inlineStr">
        <is>
          <t>Approved by client</t>
        </is>
      </c>
      <c r="I6" s="99" t="inlineStr">
        <is>
          <t>Imported from current WBS</t>
        </is>
      </c>
      <c r="J6" s="131">
        <f>IFERROR(MATCH(C6,'Task Plan'!A:A,0),"")</f>
        <v/>
      </c>
    </row>
    <row r="7">
      <c r="A7" s="130">
        <f>Dim_WBS!D4</f>
        <v/>
      </c>
      <c r="B7" s="2">
        <f>Dim_WBS!C4</f>
        <v/>
      </c>
      <c r="C7" s="2">
        <f>Dim_WBS!A4</f>
        <v/>
      </c>
      <c r="D7" s="2">
        <f>Dim_WBS!D4</f>
        <v/>
      </c>
      <c r="E7" s="4" t="inlineStr">
        <is>
          <t>Yes</t>
        </is>
      </c>
      <c r="F7" s="2" t="n"/>
      <c r="G7" s="2" t="n"/>
      <c r="H7" s="99" t="n"/>
      <c r="I7" s="99" t="inlineStr">
        <is>
          <t>Imported from current WBS</t>
        </is>
      </c>
      <c r="J7" s="131">
        <f>IFERROR(MATCH(C7,'Task Plan'!A:A,0),"")</f>
        <v/>
      </c>
    </row>
    <row r="8">
      <c r="A8" s="130">
        <f>Dim_WBS!D5</f>
        <v/>
      </c>
      <c r="B8" s="2">
        <f>Dim_WBS!C5</f>
        <v/>
      </c>
      <c r="C8" s="2">
        <f>Dim_WBS!A5</f>
        <v/>
      </c>
      <c r="D8" s="2">
        <f>Dim_WBS!D5</f>
        <v/>
      </c>
      <c r="E8" s="4" t="inlineStr">
        <is>
          <t>Yes</t>
        </is>
      </c>
      <c r="F8" s="2" t="n"/>
      <c r="G8" s="2" t="n"/>
      <c r="H8" s="99" t="n"/>
      <c r="I8" s="99" t="inlineStr">
        <is>
          <t>Imported from current WBS</t>
        </is>
      </c>
      <c r="J8" s="131">
        <f>IFERROR(MATCH(C8,'Task Plan'!A:A,0),"")</f>
        <v/>
      </c>
    </row>
    <row r="9">
      <c r="A9" s="130">
        <f>Dim_WBS!D6</f>
        <v/>
      </c>
      <c r="B9" s="2">
        <f>Dim_WBS!C6</f>
        <v/>
      </c>
      <c r="C9" s="2">
        <f>Dim_WBS!A6</f>
        <v/>
      </c>
      <c r="D9" s="2">
        <f>Dim_WBS!D6</f>
        <v/>
      </c>
      <c r="E9" s="4" t="inlineStr">
        <is>
          <t>Yes</t>
        </is>
      </c>
      <c r="F9" s="2" t="n"/>
      <c r="G9" s="2" t="n"/>
      <c r="H9" s="99" t="n"/>
      <c r="I9" s="99" t="inlineStr">
        <is>
          <t>Imported from current WBS</t>
        </is>
      </c>
      <c r="J9" s="131">
        <f>IFERROR(MATCH(C9,'Task Plan'!A:A,0),"")</f>
        <v/>
      </c>
    </row>
    <row r="10">
      <c r="A10" s="130">
        <f>Dim_WBS!D7</f>
        <v/>
      </c>
      <c r="B10" s="2">
        <f>Dim_WBS!C7</f>
        <v/>
      </c>
      <c r="C10" s="2">
        <f>Dim_WBS!A7</f>
        <v/>
      </c>
      <c r="D10" s="2">
        <f>Dim_WBS!D7</f>
        <v/>
      </c>
      <c r="E10" s="4" t="inlineStr">
        <is>
          <t>Yes</t>
        </is>
      </c>
      <c r="F10" s="2" t="n"/>
      <c r="G10" s="2" t="n"/>
      <c r="H10" s="99" t="n"/>
      <c r="I10" s="99" t="inlineStr">
        <is>
          <t>Imported from current WBS</t>
        </is>
      </c>
      <c r="J10" s="131">
        <f>IFERROR(MATCH(C10,'Task Plan'!A:A,0),"")</f>
        <v/>
      </c>
    </row>
    <row r="11">
      <c r="A11" s="130">
        <f>Dim_WBS!D8</f>
        <v/>
      </c>
      <c r="B11" s="2">
        <f>Dim_WBS!C8</f>
        <v/>
      </c>
      <c r="C11" s="2">
        <f>Dim_WBS!A8</f>
        <v/>
      </c>
      <c r="D11" s="2">
        <f>Dim_WBS!D8</f>
        <v/>
      </c>
      <c r="E11" s="4" t="inlineStr">
        <is>
          <t>Yes</t>
        </is>
      </c>
      <c r="F11" s="2" t="n"/>
      <c r="G11" s="2" t="n"/>
      <c r="H11" s="99" t="n"/>
      <c r="I11" s="99" t="inlineStr">
        <is>
          <t>Imported from current WBS</t>
        </is>
      </c>
      <c r="J11" s="131">
        <f>IFERROR(MATCH(C11,'Task Plan'!A:A,0),"")</f>
        <v/>
      </c>
    </row>
    <row r="12">
      <c r="A12" s="130">
        <f>Dim_WBS!D9</f>
        <v/>
      </c>
      <c r="B12" s="2">
        <f>Dim_WBS!C9</f>
        <v/>
      </c>
      <c r="C12" s="2">
        <f>Dim_WBS!A9</f>
        <v/>
      </c>
      <c r="D12" s="2">
        <f>Dim_WBS!D9</f>
        <v/>
      </c>
      <c r="E12" s="4" t="inlineStr">
        <is>
          <t>Yes</t>
        </is>
      </c>
      <c r="F12" s="2" t="n"/>
      <c r="G12" s="2" t="n"/>
      <c r="H12" s="99" t="n"/>
      <c r="I12" s="99" t="inlineStr">
        <is>
          <t>Imported from current WBS</t>
        </is>
      </c>
      <c r="J12" s="131">
        <f>IFERROR(MATCH(C12,'Task Plan'!A:A,0),"")</f>
        <v/>
      </c>
    </row>
    <row r="13">
      <c r="A13" s="130">
        <f>Dim_WBS!D10</f>
        <v/>
      </c>
      <c r="B13" s="2">
        <f>Dim_WBS!C10</f>
        <v/>
      </c>
      <c r="C13" s="2">
        <f>Dim_WBS!A10</f>
        <v/>
      </c>
      <c r="D13" s="2">
        <f>Dim_WBS!D10</f>
        <v/>
      </c>
      <c r="E13" s="4" t="inlineStr">
        <is>
          <t>Yes</t>
        </is>
      </c>
      <c r="F13" s="2" t="n"/>
      <c r="G13" s="2" t="n"/>
      <c r="H13" s="99" t="n"/>
      <c r="I13" s="99" t="inlineStr">
        <is>
          <t>Imported from current WBS</t>
        </is>
      </c>
      <c r="J13" s="131">
        <f>IFERROR(MATCH(C13,'Task Plan'!A:A,0),"")</f>
        <v/>
      </c>
    </row>
    <row r="14">
      <c r="A14" s="130">
        <f>Dim_WBS!D11</f>
        <v/>
      </c>
      <c r="B14" s="2">
        <f>Dim_WBS!C11</f>
        <v/>
      </c>
      <c r="C14" s="2">
        <f>Dim_WBS!A11</f>
        <v/>
      </c>
      <c r="D14" s="2">
        <f>Dim_WBS!D11</f>
        <v/>
      </c>
      <c r="E14" s="4" t="inlineStr">
        <is>
          <t>Yes</t>
        </is>
      </c>
      <c r="F14" s="2" t="n"/>
      <c r="G14" s="2" t="n"/>
      <c r="H14" s="99" t="n"/>
      <c r="I14" s="99" t="inlineStr">
        <is>
          <t>Imported from current WBS</t>
        </is>
      </c>
      <c r="J14" s="131">
        <f>IFERROR(MATCH(C14,'Task Plan'!A:A,0),"")</f>
        <v/>
      </c>
    </row>
    <row r="15">
      <c r="A15" s="130">
        <f>Dim_WBS!D12</f>
        <v/>
      </c>
      <c r="B15" s="2">
        <f>Dim_WBS!C12</f>
        <v/>
      </c>
      <c r="C15" s="2">
        <f>Dim_WBS!A12</f>
        <v/>
      </c>
      <c r="D15" s="2">
        <f>Dim_WBS!D12</f>
        <v/>
      </c>
      <c r="E15" s="4" t="inlineStr">
        <is>
          <t>Yes</t>
        </is>
      </c>
      <c r="F15" s="2" t="n"/>
      <c r="G15" s="2" t="n"/>
      <c r="H15" s="99" t="n"/>
      <c r="I15" s="99" t="inlineStr">
        <is>
          <t>Imported from current WBS</t>
        </is>
      </c>
      <c r="J15" s="131">
        <f>IFERROR(MATCH(C15,'Task Plan'!A:A,0),"")</f>
        <v/>
      </c>
    </row>
    <row r="16">
      <c r="A16" s="130">
        <f>Dim_WBS!D13</f>
        <v/>
      </c>
      <c r="B16" s="2">
        <f>Dim_WBS!C13</f>
        <v/>
      </c>
      <c r="C16" s="2">
        <f>Dim_WBS!A13</f>
        <v/>
      </c>
      <c r="D16" s="2">
        <f>Dim_WBS!D13</f>
        <v/>
      </c>
      <c r="E16" s="4" t="inlineStr">
        <is>
          <t>Yes</t>
        </is>
      </c>
      <c r="F16" s="2" t="n"/>
      <c r="G16" s="2" t="n"/>
      <c r="H16" s="99" t="n"/>
      <c r="I16" s="99" t="inlineStr">
        <is>
          <t>Imported from current WBS</t>
        </is>
      </c>
      <c r="J16" s="131">
        <f>IFERROR(MATCH(C16,'Task Plan'!A:A,0),"")</f>
        <v/>
      </c>
    </row>
    <row r="17">
      <c r="A17" s="161" t="inlineStr">
        <is>
          <t>Brainstorm / new</t>
        </is>
      </c>
      <c r="B17" s="5" t="n"/>
      <c r="C17" s="5" t="n"/>
      <c r="D17" s="5" t="n"/>
      <c r="E17" s="5" t="n"/>
      <c r="F17" s="5" t="n"/>
      <c r="G17" s="5" t="n"/>
      <c r="H17" s="104" t="n"/>
      <c r="I17" s="104" t="inlineStr">
        <is>
          <t>Add new tasks here before sequencing</t>
        </is>
      </c>
      <c r="J17" s="162" t="n"/>
    </row>
    <row r="18">
      <c r="A18" s="163" t="inlineStr">
        <is>
          <t>Brainstorm / new</t>
        </is>
      </c>
      <c r="B18" s="164" t="n"/>
      <c r="C18" s="164" t="n"/>
      <c r="D18" s="164" t="n"/>
      <c r="E18" s="164" t="n"/>
      <c r="F18" s="164" t="n"/>
      <c r="G18" s="164" t="n"/>
      <c r="H18" s="165" t="n"/>
      <c r="I18" s="165" t="inlineStr">
        <is>
          <t>Add new tasks here before sequencing</t>
        </is>
      </c>
      <c r="J18" s="166" t="n"/>
    </row>
    <row r="21" ht="72.5" customHeight="1" s="120">
      <c r="A21" s="2" t="inlineStr">
        <is>
          <t>Example task-list method from attachment</t>
        </is>
      </c>
      <c r="B21" s="99" t="inlineStr">
        <is>
          <t>Garden office example grouped tasks: clear the space, foundations, buy the shed, install shed, legal. Use this area to add unstructured tasks before converting them to WBS.</t>
        </is>
      </c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ED7D31"/>
    <outlinePr summaryBelow="1" summaryRight="1"/>
    <pageSetUpPr/>
  </sheetPr>
  <dimension ref="A1:P47"/>
  <sheetViews>
    <sheetView showGridLines="0" zoomScaleNormal="100" workbookViewId="0">
      <selection activeCell="Q1" sqref="Q1"/>
    </sheetView>
  </sheetViews>
  <sheetFormatPr baseColWidth="8" defaultRowHeight="14.5"/>
  <cols>
    <col width="39.6328125" customWidth="1" style="120" min="1" max="1"/>
    <col width="21.26953125" bestFit="1" customWidth="1" style="120" min="2" max="2"/>
    <col width="12" bestFit="1" customWidth="1" style="120" min="3" max="3"/>
    <col width="26.26953125" bestFit="1" customWidth="1" style="120" min="4" max="4"/>
    <col width="18.453125" customWidth="1" style="120" min="5" max="5"/>
    <col width="16.1796875" customWidth="1" style="120" min="6" max="6"/>
    <col width="28.90625" bestFit="1" customWidth="1" style="120" min="7" max="7"/>
    <col width="18.36328125" bestFit="1" customWidth="1" style="120" min="8" max="8"/>
    <col width="9.90625" bestFit="1" customWidth="1" style="120" min="9" max="9"/>
    <col width="20" bestFit="1" customWidth="1" style="120" min="10" max="10"/>
    <col width="5.7265625" customWidth="1" style="120" min="11" max="11"/>
    <col width="5.54296875" customWidth="1" style="120" min="12" max="12"/>
    <col width="9.90625" bestFit="1" customWidth="1" style="120" min="13" max="13"/>
    <col width="12.7265625" customWidth="1" style="120" min="14" max="14"/>
    <col width="9.54296875" bestFit="1" customWidth="1" style="120" min="15" max="15"/>
    <col width="33.26953125" bestFit="1" customWidth="1" style="120" min="16" max="16"/>
  </cols>
  <sheetData>
    <row r="1">
      <c r="A1" s="30" t="inlineStr">
        <is>
          <t>OFFICE FIT-OUT - PROJECT CONTROLLING DASHBOARD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</row>
    <row r="2">
      <c r="A2" s="24" t="inlineStr">
        <is>
          <t>EVM Performance Status | Tufte-Compliant Design | Data-Ink Maximized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42" t="n"/>
      <c r="O3" s="42" t="n"/>
      <c r="P3" s="42" t="n"/>
    </row>
    <row r="4">
      <c r="A4" s="25" t="inlineStr">
        <is>
          <t>Status Date:</t>
        </is>
      </c>
      <c r="B4" s="288">
        <f>Control_Status_Date</f>
        <v/>
      </c>
      <c r="C4" s="23" t="n"/>
      <c r="D4" s="25" t="inlineStr">
        <is>
          <t>Status Week:</t>
        </is>
      </c>
      <c r="E4" s="27">
        <f>MATCH(B4,EVM!B5:B16,1)</f>
        <v/>
      </c>
      <c r="F4" s="23" t="n"/>
      <c r="G4" s="25" t="inlineStr">
        <is>
          <t>Sector:</t>
        </is>
      </c>
      <c r="H4" s="28">
        <f>Control_Sector</f>
        <v/>
      </c>
      <c r="I4" s="23" t="n"/>
      <c r="J4" s="23" t="n"/>
      <c r="K4" s="23" t="n"/>
      <c r="L4" s="23" t="n"/>
      <c r="M4" s="19" t="n"/>
      <c r="N4" s="170" t="inlineStr">
        <is>
          <t>RAG Legend</t>
        </is>
      </c>
      <c r="O4" s="171" t="inlineStr">
        <is>
          <t>Rule</t>
        </is>
      </c>
      <c r="P4" s="172" t="inlineStr">
        <is>
          <t>Meaning</t>
        </is>
      </c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19" t="n"/>
      <c r="N5" s="167" t="inlineStr">
        <is>
          <t>Green</t>
        </is>
      </c>
      <c r="O5" s="17" t="inlineStr">
        <is>
          <t>Good</t>
        </is>
      </c>
      <c r="P5" s="169" t="inlineStr">
        <is>
          <t>On/above plan or low exposure</t>
        </is>
      </c>
    </row>
    <row r="6">
      <c r="A6" s="29" t="inlineStr">
        <is>
          <t>BUDGET AT COMPLETION (BAC)</t>
        </is>
      </c>
      <c r="B6" s="23" t="n"/>
      <c r="C6" s="23" t="n"/>
      <c r="D6" s="29" t="inlineStr">
        <is>
          <t>PLANNED VALUE (PV)</t>
        </is>
      </c>
      <c r="E6" s="23" t="n"/>
      <c r="F6" s="23" t="n"/>
      <c r="G6" s="29" t="inlineStr">
        <is>
          <t>ACTUAL COST (AC)</t>
        </is>
      </c>
      <c r="H6" s="23" t="n"/>
      <c r="I6" s="23" t="n"/>
      <c r="J6" s="29" t="inlineStr">
        <is>
          <t>EARNED VALUE (EV)</t>
        </is>
      </c>
      <c r="K6" s="23" t="n"/>
      <c r="L6" s="23" t="n"/>
      <c r="M6" s="19" t="n"/>
      <c r="N6" s="168" t="inlineStr">
        <is>
          <t>Amber</t>
        </is>
      </c>
      <c r="O6" s="17" t="inlineStr">
        <is>
          <t>Watch</t>
        </is>
      </c>
      <c r="P6" s="169" t="inlineStr">
        <is>
          <t>Near threshold / medium exposure</t>
        </is>
      </c>
    </row>
    <row r="7">
      <c r="A7" s="108">
        <f>Setup!B11</f>
        <v/>
      </c>
      <c r="B7" s="273" t="n"/>
      <c r="C7" s="130" t="n"/>
      <c r="D7" s="108">
        <f>'Task Plan'!I17</f>
        <v/>
      </c>
      <c r="E7" s="273" t="n"/>
      <c r="F7" s="130" t="n"/>
      <c r="G7" s="108">
        <f>'Task Plan'!J17</f>
        <v/>
      </c>
      <c r="H7" s="273" t="n"/>
      <c r="I7" s="130" t="n"/>
      <c r="J7" s="108">
        <f>'Task Plan'!L17</f>
        <v/>
      </c>
      <c r="K7" s="273" t="n"/>
      <c r="L7" s="130" t="n"/>
      <c r="M7" s="19" t="n"/>
      <c r="N7" s="173" t="inlineStr">
        <is>
          <t>Red</t>
        </is>
      </c>
      <c r="O7" s="174" t="inlineStr">
        <is>
          <t>Action</t>
        </is>
      </c>
      <c r="P7" s="175" t="inlineStr">
        <is>
          <t>Behind plan, overrun, or high exposure</t>
        </is>
      </c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37" t="n"/>
      <c r="O8" s="37" t="n"/>
      <c r="P8" s="37" t="n"/>
    </row>
    <row r="9">
      <c r="A9" s="36" t="inlineStr">
        <is>
          <t>COST VARIANCE (CV)</t>
        </is>
      </c>
      <c r="B9" s="36" t="n"/>
      <c r="C9" s="36" t="n"/>
      <c r="D9" s="36" t="inlineStr">
        <is>
          <t>SCHEDULE VARIANCE (SV)</t>
        </is>
      </c>
      <c r="E9" s="36" t="n"/>
      <c r="F9" s="36" t="n"/>
      <c r="G9" s="36" t="inlineStr">
        <is>
          <t>CPI (COST INDEX)</t>
        </is>
      </c>
      <c r="H9" s="36" t="n"/>
      <c r="I9" s="36" t="n"/>
      <c r="J9" s="36" t="inlineStr">
        <is>
          <t>SPI (SCHEDULE INDEX)</t>
        </is>
      </c>
      <c r="K9" s="36" t="n"/>
      <c r="L9" s="36" t="n"/>
      <c r="M9" s="23" t="n"/>
      <c r="N9" s="23" t="n"/>
      <c r="O9" s="23" t="n"/>
      <c r="P9" s="23" t="n"/>
    </row>
    <row r="10">
      <c r="A10" s="108">
        <f>'Task Plan'!N17</f>
        <v/>
      </c>
      <c r="B10" s="273" t="n"/>
      <c r="C10" s="130" t="n"/>
      <c r="D10" s="108">
        <f>'Task Plan'!M17</f>
        <v/>
      </c>
      <c r="E10" s="273" t="n"/>
      <c r="F10" s="130" t="n"/>
      <c r="G10" s="115">
        <f>'Task Plan'!P17</f>
        <v/>
      </c>
      <c r="H10" s="273" t="n"/>
      <c r="I10" s="130" t="n"/>
      <c r="J10" s="115">
        <f>'Task Plan'!O17</f>
        <v/>
      </c>
      <c r="K10" s="273" t="n"/>
      <c r="L10" s="130" t="n"/>
      <c r="M10" s="18" t="n"/>
      <c r="N10" s="23" t="n"/>
      <c r="O10" s="23" t="n"/>
      <c r="P10" s="23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23" t="n"/>
      <c r="N11" s="23" t="n"/>
      <c r="O11" s="23" t="n"/>
      <c r="P11" s="23" t="n"/>
    </row>
    <row r="12">
      <c r="A12" s="36" t="inlineStr">
        <is>
          <t>ESTIMATE AT COMPLETION (EAC)</t>
        </is>
      </c>
      <c r="B12" s="36" t="n"/>
      <c r="C12" s="36" t="n"/>
      <c r="D12" s="36" t="inlineStr">
        <is>
          <t>ESTIMATE TO COMPLETE (ETC)</t>
        </is>
      </c>
      <c r="E12" s="36" t="n"/>
      <c r="F12" s="36" t="n"/>
      <c r="G12" s="36" t="inlineStr">
        <is>
          <t>VARIANCE AT COMPLETION (VAC)</t>
        </is>
      </c>
      <c r="H12" s="36" t="n"/>
      <c r="I12" s="36" t="n"/>
      <c r="J12" s="36" t="inlineStr">
        <is>
          <t>PROJECT PROGRESS %</t>
        </is>
      </c>
      <c r="K12" s="36" t="n"/>
      <c r="L12" s="36" t="n"/>
      <c r="M12" s="23" t="n"/>
      <c r="N12" s="23" t="n"/>
      <c r="O12" s="23" t="n"/>
      <c r="P12" s="23" t="n"/>
    </row>
    <row r="13">
      <c r="A13" s="112">
        <f>'Task Plan'!Q17</f>
        <v/>
      </c>
      <c r="B13" s="273" t="n"/>
      <c r="C13" s="130" t="n"/>
      <c r="D13" s="112">
        <f>'Task Plan'!R17</f>
        <v/>
      </c>
      <c r="E13" s="273" t="n"/>
      <c r="F13" s="130" t="n"/>
      <c r="G13" s="108">
        <f>'Task Plan'!S17</f>
        <v/>
      </c>
      <c r="H13" s="273" t="n"/>
      <c r="I13" s="130" t="n"/>
      <c r="J13" s="289">
        <f>'Task Plan'!K17</f>
        <v/>
      </c>
      <c r="K13" s="273" t="n"/>
      <c r="L13" s="130" t="n"/>
      <c r="M13" s="18" t="n"/>
      <c r="N13" s="23" t="n"/>
      <c r="O13" s="23" t="n"/>
      <c r="P13" s="23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23" t="n"/>
      <c r="N14" s="23" t="n"/>
      <c r="O14" s="23" t="n"/>
      <c r="P14" s="23" t="n"/>
    </row>
    <row r="15">
      <c r="A15" s="22" t="inlineStr">
        <is>
          <t>WBS Element Performance Breakdown</t>
        </is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</row>
    <row r="17">
      <c r="A17" s="178" t="inlineStr">
        <is>
          <t>WBS ID</t>
        </is>
      </c>
      <c r="B17" s="179" t="inlineStr">
        <is>
          <t>Activity Name</t>
        </is>
      </c>
      <c r="C17" s="179" t="inlineStr">
        <is>
          <t>Type</t>
        </is>
      </c>
      <c r="D17" s="180" t="inlineStr">
        <is>
          <t>Budget (BAC)</t>
        </is>
      </c>
      <c r="E17" s="180" t="inlineStr">
        <is>
          <t>Planned Value (PV)</t>
        </is>
      </c>
      <c r="F17" s="180" t="inlineStr">
        <is>
          <t>Actual Cost (AC)</t>
        </is>
      </c>
      <c r="G17" s="181" t="inlineStr">
        <is>
          <t>Progress %</t>
        </is>
      </c>
      <c r="H17" s="180" t="inlineStr">
        <is>
          <t>Earned Value (EV)</t>
        </is>
      </c>
      <c r="I17" s="181" t="inlineStr">
        <is>
          <t>CV</t>
        </is>
      </c>
      <c r="J17" s="181" t="inlineStr">
        <is>
          <t>SV</t>
        </is>
      </c>
      <c r="K17" s="181" t="inlineStr">
        <is>
          <t>CPI</t>
        </is>
      </c>
      <c r="L17" s="181" t="inlineStr">
        <is>
          <t>SPI</t>
        </is>
      </c>
      <c r="M17" s="180" t="inlineStr">
        <is>
          <t>EAC</t>
        </is>
      </c>
      <c r="N17" s="180" t="inlineStr">
        <is>
          <t>ETC</t>
        </is>
      </c>
      <c r="O17" s="181" t="inlineStr">
        <is>
          <t>VAC</t>
        </is>
      </c>
      <c r="P17" s="182" t="inlineStr">
        <is>
          <t>Status</t>
        </is>
      </c>
    </row>
    <row r="18">
      <c r="A18" s="176" t="inlineStr">
        <is>
          <t>WBS-01</t>
        </is>
      </c>
      <c r="B18" s="27" t="inlineStr">
        <is>
          <t>Project Management</t>
        </is>
      </c>
      <c r="C18" s="27" t="inlineStr">
        <is>
          <t>Labor</t>
        </is>
      </c>
      <c r="D18" s="31" t="n">
        <v>18000</v>
      </c>
      <c r="E18" s="31" t="n">
        <v>13500</v>
      </c>
      <c r="F18" s="38" t="n">
        <v>9600</v>
      </c>
      <c r="G18" s="290" t="n">
        <v>0.5</v>
      </c>
      <c r="H18" s="20" t="n">
        <v>9000</v>
      </c>
      <c r="I18" s="11" t="n">
        <v>-600</v>
      </c>
      <c r="J18" s="11" t="n">
        <v>-4500</v>
      </c>
      <c r="K18" s="12" t="n">
        <v>0.9375</v>
      </c>
      <c r="L18" s="12" t="n">
        <v>0.6666666666666666</v>
      </c>
      <c r="M18" s="40" t="n">
        <v>19200</v>
      </c>
      <c r="N18" s="38" t="n">
        <v>9600</v>
      </c>
      <c r="O18" s="11" t="n">
        <v>-1200</v>
      </c>
      <c r="P18" s="177" t="inlineStr">
        <is>
          <t>🔴 Overrun</t>
        </is>
      </c>
    </row>
    <row r="19">
      <c r="A19" s="176" t="inlineStr">
        <is>
          <t>WBS-02</t>
        </is>
      </c>
      <c r="B19" s="27" t="inlineStr">
        <is>
          <t>Site Survey &amp; Mobilization</t>
        </is>
      </c>
      <c r="C19" s="27" t="inlineStr">
        <is>
          <t>Labor</t>
        </is>
      </c>
      <c r="D19" s="31" t="n">
        <v>8500</v>
      </c>
      <c r="E19" s="31" t="n">
        <v>8500</v>
      </c>
      <c r="F19" s="38" t="n">
        <v>8700</v>
      </c>
      <c r="G19" s="290" t="n">
        <v>1</v>
      </c>
      <c r="H19" s="20" t="n">
        <v>8500</v>
      </c>
      <c r="I19" s="11" t="n">
        <v>-200</v>
      </c>
      <c r="J19" s="11" t="n">
        <v>0</v>
      </c>
      <c r="K19" s="12" t="n">
        <v>0.9770114942528736</v>
      </c>
      <c r="L19" s="12" t="n">
        <v>1</v>
      </c>
      <c r="M19" s="40" t="n">
        <v>8700</v>
      </c>
      <c r="N19" s="38" t="n">
        <v>0</v>
      </c>
      <c r="O19" s="11" t="n">
        <v>-200</v>
      </c>
      <c r="P19" s="177" t="inlineStr">
        <is>
          <t>🔴 Overrun</t>
        </is>
      </c>
    </row>
    <row r="20">
      <c r="A20" s="176" t="inlineStr">
        <is>
          <t>WBS-03</t>
        </is>
      </c>
      <c r="B20" s="27" t="inlineStr">
        <is>
          <t>Design &amp; Engineering</t>
        </is>
      </c>
      <c r="C20" s="27" t="inlineStr">
        <is>
          <t>Labor</t>
        </is>
      </c>
      <c r="D20" s="31" t="n">
        <v>19200</v>
      </c>
      <c r="E20" s="31" t="n">
        <v>19200</v>
      </c>
      <c r="F20" s="38" t="n">
        <v>18195.04</v>
      </c>
      <c r="G20" s="290" t="n">
        <v>1</v>
      </c>
      <c r="H20" s="20" t="n">
        <v>19200</v>
      </c>
      <c r="I20" s="11" t="n">
        <v>1004.959999999999</v>
      </c>
      <c r="J20" s="11" t="n">
        <v>0</v>
      </c>
      <c r="K20" s="12" t="n">
        <v>1.055232634827953</v>
      </c>
      <c r="L20" s="12" t="n">
        <v>1</v>
      </c>
      <c r="M20" s="40" t="n">
        <v>18195.04</v>
      </c>
      <c r="N20" s="38" t="n">
        <v>0</v>
      </c>
      <c r="O20" s="11" t="n">
        <v>1004.959999999999</v>
      </c>
      <c r="P20" s="177" t="inlineStr">
        <is>
          <t>On Track</t>
        </is>
      </c>
    </row>
    <row r="21">
      <c r="A21" s="176" t="inlineStr">
        <is>
          <t>WBS-04</t>
        </is>
      </c>
      <c r="B21" s="27" t="inlineStr">
        <is>
          <t>Procurement - Materials</t>
        </is>
      </c>
      <c r="C21" s="27" t="inlineStr">
        <is>
          <t>Material</t>
        </is>
      </c>
      <c r="D21" s="31" t="n">
        <v>42000</v>
      </c>
      <c r="E21" s="31" t="n">
        <v>42000</v>
      </c>
      <c r="F21" s="38" t="n">
        <v>41300</v>
      </c>
      <c r="G21" s="290" t="n">
        <v>1</v>
      </c>
      <c r="H21" s="20" t="n">
        <v>42000</v>
      </c>
      <c r="I21" s="11" t="n">
        <v>700</v>
      </c>
      <c r="J21" s="11" t="n">
        <v>0</v>
      </c>
      <c r="K21" s="12" t="n">
        <v>1.016949152542373</v>
      </c>
      <c r="L21" s="12" t="n">
        <v>1</v>
      </c>
      <c r="M21" s="40" t="n">
        <v>41300</v>
      </c>
      <c r="N21" s="38" t="n">
        <v>0</v>
      </c>
      <c r="O21" s="11" t="n">
        <v>700</v>
      </c>
      <c r="P21" s="177" t="inlineStr">
        <is>
          <t>On Track</t>
        </is>
      </c>
    </row>
    <row r="22">
      <c r="A22" s="176" t="inlineStr">
        <is>
          <t>WBS-05</t>
        </is>
      </c>
      <c r="B22" s="27" t="inlineStr">
        <is>
          <t>Demolition &amp; Prep</t>
        </is>
      </c>
      <c r="C22" s="27" t="inlineStr">
        <is>
          <t>Labor</t>
        </is>
      </c>
      <c r="D22" s="31" t="n">
        <v>13200</v>
      </c>
      <c r="E22" s="31" t="n">
        <v>13200</v>
      </c>
      <c r="F22" s="38" t="n">
        <v>13408.16</v>
      </c>
      <c r="G22" s="290" t="n">
        <v>1</v>
      </c>
      <c r="H22" s="20" t="n">
        <v>13200</v>
      </c>
      <c r="I22" s="11" t="n">
        <v>-208.159999999998</v>
      </c>
      <c r="J22" s="11" t="n">
        <v>0</v>
      </c>
      <c r="K22" s="12" t="n">
        <v>0.9844751255951601</v>
      </c>
      <c r="L22" s="12" t="n">
        <v>1</v>
      </c>
      <c r="M22" s="40" t="n">
        <v>13408.16</v>
      </c>
      <c r="N22" s="38" t="n">
        <v>0</v>
      </c>
      <c r="O22" s="11" t="n">
        <v>-208.159999999998</v>
      </c>
      <c r="P22" s="177" t="inlineStr">
        <is>
          <t>🔴 Overrun</t>
        </is>
      </c>
    </row>
    <row r="23">
      <c r="A23" s="176" t="inlineStr">
        <is>
          <t>WBS-06</t>
        </is>
      </c>
      <c r="B23" s="27" t="inlineStr">
        <is>
          <t>Electrical Rough-In</t>
        </is>
      </c>
      <c r="C23" s="27" t="inlineStr">
        <is>
          <t>Labor</t>
        </is>
      </c>
      <c r="D23" s="31" t="n">
        <v>26000</v>
      </c>
      <c r="E23" s="31" t="n">
        <v>26000</v>
      </c>
      <c r="F23" s="38" t="n">
        <v>26206.24</v>
      </c>
      <c r="G23" s="290" t="n">
        <v>0.7</v>
      </c>
      <c r="H23" s="20" t="n">
        <v>18200</v>
      </c>
      <c r="I23" s="11" t="n">
        <v>-8006.239999999998</v>
      </c>
      <c r="J23" s="11" t="n">
        <v>-7800</v>
      </c>
      <c r="K23" s="12" t="n">
        <v>0.6944910830397646</v>
      </c>
      <c r="L23" s="12" t="n">
        <v>0.7</v>
      </c>
      <c r="M23" s="40" t="n">
        <v>37437.48571428571</v>
      </c>
      <c r="N23" s="38" t="n">
        <v>11231.24571428572</v>
      </c>
      <c r="O23" s="11" t="n">
        <v>-11437.48571428571</v>
      </c>
      <c r="P23" s="177" t="inlineStr">
        <is>
          <t>🔴 Overrun</t>
        </is>
      </c>
    </row>
    <row r="24">
      <c r="A24" s="176" t="inlineStr">
        <is>
          <t>WBS-07</t>
        </is>
      </c>
      <c r="B24" s="27" t="inlineStr">
        <is>
          <t>HVAC Installation</t>
        </is>
      </c>
      <c r="C24" s="27" t="inlineStr">
        <is>
          <t>Subcontractor</t>
        </is>
      </c>
      <c r="D24" s="31" t="n">
        <v>36000</v>
      </c>
      <c r="E24" s="31" t="n">
        <v>36000</v>
      </c>
      <c r="F24" s="38" t="n">
        <v>17476.8</v>
      </c>
      <c r="G24" s="290" t="n">
        <v>0.4</v>
      </c>
      <c r="H24" s="20" t="n">
        <v>14400</v>
      </c>
      <c r="I24" s="11" t="n">
        <v>-3076.799999999999</v>
      </c>
      <c r="J24" s="11" t="n">
        <v>-21600</v>
      </c>
      <c r="K24" s="12" t="n">
        <v>0.8239494644328481</v>
      </c>
      <c r="L24" s="12" t="n">
        <v>0.4</v>
      </c>
      <c r="M24" s="40" t="n">
        <v>43692</v>
      </c>
      <c r="N24" s="38" t="n">
        <v>26215.2</v>
      </c>
      <c r="O24" s="11" t="n">
        <v>-7692</v>
      </c>
      <c r="P24" s="177" t="inlineStr">
        <is>
          <t>🔴 Overrun</t>
        </is>
      </c>
    </row>
    <row r="25">
      <c r="A25" s="176" t="inlineStr">
        <is>
          <t>WBS-08</t>
        </is>
      </c>
      <c r="B25" s="27" t="inlineStr">
        <is>
          <t>Partitions &amp; Drywall</t>
        </is>
      </c>
      <c r="C25" s="27" t="inlineStr">
        <is>
          <t>Subcontractor</t>
        </is>
      </c>
      <c r="D25" s="31" t="n">
        <v>28000</v>
      </c>
      <c r="E25" s="31" t="n">
        <v>28000</v>
      </c>
      <c r="F25" s="38" t="n">
        <v>7099.2</v>
      </c>
      <c r="G25" s="290" t="n">
        <v>0.248857</v>
      </c>
      <c r="H25" s="20" t="n">
        <v>6967.996</v>
      </c>
      <c r="I25" s="11" t="n">
        <v>-131.2039999999997</v>
      </c>
      <c r="J25" s="11" t="n">
        <v>-21032.004</v>
      </c>
      <c r="K25" s="12" t="n">
        <v>0.9815184809556007</v>
      </c>
      <c r="L25" s="12" t="n">
        <v>0.248857</v>
      </c>
      <c r="M25" s="40" t="n">
        <v>28527.22647946411</v>
      </c>
      <c r="N25" s="38" t="n">
        <v>21428.02647946411</v>
      </c>
      <c r="O25" s="11" t="n">
        <v>-527.2264794641087</v>
      </c>
      <c r="P25" s="177" t="inlineStr">
        <is>
          <t>🔴 Overrun</t>
        </is>
      </c>
    </row>
    <row r="26">
      <c r="A26" s="176" t="inlineStr">
        <is>
          <t>WBS-09</t>
        </is>
      </c>
      <c r="B26" s="27" t="inlineStr">
        <is>
          <t>Flooring</t>
        </is>
      </c>
      <c r="C26" s="27" t="inlineStr">
        <is>
          <t>Material</t>
        </is>
      </c>
      <c r="D26" s="31" t="n">
        <v>35750</v>
      </c>
      <c r="E26" s="31" t="n">
        <v>23833.34</v>
      </c>
      <c r="F26" s="38" t="n">
        <v>0</v>
      </c>
      <c r="G26" s="290" t="n">
        <v>0</v>
      </c>
      <c r="H26" s="20" t="n">
        <v>0</v>
      </c>
      <c r="I26" s="11" t="n">
        <v>0</v>
      </c>
      <c r="J26" s="11" t="n">
        <v>-23833.34</v>
      </c>
      <c r="K26" s="12" t="n">
        <v>1</v>
      </c>
      <c r="L26" s="12" t="n">
        <v>0</v>
      </c>
      <c r="M26" s="40" t="n">
        <v>35750</v>
      </c>
      <c r="N26" s="38" t="n">
        <v>35750</v>
      </c>
      <c r="O26" s="11" t="n">
        <v>0</v>
      </c>
      <c r="P26" s="177" t="inlineStr">
        <is>
          <t>🔴 Overrun</t>
        </is>
      </c>
    </row>
    <row r="27">
      <c r="A27" s="176" t="inlineStr">
        <is>
          <t>WBS-10</t>
        </is>
      </c>
      <c r="B27" s="27" t="inlineStr">
        <is>
          <t>Fixtures &amp; Furniture</t>
        </is>
      </c>
      <c r="C27" s="27" t="inlineStr">
        <is>
          <t>Material</t>
        </is>
      </c>
      <c r="D27" s="31" t="n">
        <v>30000</v>
      </c>
      <c r="E27" s="31" t="n">
        <v>10000</v>
      </c>
      <c r="F27" s="38" t="n">
        <v>0</v>
      </c>
      <c r="G27" s="290" t="n">
        <v>0</v>
      </c>
      <c r="H27" s="20" t="n">
        <v>0</v>
      </c>
      <c r="I27" s="11" t="n">
        <v>0</v>
      </c>
      <c r="J27" s="11" t="n">
        <v>-10000</v>
      </c>
      <c r="K27" s="12" t="n">
        <v>1</v>
      </c>
      <c r="L27" s="12" t="n">
        <v>0</v>
      </c>
      <c r="M27" s="40" t="n">
        <v>30000</v>
      </c>
      <c r="N27" s="38" t="n">
        <v>30000</v>
      </c>
      <c r="O27" s="11" t="n">
        <v>0</v>
      </c>
      <c r="P27" s="177" t="inlineStr">
        <is>
          <t>🔴 Overrun</t>
        </is>
      </c>
    </row>
    <row r="28">
      <c r="A28" s="176" t="inlineStr">
        <is>
          <t>WBS-11</t>
        </is>
      </c>
      <c r="B28" s="27" t="inlineStr">
        <is>
          <t>Testing / Commissioning</t>
        </is>
      </c>
      <c r="C28" s="27" t="inlineStr">
        <is>
          <t>Labor</t>
        </is>
      </c>
      <c r="D28" s="31" t="n">
        <v>8400</v>
      </c>
      <c r="E28" s="31" t="n">
        <v>0</v>
      </c>
      <c r="F28" s="38" t="n">
        <v>0</v>
      </c>
      <c r="G28" s="290" t="n">
        <v>0</v>
      </c>
      <c r="H28" s="20" t="n">
        <v>0</v>
      </c>
      <c r="I28" s="11" t="n">
        <v>0</v>
      </c>
      <c r="J28" s="11" t="n">
        <v>0</v>
      </c>
      <c r="K28" s="12" t="n">
        <v>1</v>
      </c>
      <c r="L28" s="12" t="n">
        <v>1</v>
      </c>
      <c r="M28" s="40" t="n">
        <v>8400</v>
      </c>
      <c r="N28" s="38" t="n">
        <v>8400</v>
      </c>
      <c r="O28" s="11" t="n">
        <v>0</v>
      </c>
      <c r="P28" s="177" t="inlineStr">
        <is>
          <t>On Track</t>
        </is>
      </c>
    </row>
    <row r="29">
      <c r="A29" s="183" t="inlineStr">
        <is>
          <t>WBS-12</t>
        </is>
      </c>
      <c r="B29" s="184" t="inlineStr">
        <is>
          <t>Handover &amp; Closeout</t>
        </is>
      </c>
      <c r="C29" s="184" t="inlineStr">
        <is>
          <t>Labor</t>
        </is>
      </c>
      <c r="D29" s="185" t="n">
        <v>3600</v>
      </c>
      <c r="E29" s="185" t="n">
        <v>0</v>
      </c>
      <c r="F29" s="186" t="n">
        <v>0</v>
      </c>
      <c r="G29" s="291" t="n">
        <v>0</v>
      </c>
      <c r="H29" s="188" t="n">
        <v>0</v>
      </c>
      <c r="I29" s="189" t="n">
        <v>0</v>
      </c>
      <c r="J29" s="189" t="n">
        <v>0</v>
      </c>
      <c r="K29" s="190" t="n">
        <v>1</v>
      </c>
      <c r="L29" s="190" t="n">
        <v>1</v>
      </c>
      <c r="M29" s="191" t="n">
        <v>3600</v>
      </c>
      <c r="N29" s="186" t="n">
        <v>3600</v>
      </c>
      <c r="O29" s="189" t="n">
        <v>0</v>
      </c>
      <c r="P29" s="192" t="inlineStr">
        <is>
          <t>On Track</t>
        </is>
      </c>
    </row>
    <row r="30">
      <c r="A30" s="32" t="inlineStr">
        <is>
          <t>Total / Project Portfolio</t>
        </is>
      </c>
      <c r="B30" s="33" t="n"/>
      <c r="C30" s="33" t="n"/>
      <c r="D30" s="14">
        <f>'Task Plan'!H17</f>
        <v/>
      </c>
      <c r="E30" s="14">
        <f>'Task Plan'!I17</f>
        <v/>
      </c>
      <c r="F30" s="39">
        <f>'Task Plan'!J17</f>
        <v/>
      </c>
      <c r="G30" s="292">
        <f>'Task Plan'!K17</f>
        <v/>
      </c>
      <c r="H30" s="21">
        <f>'Task Plan'!L17</f>
        <v/>
      </c>
      <c r="I30" s="14">
        <f>'Task Plan'!N17</f>
        <v/>
      </c>
      <c r="J30" s="14">
        <f>'Task Plan'!M17</f>
        <v/>
      </c>
      <c r="K30" s="15">
        <f>'Task Plan'!P17</f>
        <v/>
      </c>
      <c r="L30" s="15">
        <f>'Task Plan'!O17</f>
        <v/>
      </c>
      <c r="M30" s="41">
        <f>'Task Plan'!Q17</f>
        <v/>
      </c>
      <c r="N30" s="39">
        <f>'Task Plan'!R17</f>
        <v/>
      </c>
      <c r="O30" s="14">
        <f>'Task Plan'!S17</f>
        <v/>
      </c>
      <c r="P30" s="16">
        <f>IF('Task Plan'!T17="Red","🔴 Overrun",IF('Task Plan'!T17="Amber","🟡 Warning","On Track"))</f>
        <v/>
      </c>
    </row>
    <row r="31">
      <c r="A31" s="23" t="n"/>
      <c r="B31" s="23" t="n"/>
      <c r="C31" s="23" t="n"/>
      <c r="D31" s="23" t="n"/>
      <c r="E31" s="23" t="n"/>
      <c r="F31" s="23" t="n"/>
      <c r="G31" s="37" t="n"/>
      <c r="H31" s="23" t="n"/>
      <c r="I31" s="37" t="n"/>
      <c r="J31" s="37" t="n"/>
      <c r="K31" s="37" t="n"/>
      <c r="L31" s="37" t="n"/>
      <c r="M31" s="23" t="n"/>
      <c r="N31" s="23" t="n"/>
      <c r="O31" s="37" t="n"/>
      <c r="P31" s="37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</row>
    <row r="33">
      <c r="A33" s="22" t="inlineStr">
        <is>
          <t>Weekly Cumulative Performance Trends</t>
        </is>
      </c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</row>
    <row r="35">
      <c r="A35" s="195" t="inlineStr">
        <is>
          <t>Week</t>
        </is>
      </c>
      <c r="B35" s="179" t="inlineStr">
        <is>
          <t>Week Date</t>
        </is>
      </c>
      <c r="C35" s="180" t="inlineStr">
        <is>
          <t>Weekly PV</t>
        </is>
      </c>
      <c r="D35" s="180" t="inlineStr">
        <is>
          <t>Cum PV</t>
        </is>
      </c>
      <c r="E35" s="180" t="inlineStr">
        <is>
          <t>Weekly AC</t>
        </is>
      </c>
      <c r="F35" s="180" t="inlineStr">
        <is>
          <t>Cum AC</t>
        </is>
      </c>
      <c r="G35" s="180" t="inlineStr">
        <is>
          <t>Cum EV</t>
        </is>
      </c>
      <c r="H35" s="180" t="inlineStr">
        <is>
          <t>CV</t>
        </is>
      </c>
      <c r="I35" s="180" t="inlineStr">
        <is>
          <t>SV</t>
        </is>
      </c>
      <c r="J35" s="180" t="inlineStr">
        <is>
          <t>CPI</t>
        </is>
      </c>
      <c r="K35" s="196" t="inlineStr">
        <is>
          <t>SPI</t>
        </is>
      </c>
      <c r="L35" s="23" t="n"/>
      <c r="M35" s="23" t="n"/>
      <c r="N35" s="23" t="n"/>
      <c r="O35" s="23" t="n"/>
      <c r="P35" s="23" t="n"/>
    </row>
    <row r="36">
      <c r="A36" s="193" t="n">
        <v>1</v>
      </c>
      <c r="B36" s="288" t="inlineStr">
        <is>
          <t>2026-05-04 00:00:00</t>
        </is>
      </c>
      <c r="C36" s="34" t="n">
        <v>16400</v>
      </c>
      <c r="D36" s="34" t="n">
        <v>16400</v>
      </c>
      <c r="E36" s="34" t="n">
        <v>16295.04</v>
      </c>
      <c r="F36" s="34" t="n">
        <v>16295.04</v>
      </c>
      <c r="G36" s="34" t="n">
        <v>15087.994</v>
      </c>
      <c r="H36" s="34" t="n">
        <v>-1207.046</v>
      </c>
      <c r="I36" s="34" t="n">
        <v>-1312.005999999999</v>
      </c>
      <c r="J36" s="35" t="n">
        <v>0.925925557715722</v>
      </c>
      <c r="K36" s="194" t="n">
        <v>0.9199996341463414</v>
      </c>
      <c r="L36" s="23" t="n"/>
      <c r="M36" s="23" t="n"/>
      <c r="N36" s="23" t="n"/>
      <c r="O36" s="23" t="n"/>
      <c r="P36" s="23" t="n"/>
    </row>
    <row r="37">
      <c r="A37" s="193" t="n">
        <v>2</v>
      </c>
      <c r="B37" s="288" t="inlineStr">
        <is>
          <t>2026-05-11 00:00:00</t>
        </is>
      </c>
      <c r="C37" s="34" t="n">
        <v>22800</v>
      </c>
      <c r="D37" s="34" t="n">
        <v>39200</v>
      </c>
      <c r="E37" s="34" t="n">
        <v>22654.08</v>
      </c>
      <c r="F37" s="34" t="n">
        <v>38949.12</v>
      </c>
      <c r="G37" s="34" t="n">
        <v>51151.9976</v>
      </c>
      <c r="H37" s="34" t="n">
        <v>12202.87760000001</v>
      </c>
      <c r="I37" s="34" t="n">
        <v>11951.9976</v>
      </c>
      <c r="J37" s="35" t="n">
        <v>1.313303037398535</v>
      </c>
      <c r="K37" s="194" t="n">
        <v>1.304897897959184</v>
      </c>
      <c r="L37" s="23" t="n"/>
      <c r="M37" s="23" t="n"/>
      <c r="N37" s="23" t="n"/>
      <c r="O37" s="23" t="n"/>
      <c r="P37" s="23" t="n"/>
    </row>
    <row r="38">
      <c r="A38" s="193" t="n">
        <v>3</v>
      </c>
      <c r="B38" s="288" t="inlineStr">
        <is>
          <t>2026-05-18 00:00:00</t>
        </is>
      </c>
      <c r="C38" s="34" t="n">
        <v>22800</v>
      </c>
      <c r="D38" s="34" t="n">
        <v>62000</v>
      </c>
      <c r="E38" s="34" t="n">
        <v>22654.08</v>
      </c>
      <c r="F38" s="34" t="n">
        <v>61603.2</v>
      </c>
      <c r="G38" s="34" t="n">
        <v>108191.9976</v>
      </c>
      <c r="H38" s="34" t="n">
        <v>46588.79760000001</v>
      </c>
      <c r="I38" s="34" t="n">
        <v>46191.9976</v>
      </c>
      <c r="J38" s="35" t="n">
        <v>1.756272362474677</v>
      </c>
      <c r="K38" s="194" t="n">
        <v>1.745032219354839</v>
      </c>
      <c r="L38" s="23" t="n"/>
      <c r="M38" s="23" t="n"/>
      <c r="N38" s="23" t="n"/>
      <c r="O38" s="23" t="n"/>
      <c r="P38" s="23" t="n"/>
    </row>
    <row r="39">
      <c r="A39" s="193" t="n">
        <v>4</v>
      </c>
      <c r="B39" s="288" t="inlineStr">
        <is>
          <t>2026-05-25 00:00:00</t>
        </is>
      </c>
      <c r="C39" s="34" t="n">
        <v>25066.67</v>
      </c>
      <c r="D39" s="34" t="n">
        <v>87066.67</v>
      </c>
      <c r="E39" s="34" t="n">
        <v>24906.24</v>
      </c>
      <c r="F39" s="34" t="n">
        <v>86509.44</v>
      </c>
      <c r="G39" s="34" t="n">
        <v>188293.3256</v>
      </c>
      <c r="H39" s="34" t="n">
        <v>101783.8856</v>
      </c>
      <c r="I39" s="34" t="n">
        <v>101226.6556</v>
      </c>
      <c r="J39" s="35" t="n">
        <v>2.176563917186379</v>
      </c>
      <c r="K39" s="194" t="n">
        <v>2.162633825320298</v>
      </c>
      <c r="L39" s="23" t="n"/>
      <c r="M39" s="23" t="n"/>
      <c r="N39" s="23" t="n"/>
      <c r="O39" s="23" t="n"/>
      <c r="P39" s="23" t="n"/>
    </row>
    <row r="40">
      <c r="A40" s="193" t="n">
        <v>5</v>
      </c>
      <c r="B40" s="288" t="inlineStr">
        <is>
          <t>2026-06-01 00:00:00</t>
        </is>
      </c>
      <c r="C40" s="34" t="n">
        <v>29666.67</v>
      </c>
      <c r="D40" s="34" t="n">
        <v>116733.34</v>
      </c>
      <c r="E40" s="34" t="n">
        <v>29476.8</v>
      </c>
      <c r="F40" s="34" t="n">
        <v>115986.24</v>
      </c>
      <c r="G40" s="34" t="n">
        <v>295687.9996</v>
      </c>
      <c r="H40" s="34" t="n">
        <v>179701.7596</v>
      </c>
      <c r="I40" s="34" t="n">
        <v>178954.6596</v>
      </c>
      <c r="J40" s="35" t="n">
        <v>2.549336883409618</v>
      </c>
      <c r="K40" s="194" t="n">
        <v>2.533020982694404</v>
      </c>
      <c r="L40" s="23" t="n"/>
      <c r="M40" s="23" t="n"/>
      <c r="N40" s="23" t="n"/>
      <c r="O40" s="23" t="n"/>
      <c r="P40" s="23" t="n"/>
    </row>
    <row r="41">
      <c r="A41" s="193" t="n">
        <v>6</v>
      </c>
      <c r="B41" s="288" t="inlineStr">
        <is>
          <t>2026-06-08 00:00:00</t>
        </is>
      </c>
      <c r="C41" s="34" t="n">
        <v>26166.66</v>
      </c>
      <c r="D41" s="34" t="n">
        <v>142900</v>
      </c>
      <c r="E41" s="34" t="n">
        <v>25999.2</v>
      </c>
      <c r="F41" s="34" t="n">
        <v>141985.44</v>
      </c>
      <c r="G41" s="34" t="n">
        <v>427155.9956</v>
      </c>
      <c r="H41" s="34" t="n">
        <v>285170.5556</v>
      </c>
      <c r="I41" s="34" t="n">
        <v>284255.9956</v>
      </c>
      <c r="J41" s="35" t="n">
        <v>3.008449286067642</v>
      </c>
      <c r="K41" s="194" t="n">
        <v>2.989195210636809</v>
      </c>
      <c r="L41" s="23" t="n"/>
      <c r="M41" s="23" t="n"/>
      <c r="N41" s="23" t="n"/>
      <c r="O41" s="23" t="n"/>
      <c r="P41" s="23" t="n"/>
    </row>
    <row r="42">
      <c r="A42" s="193" t="n">
        <v>7</v>
      </c>
      <c r="B42" s="288" t="inlineStr">
        <is>
          <t>2026-06-15 00:00:00</t>
        </is>
      </c>
      <c r="C42" s="34" t="n">
        <v>17500</v>
      </c>
      <c r="D42" s="34" t="n">
        <v>160400</v>
      </c>
      <c r="E42" s="34" t="n">
        <v>0</v>
      </c>
      <c r="F42" s="34" t="n">
        <v>141985.44</v>
      </c>
      <c r="G42" s="34" t="n">
        <v>427155.9956</v>
      </c>
      <c r="H42" s="34" t="n">
        <v>285170.5556</v>
      </c>
      <c r="I42" s="34" t="n">
        <v>266755.9956</v>
      </c>
      <c r="J42" s="35" t="n">
        <v>3.008449286067642</v>
      </c>
      <c r="K42" s="194" t="n">
        <v>2.663067304239401</v>
      </c>
      <c r="L42" s="23" t="n"/>
      <c r="M42" s="23" t="n"/>
      <c r="N42" s="23" t="n"/>
      <c r="O42" s="23" t="n"/>
      <c r="P42" s="23" t="n"/>
    </row>
    <row r="43">
      <c r="A43" s="193" t="n">
        <v>8</v>
      </c>
      <c r="B43" s="288" t="inlineStr">
        <is>
          <t>2026-06-22 00:00:00</t>
        </is>
      </c>
      <c r="C43" s="34" t="n">
        <v>29416.67</v>
      </c>
      <c r="D43" s="34" t="n">
        <v>189816.67</v>
      </c>
      <c r="E43" s="34" t="n">
        <v>0</v>
      </c>
      <c r="F43" s="34" t="n">
        <v>141985.44</v>
      </c>
      <c r="G43" s="34" t="n">
        <v>427155.9956</v>
      </c>
      <c r="H43" s="34" t="n">
        <v>285170.5556</v>
      </c>
      <c r="I43" s="34" t="n">
        <v>237339.3256</v>
      </c>
      <c r="J43" s="35" t="n">
        <v>3.008449286067642</v>
      </c>
      <c r="K43" s="194" t="n">
        <v>2.250360811829646</v>
      </c>
      <c r="L43" s="23" t="n"/>
      <c r="M43" s="23" t="n"/>
      <c r="N43" s="23" t="n"/>
      <c r="O43" s="23" t="n"/>
      <c r="P43" s="23" t="n"/>
    </row>
    <row r="44">
      <c r="A44" s="193" t="n">
        <v>9</v>
      </c>
      <c r="B44" s="288" t="inlineStr">
        <is>
          <t>2026-06-29 00:00:00</t>
        </is>
      </c>
      <c r="C44" s="34" t="n">
        <v>30416.67</v>
      </c>
      <c r="D44" s="34" t="n">
        <v>220233.34</v>
      </c>
      <c r="E44" s="34" t="n">
        <v>0</v>
      </c>
      <c r="F44" s="34" t="n">
        <v>141985.44</v>
      </c>
      <c r="G44" s="34" t="n">
        <v>427155.9956</v>
      </c>
      <c r="H44" s="34" t="n">
        <v>285170.5556</v>
      </c>
      <c r="I44" s="34" t="n">
        <v>206922.6556</v>
      </c>
      <c r="J44" s="35" t="n">
        <v>3.008449286067642</v>
      </c>
      <c r="K44" s="194" t="n">
        <v>1.939560992899622</v>
      </c>
      <c r="L44" s="23" t="n"/>
      <c r="M44" s="23" t="n"/>
      <c r="N44" s="23" t="n"/>
      <c r="O44" s="23" t="n"/>
      <c r="P44" s="23" t="n"/>
    </row>
    <row r="45">
      <c r="A45" s="193" t="n">
        <v>10</v>
      </c>
      <c r="B45" s="288" t="inlineStr">
        <is>
          <t>2026-07-06 00:00:00</t>
        </is>
      </c>
      <c r="C45" s="34" t="n">
        <v>23416.66</v>
      </c>
      <c r="D45" s="34" t="n">
        <v>243650</v>
      </c>
      <c r="E45" s="34" t="n">
        <v>0</v>
      </c>
      <c r="F45" s="34" t="n">
        <v>141985.44</v>
      </c>
      <c r="G45" s="34" t="n">
        <v>427155.9956</v>
      </c>
      <c r="H45" s="34" t="n">
        <v>285170.5556</v>
      </c>
      <c r="I45" s="34" t="n">
        <v>183505.9956</v>
      </c>
      <c r="J45" s="35" t="n">
        <v>3.008449286067642</v>
      </c>
      <c r="K45" s="194" t="n">
        <v>1.753154096449826</v>
      </c>
      <c r="L45" s="23" t="n"/>
      <c r="M45" s="23" t="n"/>
      <c r="N45" s="23" t="n"/>
      <c r="O45" s="23" t="n"/>
      <c r="P45" s="23" t="n"/>
    </row>
    <row r="46">
      <c r="A46" s="193" t="n">
        <v>11</v>
      </c>
      <c r="B46" s="288" t="inlineStr">
        <is>
          <t>2026-07-13 00:00:00</t>
        </is>
      </c>
      <c r="C46" s="34" t="n">
        <v>15700</v>
      </c>
      <c r="D46" s="34" t="n">
        <v>259350</v>
      </c>
      <c r="E46" s="34" t="n">
        <v>0</v>
      </c>
      <c r="F46" s="34" t="n">
        <v>141985.44</v>
      </c>
      <c r="G46" s="34" t="n">
        <v>427155.9956</v>
      </c>
      <c r="H46" s="34" t="n">
        <v>285170.5556</v>
      </c>
      <c r="I46" s="34" t="n">
        <v>167805.9956</v>
      </c>
      <c r="J46" s="35" t="n">
        <v>3.008449286067642</v>
      </c>
      <c r="K46" s="194" t="n">
        <v>1.647025238480817</v>
      </c>
      <c r="L46" s="23" t="n"/>
      <c r="M46" s="23" t="n"/>
      <c r="N46" s="23" t="n"/>
      <c r="O46" s="23" t="n"/>
      <c r="P46" s="23" t="n"/>
    </row>
    <row r="47">
      <c r="A47" s="197" t="n">
        <v>12</v>
      </c>
      <c r="B47" s="293" t="inlineStr">
        <is>
          <t>2026-07-20 00:00:00</t>
        </is>
      </c>
      <c r="C47" s="199" t="n">
        <v>9300</v>
      </c>
      <c r="D47" s="199" t="n">
        <v>268650</v>
      </c>
      <c r="E47" s="199" t="n">
        <v>0</v>
      </c>
      <c r="F47" s="199" t="n">
        <v>141985.44</v>
      </c>
      <c r="G47" s="199" t="n">
        <v>427155.9956</v>
      </c>
      <c r="H47" s="199" t="n">
        <v>285170.5556</v>
      </c>
      <c r="I47" s="199" t="n">
        <v>158505.9956</v>
      </c>
      <c r="J47" s="200" t="n">
        <v>3.008449286067642</v>
      </c>
      <c r="K47" s="201" t="n">
        <v>1.590009289410013</v>
      </c>
      <c r="L47" s="23" t="n"/>
      <c r="M47" s="23" t="n"/>
      <c r="N47" s="23" t="n"/>
      <c r="O47" s="23" t="n"/>
      <c r="P47" s="23" t="n"/>
    </row>
  </sheetData>
  <mergeCells count="12">
    <mergeCell ref="J7:L7"/>
    <mergeCell ref="A10:C10"/>
    <mergeCell ref="A13:C13"/>
    <mergeCell ref="D13:F13"/>
    <mergeCell ref="G10:I10"/>
    <mergeCell ref="J10:L10"/>
    <mergeCell ref="G13:I13"/>
    <mergeCell ref="J13:L13"/>
    <mergeCell ref="D7:F7"/>
    <mergeCell ref="A7:C7"/>
    <mergeCell ref="G7:I7"/>
    <mergeCell ref="D10:F10"/>
  </mergeCells>
  <conditionalFormatting sqref="A10:F10">
    <cfRule type="cellIs" priority="1" operator="lessThan" dxfId="51">
      <formula>0</formula>
    </cfRule>
    <cfRule type="cellIs" priority="2" operator="greaterThanOrEqual" dxfId="53">
      <formula>0</formula>
    </cfRule>
  </conditionalFormatting>
  <conditionalFormatting sqref="G18:G30">
    <cfRule type="cellIs" priority="23" operator="lessThan" dxfId="51">
      <formula>0.5</formula>
    </cfRule>
    <cfRule type="cellIs" priority="24" operator="between" dxfId="52">
      <formula>0.5</formula>
      <formula>0.799999</formula>
    </cfRule>
    <cfRule type="cellIs" priority="25" operator="greaterThanOrEqual" dxfId="53">
      <formula>0.8</formula>
    </cfRule>
  </conditionalFormatting>
  <conditionalFormatting sqref="G13:I13">
    <cfRule type="cellIs" priority="5" operator="lessThan" dxfId="51">
      <formula>0</formula>
    </cfRule>
    <cfRule type="cellIs" priority="6" operator="greaterThanOrEqual" dxfId="53">
      <formula>0</formula>
    </cfRule>
  </conditionalFormatting>
  <conditionalFormatting sqref="G10:L10">
    <cfRule type="cellIs" priority="11" operator="lessThan" dxfId="51">
      <formula>0.95</formula>
    </cfRule>
    <cfRule type="cellIs" priority="12" operator="between" dxfId="52">
      <formula>0.95</formula>
      <formula>0.999999</formula>
    </cfRule>
    <cfRule type="cellIs" priority="13" operator="greaterThanOrEqual" dxfId="53">
      <formula>1</formula>
    </cfRule>
  </conditionalFormatting>
  <conditionalFormatting sqref="I18:J30">
    <cfRule type="cellIs" priority="7" operator="lessThan" dxfId="51">
      <formula>0</formula>
    </cfRule>
    <cfRule type="cellIs" priority="8" operator="greaterThanOrEqual" dxfId="53">
      <formula>0</formula>
    </cfRule>
  </conditionalFormatting>
  <conditionalFormatting sqref="J13:L13">
    <cfRule type="cellIs" priority="20" operator="lessThan" dxfId="51">
      <formula>0.5</formula>
    </cfRule>
    <cfRule type="cellIs" priority="21" operator="between" dxfId="52">
      <formula>0.5</formula>
      <formula>0.799999</formula>
    </cfRule>
    <cfRule type="cellIs" priority="22" operator="greaterThanOrEqual" dxfId="53">
      <formula>0.8</formula>
    </cfRule>
  </conditionalFormatting>
  <conditionalFormatting sqref="K18:L30">
    <cfRule type="cellIs" priority="17" operator="lessThan" dxfId="51">
      <formula>0.95</formula>
    </cfRule>
    <cfRule type="cellIs" priority="18" operator="between" dxfId="52">
      <formula>0.95</formula>
      <formula>0.999999</formula>
    </cfRule>
    <cfRule type="cellIs" priority="19" operator="greaterThanOrEqual" dxfId="53">
      <formula>1</formula>
    </cfRule>
  </conditionalFormatting>
  <conditionalFormatting sqref="O18:O30">
    <cfRule type="cellIs" priority="9" operator="lessThan" dxfId="51">
      <formula>0</formula>
    </cfRule>
    <cfRule type="cellIs" priority="10" operator="greaterThanOrEqual" dxfId="53">
      <formula>0</formula>
    </cfRule>
  </conditionalFormatting>
  <conditionalFormatting sqref="N5:N7">
    <cfRule type="expression" priority="35" dxfId="35">
      <formula>ISNUMBER(SEARCH("Red",N5))</formula>
    </cfRule>
    <cfRule type="expression" priority="36" dxfId="34">
      <formula>ISNUMBER(SEARCH("Amber",N5))</formula>
    </cfRule>
    <cfRule type="expression" priority="37" dxfId="33">
      <formula>ISNUMBER(SEARCH("Green",N5))</formula>
    </cfRule>
  </conditionalFormatting>
  <conditionalFormatting sqref="P18:P30">
    <cfRule type="expression" priority="38" dxfId="35">
      <formula>OR(ISNUMBER(SEARCH("Red",P18)),ISNUMBER(SEARCH("Overrun",P18)))</formula>
    </cfRule>
    <cfRule type="expression" priority="39" dxfId="34">
      <formula>OR(ISNUMBER(SEARCH("Amber",P18)),ISNUMBER(SEARCH("Warning",P18)))</formula>
    </cfRule>
    <cfRule type="expression" priority="40" dxfId="33">
      <formula>OR(ISNUMBER(SEARCH("Green",P18)),ISNUMBER(SEARCH("On Track",P18)))</formula>
    </cfRule>
  </conditionalFormatting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Q1" sqref="Q1"/>
    </sheetView>
  </sheetViews>
  <sheetFormatPr baseColWidth="8" defaultRowHeight="14.5"/>
  <cols>
    <col width="10" customWidth="1" style="258" min="1" max="1"/>
    <col width="11.81640625" customWidth="1" style="258" min="2" max="2"/>
    <col width="22.7265625" customWidth="1" style="258" min="3" max="3"/>
    <col width="19.08984375" customWidth="1" style="258" min="4" max="4"/>
    <col width="26.36328125" customWidth="1" style="258" min="5" max="5"/>
    <col width="33.6328125" customWidth="1" style="258" min="6" max="6"/>
    <col width="18.1796875" customWidth="1" style="258" min="7" max="7"/>
    <col width="14.54296875" customWidth="1" style="258" min="8" max="8"/>
  </cols>
  <sheetData>
    <row r="1" ht="23.5" customHeight="1" s="120">
      <c r="A1" s="243" t="inlineStr">
        <is>
          <t>Red RAG Action Recommendations</t>
        </is>
      </c>
    </row>
    <row r="2">
      <c r="A2" s="260" t="inlineStr">
        <is>
          <t>Focused recovery actions for WBS items and control risks currently flagged Red. Evidence is pulled live from tbl_Task_Plan.</t>
        </is>
      </c>
    </row>
    <row r="4">
      <c r="A4" s="256" t="inlineStr">
        <is>
          <t>STORY IN BRIEF</t>
        </is>
      </c>
    </row>
    <row r="5">
      <c r="A5" s="257" t="inlineStr">
        <is>
          <t>The red status is mainly schedule-driven: Flooring, Fixtures &amp; Furniture, Partitions &amp; Drywall, HVAC, and Electrical Rough-In are the recovery priorities because their SPI and schedule variances are pulling the project off plan. Cost exposure is concentrated in Electrical Rough-In and HVAC, while completed red tasks need closeout variance review rather than delivery acceleration. The recommended response is a short recovery sprint: remove blockers, confirm subcontractor/material readiness, reset near-term dates, and escalate decision items already logged in the Review sheet.</t>
        </is>
      </c>
    </row>
    <row r="6"/>
    <row r="7"/>
    <row r="9">
      <c r="A9" s="247" t="inlineStr">
        <is>
          <t>Red WBS items</t>
        </is>
      </c>
      <c r="B9" s="248" t="n"/>
      <c r="C9" s="247" t="inlineStr">
        <is>
          <t>Worst red SPI</t>
        </is>
      </c>
      <c r="D9" s="248" t="n"/>
      <c r="E9" s="247" t="inlineStr">
        <is>
          <t>Largest red SV</t>
        </is>
      </c>
      <c r="F9" s="248" t="n"/>
      <c r="G9" s="247" t="inlineStr">
        <is>
          <t>Red forecast overrun</t>
        </is>
      </c>
      <c r="H9" s="248" t="n"/>
    </row>
    <row r="10" ht="18.5" customHeight="1" s="120">
      <c r="A10" s="249">
        <f>COUNTIF(tbl_Task_Plan[Status],"Red")</f>
        <v/>
      </c>
      <c r="B10" s="248" t="n"/>
      <c r="C10" s="250">
        <f>_xlfn.MINIFS(tbl_Task_Plan[SPI],tbl_Task_Plan[Status],"Red")</f>
        <v/>
      </c>
      <c r="D10" s="248" t="n"/>
      <c r="E10" s="251">
        <f>_xlfn.MINIFS(tbl_Task_Plan[SV],tbl_Task_Plan[Status],"Red")</f>
        <v/>
      </c>
      <c r="F10" s="248" t="n"/>
      <c r="G10" s="251">
        <f>-SUMIFS(tbl_Task_Plan[VAC],tbl_Task_Plan[Status],"Red")</f>
        <v/>
      </c>
      <c r="H10" s="248" t="n"/>
    </row>
    <row r="13">
      <c r="A13" s="252" t="inlineStr">
        <is>
          <t>Priority</t>
        </is>
      </c>
      <c r="B13" s="252" t="inlineStr">
        <is>
          <t>WBS ID</t>
        </is>
      </c>
      <c r="C13" s="252" t="inlineStr">
        <is>
          <t>Activity</t>
        </is>
      </c>
      <c r="D13" s="252" t="inlineStr">
        <is>
          <t>Red driver</t>
        </is>
      </c>
      <c r="E13" s="252" t="inlineStr">
        <is>
          <t>Live evidence</t>
        </is>
      </c>
      <c r="F13" s="252" t="inlineStr">
        <is>
          <t>Recommended action</t>
        </is>
      </c>
      <c r="G13" s="252" t="inlineStr">
        <is>
          <t>Owner</t>
        </is>
      </c>
      <c r="H13" s="252" t="inlineStr">
        <is>
          <t>Due date</t>
        </is>
      </c>
    </row>
    <row r="14" ht="72.5" customHeight="1" s="120">
      <c r="A14" s="253" t="inlineStr">
        <is>
          <t>REC-01</t>
        </is>
      </c>
      <c r="B14" s="253" t="inlineStr">
        <is>
          <t>Design Phase Actual Cost slightly overran baseline</t>
        </is>
      </c>
      <c r="C14" s="254" t="inlineStr">
        <is>
          <t>CPI: 0.98</t>
        </is>
      </c>
      <c r="D14" s="254" t="inlineStr">
        <is>
          <t>Low</t>
        </is>
      </c>
      <c r="E14" s="254" t="inlineStr">
        <is>
          <t>Monitor labor rates</t>
        </is>
      </c>
      <c r="F14" s="254" t="inlineStr">
        <is>
          <t>Frank Ellingsen</t>
        </is>
      </c>
      <c r="G14" s="254" t="inlineStr">
        <is>
          <t>2026-09-15</t>
        </is>
      </c>
      <c r="H14" s="294" t="inlineStr">
        <is>
          <t>Closed</t>
        </is>
      </c>
    </row>
    <row r="15" ht="58" customHeight="1" s="120">
      <c r="A15" s="253" t="n">
        <v>2</v>
      </c>
      <c r="B15" s="253" t="inlineStr">
        <is>
          <t>WBS-08</t>
        </is>
      </c>
      <c r="C15" s="254">
        <f>_xlfn.XLOOKUP(B15,tbl_Task_Plan[WBS ID],tbl_Task_Plan[Task / Activity],"")</f>
        <v/>
      </c>
      <c r="D15" s="254" t="inlineStr">
        <is>
          <t>Low progress / schedule</t>
        </is>
      </c>
      <c r="E15" s="254">
        <f>TEXT(_xlfn.XLOOKUP(B15,tbl_Task_Plan[WBS ID],tbl_Task_Plan[Progress %]),"0%")&amp;" complete; SPI "&amp;TEXT(_xlfn.XLOOKUP(B15,tbl_Task_Plan[WBS ID],tbl_Task_Plan[SPI]),"0.00")&amp;"; CPI "&amp;TEXT(_xlfn.XLOOKUP(B15,tbl_Task_Plan[WBS ID],tbl_Task_Plan[CPI]),"0.00")&amp;"; SV "&amp;TEXT(_xlfn.XLOOKUP(B15,tbl_Task_Plan[WBS ID],tbl_Task_Plan[SV]),"#,##0")&amp;" NOK"</f>
        <v/>
      </c>
      <c r="F15" s="254" t="inlineStr">
        <is>
          <t>Run a blocker review with electrical rough-in and subcontractor leads; add resources or resequence drylining areas to recover the critical path.</t>
        </is>
      </c>
      <c r="G15" s="254" t="inlineStr">
        <is>
          <t>Project Manager</t>
        </is>
      </c>
      <c r="H15" s="294">
        <f>Control_Status_Date+2</f>
        <v/>
      </c>
    </row>
    <row r="16" ht="58" customHeight="1" s="120">
      <c r="A16" s="253" t="n">
        <v>3</v>
      </c>
      <c r="B16" s="253" t="inlineStr">
        <is>
          <t>WBS-07</t>
        </is>
      </c>
      <c r="C16" s="254">
        <f>_xlfn.XLOOKUP(B16,tbl_Task_Plan[WBS ID],tbl_Task_Plan[Task / Activity],"")</f>
        <v/>
      </c>
      <c r="D16" s="254" t="inlineStr">
        <is>
          <t>Subcontractor schedule + cost</t>
        </is>
      </c>
      <c r="E16" s="254">
        <f>TEXT(_xlfn.XLOOKUP(B16,tbl_Task_Plan[WBS ID],tbl_Task_Plan[Progress %]),"0%")&amp;" complete; SPI "&amp;TEXT(_xlfn.XLOOKUP(B16,tbl_Task_Plan[WBS ID],tbl_Task_Plan[SPI]),"0.00")&amp;"; CPI "&amp;TEXT(_xlfn.XLOOKUP(B16,tbl_Task_Plan[WBS ID],tbl_Task_Plan[CPI]),"0.00")&amp;"; SV "&amp;TEXT(_xlfn.XLOOKUP(B16,tbl_Task_Plan[WBS ID],tbl_Task_Plan[SV]),"#,##0")&amp;" NOK"</f>
        <v/>
      </c>
      <c r="F16" s="254" t="inlineStr">
        <is>
          <t>Require a subcontractor recovery plan: committed crew levels, daily output targets, and commercial review of cost burn versus earned progress.</t>
        </is>
      </c>
      <c r="G16" s="254" t="inlineStr">
        <is>
          <t>Project Manager</t>
        </is>
      </c>
      <c r="H16" s="294">
        <f>Control_Status_Date+2</f>
        <v/>
      </c>
    </row>
    <row r="17" ht="58" customHeight="1" s="120">
      <c r="A17" s="253" t="n">
        <v>4</v>
      </c>
      <c r="B17" s="253" t="inlineStr">
        <is>
          <t>WBS-06</t>
        </is>
      </c>
      <c r="C17" s="254">
        <f>_xlfn.XLOOKUP(B17,tbl_Task_Plan[WBS ID],tbl_Task_Plan[Task / Activity],"")</f>
        <v/>
      </c>
      <c r="D17" s="254" t="inlineStr">
        <is>
          <t>Cost + schedule</t>
        </is>
      </c>
      <c r="E17" s="254">
        <f>TEXT(_xlfn.XLOOKUP(B17,tbl_Task_Plan[WBS ID],tbl_Task_Plan[Progress %]),"0%")&amp;" complete; SPI "&amp;TEXT(_xlfn.XLOOKUP(B17,tbl_Task_Plan[WBS ID],tbl_Task_Plan[SPI]),"0.00")&amp;"; CPI "&amp;TEXT(_xlfn.XLOOKUP(B17,tbl_Task_Plan[WBS ID],tbl_Task_Plan[CPI]),"0.00")&amp;"; SV "&amp;TEXT(_xlfn.XLOOKUP(B17,tbl_Task_Plan[WBS ID],tbl_Task_Plan[SV]),"#,##0")&amp;" NOK"</f>
        <v/>
      </c>
      <c r="F17" s="254" t="inlineStr">
        <is>
          <t>Hold a root-cause review on low CPI/SPI; separate scope change from productivity loss, update EAC, and escalate any funding/date decision.</t>
        </is>
      </c>
      <c r="G17" s="254" t="inlineStr">
        <is>
          <t>Project Controls</t>
        </is>
      </c>
      <c r="H17" s="294">
        <f>Control_Status_Date+2</f>
        <v/>
      </c>
    </row>
    <row r="18" ht="58" customHeight="1" s="120">
      <c r="A18" s="253" t="n">
        <v>5</v>
      </c>
      <c r="B18" s="253" t="inlineStr">
        <is>
          <t>WBS-10</t>
        </is>
      </c>
      <c r="C18" s="254">
        <f>_xlfn.XLOOKUP(B18,tbl_Task_Plan[WBS ID],tbl_Task_Plan[Task / Activity],"")</f>
        <v/>
      </c>
      <c r="D18" s="254" t="inlineStr">
        <is>
          <t>Future work at risk</t>
        </is>
      </c>
      <c r="E18" s="254">
        <f>TEXT(_xlfn.XLOOKUP(B18,tbl_Task_Plan[WBS ID],tbl_Task_Plan[Progress %]),"0%")&amp;" complete; SPI "&amp;TEXT(_xlfn.XLOOKUP(B18,tbl_Task_Plan[WBS ID],tbl_Task_Plan[SPI]),"0.00")&amp;"; CPI "&amp;TEXT(_xlfn.XLOOKUP(B18,tbl_Task_Plan[WBS ID],tbl_Task_Plan[CPI]),"0.00")&amp;"; SV "&amp;TEXT(_xlfn.XLOOKUP(B18,tbl_Task_Plan[WBS ID],tbl_Task_Plan[SV]),"#,##0")&amp;" NOK"</f>
        <v/>
      </c>
      <c r="F18" s="254" t="inlineStr">
        <is>
          <t>Confirm fixture/furniture procurement, delivery slots, and installation dependency on flooring; prepare fallback suppliers if dates slip.</t>
        </is>
      </c>
      <c r="G18" s="254" t="inlineStr">
        <is>
          <t>Procurement / Planner</t>
        </is>
      </c>
      <c r="H18" s="294">
        <f>Control_Status_Date+5</f>
        <v/>
      </c>
    </row>
    <row r="19" ht="43.5" customHeight="1" s="120">
      <c r="A19" s="253" t="n">
        <v>6</v>
      </c>
      <c r="B19" s="253" t="inlineStr">
        <is>
          <t>WBS-01</t>
        </is>
      </c>
      <c r="C19" s="254">
        <f>_xlfn.XLOOKUP(B19,tbl_Task_Plan[WBS ID],tbl_Task_Plan[Task / Activity],"")</f>
        <v/>
      </c>
      <c r="D19" s="254" t="inlineStr">
        <is>
          <t>Management effort behind plan</t>
        </is>
      </c>
      <c r="E19" s="254">
        <f>TEXT(_xlfn.XLOOKUP(B19,tbl_Task_Plan[WBS ID],tbl_Task_Plan[Progress %]),"0%")&amp;" complete; SPI "&amp;TEXT(_xlfn.XLOOKUP(B19,tbl_Task_Plan[WBS ID],tbl_Task_Plan[SPI]),"0.00")&amp;"; CPI "&amp;TEXT(_xlfn.XLOOKUP(B19,tbl_Task_Plan[WBS ID],tbl_Task_Plan[CPI]),"0.00")&amp;"; SV "&amp;TEXT(_xlfn.XLOOKUP(B19,tbl_Task_Plan[WBS ID],tbl_Task_Plan[SV]),"#,##0")&amp;" NOK"</f>
        <v/>
      </c>
      <c r="F19" s="254" t="inlineStr">
        <is>
          <t>Increase recovery cadence: daily issue log, weekly decision pack, and named owners for every red WBS mitigation.</t>
        </is>
      </c>
      <c r="G19" s="254" t="inlineStr">
        <is>
          <t>Project Manager</t>
        </is>
      </c>
      <c r="H19" s="294">
        <f>Control_Status_Date+2</f>
        <v/>
      </c>
    </row>
    <row r="20" ht="58" customHeight="1" s="120">
      <c r="A20" s="253" t="n">
        <v>7</v>
      </c>
      <c r="B20" s="253" t="inlineStr">
        <is>
          <t>WBS-02</t>
        </is>
      </c>
      <c r="C20" s="254">
        <f>_xlfn.XLOOKUP(B20,tbl_Task_Plan[WBS ID],tbl_Task_Plan[Task / Activity],"")</f>
        <v/>
      </c>
      <c r="D20" s="254" t="inlineStr">
        <is>
          <t>Completed cost variance</t>
        </is>
      </c>
      <c r="E20" s="254">
        <f>TEXT(_xlfn.XLOOKUP(B20,tbl_Task_Plan[WBS ID],tbl_Task_Plan[Progress %]),"0%")&amp;" complete; SPI "&amp;TEXT(_xlfn.XLOOKUP(B20,tbl_Task_Plan[WBS ID],tbl_Task_Plan[SPI]),"0.00")&amp;"; CPI "&amp;TEXT(_xlfn.XLOOKUP(B20,tbl_Task_Plan[WBS ID],tbl_Task_Plan[CPI]),"0.00")&amp;"; SV "&amp;TEXT(_xlfn.XLOOKUP(B20,tbl_Task_Plan[WBS ID],tbl_Task_Plan[SV]),"#,##0")&amp;" NOK"</f>
        <v/>
      </c>
      <c r="F20" s="254" t="inlineStr">
        <is>
          <t>Close out the small overrun: validate final actuals, code any one-off cost correctly, and prevent it from distorting future forecasts.</t>
        </is>
      </c>
      <c r="G20" s="254" t="inlineStr">
        <is>
          <t>Project Controls</t>
        </is>
      </c>
      <c r="H20" s="294">
        <f>Control_Status_Date+7</f>
        <v/>
      </c>
    </row>
    <row r="21" ht="58" customHeight="1" s="120">
      <c r="A21" s="253" t="n">
        <v>8</v>
      </c>
      <c r="B21" s="253" t="inlineStr">
        <is>
          <t>WBS-05</t>
        </is>
      </c>
      <c r="C21" s="254">
        <f>_xlfn.XLOOKUP(B21,tbl_Task_Plan[WBS ID],tbl_Task_Plan[Task / Activity],"")</f>
        <v/>
      </c>
      <c r="D21" s="254" t="inlineStr">
        <is>
          <t>Completed cost variance</t>
        </is>
      </c>
      <c r="E21" s="254">
        <f>TEXT(_xlfn.XLOOKUP(B21,tbl_Task_Plan[WBS ID],tbl_Task_Plan[Progress %]),"0%")&amp;" complete; SPI "&amp;TEXT(_xlfn.XLOOKUP(B21,tbl_Task_Plan[WBS ID],tbl_Task_Plan[SPI]),"0.00")&amp;"; CPI "&amp;TEXT(_xlfn.XLOOKUP(B21,tbl_Task_Plan[WBS ID],tbl_Task_Plan[CPI]),"0.00")&amp;"; SV "&amp;TEXT(_xlfn.XLOOKUP(B21,tbl_Task_Plan[WBS ID],tbl_Task_Plan[SV]),"#,##0")&amp;" NOK"</f>
        <v/>
      </c>
      <c r="F21" s="254" t="inlineStr">
        <is>
          <t>Close out demolition/prep variance and capture lessons learned for estimate accuracy and crew productivity assumptions.</t>
        </is>
      </c>
      <c r="G21" s="254" t="inlineStr">
        <is>
          <t>Project Controls</t>
        </is>
      </c>
      <c r="H21" s="294">
        <f>Control_Status_Date+7</f>
        <v/>
      </c>
    </row>
    <row r="24">
      <c r="A24" s="256" t="inlineStr">
        <is>
          <t>ESCALATE / TRACK</t>
        </is>
      </c>
      <c r="B24" s="256" t="n"/>
      <c r="C24" s="256" t="n"/>
      <c r="D24" s="256" t="n"/>
      <c r="E24" s="256" t="n"/>
      <c r="F24" s="256" t="n"/>
      <c r="G24" s="256" t="n"/>
      <c r="H24" s="256" t="n"/>
    </row>
    <row r="25" ht="409.5" customHeight="1" s="120">
      <c r="A25" s="257" t="inlineStr">
        <is>
          <t>Use Review!A21:F23 as the decision log for schedule slippage, EAC/cost review, and red WBS mitigation. Use PID!A64:E65 as the risk register entries for schedule slippage and cost overrun. Refresh this sheet after changing the source Task Plan or thresholds.</t>
        </is>
      </c>
      <c r="B25" s="257" t="n"/>
      <c r="C25" s="257" t="n"/>
      <c r="D25" s="257" t="n"/>
      <c r="E25" s="257" t="n"/>
      <c r="F25" s="257" t="n"/>
      <c r="G25" s="257" t="n"/>
      <c r="H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</row>
  </sheetData>
  <mergeCells count="4">
    <mergeCell ref="A4:H4"/>
    <mergeCell ref="A2:H2"/>
    <mergeCell ref="A5:H7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6"/>
  <sheetViews>
    <sheetView topLeftCell="A29" workbookViewId="0">
      <selection activeCell="A1" sqref="A1"/>
    </sheetView>
  </sheetViews>
  <sheetFormatPr baseColWidth="8" defaultRowHeight="14.5"/>
  <cols>
    <col width="16" customWidth="1" style="258" min="1" max="1"/>
    <col width="15.6328125" customWidth="1" style="258" min="2" max="2"/>
    <col width="16" customWidth="1" style="258" min="3" max="7"/>
    <col width="12.7265625" customWidth="1" style="258" min="8" max="8"/>
    <col width="16.36328125" customWidth="1" style="258" min="9" max="14"/>
  </cols>
  <sheetData>
    <row r="1" ht="23.5" customHeight="1" s="120">
      <c r="A1" s="259" t="inlineStr">
        <is>
          <t>High-Level Pivot Summary &amp; Descriptive Statistics</t>
        </is>
      </c>
      <c r="B1" s="259" t="n"/>
      <c r="C1" s="259" t="n"/>
      <c r="D1" s="259" t="n"/>
      <c r="E1" s="259" t="n"/>
      <c r="F1" s="259" t="n"/>
      <c r="G1" s="259" t="n"/>
      <c r="H1" s="259" t="n"/>
    </row>
    <row r="2" ht="130.5" customHeight="1" s="120">
      <c r="A2" s="260" t="inlineStr">
        <is>
          <t>PivotTables summarize the key project-control tables; descriptive statistics are live formulas linked to the Task Plan source range.</t>
        </is>
      </c>
      <c r="B2" s="260" t="n"/>
      <c r="C2" s="260" t="n"/>
      <c r="D2" s="260" t="n"/>
      <c r="E2" s="260" t="n"/>
      <c r="F2" s="260" t="n"/>
      <c r="G2" s="260" t="n"/>
      <c r="H2" s="260" t="n"/>
    </row>
    <row r="4">
      <c r="A4" s="261" t="inlineStr">
        <is>
          <t>STORY IN BRIEF</t>
        </is>
      </c>
      <c r="B4" s="261" t="n"/>
      <c r="C4" s="261" t="n"/>
      <c r="D4" s="261" t="n"/>
      <c r="E4" s="261" t="n"/>
      <c r="F4" s="261" t="n"/>
      <c r="G4" s="261" t="n"/>
      <c r="H4" s="261" t="n"/>
    </row>
    <row r="5" ht="304.5" customHeight="1" s="120">
      <c r="A5" s="254" t="inlineStr">
        <is>
          <t>The project is under schedule pressure, with red WBS items concentrated in unfinished material/subcontractor and rough-in work. The PivotTables summarize exposure by Type, Status, WBS, and week; the descriptive statistics quantify central tendency and outliers across task-level cost and schedule metrics.</t>
        </is>
      </c>
      <c r="B5" s="254" t="n"/>
      <c r="C5" s="254" t="n"/>
      <c r="D5" s="254" t="n"/>
      <c r="E5" s="254" t="n"/>
      <c r="F5" s="254" t="n"/>
      <c r="G5" s="254" t="n"/>
      <c r="H5" s="254" t="n"/>
    </row>
    <row r="6">
      <c r="A6" s="254" t="n"/>
      <c r="B6" s="254" t="n"/>
      <c r="C6" s="254" t="n"/>
      <c r="D6" s="254" t="n"/>
      <c r="E6" s="254" t="n"/>
      <c r="F6" s="254" t="n"/>
      <c r="G6" s="254" t="n"/>
      <c r="H6" s="254" t="n"/>
    </row>
    <row r="8">
      <c r="A8" s="262" t="inlineStr">
        <is>
          <t>Red WBS</t>
        </is>
      </c>
      <c r="B8" s="262" t="inlineStr">
        <is>
          <t>Total BAC</t>
        </is>
      </c>
      <c r="C8" s="262" t="inlineStr">
        <is>
          <t>Actual Cost</t>
        </is>
      </c>
      <c r="D8" s="262" t="inlineStr">
        <is>
          <t>Earned Value</t>
        </is>
      </c>
      <c r="E8" s="262" t="inlineStr">
        <is>
          <t>Avg SPI</t>
        </is>
      </c>
      <c r="F8" s="262" t="inlineStr">
        <is>
          <t>Avg CPI</t>
        </is>
      </c>
      <c r="G8" s="262" t="inlineStr">
        <is>
          <t>Forecast overrun</t>
        </is>
      </c>
    </row>
    <row r="9" ht="15.5" customHeight="1" s="120">
      <c r="A9" s="263">
        <f>COUNTIF('Task Plan'!T5:T16,"Red")</f>
        <v/>
      </c>
      <c r="B9" s="264">
        <f>SUM('Task Plan'!H5:H16)</f>
        <v/>
      </c>
      <c r="C9" s="264">
        <f>SUM('Task Plan'!J5:J16)</f>
        <v/>
      </c>
      <c r="D9" s="264">
        <f>SUM('Task Plan'!L5:L16)</f>
        <v/>
      </c>
      <c r="E9" s="265">
        <f>AVERAGE('Task Plan'!O5:O16)</f>
        <v/>
      </c>
      <c r="F9" s="265">
        <f>AVERAGE('Task Plan'!P5:P16)</f>
        <v/>
      </c>
      <c r="G9" s="264">
        <f>-SUM('Task Plan'!S5:S16)</f>
        <v/>
      </c>
    </row>
    <row r="12">
      <c r="A12" s="261" t="inlineStr">
        <is>
          <t>DESCRIPTIVE STATISTICS</t>
        </is>
      </c>
      <c r="B12" s="261" t="n"/>
      <c r="C12" s="261" t="n"/>
      <c r="D12" s="261" t="n"/>
      <c r="E12" s="261" t="n"/>
      <c r="F12" s="261" t="n"/>
      <c r="G12" s="261" t="n"/>
    </row>
    <row r="13">
      <c r="A13" s="258" t="inlineStr">
        <is>
          <t>Metric</t>
        </is>
      </c>
      <c r="B13" s="258" t="inlineStr">
        <is>
          <t>Count</t>
        </is>
      </c>
      <c r="C13" s="258" t="inlineStr">
        <is>
          <t>Mean</t>
        </is>
      </c>
      <c r="D13" s="258" t="inlineStr">
        <is>
          <t>Median</t>
        </is>
      </c>
      <c r="E13" s="258" t="inlineStr">
        <is>
          <t>Std Dev</t>
        </is>
      </c>
      <c r="F13" s="258" t="inlineStr">
        <is>
          <t>Min</t>
        </is>
      </c>
      <c r="G13" s="258" t="inlineStr">
        <is>
          <t>Max</t>
        </is>
      </c>
    </row>
    <row r="14">
      <c r="A14" s="258" t="inlineStr">
        <is>
          <t>BAC (NOK)</t>
        </is>
      </c>
      <c r="B14" s="267" t="n">
        <v>0</v>
      </c>
      <c r="C14" s="268" t="n">
        <v>0</v>
      </c>
      <c r="D14" s="268" t="n">
        <v>0</v>
      </c>
      <c r="E14" s="268" t="n">
        <v>0</v>
      </c>
      <c r="F14" s="268" t="n">
        <v>0</v>
      </c>
      <c r="G14" s="268" t="n">
        <v>0</v>
      </c>
    </row>
    <row r="15">
      <c r="A15" s="258" t="inlineStr">
        <is>
          <t>PV @ Status</t>
        </is>
      </c>
      <c r="B15" s="267" t="n">
        <v>0</v>
      </c>
      <c r="C15" s="268" t="n">
        <v>0</v>
      </c>
      <c r="D15" s="268" t="n">
        <v>0</v>
      </c>
      <c r="E15" s="268" t="n">
        <v>0</v>
      </c>
      <c r="F15" s="268" t="n">
        <v>0</v>
      </c>
      <c r="G15" s="268" t="n">
        <v>0</v>
      </c>
    </row>
    <row r="16">
      <c r="A16" s="258" t="inlineStr">
        <is>
          <t>AC @ Status</t>
        </is>
      </c>
      <c r="B16" s="267" t="n">
        <v>0</v>
      </c>
      <c r="C16" s="268" t="n">
        <v>0</v>
      </c>
      <c r="D16" s="268" t="n">
        <v>0</v>
      </c>
      <c r="E16" s="268" t="n">
        <v>0</v>
      </c>
      <c r="F16" s="268" t="n">
        <v>0</v>
      </c>
      <c r="G16" s="268" t="n">
        <v>0</v>
      </c>
    </row>
    <row r="17">
      <c r="A17" s="258" t="inlineStr">
        <is>
          <t>EV @ Status</t>
        </is>
      </c>
      <c r="B17" s="267" t="n">
        <v>0</v>
      </c>
      <c r="C17" s="268" t="n">
        <v>0</v>
      </c>
      <c r="D17" s="268" t="n">
        <v>0</v>
      </c>
      <c r="E17" s="268" t="n">
        <v>0</v>
      </c>
      <c r="F17" s="268" t="n">
        <v>0</v>
      </c>
      <c r="G17" s="268" t="n">
        <v>0</v>
      </c>
    </row>
    <row r="18">
      <c r="A18" s="258" t="inlineStr">
        <is>
          <t>Progress %</t>
        </is>
      </c>
      <c r="B18" s="267" t="n">
        <v>0</v>
      </c>
      <c r="C18" s="295" t="n">
        <v>0</v>
      </c>
      <c r="D18" s="295" t="n">
        <v>0</v>
      </c>
      <c r="E18" s="295" t="n">
        <v>0</v>
      </c>
      <c r="F18" s="295" t="n">
        <v>0</v>
      </c>
      <c r="G18" s="295" t="n">
        <v>0</v>
      </c>
    </row>
    <row r="19">
      <c r="A19" s="258" t="inlineStr">
        <is>
          <t>SPI</t>
        </is>
      </c>
      <c r="B19" s="267" t="n">
        <v>0</v>
      </c>
      <c r="C19" s="272" t="n">
        <v>0</v>
      </c>
      <c r="D19" s="272" t="n">
        <v>0</v>
      </c>
      <c r="E19" s="272" t="n">
        <v>0</v>
      </c>
      <c r="F19" s="272" t="n">
        <v>0</v>
      </c>
      <c r="G19" s="272" t="n">
        <v>0</v>
      </c>
    </row>
    <row r="20">
      <c r="A20" s="258" t="inlineStr">
        <is>
          <t>CPI</t>
        </is>
      </c>
      <c r="B20" s="267" t="n">
        <v>0</v>
      </c>
      <c r="C20" s="272" t="n">
        <v>0</v>
      </c>
      <c r="D20" s="272" t="n">
        <v>0</v>
      </c>
      <c r="E20" s="272" t="n">
        <v>0</v>
      </c>
      <c r="F20" s="272" t="n">
        <v>0</v>
      </c>
      <c r="G20" s="272" t="n">
        <v>0</v>
      </c>
    </row>
    <row r="21">
      <c r="A21" s="258" t="inlineStr">
        <is>
          <t>SV</t>
        </is>
      </c>
      <c r="B21" s="267" t="n">
        <v>0</v>
      </c>
      <c r="C21" s="268" t="n">
        <v>0</v>
      </c>
      <c r="D21" s="268" t="n">
        <v>0</v>
      </c>
      <c r="E21" s="268" t="n">
        <v>0</v>
      </c>
      <c r="F21" s="268" t="n">
        <v>0</v>
      </c>
      <c r="G21" s="268" t="n">
        <v>0</v>
      </c>
    </row>
    <row r="22">
      <c r="A22" s="258" t="inlineStr">
        <is>
          <t>CV</t>
        </is>
      </c>
      <c r="B22" s="267" t="n">
        <v>0</v>
      </c>
      <c r="C22" s="268" t="n">
        <v>0</v>
      </c>
      <c r="D22" s="268" t="n">
        <v>0</v>
      </c>
      <c r="E22" s="268" t="n">
        <v>0</v>
      </c>
      <c r="F22" s="268" t="n">
        <v>0</v>
      </c>
      <c r="G22" s="268" t="n">
        <v>0</v>
      </c>
    </row>
    <row r="23">
      <c r="A23" s="258" t="inlineStr">
        <is>
          <t>VAC</t>
        </is>
      </c>
      <c r="B23" s="267" t="n">
        <v>0</v>
      </c>
      <c r="C23" s="268" t="n">
        <v>0</v>
      </c>
      <c r="D23" s="268" t="n">
        <v>0</v>
      </c>
      <c r="E23" s="268" t="n">
        <v>0</v>
      </c>
      <c r="F23" s="268" t="n">
        <v>0</v>
      </c>
      <c r="G23" s="268" t="n">
        <v>0</v>
      </c>
    </row>
    <row r="26">
      <c r="A26" s="261" t="inlineStr">
        <is>
          <t>PIVOT: COST / VALUE BY TYPE</t>
        </is>
      </c>
      <c r="B26" s="261" t="n"/>
      <c r="C26" s="261" t="n"/>
      <c r="D26" s="261" t="n"/>
      <c r="E26" s="261" t="n"/>
      <c r="F26" s="261" t="n"/>
      <c r="G26" s="261" t="n"/>
      <c r="H26" s="261" t="n"/>
    </row>
    <row r="27">
      <c r="A27" s="266" t="inlineStr">
        <is>
          <t>Row Labels</t>
        </is>
      </c>
      <c r="B27" s="258" t="inlineStr">
        <is>
          <t>Sum of BAC (NOK)</t>
        </is>
      </c>
      <c r="C27" s="258" t="inlineStr">
        <is>
          <t>Sum of PV @ Status</t>
        </is>
      </c>
      <c r="D27" s="258" t="inlineStr">
        <is>
          <t>Sum of AC @ Status</t>
        </is>
      </c>
      <c r="E27" s="258" t="inlineStr">
        <is>
          <t>Sum of EV @ Status</t>
        </is>
      </c>
      <c r="F27" s="258" t="inlineStr">
        <is>
          <t>Sum of SV</t>
        </is>
      </c>
      <c r="G27" s="258" t="inlineStr">
        <is>
          <t>Sum of CV</t>
        </is>
      </c>
      <c r="H27" s="258" t="inlineStr">
        <is>
          <t>Sum of VAC</t>
        </is>
      </c>
    </row>
    <row r="28">
      <c r="A28" s="269" t="inlineStr">
        <is>
          <t>Labor</t>
        </is>
      </c>
      <c r="B28" s="270" t="n">
        <v>96900</v>
      </c>
      <c r="C28" s="270" t="n">
        <v>80400</v>
      </c>
      <c r="D28" s="270" t="n">
        <v>76109.44</v>
      </c>
      <c r="E28" s="270" t="n">
        <v>68100</v>
      </c>
      <c r="F28" s="270" t="n">
        <v>-12300</v>
      </c>
      <c r="G28" s="270" t="n">
        <v>-8009.439999999997</v>
      </c>
      <c r="H28" s="270" t="n">
        <v>-12040.68571428571</v>
      </c>
    </row>
    <row r="29">
      <c r="A29" s="269" t="inlineStr">
        <is>
          <t>Material</t>
        </is>
      </c>
      <c r="B29" s="270" t="n">
        <v>107750</v>
      </c>
      <c r="C29" s="270" t="n">
        <v>75833.34</v>
      </c>
      <c r="D29" s="270" t="n">
        <v>41300</v>
      </c>
      <c r="E29" s="270" t="n">
        <v>42000</v>
      </c>
      <c r="F29" s="270" t="n">
        <v>-33833.34</v>
      </c>
      <c r="G29" s="270" t="n">
        <v>700</v>
      </c>
      <c r="H29" s="270" t="n">
        <v>700</v>
      </c>
    </row>
    <row r="30">
      <c r="A30" s="269" t="inlineStr">
        <is>
          <t>Subcontractor</t>
        </is>
      </c>
      <c r="B30" s="270" t="n">
        <v>64000</v>
      </c>
      <c r="C30" s="270" t="n">
        <v>64000</v>
      </c>
      <c r="D30" s="270" t="n">
        <v>24576</v>
      </c>
      <c r="E30" s="270" t="n">
        <v>21367.996</v>
      </c>
      <c r="F30" s="270" t="n">
        <v>-42632.004</v>
      </c>
      <c r="G30" s="270" t="n">
        <v>-3208.003999999999</v>
      </c>
      <c r="H30" s="270" t="n">
        <v>-8219.226479464109</v>
      </c>
    </row>
    <row r="31">
      <c r="A31" s="269" t="inlineStr">
        <is>
          <t>Grand Total</t>
        </is>
      </c>
      <c r="B31" s="270" t="n">
        <v>268650</v>
      </c>
      <c r="C31" s="270" t="n">
        <v>220233.34</v>
      </c>
      <c r="D31" s="270" t="n">
        <v>141985.44</v>
      </c>
      <c r="E31" s="270" t="n">
        <v>131467.996</v>
      </c>
      <c r="F31" s="270" t="n">
        <v>-88765.344</v>
      </c>
      <c r="G31" s="270" t="n">
        <v>-10517.444</v>
      </c>
      <c r="H31" s="270" t="n">
        <v>-19559.91219374982</v>
      </c>
    </row>
    <row r="35">
      <c r="A35" s="261" t="inlineStr">
        <is>
          <t>PIVOT: COST / VALUE BY STATUS</t>
        </is>
      </c>
      <c r="B35" s="261" t="n"/>
      <c r="C35" s="261" t="n"/>
      <c r="D35" s="261" t="n"/>
      <c r="E35" s="261" t="n"/>
      <c r="F35" s="261" t="n"/>
      <c r="G35" s="261" t="n"/>
      <c r="H35" s="261" t="n"/>
    </row>
    <row r="36">
      <c r="A36" s="266" t="inlineStr">
        <is>
          <t>Row Labels</t>
        </is>
      </c>
      <c r="B36" s="258" t="inlineStr">
        <is>
          <t>Sum of BAC (NOK)</t>
        </is>
      </c>
      <c r="C36" s="258" t="inlineStr">
        <is>
          <t>Sum of PV @ Status</t>
        </is>
      </c>
      <c r="D36" s="258" t="inlineStr">
        <is>
          <t>Sum of AC @ Status</t>
        </is>
      </c>
      <c r="E36" s="258" t="inlineStr">
        <is>
          <t>Sum of EV @ Status</t>
        </is>
      </c>
      <c r="F36" s="258" t="inlineStr">
        <is>
          <t>Sum of SV</t>
        </is>
      </c>
      <c r="G36" s="258" t="inlineStr">
        <is>
          <t>Sum of CV</t>
        </is>
      </c>
      <c r="H36" s="258" t="inlineStr">
        <is>
          <t>Sum of VAC</t>
        </is>
      </c>
    </row>
    <row r="37">
      <c r="A37" s="269" t="inlineStr">
        <is>
          <t>Green</t>
        </is>
      </c>
      <c r="B37" s="270" t="n">
        <v>73200</v>
      </c>
      <c r="C37" s="270" t="n">
        <v>61200</v>
      </c>
      <c r="D37" s="270" t="n">
        <v>59495.04</v>
      </c>
      <c r="E37" s="270" t="n">
        <v>61200</v>
      </c>
      <c r="F37" s="270" t="n">
        <v>0</v>
      </c>
      <c r="G37" s="270" t="n">
        <v>1704.959999999999</v>
      </c>
      <c r="H37" s="270" t="n">
        <v>1704.959999999999</v>
      </c>
    </row>
    <row r="38">
      <c r="A38" s="269" t="inlineStr">
        <is>
          <t>Red</t>
        </is>
      </c>
      <c r="B38" s="270" t="n">
        <v>195450</v>
      </c>
      <c r="C38" s="270" t="n">
        <v>159033.34</v>
      </c>
      <c r="D38" s="270" t="n">
        <v>82490.39999999999</v>
      </c>
      <c r="E38" s="270" t="n">
        <v>70267.996</v>
      </c>
      <c r="F38" s="270" t="n">
        <v>-88765.344</v>
      </c>
      <c r="G38" s="270" t="n">
        <v>-12222.40399999999</v>
      </c>
      <c r="H38" s="270" t="n">
        <v>-21264.87219374982</v>
      </c>
    </row>
    <row r="39">
      <c r="A39" s="269" t="inlineStr">
        <is>
          <t>Grand Total</t>
        </is>
      </c>
      <c r="B39" s="270" t="n">
        <v>268650</v>
      </c>
      <c r="C39" s="270" t="n">
        <v>220233.34</v>
      </c>
      <c r="D39" s="270" t="n">
        <v>141985.44</v>
      </c>
      <c r="E39" s="270" t="n">
        <v>131467.996</v>
      </c>
      <c r="F39" s="270" t="n">
        <v>-88765.344</v>
      </c>
      <c r="G39" s="270" t="n">
        <v>-10517.444</v>
      </c>
      <c r="H39" s="270" t="n">
        <v>-19559.91219374982</v>
      </c>
    </row>
    <row r="44">
      <c r="A44" s="261" t="inlineStr">
        <is>
          <t>PIVOT: ACTUAL COSTS BY WBS</t>
        </is>
      </c>
      <c r="B44" s="261" t="n"/>
      <c r="C44" s="261" t="n"/>
    </row>
    <row r="45">
      <c r="A45" s="266" t="inlineStr">
        <is>
          <t>Row Labels</t>
        </is>
      </c>
      <c r="B45" s="258" t="inlineStr">
        <is>
          <t>Sum of Actual_Cost</t>
        </is>
      </c>
      <c r="C45" s="258" t="inlineStr">
        <is>
          <t>Sum of Hours_Worked</t>
        </is>
      </c>
    </row>
    <row r="46">
      <c r="A46" s="269" t="inlineStr">
        <is>
          <t>WBS-01</t>
        </is>
      </c>
      <c r="B46" s="270" t="n">
        <v>9600</v>
      </c>
      <c r="C46" s="272" t="n">
        <v>6.3</v>
      </c>
    </row>
    <row r="47">
      <c r="A47" s="269" t="inlineStr">
        <is>
          <t>WBS-02</t>
        </is>
      </c>
      <c r="B47" s="270" t="n">
        <v>8700</v>
      </c>
      <c r="C47" s="272" t="n">
        <v>3.95</v>
      </c>
    </row>
    <row r="48">
      <c r="A48" s="269" t="inlineStr">
        <is>
          <t>WBS-03</t>
        </is>
      </c>
      <c r="B48" s="270" t="n">
        <v>18195.04</v>
      </c>
      <c r="C48" s="272" t="n">
        <v>7.599999999999998</v>
      </c>
    </row>
    <row r="49">
      <c r="A49" s="269" t="inlineStr">
        <is>
          <t>WBS-04</t>
        </is>
      </c>
      <c r="B49" s="270" t="n">
        <v>41300</v>
      </c>
      <c r="C49" s="272" t="n">
        <v>0</v>
      </c>
    </row>
    <row r="50">
      <c r="A50" s="269" t="inlineStr">
        <is>
          <t>WBS-05</t>
        </is>
      </c>
      <c r="B50" s="270" t="n">
        <v>13408.16</v>
      </c>
      <c r="C50" s="272" t="n">
        <v>6.049999999999999</v>
      </c>
    </row>
    <row r="51">
      <c r="A51" s="269" t="inlineStr">
        <is>
          <t>WBS-06</t>
        </is>
      </c>
      <c r="B51" s="270" t="n">
        <v>26206.24</v>
      </c>
      <c r="C51" s="272" t="n">
        <v>10.1</v>
      </c>
    </row>
    <row r="52">
      <c r="A52" s="269" t="inlineStr">
        <is>
          <t>WBS-07</t>
        </is>
      </c>
      <c r="B52" s="270" t="n">
        <v>17476.8</v>
      </c>
      <c r="C52" s="272" t="n">
        <v>0</v>
      </c>
    </row>
    <row r="53">
      <c r="A53" s="269" t="inlineStr">
        <is>
          <t>WBS-08</t>
        </is>
      </c>
      <c r="B53" s="270" t="n">
        <v>7099.2</v>
      </c>
      <c r="C53" s="272" t="n">
        <v>0</v>
      </c>
    </row>
    <row r="54">
      <c r="A54" s="269" t="inlineStr">
        <is>
          <t>Grand Total</t>
        </is>
      </c>
      <c r="B54" s="270" t="n">
        <v>141985.44</v>
      </c>
      <c r="C54" s="272" t="n">
        <v>34</v>
      </c>
    </row>
    <row r="62">
      <c r="A62" s="261" t="inlineStr">
        <is>
          <t>PIVOT: WEEKLY EVM SUMMARY</t>
        </is>
      </c>
      <c r="B62" s="261" t="n"/>
      <c r="C62" s="261" t="n"/>
      <c r="D62" s="261" t="n"/>
      <c r="E62" s="261" t="n"/>
      <c r="F62" s="261" t="n"/>
      <c r="G62" s="261" t="n"/>
    </row>
    <row r="63">
      <c r="A63" s="266" t="inlineStr">
        <is>
          <t>Row Labels</t>
        </is>
      </c>
      <c r="B63" s="258" t="inlineStr">
        <is>
          <t>Sum of Cum PV</t>
        </is>
      </c>
      <c r="C63" s="258" t="inlineStr">
        <is>
          <t>Sum of Cum AC</t>
        </is>
      </c>
      <c r="D63" s="258" t="inlineStr">
        <is>
          <t>Sum of Cum EV</t>
        </is>
      </c>
      <c r="E63" s="258" t="inlineStr">
        <is>
          <t>Sum of SV</t>
        </is>
      </c>
      <c r="F63" s="258" t="inlineStr">
        <is>
          <t>Sum of CV</t>
        </is>
      </c>
      <c r="G63" s="258" t="inlineStr">
        <is>
          <t>Sum of VAC</t>
        </is>
      </c>
    </row>
    <row r="64">
      <c r="A64" s="269" t="n">
        <v>1</v>
      </c>
      <c r="B64" s="270" t="n">
        <v>16400</v>
      </c>
      <c r="C64" s="270" t="n">
        <v>16295.04</v>
      </c>
      <c r="D64" s="270" t="n">
        <v>15087.994</v>
      </c>
      <c r="E64" s="270" t="n">
        <v>-1312.005999999999</v>
      </c>
      <c r="F64" s="270" t="n">
        <v>-1207.046</v>
      </c>
      <c r="G64" s="270" t="n">
        <v>-21492.11537995044</v>
      </c>
    </row>
    <row r="65">
      <c r="A65" s="269" t="n">
        <v>2</v>
      </c>
      <c r="B65" s="270" t="n">
        <v>39200</v>
      </c>
      <c r="C65" s="270" t="n">
        <v>38949.12</v>
      </c>
      <c r="D65" s="270" t="n">
        <v>36064.0036</v>
      </c>
      <c r="E65" s="270" t="n">
        <v>-3135.996399999996</v>
      </c>
      <c r="F65" s="270" t="n">
        <v>-2885.116399999999</v>
      </c>
      <c r="G65" s="270" t="n">
        <v>-21491.97103729215</v>
      </c>
    </row>
    <row r="66">
      <c r="A66" s="269" t="n">
        <v>3</v>
      </c>
      <c r="B66" s="270" t="n">
        <v>62000</v>
      </c>
      <c r="C66" s="270" t="n">
        <v>61603.2</v>
      </c>
      <c r="D66" s="270" t="n">
        <v>57040</v>
      </c>
      <c r="E66" s="270" t="n">
        <v>-4960</v>
      </c>
      <c r="F66" s="270" t="n">
        <v>-4563.200000000004</v>
      </c>
      <c r="G66" s="270" t="n">
        <v>-21492.00000000006</v>
      </c>
    </row>
    <row r="67">
      <c r="A67" s="269" t="n">
        <v>4</v>
      </c>
      <c r="B67" s="270" t="n">
        <v>87066.67</v>
      </c>
      <c r="C67" s="270" t="n">
        <v>86509.44000000002</v>
      </c>
      <c r="D67" s="270" t="n">
        <v>80101.32799999999</v>
      </c>
      <c r="E67" s="270" t="n">
        <v>-6965.342000000004</v>
      </c>
      <c r="F67" s="270" t="n">
        <v>-6408.112000000023</v>
      </c>
      <c r="G67" s="270" t="n">
        <v>-21492.0193183315</v>
      </c>
    </row>
    <row r="68">
      <c r="A68" s="269" t="n">
        <v>5</v>
      </c>
      <c r="B68" s="270" t="n">
        <v>116733.34</v>
      </c>
      <c r="C68" s="270" t="n">
        <v>115986.24</v>
      </c>
      <c r="D68" s="270" t="n">
        <v>107394.674</v>
      </c>
      <c r="E68" s="270" t="n">
        <v>-9338.665999999997</v>
      </c>
      <c r="F68" s="270" t="n">
        <v>-8591.566000000021</v>
      </c>
      <c r="G68" s="270" t="n">
        <v>-21491.98018795613</v>
      </c>
    </row>
    <row r="69">
      <c r="A69" s="269" t="n">
        <v>6</v>
      </c>
      <c r="B69" s="270" t="n">
        <v>142900</v>
      </c>
      <c r="C69" s="270" t="n">
        <v>141985.44</v>
      </c>
      <c r="D69" s="270" t="n">
        <v>131467.996</v>
      </c>
      <c r="E69" s="270" t="n">
        <v>-11432.00399999999</v>
      </c>
      <c r="F69" s="270" t="n">
        <v>-10517.44399999999</v>
      </c>
      <c r="G69" s="270" t="n">
        <v>-21492.00882776058</v>
      </c>
    </row>
    <row r="70">
      <c r="A70" s="269" t="n">
        <v>7</v>
      </c>
      <c r="B70" s="270" t="n">
        <v>160400</v>
      </c>
      <c r="C70" s="270" t="n">
        <v>141985.44</v>
      </c>
      <c r="D70" s="270" t="n">
        <v>131467.996</v>
      </c>
      <c r="E70" s="270" t="n">
        <v>-28932.00399999999</v>
      </c>
      <c r="F70" s="270" t="n">
        <v>-10517.44399999999</v>
      </c>
      <c r="G70" s="270" t="n">
        <v>-21492.00882776058</v>
      </c>
    </row>
    <row r="71">
      <c r="A71" s="269" t="n">
        <v>8</v>
      </c>
      <c r="B71" s="270" t="n">
        <v>189816.67</v>
      </c>
      <c r="C71" s="270" t="n">
        <v>141985.44</v>
      </c>
      <c r="D71" s="270" t="n">
        <v>131467.996</v>
      </c>
      <c r="E71" s="270" t="n">
        <v>-58348.674</v>
      </c>
      <c r="F71" s="270" t="n">
        <v>-10517.44399999999</v>
      </c>
      <c r="G71" s="270" t="n">
        <v>-21492.00882776058</v>
      </c>
    </row>
    <row r="72">
      <c r="A72" s="269" t="n">
        <v>9</v>
      </c>
      <c r="B72" s="270" t="n">
        <v>220233.34</v>
      </c>
      <c r="C72" s="270" t="n">
        <v>141985.44</v>
      </c>
      <c r="D72" s="270" t="n">
        <v>131467.996</v>
      </c>
      <c r="E72" s="270" t="n">
        <v>-88765.34400000001</v>
      </c>
      <c r="F72" s="270" t="n">
        <v>-10517.44399999999</v>
      </c>
      <c r="G72" s="270" t="n">
        <v>-21492.00882776058</v>
      </c>
    </row>
    <row r="73">
      <c r="A73" s="269" t="n">
        <v>10</v>
      </c>
      <c r="B73" s="270" t="n">
        <v>243650</v>
      </c>
      <c r="C73" s="270" t="n">
        <v>141985.44</v>
      </c>
      <c r="D73" s="270" t="n">
        <v>131467.996</v>
      </c>
      <c r="E73" s="270" t="n">
        <v>-112182.004</v>
      </c>
      <c r="F73" s="270" t="n">
        <v>-10517.44399999999</v>
      </c>
      <c r="G73" s="270" t="n">
        <v>-21492.00882776058</v>
      </c>
    </row>
    <row r="74">
      <c r="A74" s="269" t="n">
        <v>11</v>
      </c>
      <c r="B74" s="270" t="n">
        <v>259350</v>
      </c>
      <c r="C74" s="270" t="n">
        <v>141985.44</v>
      </c>
      <c r="D74" s="270" t="n">
        <v>131467.996</v>
      </c>
      <c r="E74" s="270" t="n">
        <v>-127882.004</v>
      </c>
      <c r="F74" s="270" t="n">
        <v>-10517.44399999999</v>
      </c>
      <c r="G74" s="270" t="n">
        <v>-21492.00882776058</v>
      </c>
    </row>
    <row r="75">
      <c r="A75" s="269" t="n">
        <v>12</v>
      </c>
      <c r="B75" s="270" t="n">
        <v>268650</v>
      </c>
      <c r="C75" s="270" t="n">
        <v>141985.44</v>
      </c>
      <c r="D75" s="270" t="n">
        <v>131467.996</v>
      </c>
      <c r="E75" s="270" t="n">
        <v>-137182.004</v>
      </c>
      <c r="F75" s="270" t="n">
        <v>-10517.44399999999</v>
      </c>
      <c r="G75" s="270" t="n">
        <v>-21492.00882776058</v>
      </c>
    </row>
    <row r="76">
      <c r="A76" s="269" t="inlineStr">
        <is>
          <t>Grand Total</t>
        </is>
      </c>
      <c r="B76" s="270" t="n">
        <v>1806400.02</v>
      </c>
      <c r="C76" s="270" t="n">
        <v>1313241.12</v>
      </c>
      <c r="D76" s="270" t="n">
        <v>1215963.9716</v>
      </c>
      <c r="E76" s="270" t="n">
        <v>-590436.0484</v>
      </c>
      <c r="F76" s="270" t="n">
        <v>-97277.14839999998</v>
      </c>
      <c r="G76" s="270" t="n">
        <v>-257904.1477178544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70AD47"/>
    <outlinePr summaryBelow="1" summaryRight="1"/>
    <pageSetUpPr/>
  </sheetPr>
  <dimension ref="A1:Z35"/>
  <sheetViews>
    <sheetView showGridLines="0" workbookViewId="0">
      <selection activeCell="A1" sqref="A1:Z1"/>
    </sheetView>
  </sheetViews>
  <sheetFormatPr baseColWidth="8" defaultRowHeight="14.5"/>
  <cols>
    <col width="41.26953125" customWidth="1" style="120" min="1" max="1"/>
    <col width="30.90625" customWidth="1" style="120" min="2" max="2"/>
    <col width="19.08984375" customWidth="1" style="120" min="3" max="3"/>
    <col width="11.81640625" customWidth="1" style="120" min="4" max="4"/>
    <col width="10.90625" customWidth="1" style="120" min="5" max="11"/>
    <col width="14.81640625" customWidth="1" style="120" min="12" max="12"/>
    <col width="10.90625" customWidth="1" style="120" min="13" max="16"/>
    <col width="14.54296875" customWidth="1" style="120" min="17" max="18"/>
    <col width="16.08984375" customWidth="1" style="120" min="19" max="19"/>
    <col width="15.36328125" customWidth="1" style="120" min="20" max="20"/>
    <col width="14.54296875" customWidth="1" style="120" min="21" max="22"/>
    <col width="25.453125" customWidth="1" style="120" min="23" max="24"/>
    <col width="5.453125" customWidth="1" style="120" min="25" max="26"/>
  </cols>
  <sheetData>
    <row r="1" ht="23.5" customHeight="1" s="120">
      <c r="A1" s="101" t="inlineStr">
        <is>
          <t>Resource Allocation Grid</t>
        </is>
      </c>
    </row>
    <row r="2">
      <c r="A2" s="102" t="inlineStr">
        <is>
          <t>Weekly hours and cost grid adapted from the attached Gantt template: rows are WBS tasks; columns are reporting weeks; totals are live formulas from actual-cost facts.</t>
        </is>
      </c>
    </row>
    <row r="4">
      <c r="A4" s="132" t="inlineStr">
        <is>
          <t>WBS ID</t>
        </is>
      </c>
      <c r="B4" s="126" t="inlineStr">
        <is>
          <t>Activity</t>
        </is>
      </c>
      <c r="C4" s="126" t="inlineStr">
        <is>
          <t>Resource / Role</t>
        </is>
      </c>
      <c r="D4" s="126" t="inlineStr">
        <is>
          <t>Measure</t>
        </is>
      </c>
      <c r="E4" s="126" t="inlineStr">
        <is>
          <t>Wk1</t>
        </is>
      </c>
      <c r="F4" s="126" t="inlineStr">
        <is>
          <t>Wk2</t>
        </is>
      </c>
      <c r="G4" s="126" t="inlineStr">
        <is>
          <t>Wk3</t>
        </is>
      </c>
      <c r="H4" s="126" t="inlineStr">
        <is>
          <t>Wk4</t>
        </is>
      </c>
      <c r="I4" s="126" t="inlineStr">
        <is>
          <t>Wk5</t>
        </is>
      </c>
      <c r="J4" s="126" t="inlineStr">
        <is>
          <t>Wk6</t>
        </is>
      </c>
      <c r="K4" s="126" t="inlineStr">
        <is>
          <t>Wk7</t>
        </is>
      </c>
      <c r="L4" s="126" t="inlineStr">
        <is>
          <t>Wk8</t>
        </is>
      </c>
      <c r="M4" s="126" t="inlineStr">
        <is>
          <t>Wk9</t>
        </is>
      </c>
      <c r="N4" s="126" t="inlineStr">
        <is>
          <t>Wk10</t>
        </is>
      </c>
      <c r="O4" s="126" t="inlineStr">
        <is>
          <t>Wk11</t>
        </is>
      </c>
      <c r="P4" s="126" t="inlineStr">
        <is>
          <t>Wk12</t>
        </is>
      </c>
      <c r="Q4" s="126" t="inlineStr">
        <is>
          <t>Total</t>
        </is>
      </c>
      <c r="R4" s="126" t="inlineStr">
        <is>
          <t>BAC</t>
        </is>
      </c>
      <c r="S4" s="126" t="inlineStr">
        <is>
          <t>Actual @ Status</t>
        </is>
      </c>
      <c r="T4" s="126" t="inlineStr">
        <is>
          <t>Remaining BAC</t>
        </is>
      </c>
      <c r="U4" s="126" t="inlineStr">
        <is>
          <t>CPI</t>
        </is>
      </c>
      <c r="V4" s="126" t="inlineStr">
        <is>
          <t>RAG</t>
        </is>
      </c>
      <c r="W4" s="126" t="inlineStr">
        <is>
          <t>Template source</t>
        </is>
      </c>
      <c r="X4" s="133" t="inlineStr">
        <is>
          <t>Notes</t>
        </is>
      </c>
      <c r="Y4" s="45" t="n"/>
      <c r="Z4" s="45" t="n"/>
    </row>
    <row r="5">
      <c r="A5" s="130" t="inlineStr">
        <is>
          <t>WBS-01</t>
        </is>
      </c>
      <c r="B5" s="2" t="inlineStr">
        <is>
          <t>Project Management</t>
        </is>
      </c>
      <c r="C5" s="2" t="inlineStr">
        <is>
          <t>Labor</t>
        </is>
      </c>
      <c r="D5" s="2" t="inlineStr">
        <is>
          <t>Hours</t>
        </is>
      </c>
      <c r="E5" s="50" t="n">
        <v>1.05</v>
      </c>
      <c r="F5" s="50" t="n">
        <v>1.05</v>
      </c>
      <c r="G5" s="50" t="n">
        <v>1.05</v>
      </c>
      <c r="H5" s="50" t="n">
        <v>1.05</v>
      </c>
      <c r="I5" s="50" t="n">
        <v>1.05</v>
      </c>
      <c r="J5" s="50" t="n">
        <v>1.05</v>
      </c>
      <c r="K5" s="50" t="n">
        <v>0</v>
      </c>
      <c r="L5" s="50" t="n">
        <v>0</v>
      </c>
      <c r="M5" s="50" t="n">
        <v>0</v>
      </c>
      <c r="N5" s="50" t="n">
        <v>0</v>
      </c>
      <c r="O5" s="50" t="n">
        <v>0</v>
      </c>
      <c r="P5" s="50" t="n">
        <v>0</v>
      </c>
      <c r="Q5" s="50" t="n">
        <v>6.3</v>
      </c>
      <c r="R5" s="49" t="n">
        <v>18000</v>
      </c>
      <c r="S5" s="49" t="n">
        <v>9600</v>
      </c>
      <c r="T5" s="49" t="n">
        <v>8400</v>
      </c>
      <c r="U5" s="50" t="n">
        <v>0.9375</v>
      </c>
      <c r="V5" s="2" t="inlineStr">
        <is>
          <t>Red</t>
        </is>
      </c>
      <c r="W5" s="2" t="inlineStr">
        <is>
          <t>8.1.2 Gantt template from garden office</t>
        </is>
      </c>
      <c r="X5" s="131" t="inlineStr">
        <is>
          <t>Hours row</t>
        </is>
      </c>
      <c r="Y5" s="2" t="n"/>
      <c r="Z5" s="2" t="n"/>
    </row>
    <row r="6">
      <c r="A6" s="130" t="inlineStr">
        <is>
          <t>WBS-01</t>
        </is>
      </c>
      <c r="B6" s="2" t="inlineStr">
        <is>
          <t>Project Management</t>
        </is>
      </c>
      <c r="C6" s="2" t="inlineStr">
        <is>
          <t>Labor</t>
        </is>
      </c>
      <c r="D6" s="2" t="inlineStr">
        <is>
          <t>Cost</t>
        </is>
      </c>
      <c r="E6" s="50" t="n">
        <v>1600</v>
      </c>
      <c r="F6" s="50" t="n">
        <v>1600</v>
      </c>
      <c r="G6" s="50" t="n">
        <v>1600</v>
      </c>
      <c r="H6" s="50" t="n">
        <v>1600</v>
      </c>
      <c r="I6" s="50" t="n">
        <v>1600</v>
      </c>
      <c r="J6" s="50" t="n">
        <v>1600</v>
      </c>
      <c r="K6" s="50" t="n">
        <v>0</v>
      </c>
      <c r="L6" s="50" t="n">
        <v>0</v>
      </c>
      <c r="M6" s="50" t="n">
        <v>0</v>
      </c>
      <c r="N6" s="50" t="n">
        <v>0</v>
      </c>
      <c r="O6" s="50" t="n">
        <v>0</v>
      </c>
      <c r="P6" s="50" t="n">
        <v>0</v>
      </c>
      <c r="Q6" s="50" t="n">
        <v>9600</v>
      </c>
      <c r="R6" s="49" t="n">
        <v>18000</v>
      </c>
      <c r="S6" s="49" t="n">
        <v>9600</v>
      </c>
      <c r="T6" s="49" t="n">
        <v>8400</v>
      </c>
      <c r="U6" s="50" t="n">
        <v>0.9375</v>
      </c>
      <c r="V6" s="2" t="inlineStr">
        <is>
          <t>Red</t>
        </is>
      </c>
      <c r="W6" s="2" t="inlineStr">
        <is>
          <t>8.1.2 Gantt template from garden office</t>
        </is>
      </c>
      <c r="X6" s="131" t="inlineStr">
        <is>
          <t>Cost row</t>
        </is>
      </c>
      <c r="Y6" s="2" t="n"/>
      <c r="Z6" s="2" t="n"/>
    </row>
    <row r="7">
      <c r="A7" s="130" t="inlineStr">
        <is>
          <t>WBS-02</t>
        </is>
      </c>
      <c r="B7" s="2" t="inlineStr">
        <is>
          <t>Site Survey &amp; Mobilization</t>
        </is>
      </c>
      <c r="C7" s="2" t="inlineStr">
        <is>
          <t>Labor</t>
        </is>
      </c>
      <c r="D7" s="2" t="inlineStr">
        <is>
          <t>Hours</t>
        </is>
      </c>
      <c r="E7" s="50" t="n">
        <v>3.95</v>
      </c>
      <c r="F7" s="50" t="n">
        <v>0</v>
      </c>
      <c r="G7" s="50" t="n">
        <v>0</v>
      </c>
      <c r="H7" s="50" t="n">
        <v>0</v>
      </c>
      <c r="I7" s="50" t="n">
        <v>0</v>
      </c>
      <c r="J7" s="50" t="n">
        <v>0</v>
      </c>
      <c r="K7" s="50" t="n">
        <v>0</v>
      </c>
      <c r="L7" s="50" t="n">
        <v>0</v>
      </c>
      <c r="M7" s="50" t="n">
        <v>0</v>
      </c>
      <c r="N7" s="50" t="n">
        <v>0</v>
      </c>
      <c r="O7" s="50" t="n">
        <v>0</v>
      </c>
      <c r="P7" s="50" t="n">
        <v>0</v>
      </c>
      <c r="Q7" s="50" t="n">
        <v>3.95</v>
      </c>
      <c r="R7" s="49" t="n">
        <v>8500</v>
      </c>
      <c r="S7" s="49" t="n">
        <v>8700</v>
      </c>
      <c r="T7" s="49" t="n">
        <v>-200</v>
      </c>
      <c r="U7" s="50" t="n">
        <v>0.9770114942528736</v>
      </c>
      <c r="V7" s="2" t="inlineStr">
        <is>
          <t>Amber</t>
        </is>
      </c>
      <c r="W7" s="2" t="inlineStr">
        <is>
          <t>8.1.2 Gantt template from garden office</t>
        </is>
      </c>
      <c r="X7" s="131" t="inlineStr">
        <is>
          <t>Hours row</t>
        </is>
      </c>
      <c r="Y7" s="2" t="n"/>
      <c r="Z7" s="2" t="n"/>
    </row>
    <row r="8">
      <c r="A8" s="130" t="inlineStr">
        <is>
          <t>WBS-02</t>
        </is>
      </c>
      <c r="B8" s="2" t="inlineStr">
        <is>
          <t>Site Survey &amp; Mobilization</t>
        </is>
      </c>
      <c r="C8" s="2" t="inlineStr">
        <is>
          <t>Labor</t>
        </is>
      </c>
      <c r="D8" s="2" t="inlineStr">
        <is>
          <t>Cost</t>
        </is>
      </c>
      <c r="E8" s="50" t="n">
        <v>8700</v>
      </c>
      <c r="F8" s="50" t="n">
        <v>0</v>
      </c>
      <c r="G8" s="50" t="n">
        <v>0</v>
      </c>
      <c r="H8" s="50" t="n">
        <v>0</v>
      </c>
      <c r="I8" s="50" t="n">
        <v>0</v>
      </c>
      <c r="J8" s="50" t="n">
        <v>0</v>
      </c>
      <c r="K8" s="50" t="n">
        <v>0</v>
      </c>
      <c r="L8" s="50" t="n">
        <v>0</v>
      </c>
      <c r="M8" s="50" t="n">
        <v>0</v>
      </c>
      <c r="N8" s="50" t="n">
        <v>0</v>
      </c>
      <c r="O8" s="50" t="n">
        <v>0</v>
      </c>
      <c r="P8" s="50" t="n">
        <v>0</v>
      </c>
      <c r="Q8" s="50" t="n">
        <v>8700</v>
      </c>
      <c r="R8" s="49" t="n">
        <v>8500</v>
      </c>
      <c r="S8" s="49" t="n">
        <v>8700</v>
      </c>
      <c r="T8" s="49" t="n">
        <v>-200</v>
      </c>
      <c r="U8" s="50" t="n">
        <v>0.9770114942528736</v>
      </c>
      <c r="V8" s="2" t="inlineStr">
        <is>
          <t>Amber</t>
        </is>
      </c>
      <c r="W8" s="2" t="inlineStr">
        <is>
          <t>8.1.2 Gantt template from garden office</t>
        </is>
      </c>
      <c r="X8" s="131" t="inlineStr">
        <is>
          <t>Cost row</t>
        </is>
      </c>
      <c r="Y8" s="2" t="n"/>
      <c r="Z8" s="2" t="n"/>
    </row>
    <row r="9">
      <c r="A9" s="130" t="inlineStr">
        <is>
          <t>WBS-03</t>
        </is>
      </c>
      <c r="B9" s="2" t="inlineStr">
        <is>
          <t>Design &amp; Engineering</t>
        </is>
      </c>
      <c r="C9" s="2" t="inlineStr">
        <is>
          <t>Labor</t>
        </is>
      </c>
      <c r="D9" s="2" t="inlineStr">
        <is>
          <t>Hours</t>
        </is>
      </c>
      <c r="E9" s="50" t="n">
        <v>2.5</v>
      </c>
      <c r="F9" s="50" t="n">
        <v>2.5</v>
      </c>
      <c r="G9" s="50" t="n">
        <v>2.6</v>
      </c>
      <c r="H9" s="50" t="n">
        <v>0</v>
      </c>
      <c r="I9" s="50" t="n">
        <v>0</v>
      </c>
      <c r="J9" s="50" t="n">
        <v>0</v>
      </c>
      <c r="K9" s="50" t="n">
        <v>0</v>
      </c>
      <c r="L9" s="50" t="n">
        <v>0</v>
      </c>
      <c r="M9" s="50" t="n">
        <v>0</v>
      </c>
      <c r="N9" s="50" t="n">
        <v>0</v>
      </c>
      <c r="O9" s="50" t="n">
        <v>0</v>
      </c>
      <c r="P9" s="50" t="n">
        <v>0</v>
      </c>
      <c r="Q9" s="50" t="n">
        <v>7.6</v>
      </c>
      <c r="R9" s="49" t="n">
        <v>19200</v>
      </c>
      <c r="S9" s="49" t="n">
        <v>18195.04</v>
      </c>
      <c r="T9" s="49" t="n">
        <v>1004.959999999999</v>
      </c>
      <c r="U9" s="50" t="n">
        <v>1.055232634827953</v>
      </c>
      <c r="V9" s="2" t="inlineStr">
        <is>
          <t>Green</t>
        </is>
      </c>
      <c r="W9" s="2" t="inlineStr">
        <is>
          <t>8.1.2 Gantt template from garden office</t>
        </is>
      </c>
      <c r="X9" s="131" t="inlineStr">
        <is>
          <t>Hours row</t>
        </is>
      </c>
      <c r="Y9" s="2" t="n"/>
      <c r="Z9" s="2" t="n"/>
    </row>
    <row r="10">
      <c r="A10" s="130" t="inlineStr">
        <is>
          <t>WBS-03</t>
        </is>
      </c>
      <c r="B10" s="2" t="inlineStr">
        <is>
          <t>Design &amp; Engineering</t>
        </is>
      </c>
      <c r="C10" s="2" t="inlineStr">
        <is>
          <t>Labor</t>
        </is>
      </c>
      <c r="D10" s="2" t="inlineStr">
        <is>
          <t>Cost</t>
        </is>
      </c>
      <c r="E10" s="50" t="n">
        <v>5995.04</v>
      </c>
      <c r="F10" s="50" t="n">
        <v>6000</v>
      </c>
      <c r="G10" s="50" t="n">
        <v>6200</v>
      </c>
      <c r="H10" s="50" t="n">
        <v>0</v>
      </c>
      <c r="I10" s="50" t="n">
        <v>0</v>
      </c>
      <c r="J10" s="50" t="n">
        <v>0</v>
      </c>
      <c r="K10" s="50" t="n">
        <v>0</v>
      </c>
      <c r="L10" s="50" t="n">
        <v>0</v>
      </c>
      <c r="M10" s="50" t="n">
        <v>0</v>
      </c>
      <c r="N10" s="50" t="n">
        <v>0</v>
      </c>
      <c r="O10" s="50" t="n">
        <v>0</v>
      </c>
      <c r="P10" s="50" t="n">
        <v>0</v>
      </c>
      <c r="Q10" s="50" t="n">
        <v>18195.04</v>
      </c>
      <c r="R10" s="49" t="n">
        <v>19200</v>
      </c>
      <c r="S10" s="49" t="n">
        <v>18195.04</v>
      </c>
      <c r="T10" s="49" t="n">
        <v>1004.959999999999</v>
      </c>
      <c r="U10" s="50" t="n">
        <v>1.055232634827953</v>
      </c>
      <c r="V10" s="2" t="inlineStr">
        <is>
          <t>Green</t>
        </is>
      </c>
      <c r="W10" s="2" t="inlineStr">
        <is>
          <t>8.1.2 Gantt template from garden office</t>
        </is>
      </c>
      <c r="X10" s="131" t="inlineStr">
        <is>
          <t>Cost row</t>
        </is>
      </c>
      <c r="Y10" s="2" t="n"/>
      <c r="Z10" s="2" t="n"/>
    </row>
    <row r="11">
      <c r="A11" s="130" t="inlineStr">
        <is>
          <t>WBS-04</t>
        </is>
      </c>
      <c r="B11" s="2" t="inlineStr">
        <is>
          <t>Procurement - Materials</t>
        </is>
      </c>
      <c r="C11" s="2" t="inlineStr">
        <is>
          <t>Material</t>
        </is>
      </c>
      <c r="D11" s="2" t="inlineStr">
        <is>
          <t>Hours</t>
        </is>
      </c>
      <c r="E11" s="50" t="n">
        <v>0</v>
      </c>
      <c r="F11" s="50" t="n">
        <v>0</v>
      </c>
      <c r="G11" s="50" t="n">
        <v>0</v>
      </c>
      <c r="H11" s="50" t="n">
        <v>0</v>
      </c>
      <c r="I11" s="50" t="n">
        <v>0</v>
      </c>
      <c r="J11" s="50" t="n">
        <v>0</v>
      </c>
      <c r="K11" s="50" t="n">
        <v>0</v>
      </c>
      <c r="L11" s="50" t="n">
        <v>0</v>
      </c>
      <c r="M11" s="50" t="n">
        <v>0</v>
      </c>
      <c r="N11" s="50" t="n">
        <v>0</v>
      </c>
      <c r="O11" s="50" t="n">
        <v>0</v>
      </c>
      <c r="P11" s="50" t="n">
        <v>0</v>
      </c>
      <c r="Q11" s="50" t="n">
        <v>0</v>
      </c>
      <c r="R11" s="49" t="n">
        <v>42000</v>
      </c>
      <c r="S11" s="49" t="n">
        <v>41300</v>
      </c>
      <c r="T11" s="49" t="n">
        <v>700</v>
      </c>
      <c r="U11" s="50" t="n">
        <v>1.016949152542373</v>
      </c>
      <c r="V11" s="2" t="inlineStr">
        <is>
          <t>Green</t>
        </is>
      </c>
      <c r="W11" s="2" t="inlineStr">
        <is>
          <t>8.1.2 Gantt template from garden office</t>
        </is>
      </c>
      <c r="X11" s="131" t="inlineStr">
        <is>
          <t>Hours row</t>
        </is>
      </c>
      <c r="Y11" s="2" t="n"/>
      <c r="Z11" s="2" t="n"/>
    </row>
    <row r="12">
      <c r="A12" s="130" t="inlineStr">
        <is>
          <t>WBS-04</t>
        </is>
      </c>
      <c r="B12" s="2" t="inlineStr">
        <is>
          <t>Procurement - Materials</t>
        </is>
      </c>
      <c r="C12" s="2" t="inlineStr">
        <is>
          <t>Material</t>
        </is>
      </c>
      <c r="D12" s="2" t="inlineStr">
        <is>
          <t>Cost</t>
        </is>
      </c>
      <c r="E12" s="50" t="n">
        <v>0</v>
      </c>
      <c r="F12" s="50" t="n">
        <v>10500</v>
      </c>
      <c r="G12" s="50" t="n">
        <v>10200</v>
      </c>
      <c r="H12" s="50" t="n">
        <v>10200</v>
      </c>
      <c r="I12" s="50" t="n">
        <v>10400</v>
      </c>
      <c r="J12" s="50" t="n">
        <v>0</v>
      </c>
      <c r="K12" s="50" t="n">
        <v>0</v>
      </c>
      <c r="L12" s="50" t="n">
        <v>0</v>
      </c>
      <c r="M12" s="50" t="n">
        <v>0</v>
      </c>
      <c r="N12" s="50" t="n">
        <v>0</v>
      </c>
      <c r="O12" s="50" t="n">
        <v>0</v>
      </c>
      <c r="P12" s="50" t="n">
        <v>0</v>
      </c>
      <c r="Q12" s="50" t="n">
        <v>41300</v>
      </c>
      <c r="R12" s="49" t="n">
        <v>42000</v>
      </c>
      <c r="S12" s="49" t="n">
        <v>41300</v>
      </c>
      <c r="T12" s="49" t="n">
        <v>700</v>
      </c>
      <c r="U12" s="50" t="n">
        <v>1.016949152542373</v>
      </c>
      <c r="V12" s="2" t="inlineStr">
        <is>
          <t>Green</t>
        </is>
      </c>
      <c r="W12" s="2" t="inlineStr">
        <is>
          <t>8.1.2 Gantt template from garden office</t>
        </is>
      </c>
      <c r="X12" s="131" t="inlineStr">
        <is>
          <t>Cost row</t>
        </is>
      </c>
      <c r="Y12" s="2" t="n"/>
      <c r="Z12" s="2" t="n"/>
    </row>
    <row r="13">
      <c r="A13" s="130" t="inlineStr">
        <is>
          <t>WBS-05</t>
        </is>
      </c>
      <c r="B13" s="2" t="inlineStr">
        <is>
          <t>Demolition &amp; Prep</t>
        </is>
      </c>
      <c r="C13" s="2" t="inlineStr">
        <is>
          <t>Labor</t>
        </is>
      </c>
      <c r="D13" s="2" t="inlineStr">
        <is>
          <t>Hours</t>
        </is>
      </c>
      <c r="E13" s="50" t="n">
        <v>0</v>
      </c>
      <c r="F13" s="50" t="n">
        <v>2.05</v>
      </c>
      <c r="G13" s="50" t="n">
        <v>2.1</v>
      </c>
      <c r="H13" s="50" t="n">
        <v>1.9</v>
      </c>
      <c r="I13" s="50" t="n">
        <v>0</v>
      </c>
      <c r="J13" s="50" t="n">
        <v>0</v>
      </c>
      <c r="K13" s="50" t="n">
        <v>0</v>
      </c>
      <c r="L13" s="50" t="n">
        <v>0</v>
      </c>
      <c r="M13" s="50" t="n">
        <v>0</v>
      </c>
      <c r="N13" s="50" t="n">
        <v>0</v>
      </c>
      <c r="O13" s="50" t="n">
        <v>0</v>
      </c>
      <c r="P13" s="50" t="n">
        <v>0</v>
      </c>
      <c r="Q13" s="50" t="n">
        <v>6.050000000000001</v>
      </c>
      <c r="R13" s="49" t="n">
        <v>13200</v>
      </c>
      <c r="S13" s="49" t="n">
        <v>13408.16</v>
      </c>
      <c r="T13" s="49" t="n">
        <v>-208.159999999998</v>
      </c>
      <c r="U13" s="50" t="n">
        <v>0.9844751255951601</v>
      </c>
      <c r="V13" s="2" t="inlineStr">
        <is>
          <t>Amber</t>
        </is>
      </c>
      <c r="W13" s="2" t="inlineStr">
        <is>
          <t>8.1.2 Gantt template from garden office</t>
        </is>
      </c>
      <c r="X13" s="131" t="inlineStr">
        <is>
          <t>Hours row</t>
        </is>
      </c>
      <c r="Y13" s="2" t="n"/>
      <c r="Z13" s="2" t="n"/>
    </row>
    <row r="14">
      <c r="A14" s="130" t="inlineStr">
        <is>
          <t>WBS-05</t>
        </is>
      </c>
      <c r="B14" s="2" t="inlineStr">
        <is>
          <t>Demolition &amp; Prep</t>
        </is>
      </c>
      <c r="C14" s="2" t="inlineStr">
        <is>
          <t>Labor</t>
        </is>
      </c>
      <c r="D14" s="2" t="inlineStr">
        <is>
          <t>Cost</t>
        </is>
      </c>
      <c r="E14" s="50" t="n">
        <v>0</v>
      </c>
      <c r="F14" s="50" t="n">
        <v>4554.08</v>
      </c>
      <c r="G14" s="50" t="n">
        <v>4654.08</v>
      </c>
      <c r="H14" s="50" t="n">
        <v>4200</v>
      </c>
      <c r="I14" s="50" t="n">
        <v>0</v>
      </c>
      <c r="J14" s="50" t="n">
        <v>0</v>
      </c>
      <c r="K14" s="50" t="n">
        <v>0</v>
      </c>
      <c r="L14" s="50" t="n">
        <v>0</v>
      </c>
      <c r="M14" s="50" t="n">
        <v>0</v>
      </c>
      <c r="N14" s="50" t="n">
        <v>0</v>
      </c>
      <c r="O14" s="50" t="n">
        <v>0</v>
      </c>
      <c r="P14" s="50" t="n">
        <v>0</v>
      </c>
      <c r="Q14" s="50" t="n">
        <v>13408.16</v>
      </c>
      <c r="R14" s="49" t="n">
        <v>13200</v>
      </c>
      <c r="S14" s="49" t="n">
        <v>13408.16</v>
      </c>
      <c r="T14" s="49" t="n">
        <v>-208.159999999998</v>
      </c>
      <c r="U14" s="50" t="n">
        <v>0.9844751255951601</v>
      </c>
      <c r="V14" s="2" t="inlineStr">
        <is>
          <t>Amber</t>
        </is>
      </c>
      <c r="W14" s="2" t="inlineStr">
        <is>
          <t>8.1.2 Gantt template from garden office</t>
        </is>
      </c>
      <c r="X14" s="131" t="inlineStr">
        <is>
          <t>Cost row</t>
        </is>
      </c>
      <c r="Y14" s="2" t="n"/>
      <c r="Z14" s="2" t="n"/>
    </row>
    <row r="15">
      <c r="A15" s="130" t="inlineStr">
        <is>
          <t>WBS-06</t>
        </is>
      </c>
      <c r="B15" s="2" t="inlineStr">
        <is>
          <t>Electrical Rough-In</t>
        </is>
      </c>
      <c r="C15" s="2" t="inlineStr">
        <is>
          <t>Labor</t>
        </is>
      </c>
      <c r="D15" s="2" t="inlineStr">
        <is>
          <t>Hours</t>
        </is>
      </c>
      <c r="E15" s="50" t="n">
        <v>0</v>
      </c>
      <c r="F15" s="50" t="n">
        <v>0</v>
      </c>
      <c r="G15" s="50" t="n">
        <v>0</v>
      </c>
      <c r="H15" s="50" t="n">
        <v>3.45</v>
      </c>
      <c r="I15" s="50" t="n">
        <v>3.4</v>
      </c>
      <c r="J15" s="50" t="n">
        <v>3.25</v>
      </c>
      <c r="K15" s="50" t="n">
        <v>0</v>
      </c>
      <c r="L15" s="50" t="n">
        <v>0</v>
      </c>
      <c r="M15" s="50" t="n">
        <v>0</v>
      </c>
      <c r="N15" s="50" t="n">
        <v>0</v>
      </c>
      <c r="O15" s="50" t="n">
        <v>0</v>
      </c>
      <c r="P15" s="50" t="n">
        <v>0</v>
      </c>
      <c r="Q15" s="50" t="n">
        <v>10.1</v>
      </c>
      <c r="R15" s="49" t="n">
        <v>26000</v>
      </c>
      <c r="S15" s="49" t="n">
        <v>26206.24</v>
      </c>
      <c r="T15" s="49" t="n">
        <v>-206.239999999998</v>
      </c>
      <c r="U15" s="50" t="n">
        <v>0.6944910830397646</v>
      </c>
      <c r="V15" s="2" t="inlineStr">
        <is>
          <t>Red</t>
        </is>
      </c>
      <c r="W15" s="2" t="inlineStr">
        <is>
          <t>8.1.2 Gantt template from garden office</t>
        </is>
      </c>
      <c r="X15" s="131" t="inlineStr">
        <is>
          <t>Hours row</t>
        </is>
      </c>
      <c r="Y15" s="2" t="n"/>
      <c r="Z15" s="2" t="n"/>
    </row>
    <row r="16">
      <c r="A16" s="130" t="inlineStr">
        <is>
          <t>WBS-06</t>
        </is>
      </c>
      <c r="B16" s="2" t="inlineStr">
        <is>
          <t>Electrical Rough-In</t>
        </is>
      </c>
      <c r="C16" s="2" t="inlineStr">
        <is>
          <t>Labor</t>
        </is>
      </c>
      <c r="D16" s="2" t="inlineStr">
        <is>
          <t>Cost</t>
        </is>
      </c>
      <c r="E16" s="50" t="n">
        <v>0</v>
      </c>
      <c r="F16" s="50" t="n">
        <v>0</v>
      </c>
      <c r="G16" s="50" t="n">
        <v>0</v>
      </c>
      <c r="H16" s="50" t="n">
        <v>8906.24</v>
      </c>
      <c r="I16" s="50" t="n">
        <v>8800</v>
      </c>
      <c r="J16" s="50" t="n">
        <v>8500</v>
      </c>
      <c r="K16" s="50" t="n">
        <v>0</v>
      </c>
      <c r="L16" s="50" t="n">
        <v>0</v>
      </c>
      <c r="M16" s="50" t="n">
        <v>0</v>
      </c>
      <c r="N16" s="50" t="n">
        <v>0</v>
      </c>
      <c r="O16" s="50" t="n">
        <v>0</v>
      </c>
      <c r="P16" s="50" t="n">
        <v>0</v>
      </c>
      <c r="Q16" s="50" t="n">
        <v>26206.24</v>
      </c>
      <c r="R16" s="49" t="n">
        <v>26000</v>
      </c>
      <c r="S16" s="49" t="n">
        <v>26206.24</v>
      </c>
      <c r="T16" s="49" t="n">
        <v>-206.239999999998</v>
      </c>
      <c r="U16" s="50" t="n">
        <v>0.6944910830397646</v>
      </c>
      <c r="V16" s="2" t="inlineStr">
        <is>
          <t>Red</t>
        </is>
      </c>
      <c r="W16" s="2" t="inlineStr">
        <is>
          <t>8.1.2 Gantt template from garden office</t>
        </is>
      </c>
      <c r="X16" s="131" t="inlineStr">
        <is>
          <t>Cost row</t>
        </is>
      </c>
      <c r="Y16" s="2" t="n"/>
      <c r="Z16" s="2" t="n"/>
    </row>
    <row r="17">
      <c r="A17" s="130" t="inlineStr">
        <is>
          <t>WBS-07</t>
        </is>
      </c>
      <c r="B17" s="2" t="inlineStr">
        <is>
          <t>HVAC Installation</t>
        </is>
      </c>
      <c r="C17" s="2" t="inlineStr">
        <is>
          <t>Subcontractor</t>
        </is>
      </c>
      <c r="D17" s="2" t="inlineStr">
        <is>
          <t>Hours</t>
        </is>
      </c>
      <c r="E17" s="50" t="n">
        <v>0</v>
      </c>
      <c r="F17" s="50" t="n">
        <v>0</v>
      </c>
      <c r="G17" s="50" t="n">
        <v>0</v>
      </c>
      <c r="H17" s="50" t="n">
        <v>0</v>
      </c>
      <c r="I17" s="50" t="n">
        <v>0</v>
      </c>
      <c r="J17" s="50" t="n">
        <v>0</v>
      </c>
      <c r="K17" s="50" t="n">
        <v>0</v>
      </c>
      <c r="L17" s="50" t="n">
        <v>0</v>
      </c>
      <c r="M17" s="50" t="n">
        <v>0</v>
      </c>
      <c r="N17" s="50" t="n">
        <v>0</v>
      </c>
      <c r="O17" s="50" t="n">
        <v>0</v>
      </c>
      <c r="P17" s="50" t="n">
        <v>0</v>
      </c>
      <c r="Q17" s="50" t="n">
        <v>0</v>
      </c>
      <c r="R17" s="49" t="n">
        <v>36000</v>
      </c>
      <c r="S17" s="49" t="n">
        <v>17476.8</v>
      </c>
      <c r="T17" s="49" t="n">
        <v>18523.2</v>
      </c>
      <c r="U17" s="50" t="n">
        <v>0.8239494644328481</v>
      </c>
      <c r="V17" s="2" t="inlineStr">
        <is>
          <t>Red</t>
        </is>
      </c>
      <c r="W17" s="2" t="inlineStr">
        <is>
          <t>8.1.2 Gantt template from garden office</t>
        </is>
      </c>
      <c r="X17" s="131" t="inlineStr">
        <is>
          <t>Hours row</t>
        </is>
      </c>
      <c r="Y17" s="2" t="n"/>
      <c r="Z17" s="2" t="n"/>
    </row>
    <row r="18">
      <c r="A18" s="130" t="inlineStr">
        <is>
          <t>WBS-07</t>
        </is>
      </c>
      <c r="B18" s="2" t="inlineStr">
        <is>
          <t>HVAC Installation</t>
        </is>
      </c>
      <c r="C18" s="2" t="inlineStr">
        <is>
          <t>Subcontractor</t>
        </is>
      </c>
      <c r="D18" s="2" t="inlineStr">
        <is>
          <t>Cost</t>
        </is>
      </c>
      <c r="E18" s="50" t="n">
        <v>0</v>
      </c>
      <c r="F18" s="50" t="n">
        <v>0</v>
      </c>
      <c r="G18" s="50" t="n">
        <v>0</v>
      </c>
      <c r="H18" s="50" t="n">
        <v>0</v>
      </c>
      <c r="I18" s="50" t="n">
        <v>8676.799999999999</v>
      </c>
      <c r="J18" s="50" t="n">
        <v>8800</v>
      </c>
      <c r="K18" s="50" t="n">
        <v>0</v>
      </c>
      <c r="L18" s="50" t="n">
        <v>0</v>
      </c>
      <c r="M18" s="50" t="n">
        <v>0</v>
      </c>
      <c r="N18" s="50" t="n">
        <v>0</v>
      </c>
      <c r="O18" s="50" t="n">
        <v>0</v>
      </c>
      <c r="P18" s="50" t="n">
        <v>0</v>
      </c>
      <c r="Q18" s="50" t="n">
        <v>17476.8</v>
      </c>
      <c r="R18" s="49" t="n">
        <v>36000</v>
      </c>
      <c r="S18" s="49" t="n">
        <v>17476.8</v>
      </c>
      <c r="T18" s="49" t="n">
        <v>18523.2</v>
      </c>
      <c r="U18" s="50" t="n">
        <v>0.8239494644328481</v>
      </c>
      <c r="V18" s="2" t="inlineStr">
        <is>
          <t>Red</t>
        </is>
      </c>
      <c r="W18" s="2" t="inlineStr">
        <is>
          <t>8.1.2 Gantt template from garden office</t>
        </is>
      </c>
      <c r="X18" s="131" t="inlineStr">
        <is>
          <t>Cost row</t>
        </is>
      </c>
      <c r="Y18" s="2" t="n"/>
      <c r="Z18" s="2" t="n"/>
    </row>
    <row r="19">
      <c r="A19" s="130" t="inlineStr">
        <is>
          <t>WBS-08</t>
        </is>
      </c>
      <c r="B19" s="2" t="inlineStr">
        <is>
          <t>Partitions &amp; Drywall</t>
        </is>
      </c>
      <c r="C19" s="2" t="inlineStr">
        <is>
          <t>Subcontractor</t>
        </is>
      </c>
      <c r="D19" s="2" t="inlineStr">
        <is>
          <t>Hours</t>
        </is>
      </c>
      <c r="E19" s="50" t="n">
        <v>0</v>
      </c>
      <c r="F19" s="50" t="n">
        <v>0</v>
      </c>
      <c r="G19" s="50" t="n">
        <v>0</v>
      </c>
      <c r="H19" s="50" t="n">
        <v>0</v>
      </c>
      <c r="I19" s="50" t="n">
        <v>0</v>
      </c>
      <c r="J19" s="50" t="n">
        <v>0</v>
      </c>
      <c r="K19" s="50" t="n">
        <v>0</v>
      </c>
      <c r="L19" s="50" t="n">
        <v>0</v>
      </c>
      <c r="M19" s="50" t="n">
        <v>0</v>
      </c>
      <c r="N19" s="50" t="n">
        <v>0</v>
      </c>
      <c r="O19" s="50" t="n">
        <v>0</v>
      </c>
      <c r="P19" s="50" t="n">
        <v>0</v>
      </c>
      <c r="Q19" s="50" t="n">
        <v>0</v>
      </c>
      <c r="R19" s="49" t="n">
        <v>28000</v>
      </c>
      <c r="S19" s="49" t="n">
        <v>7099.2</v>
      </c>
      <c r="T19" s="49" t="n">
        <v>20900.8</v>
      </c>
      <c r="U19" s="50" t="n">
        <v>0.9815184809556007</v>
      </c>
      <c r="V19" s="2" t="inlineStr">
        <is>
          <t>Amber</t>
        </is>
      </c>
      <c r="W19" s="2" t="inlineStr">
        <is>
          <t>8.1.2 Gantt template from garden office</t>
        </is>
      </c>
      <c r="X19" s="131" t="inlineStr">
        <is>
          <t>Hours row</t>
        </is>
      </c>
      <c r="Y19" s="2" t="n"/>
      <c r="Z19" s="2" t="n"/>
    </row>
    <row r="20">
      <c r="A20" s="130" t="inlineStr">
        <is>
          <t>WBS-08</t>
        </is>
      </c>
      <c r="B20" s="2" t="inlineStr">
        <is>
          <t>Partitions &amp; Drywall</t>
        </is>
      </c>
      <c r="C20" s="2" t="inlineStr">
        <is>
          <t>Subcontractor</t>
        </is>
      </c>
      <c r="D20" s="2" t="inlineStr">
        <is>
          <t>Cost</t>
        </is>
      </c>
      <c r="E20" s="50" t="n">
        <v>0</v>
      </c>
      <c r="F20" s="50" t="n">
        <v>0</v>
      </c>
      <c r="G20" s="50" t="n">
        <v>0</v>
      </c>
      <c r="H20" s="50" t="n">
        <v>0</v>
      </c>
      <c r="I20" s="50" t="n">
        <v>0</v>
      </c>
      <c r="J20" s="50" t="n">
        <v>7099.2</v>
      </c>
      <c r="K20" s="50" t="n">
        <v>0</v>
      </c>
      <c r="L20" s="50" t="n">
        <v>0</v>
      </c>
      <c r="M20" s="50" t="n">
        <v>0</v>
      </c>
      <c r="N20" s="50" t="n">
        <v>0</v>
      </c>
      <c r="O20" s="50" t="n">
        <v>0</v>
      </c>
      <c r="P20" s="50" t="n">
        <v>0</v>
      </c>
      <c r="Q20" s="50" t="n">
        <v>7099.2</v>
      </c>
      <c r="R20" s="49" t="n">
        <v>28000</v>
      </c>
      <c r="S20" s="49" t="n">
        <v>7099.2</v>
      </c>
      <c r="T20" s="49" t="n">
        <v>20900.8</v>
      </c>
      <c r="U20" s="50" t="n">
        <v>0.9815184809556007</v>
      </c>
      <c r="V20" s="2" t="inlineStr">
        <is>
          <t>Amber</t>
        </is>
      </c>
      <c r="W20" s="2" t="inlineStr">
        <is>
          <t>8.1.2 Gantt template from garden office</t>
        </is>
      </c>
      <c r="X20" s="131" t="inlineStr">
        <is>
          <t>Cost row</t>
        </is>
      </c>
      <c r="Y20" s="2" t="n"/>
      <c r="Z20" s="2" t="n"/>
    </row>
    <row r="21">
      <c r="A21" s="130" t="inlineStr">
        <is>
          <t>WBS-09</t>
        </is>
      </c>
      <c r="B21" s="2" t="inlineStr">
        <is>
          <t>Flooring</t>
        </is>
      </c>
      <c r="C21" s="2" t="inlineStr">
        <is>
          <t>Material</t>
        </is>
      </c>
      <c r="D21" s="2" t="inlineStr">
        <is>
          <t>Hours</t>
        </is>
      </c>
      <c r="E21" s="50" t="n">
        <v>0</v>
      </c>
      <c r="F21" s="50" t="n">
        <v>0</v>
      </c>
      <c r="G21" s="50" t="n">
        <v>0</v>
      </c>
      <c r="H21" s="50" t="n">
        <v>0</v>
      </c>
      <c r="I21" s="50" t="n">
        <v>0</v>
      </c>
      <c r="J21" s="50" t="n">
        <v>0</v>
      </c>
      <c r="K21" s="50" t="n">
        <v>0</v>
      </c>
      <c r="L21" s="50" t="n">
        <v>0</v>
      </c>
      <c r="M21" s="50" t="n">
        <v>0</v>
      </c>
      <c r="N21" s="50" t="n">
        <v>0</v>
      </c>
      <c r="O21" s="50" t="n">
        <v>0</v>
      </c>
      <c r="P21" s="50" t="n">
        <v>0</v>
      </c>
      <c r="Q21" s="50" t="n">
        <v>0</v>
      </c>
      <c r="R21" s="49" t="n">
        <v>35750</v>
      </c>
      <c r="S21" s="49" t="n">
        <v>0</v>
      </c>
      <c r="T21" s="49" t="n">
        <v>35750</v>
      </c>
      <c r="U21" s="50" t="n">
        <v>1</v>
      </c>
      <c r="V21" s="2" t="inlineStr">
        <is>
          <t>Green</t>
        </is>
      </c>
      <c r="W21" s="2" t="inlineStr">
        <is>
          <t>8.1.2 Gantt template from garden office</t>
        </is>
      </c>
      <c r="X21" s="131" t="inlineStr">
        <is>
          <t>Hours row</t>
        </is>
      </c>
      <c r="Y21" s="2" t="n"/>
      <c r="Z21" s="2" t="n"/>
    </row>
    <row r="22">
      <c r="A22" s="130" t="inlineStr">
        <is>
          <t>WBS-09</t>
        </is>
      </c>
      <c r="B22" s="2" t="inlineStr">
        <is>
          <t>Flooring</t>
        </is>
      </c>
      <c r="C22" s="2" t="inlineStr">
        <is>
          <t>Material</t>
        </is>
      </c>
      <c r="D22" s="2" t="inlineStr">
        <is>
          <t>Cost</t>
        </is>
      </c>
      <c r="E22" s="50" t="n">
        <v>0</v>
      </c>
      <c r="F22" s="50" t="n">
        <v>0</v>
      </c>
      <c r="G22" s="50" t="n">
        <v>0</v>
      </c>
      <c r="H22" s="50" t="n">
        <v>0</v>
      </c>
      <c r="I22" s="50" t="n">
        <v>0</v>
      </c>
      <c r="J22" s="50" t="n">
        <v>0</v>
      </c>
      <c r="K22" s="50" t="n">
        <v>0</v>
      </c>
      <c r="L22" s="50" t="n">
        <v>0</v>
      </c>
      <c r="M22" s="50" t="n">
        <v>0</v>
      </c>
      <c r="N22" s="50" t="n">
        <v>0</v>
      </c>
      <c r="O22" s="50" t="n">
        <v>0</v>
      </c>
      <c r="P22" s="50" t="n">
        <v>0</v>
      </c>
      <c r="Q22" s="50" t="n">
        <v>0</v>
      </c>
      <c r="R22" s="49" t="n">
        <v>35750</v>
      </c>
      <c r="S22" s="49" t="n">
        <v>0</v>
      </c>
      <c r="T22" s="49" t="n">
        <v>35750</v>
      </c>
      <c r="U22" s="50" t="n">
        <v>1</v>
      </c>
      <c r="V22" s="2" t="inlineStr">
        <is>
          <t>Green</t>
        </is>
      </c>
      <c r="W22" s="2" t="inlineStr">
        <is>
          <t>8.1.2 Gantt template from garden office</t>
        </is>
      </c>
      <c r="X22" s="131" t="inlineStr">
        <is>
          <t>Cost row</t>
        </is>
      </c>
      <c r="Y22" s="2" t="n"/>
      <c r="Z22" s="2" t="n"/>
    </row>
    <row r="23">
      <c r="A23" s="130" t="inlineStr">
        <is>
          <t>WBS-10</t>
        </is>
      </c>
      <c r="B23" s="2" t="inlineStr">
        <is>
          <t>Fixtures &amp; Furniture</t>
        </is>
      </c>
      <c r="C23" s="2" t="inlineStr">
        <is>
          <t>Material</t>
        </is>
      </c>
      <c r="D23" s="2" t="inlineStr">
        <is>
          <t>Hours</t>
        </is>
      </c>
      <c r="E23" s="50" t="n">
        <v>0</v>
      </c>
      <c r="F23" s="50" t="n">
        <v>0</v>
      </c>
      <c r="G23" s="50" t="n">
        <v>0</v>
      </c>
      <c r="H23" s="50" t="n">
        <v>0</v>
      </c>
      <c r="I23" s="50" t="n">
        <v>0</v>
      </c>
      <c r="J23" s="50" t="n">
        <v>0</v>
      </c>
      <c r="K23" s="50" t="n">
        <v>0</v>
      </c>
      <c r="L23" s="50" t="n">
        <v>0</v>
      </c>
      <c r="M23" s="50" t="n">
        <v>0</v>
      </c>
      <c r="N23" s="50" t="n">
        <v>0</v>
      </c>
      <c r="O23" s="50" t="n">
        <v>0</v>
      </c>
      <c r="P23" s="50" t="n">
        <v>0</v>
      </c>
      <c r="Q23" s="50" t="n">
        <v>0</v>
      </c>
      <c r="R23" s="49" t="n">
        <v>30000</v>
      </c>
      <c r="S23" s="49" t="n">
        <v>0</v>
      </c>
      <c r="T23" s="49" t="n">
        <v>30000</v>
      </c>
      <c r="U23" s="50" t="n">
        <v>1</v>
      </c>
      <c r="V23" s="2" t="inlineStr">
        <is>
          <t>Green</t>
        </is>
      </c>
      <c r="W23" s="2" t="inlineStr">
        <is>
          <t>8.1.2 Gantt template from garden office</t>
        </is>
      </c>
      <c r="X23" s="131" t="inlineStr">
        <is>
          <t>Hours row</t>
        </is>
      </c>
      <c r="Y23" s="2" t="n"/>
      <c r="Z23" s="2" t="n"/>
    </row>
    <row r="24">
      <c r="A24" s="130" t="inlineStr">
        <is>
          <t>WBS-10</t>
        </is>
      </c>
      <c r="B24" s="2" t="inlineStr">
        <is>
          <t>Fixtures &amp; Furniture</t>
        </is>
      </c>
      <c r="C24" s="2" t="inlineStr">
        <is>
          <t>Material</t>
        </is>
      </c>
      <c r="D24" s="2" t="inlineStr">
        <is>
          <t>Cost</t>
        </is>
      </c>
      <c r="E24" s="50" t="n">
        <v>0</v>
      </c>
      <c r="F24" s="50" t="n">
        <v>0</v>
      </c>
      <c r="G24" s="50" t="n">
        <v>0</v>
      </c>
      <c r="H24" s="50" t="n">
        <v>0</v>
      </c>
      <c r="I24" s="50" t="n">
        <v>0</v>
      </c>
      <c r="J24" s="50" t="n">
        <v>0</v>
      </c>
      <c r="K24" s="50" t="n">
        <v>0</v>
      </c>
      <c r="L24" s="50" t="n">
        <v>0</v>
      </c>
      <c r="M24" s="50" t="n">
        <v>0</v>
      </c>
      <c r="N24" s="50" t="n">
        <v>0</v>
      </c>
      <c r="O24" s="50" t="n">
        <v>0</v>
      </c>
      <c r="P24" s="50" t="n">
        <v>0</v>
      </c>
      <c r="Q24" s="50" t="n">
        <v>0</v>
      </c>
      <c r="R24" s="49" t="n">
        <v>30000</v>
      </c>
      <c r="S24" s="49" t="n">
        <v>0</v>
      </c>
      <c r="T24" s="49" t="n">
        <v>30000</v>
      </c>
      <c r="U24" s="50" t="n">
        <v>1</v>
      </c>
      <c r="V24" s="2" t="inlineStr">
        <is>
          <t>Green</t>
        </is>
      </c>
      <c r="W24" s="2" t="inlineStr">
        <is>
          <t>8.1.2 Gantt template from garden office</t>
        </is>
      </c>
      <c r="X24" s="131" t="inlineStr">
        <is>
          <t>Cost row</t>
        </is>
      </c>
      <c r="Y24" s="2" t="n"/>
      <c r="Z24" s="2" t="n"/>
    </row>
    <row r="25">
      <c r="A25" s="130" t="inlineStr">
        <is>
          <t>WBS-11</t>
        </is>
      </c>
      <c r="B25" s="2" t="inlineStr">
        <is>
          <t>Testing / Commissioning</t>
        </is>
      </c>
      <c r="C25" s="2" t="inlineStr">
        <is>
          <t>Labor</t>
        </is>
      </c>
      <c r="D25" s="2" t="inlineStr">
        <is>
          <t>Hours</t>
        </is>
      </c>
      <c r="E25" s="50" t="n">
        <v>0</v>
      </c>
      <c r="F25" s="50" t="n">
        <v>0</v>
      </c>
      <c r="G25" s="50" t="n">
        <v>0</v>
      </c>
      <c r="H25" s="50" t="n">
        <v>0</v>
      </c>
      <c r="I25" s="50" t="n">
        <v>0</v>
      </c>
      <c r="J25" s="50" t="n">
        <v>0</v>
      </c>
      <c r="K25" s="50" t="n">
        <v>0</v>
      </c>
      <c r="L25" s="50" t="n">
        <v>0</v>
      </c>
      <c r="M25" s="50" t="n">
        <v>0</v>
      </c>
      <c r="N25" s="50" t="n">
        <v>0</v>
      </c>
      <c r="O25" s="50" t="n">
        <v>0</v>
      </c>
      <c r="P25" s="50" t="n">
        <v>0</v>
      </c>
      <c r="Q25" s="50" t="n">
        <v>0</v>
      </c>
      <c r="R25" s="49" t="n">
        <v>8400</v>
      </c>
      <c r="S25" s="49" t="n">
        <v>0</v>
      </c>
      <c r="T25" s="49" t="n">
        <v>8400</v>
      </c>
      <c r="U25" s="50" t="n">
        <v>1</v>
      </c>
      <c r="V25" s="2" t="inlineStr">
        <is>
          <t>Green</t>
        </is>
      </c>
      <c r="W25" s="2" t="inlineStr">
        <is>
          <t>8.1.2 Gantt template from garden office</t>
        </is>
      </c>
      <c r="X25" s="131" t="inlineStr">
        <is>
          <t>Hours row</t>
        </is>
      </c>
      <c r="Y25" s="2" t="n"/>
      <c r="Z25" s="2" t="n"/>
    </row>
    <row r="26">
      <c r="A26" s="130" t="inlineStr">
        <is>
          <t>WBS-11</t>
        </is>
      </c>
      <c r="B26" s="2" t="inlineStr">
        <is>
          <t>Testing / Commissioning</t>
        </is>
      </c>
      <c r="C26" s="2" t="inlineStr">
        <is>
          <t>Labor</t>
        </is>
      </c>
      <c r="D26" s="2" t="inlineStr">
        <is>
          <t>Cost</t>
        </is>
      </c>
      <c r="E26" s="50" t="n">
        <v>0</v>
      </c>
      <c r="F26" s="50" t="n">
        <v>0</v>
      </c>
      <c r="G26" s="50" t="n">
        <v>0</v>
      </c>
      <c r="H26" s="50" t="n">
        <v>0</v>
      </c>
      <c r="I26" s="50" t="n">
        <v>0</v>
      </c>
      <c r="J26" s="50" t="n">
        <v>0</v>
      </c>
      <c r="K26" s="50" t="n">
        <v>0</v>
      </c>
      <c r="L26" s="50" t="n">
        <v>0</v>
      </c>
      <c r="M26" s="50" t="n">
        <v>0</v>
      </c>
      <c r="N26" s="50" t="n">
        <v>0</v>
      </c>
      <c r="O26" s="50" t="n">
        <v>0</v>
      </c>
      <c r="P26" s="50" t="n">
        <v>0</v>
      </c>
      <c r="Q26" s="50" t="n">
        <v>0</v>
      </c>
      <c r="R26" s="49" t="n">
        <v>8400</v>
      </c>
      <c r="S26" s="49" t="n">
        <v>0</v>
      </c>
      <c r="T26" s="49" t="n">
        <v>8400</v>
      </c>
      <c r="U26" s="50" t="n">
        <v>1</v>
      </c>
      <c r="V26" s="2" t="inlineStr">
        <is>
          <t>Green</t>
        </is>
      </c>
      <c r="W26" s="2" t="inlineStr">
        <is>
          <t>8.1.2 Gantt template from garden office</t>
        </is>
      </c>
      <c r="X26" s="131" t="inlineStr">
        <is>
          <t>Cost row</t>
        </is>
      </c>
      <c r="Y26" s="2" t="n"/>
      <c r="Z26" s="2" t="n"/>
    </row>
    <row r="27">
      <c r="A27" s="130" t="inlineStr">
        <is>
          <t>WBS-12</t>
        </is>
      </c>
      <c r="B27" s="2" t="inlineStr">
        <is>
          <t>Handover &amp; Closeout</t>
        </is>
      </c>
      <c r="C27" s="2" t="inlineStr">
        <is>
          <t>Labor</t>
        </is>
      </c>
      <c r="D27" s="2" t="inlineStr">
        <is>
          <t>Hours</t>
        </is>
      </c>
      <c r="E27" s="50" t="n">
        <v>0</v>
      </c>
      <c r="F27" s="50" t="n">
        <v>0</v>
      </c>
      <c r="G27" s="50" t="n">
        <v>0</v>
      </c>
      <c r="H27" s="50" t="n">
        <v>0</v>
      </c>
      <c r="I27" s="50" t="n">
        <v>0</v>
      </c>
      <c r="J27" s="50" t="n">
        <v>0</v>
      </c>
      <c r="K27" s="50" t="n">
        <v>0</v>
      </c>
      <c r="L27" s="50" t="n">
        <v>0</v>
      </c>
      <c r="M27" s="50" t="n">
        <v>0</v>
      </c>
      <c r="N27" s="50" t="n">
        <v>0</v>
      </c>
      <c r="O27" s="50" t="n">
        <v>0</v>
      </c>
      <c r="P27" s="50" t="n">
        <v>0</v>
      </c>
      <c r="Q27" s="50" t="n">
        <v>0</v>
      </c>
      <c r="R27" s="49" t="n">
        <v>3600</v>
      </c>
      <c r="S27" s="49" t="n">
        <v>0</v>
      </c>
      <c r="T27" s="49" t="n">
        <v>3600</v>
      </c>
      <c r="U27" s="50" t="n">
        <v>1</v>
      </c>
      <c r="V27" s="2" t="inlineStr">
        <is>
          <t>Green</t>
        </is>
      </c>
      <c r="W27" s="2" t="inlineStr">
        <is>
          <t>8.1.2 Gantt template from garden office</t>
        </is>
      </c>
      <c r="X27" s="131" t="inlineStr">
        <is>
          <t>Hours row</t>
        </is>
      </c>
      <c r="Y27" s="2" t="n"/>
      <c r="Z27" s="2" t="n"/>
    </row>
    <row r="28">
      <c r="A28" s="134" t="inlineStr">
        <is>
          <t>WBS-12</t>
        </is>
      </c>
      <c r="B28" s="135" t="inlineStr">
        <is>
          <t>Handover &amp; Closeout</t>
        </is>
      </c>
      <c r="C28" s="135" t="inlineStr">
        <is>
          <t>Labor</t>
        </is>
      </c>
      <c r="D28" s="135" t="inlineStr">
        <is>
          <t>Cost</t>
        </is>
      </c>
      <c r="E28" s="160" t="n">
        <v>0</v>
      </c>
      <c r="F28" s="160" t="n">
        <v>0</v>
      </c>
      <c r="G28" s="160" t="n">
        <v>0</v>
      </c>
      <c r="H28" s="160" t="n">
        <v>0</v>
      </c>
      <c r="I28" s="160" t="n">
        <v>0</v>
      </c>
      <c r="J28" s="160" t="n">
        <v>0</v>
      </c>
      <c r="K28" s="160" t="n">
        <v>0</v>
      </c>
      <c r="L28" s="160" t="n">
        <v>0</v>
      </c>
      <c r="M28" s="160" t="n">
        <v>0</v>
      </c>
      <c r="N28" s="160" t="n">
        <v>0</v>
      </c>
      <c r="O28" s="160" t="n">
        <v>0</v>
      </c>
      <c r="P28" s="160" t="n">
        <v>0</v>
      </c>
      <c r="Q28" s="160" t="n">
        <v>0</v>
      </c>
      <c r="R28" s="142" t="n">
        <v>3600</v>
      </c>
      <c r="S28" s="142" t="n">
        <v>0</v>
      </c>
      <c r="T28" s="142" t="n">
        <v>3600</v>
      </c>
      <c r="U28" s="160" t="n">
        <v>1</v>
      </c>
      <c r="V28" s="135" t="inlineStr">
        <is>
          <t>Green</t>
        </is>
      </c>
      <c r="W28" s="135" t="inlineStr">
        <is>
          <t>8.1.2 Gantt template from garden office</t>
        </is>
      </c>
      <c r="X28" s="136" t="inlineStr">
        <is>
          <t>Cost row</t>
        </is>
      </c>
      <c r="Y28" s="2" t="n"/>
      <c r="Z28" s="2" t="n"/>
    </row>
    <row r="31">
      <c r="A31" s="132" t="inlineStr">
        <is>
          <t>Gantt of Gantts / monthly workload summary</t>
        </is>
      </c>
      <c r="B31" s="202" t="inlineStr">
        <is>
          <t>May-26</t>
        </is>
      </c>
      <c r="C31" s="202" t="inlineStr">
        <is>
          <t>Jun-26</t>
        </is>
      </c>
      <c r="D31" s="202" t="inlineStr">
        <is>
          <t>Jul-26</t>
        </is>
      </c>
      <c r="E31" s="202" t="inlineStr">
        <is>
          <t>Aug-26</t>
        </is>
      </c>
      <c r="F31" s="202" t="inlineStr">
        <is>
          <t>Sep-26</t>
        </is>
      </c>
      <c r="G31" s="202" t="inlineStr">
        <is>
          <t>Oct-26</t>
        </is>
      </c>
      <c r="H31" s="202" t="inlineStr">
        <is>
          <t>Nov-26</t>
        </is>
      </c>
      <c r="I31" s="202" t="inlineStr">
        <is>
          <t>Dec-26</t>
        </is>
      </c>
      <c r="J31" s="126" t="inlineStr">
        <is>
          <t>Total</t>
        </is>
      </c>
      <c r="K31" s="126" t="inlineStr">
        <is>
          <t>Source</t>
        </is>
      </c>
      <c r="L31" s="133" t="inlineStr">
        <is>
          <t>Interpretation</t>
        </is>
      </c>
      <c r="M31" s="45" t="n"/>
      <c r="N31" s="45" t="n"/>
    </row>
    <row r="32">
      <c r="A32" s="130" t="inlineStr">
        <is>
          <t>Planned PV</t>
        </is>
      </c>
      <c r="B32" s="49" t="n">
        <v>87066.67</v>
      </c>
      <c r="C32" s="49" t="n">
        <v>133166.67</v>
      </c>
      <c r="D32" s="49" t="n">
        <v>48416.66</v>
      </c>
      <c r="E32" s="49" t="n">
        <v>0</v>
      </c>
      <c r="F32" s="49" t="n">
        <v>0</v>
      </c>
      <c r="G32" s="49" t="n">
        <v>0</v>
      </c>
      <c r="H32" s="49" t="n">
        <v>0</v>
      </c>
      <c r="I32" s="49" t="n">
        <v>0</v>
      </c>
      <c r="J32" s="49" t="n">
        <v>268650</v>
      </c>
      <c r="K32" s="2" t="inlineStr">
        <is>
          <t>8.1.2 Gantt of Gantts template</t>
        </is>
      </c>
      <c r="L32" s="131" t="inlineStr">
        <is>
          <t>Monthly portfolio-style total from current project PV</t>
        </is>
      </c>
      <c r="M32" s="2" t="n"/>
      <c r="N32" s="2" t="n"/>
    </row>
    <row r="33">
      <c r="A33" s="130" t="inlineStr">
        <is>
          <t>Actual Cost</t>
        </is>
      </c>
      <c r="B33" s="49" t="n">
        <v>86509.44000000002</v>
      </c>
      <c r="C33" s="49" t="n">
        <v>55475.99999999999</v>
      </c>
      <c r="D33" s="49" t="n">
        <v>0</v>
      </c>
      <c r="E33" s="49" t="n">
        <v>0</v>
      </c>
      <c r="F33" s="49" t="n">
        <v>0</v>
      </c>
      <c r="G33" s="49" t="n">
        <v>0</v>
      </c>
      <c r="H33" s="49" t="n">
        <v>0</v>
      </c>
      <c r="I33" s="49" t="n">
        <v>0</v>
      </c>
      <c r="J33" s="49" t="n">
        <v>141985.44</v>
      </c>
      <c r="K33" s="2" t="inlineStr">
        <is>
          <t>8.1.2 Gantt of Gantts template</t>
        </is>
      </c>
      <c r="L33" s="131" t="inlineStr">
        <is>
          <t>Monthly portfolio-style total from actual costs</t>
        </is>
      </c>
      <c r="M33" s="2" t="n"/>
      <c r="N33" s="2" t="n"/>
    </row>
    <row r="34">
      <c r="A34" s="134" t="inlineStr">
        <is>
          <t>Active WBS count</t>
        </is>
      </c>
      <c r="B34" s="135" t="n">
        <v>1</v>
      </c>
      <c r="C34" s="135" t="n">
        <v>1</v>
      </c>
      <c r="D34" s="135" t="n">
        <v>1</v>
      </c>
      <c r="E34" s="135" t="n">
        <v>0</v>
      </c>
      <c r="F34" s="135" t="n">
        <v>0</v>
      </c>
      <c r="G34" s="135" t="n">
        <v>0</v>
      </c>
      <c r="H34" s="135" t="n">
        <v>0</v>
      </c>
      <c r="I34" s="135" t="n">
        <v>0</v>
      </c>
      <c r="J34" s="135" t="n">
        <v>3</v>
      </c>
      <c r="K34" s="135" t="inlineStr">
        <is>
          <t>8.1.2 Gantt of Gantts template</t>
        </is>
      </c>
      <c r="L34" s="136" t="inlineStr">
        <is>
          <t>Simple monthly activity indicator</t>
        </is>
      </c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</sheetData>
  <mergeCells count="2">
    <mergeCell ref="A1:Z1"/>
    <mergeCell ref="A2:Z2"/>
  </mergeCells>
  <conditionalFormatting sqref="V5:V28">
    <cfRule type="expression" priority="1" dxfId="35">
      <formula>ISNUMBER(SEARCH("Red",V5))</formula>
    </cfRule>
    <cfRule type="expression" priority="2" dxfId="34">
      <formula>ISNUMBER(SEARCH("Amber",V5))</formula>
    </cfRule>
    <cfRule type="expression" priority="3" dxfId="33">
      <formula>ISNUMBER(SEARCH("Green",V5))</formula>
    </cfRule>
  </conditionalFormatting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tabColor rgb="FFA6A6A6"/>
    <outlinePr summaryBelow="1" summaryRight="1"/>
    <pageSetUpPr/>
  </sheetPr>
  <dimension ref="A1:F2"/>
  <sheetViews>
    <sheetView workbookViewId="0">
      <selection activeCell="Q1" sqref="Q1"/>
    </sheetView>
  </sheetViews>
  <sheetFormatPr baseColWidth="8" defaultRowHeight="14.5"/>
  <cols>
    <col width="11.26953125" customWidth="1" style="120" min="1" max="1"/>
    <col width="14.36328125" customWidth="1" style="120" min="2" max="2"/>
    <col width="11.54296875" customWidth="1" style="120" min="3" max="3"/>
    <col width="10.7265625" customWidth="1" style="120" min="4" max="4"/>
    <col width="9.90625" bestFit="1" customWidth="1" style="120" min="5" max="5"/>
    <col width="18.36328125" bestFit="1" customWidth="1" style="120" min="6" max="6"/>
  </cols>
  <sheetData>
    <row r="1">
      <c r="A1" s="204" t="inlineStr">
        <is>
          <t>Project_ID</t>
        </is>
      </c>
      <c r="B1" s="205" t="inlineStr">
        <is>
          <t>Project_Name</t>
        </is>
      </c>
      <c r="C1" s="205" t="inlineStr">
        <is>
          <t>Start_Date</t>
        </is>
      </c>
      <c r="D1" s="205" t="inlineStr">
        <is>
          <t>End_Date</t>
        </is>
      </c>
      <c r="E1" s="205" t="inlineStr">
        <is>
          <t>BAC</t>
        </is>
      </c>
      <c r="F1" s="206" t="inlineStr">
        <is>
          <t>Sector</t>
        </is>
      </c>
    </row>
    <row r="2">
      <c r="A2" s="207" t="inlineStr">
        <is>
          <t>PRJ999</t>
        </is>
      </c>
      <c r="B2" s="208" t="inlineStr">
        <is>
          <t>Shipyard Assembly Beta</t>
        </is>
      </c>
      <c r="C2" s="296" t="inlineStr">
        <is>
          <t>2026-09-01</t>
        </is>
      </c>
      <c r="D2" s="297" t="inlineStr">
        <is>
          <t>2026-10-31</t>
        </is>
      </c>
      <c r="E2" s="211" t="n">
        <v>60000</v>
      </c>
      <c r="F2" s="212" t="inlineStr">
        <is>
          <t>Maritime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FFA6A6A6"/>
    <outlinePr summaryBelow="1" summaryRight="1"/>
    <pageSetUpPr/>
  </sheetPr>
  <dimension ref="A1:E13"/>
  <sheetViews>
    <sheetView workbookViewId="0">
      <selection activeCell="Q1" sqref="Q1"/>
    </sheetView>
  </sheetViews>
  <sheetFormatPr baseColWidth="8" defaultRowHeight="14.5"/>
  <cols>
    <col width="9.36328125" customWidth="1" style="120" min="1" max="1"/>
    <col width="11.90625" customWidth="1" style="120" min="2" max="2"/>
    <col width="21.26953125" bestFit="1" customWidth="1" style="120" min="3" max="3"/>
    <col width="12" bestFit="1" customWidth="1" style="120" min="4" max="4"/>
    <col width="13.54296875" customWidth="1" style="120" min="5" max="5"/>
  </cols>
  <sheetData>
    <row r="1">
      <c r="A1" s="204" t="inlineStr">
        <is>
          <t>WBS_ID</t>
        </is>
      </c>
      <c r="B1" s="205" t="inlineStr">
        <is>
          <t>WBS_Code</t>
        </is>
      </c>
      <c r="C1" s="205" t="inlineStr">
        <is>
          <t>Activity_Name</t>
        </is>
      </c>
      <c r="D1" s="205" t="inlineStr">
        <is>
          <t>Type</t>
        </is>
      </c>
      <c r="E1" s="206" t="inlineStr">
        <is>
          <t>Total_Budget</t>
        </is>
      </c>
    </row>
    <row r="2">
      <c r="A2" s="203" t="inlineStr">
        <is>
          <t>WBS001</t>
        </is>
      </c>
      <c r="B2" s="28" t="n">
        <v>1</v>
      </c>
      <c r="C2" s="28" t="inlineStr">
        <is>
          <t>Design Phase</t>
        </is>
      </c>
      <c r="D2" s="28" t="inlineStr">
        <is>
          <t>Summary Task</t>
        </is>
      </c>
      <c r="E2" s="213" t="n">
        <v>20000</v>
      </c>
    </row>
    <row r="3">
      <c r="A3" s="203" t="inlineStr">
        <is>
          <t>WBS002</t>
        </is>
      </c>
      <c r="B3" s="28" t="n">
        <v>1.1</v>
      </c>
      <c r="C3" s="28" t="inlineStr">
        <is>
          <t>Structural Steel Work</t>
        </is>
      </c>
      <c r="D3" s="28" t="inlineStr">
        <is>
          <t>Activity</t>
        </is>
      </c>
      <c r="E3" s="213" t="n">
        <v>25000</v>
      </c>
    </row>
    <row r="4">
      <c r="A4" s="203" t="inlineStr">
        <is>
          <t>WBS003</t>
        </is>
      </c>
      <c r="B4" s="28" t="n">
        <v>1.2</v>
      </c>
      <c r="C4" s="28" t="inlineStr">
        <is>
          <t>Electrical &amp; Outfitting</t>
        </is>
      </c>
      <c r="D4" s="28" t="inlineStr">
        <is>
          <t>Activity</t>
        </is>
      </c>
      <c r="E4" s="213" t="n">
        <v>15000</v>
      </c>
    </row>
    <row r="5">
      <c r="A5" s="203" t="inlineStr">
        <is>
          <t>WBS-04</t>
        </is>
      </c>
      <c r="B5" s="28" t="n">
        <v>4</v>
      </c>
      <c r="C5" s="28" t="inlineStr">
        <is>
          <t>Procurement - Materials</t>
        </is>
      </c>
      <c r="D5" s="28" t="inlineStr">
        <is>
          <t>Material</t>
        </is>
      </c>
      <c r="E5" s="213" t="n">
        <v>42000</v>
      </c>
    </row>
    <row r="6">
      <c r="A6" s="203" t="inlineStr">
        <is>
          <t>WBS-05</t>
        </is>
      </c>
      <c r="B6" s="28" t="n">
        <v>5</v>
      </c>
      <c r="C6" s="28" t="inlineStr">
        <is>
          <t>Demolition &amp; Prep</t>
        </is>
      </c>
      <c r="D6" s="28" t="inlineStr">
        <is>
          <t>Labor</t>
        </is>
      </c>
      <c r="E6" s="213" t="n">
        <v>13200</v>
      </c>
    </row>
    <row r="7">
      <c r="A7" s="203" t="inlineStr">
        <is>
          <t>WBS-06</t>
        </is>
      </c>
      <c r="B7" s="28" t="n">
        <v>6</v>
      </c>
      <c r="C7" s="28" t="inlineStr">
        <is>
          <t>Electrical Rough-In</t>
        </is>
      </c>
      <c r="D7" s="28" t="inlineStr">
        <is>
          <t>Labor</t>
        </is>
      </c>
      <c r="E7" s="213" t="n">
        <v>26000</v>
      </c>
    </row>
    <row r="8">
      <c r="A8" s="203" t="inlineStr">
        <is>
          <t>WBS-07</t>
        </is>
      </c>
      <c r="B8" s="28" t="n">
        <v>7</v>
      </c>
      <c r="C8" s="28" t="inlineStr">
        <is>
          <t>HVAC Installation</t>
        </is>
      </c>
      <c r="D8" s="28" t="inlineStr">
        <is>
          <t>Subcontractor</t>
        </is>
      </c>
      <c r="E8" s="213" t="n">
        <v>36000</v>
      </c>
    </row>
    <row r="9">
      <c r="A9" s="203" t="inlineStr">
        <is>
          <t>WBS-08</t>
        </is>
      </c>
      <c r="B9" s="28" t="n">
        <v>8</v>
      </c>
      <c r="C9" s="28" t="inlineStr">
        <is>
          <t>Partitions &amp; Drywall</t>
        </is>
      </c>
      <c r="D9" s="28" t="inlineStr">
        <is>
          <t>Subcontractor</t>
        </is>
      </c>
      <c r="E9" s="213" t="n">
        <v>28000</v>
      </c>
    </row>
    <row r="10">
      <c r="A10" s="203" t="inlineStr">
        <is>
          <t>WBS-09</t>
        </is>
      </c>
      <c r="B10" s="28" t="n">
        <v>9</v>
      </c>
      <c r="C10" s="28" t="inlineStr">
        <is>
          <t>Flooring</t>
        </is>
      </c>
      <c r="D10" s="28" t="inlineStr">
        <is>
          <t>Material</t>
        </is>
      </c>
      <c r="E10" s="213" t="n">
        <v>35750</v>
      </c>
    </row>
    <row r="11">
      <c r="A11" s="203" t="inlineStr">
        <is>
          <t>WBS-10</t>
        </is>
      </c>
      <c r="B11" s="28" t="n">
        <v>10</v>
      </c>
      <c r="C11" s="28" t="inlineStr">
        <is>
          <t>Fixtures &amp; Furniture</t>
        </is>
      </c>
      <c r="D11" s="28" t="inlineStr">
        <is>
          <t>Material</t>
        </is>
      </c>
      <c r="E11" s="213" t="n">
        <v>30000</v>
      </c>
    </row>
    <row r="12">
      <c r="A12" s="203" t="inlineStr">
        <is>
          <t>WBS-11</t>
        </is>
      </c>
      <c r="B12" s="28" t="n">
        <v>11</v>
      </c>
      <c r="C12" s="28" t="inlineStr">
        <is>
          <t>Testing / Commissioning</t>
        </is>
      </c>
      <c r="D12" s="28" t="inlineStr">
        <is>
          <t>Labor</t>
        </is>
      </c>
      <c r="E12" s="213" t="n">
        <v>8400</v>
      </c>
    </row>
    <row r="13">
      <c r="A13" s="207" t="inlineStr">
        <is>
          <t>WBS-12</t>
        </is>
      </c>
      <c r="B13" s="208" t="n">
        <v>12</v>
      </c>
      <c r="C13" s="208" t="inlineStr">
        <is>
          <t>Handover &amp; Closeout</t>
        </is>
      </c>
      <c r="D13" s="208" t="inlineStr">
        <is>
          <t>Labor</t>
        </is>
      </c>
      <c r="E13" s="214" t="n">
        <v>3600</v>
      </c>
    </row>
  </sheetData>
  <conditionalFormatting sqref="D2:D13">
    <cfRule type="containsText" priority="4" operator="containsText" dxfId="52" text="Labor">
      <formula>NOT(ISERROR(SEARCH("Labor",D2)))</formula>
    </cfRule>
    <cfRule type="containsText" priority="5" operator="containsText" dxfId="53" text="Material">
      <formula>NOT(ISERROR(SEARCH("Material",D2)))</formula>
    </cfRule>
    <cfRule type="containsText" priority="6" operator="containsText" dxfId="51" text="Subcontractor">
      <formula>NOT(ISERROR(SEARCH("Subcontractor",D2)))</formula>
    </cfRule>
  </conditionalFormatting>
  <conditionalFormatting sqref="E2:E13">
    <cfRule type="cellIs" priority="1" operator="lessThanOrEqual" dxfId="53">
      <formula>13200</formula>
    </cfRule>
    <cfRule type="cellIs" priority="2" operator="between" dxfId="52">
      <formula>13200</formula>
      <formula>28000</formula>
    </cfRule>
    <cfRule type="cellIs" priority="3" operator="greaterThanOrEqual" dxfId="51">
      <formula>28000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FFA6A6A6"/>
    <outlinePr summaryBelow="1" summaryRight="1"/>
    <pageSetUpPr/>
  </sheetPr>
  <dimension ref="A1:D12"/>
  <sheetViews>
    <sheetView workbookViewId="0">
      <selection activeCell="Q1" sqref="Q1"/>
    </sheetView>
  </sheetViews>
  <sheetFormatPr baseColWidth="8" defaultRowHeight="14.5"/>
  <cols>
    <col width="13.26953125" customWidth="1" style="120" min="1" max="1"/>
    <col width="16.36328125" customWidth="1" style="120" min="2" max="2"/>
    <col width="11.26953125" bestFit="1" customWidth="1" style="120" min="3" max="3"/>
    <col width="13" customWidth="1" style="120" min="4" max="4"/>
  </cols>
  <sheetData>
    <row r="1">
      <c r="A1" s="204" t="inlineStr">
        <is>
          <t>Resource_ID</t>
        </is>
      </c>
      <c r="B1" s="205" t="inlineStr">
        <is>
          <t>Resource_Name</t>
        </is>
      </c>
      <c r="C1" s="205" t="inlineStr">
        <is>
          <t>Role</t>
        </is>
      </c>
      <c r="D1" s="206" t="inlineStr">
        <is>
          <t>Hourly_Rate</t>
        </is>
      </c>
    </row>
    <row r="2">
      <c r="A2" s="203" t="inlineStr">
        <is>
          <t>RES101</t>
        </is>
      </c>
      <c r="B2" s="28" t="inlineStr">
        <is>
          <t>Alex Smith</t>
        </is>
      </c>
      <c r="C2" s="28" t="inlineStr">
        <is>
          <t>Structural Engineer</t>
        </is>
      </c>
      <c r="D2" s="213" t="n">
        <v>200</v>
      </c>
    </row>
    <row r="3">
      <c r="A3" s="203" t="inlineStr">
        <is>
          <t>RES102</t>
        </is>
      </c>
      <c r="B3" s="28" t="inlineStr">
        <is>
          <t>Sarah Jones</t>
        </is>
      </c>
      <c r="C3" s="28" t="inlineStr">
        <is>
          <t>Electrician</t>
        </is>
      </c>
      <c r="D3" s="213" t="n">
        <v>150</v>
      </c>
    </row>
    <row r="4">
      <c r="A4" s="203" t="inlineStr">
        <is>
          <t>R03</t>
        </is>
      </c>
      <c r="B4" s="28" t="inlineStr">
        <is>
          <t>Electrician</t>
        </is>
      </c>
      <c r="C4" s="28" t="inlineStr">
        <is>
          <t>Trades</t>
        </is>
      </c>
      <c r="D4" s="213" t="n">
        <v>2600</v>
      </c>
    </row>
    <row r="5">
      <c r="A5" s="203" t="inlineStr">
        <is>
          <t>R04</t>
        </is>
      </c>
      <c r="B5" s="28" t="inlineStr">
        <is>
          <t>Demolition Crew</t>
        </is>
      </c>
      <c r="C5" s="28" t="inlineStr">
        <is>
          <t>Labor</t>
        </is>
      </c>
      <c r="D5" s="213" t="n">
        <v>2200</v>
      </c>
    </row>
    <row r="6">
      <c r="A6" s="203" t="inlineStr">
        <is>
          <t>R05</t>
        </is>
      </c>
      <c r="B6" s="28" t="inlineStr">
        <is>
          <t>Testing Engineer</t>
        </is>
      </c>
      <c r="C6" s="28" t="inlineStr">
        <is>
          <t>QA</t>
        </is>
      </c>
      <c r="D6" s="213" t="n">
        <v>2100</v>
      </c>
    </row>
    <row r="7">
      <c r="A7" s="203" t="inlineStr">
        <is>
          <t>R06</t>
        </is>
      </c>
      <c r="B7" s="28" t="inlineStr">
        <is>
          <t>Closeout Specialist</t>
        </is>
      </c>
      <c r="C7" s="28" t="inlineStr">
        <is>
          <t>QA</t>
        </is>
      </c>
      <c r="D7" s="213" t="n">
        <v>1800</v>
      </c>
    </row>
    <row r="8">
      <c r="A8" s="203" t="inlineStr">
        <is>
          <t>R07</t>
        </is>
      </c>
      <c r="B8" s="28" t="inlineStr">
        <is>
          <t>Materials Vendor</t>
        </is>
      </c>
      <c r="C8" s="28" t="inlineStr">
        <is>
          <t>Vendor</t>
        </is>
      </c>
      <c r="D8" s="213" t="n">
        <v>0</v>
      </c>
    </row>
    <row r="9">
      <c r="A9" s="203" t="inlineStr">
        <is>
          <t>R08</t>
        </is>
      </c>
      <c r="B9" s="28" t="inlineStr">
        <is>
          <t>HVAC Contractor</t>
        </is>
      </c>
      <c r="C9" s="28" t="inlineStr">
        <is>
          <t>Contractor</t>
        </is>
      </c>
      <c r="D9" s="213" t="n">
        <v>0</v>
      </c>
    </row>
    <row r="10">
      <c r="A10" s="203" t="inlineStr">
        <is>
          <t>R09</t>
        </is>
      </c>
      <c r="B10" s="28" t="inlineStr">
        <is>
          <t>Drywall Contractor</t>
        </is>
      </c>
      <c r="C10" s="28" t="inlineStr">
        <is>
          <t>Contractor</t>
        </is>
      </c>
      <c r="D10" s="213" t="n">
        <v>0</v>
      </c>
    </row>
    <row r="11">
      <c r="A11" s="203" t="inlineStr">
        <is>
          <t>R10</t>
        </is>
      </c>
      <c r="B11" s="28" t="inlineStr">
        <is>
          <t>Flooring Supplier</t>
        </is>
      </c>
      <c r="C11" s="28" t="inlineStr">
        <is>
          <t>Vendor</t>
        </is>
      </c>
      <c r="D11" s="213" t="n">
        <v>0</v>
      </c>
    </row>
    <row r="12">
      <c r="A12" s="207" t="inlineStr">
        <is>
          <t>R11</t>
        </is>
      </c>
      <c r="B12" s="208" t="inlineStr">
        <is>
          <t>Furniture Supplier</t>
        </is>
      </c>
      <c r="C12" s="208" t="inlineStr">
        <is>
          <t>Vendor</t>
        </is>
      </c>
      <c r="D12" s="214" t="n">
        <v>0</v>
      </c>
    </row>
  </sheetData>
  <conditionalFormatting sqref="D2:D12">
    <cfRule type="cellIs" priority="1" operator="equal" dxfId="53">
      <formula>0</formula>
    </cfRule>
    <cfRule type="cellIs" priority="2" operator="between" dxfId="52">
      <formula>1</formula>
      <formula>2399.999</formula>
    </cfRule>
    <cfRule type="cellIs" priority="3" operator="greaterThanOrEqual" dxfId="51">
      <formula>2400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FFA6A6A6"/>
    <outlinePr summaryBelow="1" summaryRight="1"/>
    <pageSetUpPr/>
  </sheetPr>
  <dimension ref="A1:G85"/>
  <sheetViews>
    <sheetView topLeftCell="F1" workbookViewId="0">
      <selection activeCell="Q1" sqref="Q1"/>
    </sheetView>
  </sheetViews>
  <sheetFormatPr baseColWidth="8" defaultRowHeight="14.5"/>
  <cols>
    <col width="10.08984375" bestFit="1" customWidth="1" style="120" min="1" max="1"/>
    <col width="6.54296875" customWidth="1" style="120" min="2" max="2"/>
    <col width="8.08984375" customWidth="1" style="120" min="3" max="3"/>
    <col width="13.81640625" customWidth="1" style="120" min="4" max="4"/>
    <col width="9.1796875" customWidth="1" style="120" min="5" max="5"/>
    <col width="15.08984375" customWidth="1" style="120" min="6" max="6"/>
    <col width="12.81640625" customWidth="1" style="120" min="7" max="7"/>
  </cols>
  <sheetData>
    <row r="1">
      <c r="A1" s="204" t="inlineStr">
        <is>
          <t>Date</t>
        </is>
      </c>
      <c r="B1" s="205" t="inlineStr">
        <is>
          <t>Year</t>
        </is>
      </c>
      <c r="C1" s="205" t="inlineStr">
        <is>
          <t>Month</t>
        </is>
      </c>
      <c r="D1" s="205" t="inlineStr">
        <is>
          <t>Month_Name</t>
        </is>
      </c>
      <c r="E1" s="205" t="inlineStr">
        <is>
          <t>Quarter</t>
        </is>
      </c>
      <c r="F1" s="205" t="inlineStr">
        <is>
          <t>Week_Number</t>
        </is>
      </c>
      <c r="G1" s="206" t="inlineStr">
        <is>
          <t>Is_Weekday</t>
        </is>
      </c>
    </row>
    <row r="2">
      <c r="A2" s="298" t="inlineStr">
        <is>
          <t>2026-05-04 00:00:00</t>
        </is>
      </c>
      <c r="B2" s="28" t="n">
        <v>2026</v>
      </c>
      <c r="C2" s="28" t="n">
        <v>5</v>
      </c>
      <c r="D2" s="28" t="inlineStr">
        <is>
          <t>May</t>
        </is>
      </c>
      <c r="E2" s="28" t="n">
        <v>2</v>
      </c>
      <c r="F2" s="28" t="n">
        <v>1</v>
      </c>
      <c r="G2" s="216" t="n">
        <v>1</v>
      </c>
    </row>
    <row r="3">
      <c r="A3" s="298" t="inlineStr">
        <is>
          <t>2026-05-05 00:00:00</t>
        </is>
      </c>
      <c r="B3" s="28" t="n">
        <v>2026</v>
      </c>
      <c r="C3" s="28" t="n">
        <v>5</v>
      </c>
      <c r="D3" s="28" t="inlineStr">
        <is>
          <t>May</t>
        </is>
      </c>
      <c r="E3" s="28" t="n">
        <v>2</v>
      </c>
      <c r="F3" s="28" t="n">
        <v>1</v>
      </c>
      <c r="G3" s="216" t="n">
        <v>1</v>
      </c>
    </row>
    <row r="4">
      <c r="A4" s="298" t="inlineStr">
        <is>
          <t>2026-05-06 00:00:00</t>
        </is>
      </c>
      <c r="B4" s="28" t="n">
        <v>2026</v>
      </c>
      <c r="C4" s="28" t="n">
        <v>5</v>
      </c>
      <c r="D4" s="28" t="inlineStr">
        <is>
          <t>May</t>
        </is>
      </c>
      <c r="E4" s="28" t="n">
        <v>2</v>
      </c>
      <c r="F4" s="28" t="n">
        <v>1</v>
      </c>
      <c r="G4" s="216" t="n">
        <v>1</v>
      </c>
    </row>
    <row r="5">
      <c r="A5" s="298" t="inlineStr">
        <is>
          <t>2026-05-07 00:00:00</t>
        </is>
      </c>
      <c r="B5" s="28" t="n">
        <v>2026</v>
      </c>
      <c r="C5" s="28" t="n">
        <v>5</v>
      </c>
      <c r="D5" s="28" t="inlineStr">
        <is>
          <t>May</t>
        </is>
      </c>
      <c r="E5" s="28" t="n">
        <v>2</v>
      </c>
      <c r="F5" s="28" t="n">
        <v>1</v>
      </c>
      <c r="G5" s="216" t="n">
        <v>1</v>
      </c>
    </row>
    <row r="6">
      <c r="A6" s="298" t="inlineStr">
        <is>
          <t>2026-05-08 00:00:00</t>
        </is>
      </c>
      <c r="B6" s="28" t="n">
        <v>2026</v>
      </c>
      <c r="C6" s="28" t="n">
        <v>5</v>
      </c>
      <c r="D6" s="28" t="inlineStr">
        <is>
          <t>May</t>
        </is>
      </c>
      <c r="E6" s="28" t="n">
        <v>2</v>
      </c>
      <c r="F6" s="28" t="n">
        <v>1</v>
      </c>
      <c r="G6" s="216" t="n">
        <v>1</v>
      </c>
    </row>
    <row r="7">
      <c r="A7" s="298" t="inlineStr">
        <is>
          <t>2026-05-09 00:00:00</t>
        </is>
      </c>
      <c r="B7" s="28" t="n">
        <v>2026</v>
      </c>
      <c r="C7" s="28" t="n">
        <v>5</v>
      </c>
      <c r="D7" s="28" t="inlineStr">
        <is>
          <t>May</t>
        </is>
      </c>
      <c r="E7" s="28" t="n">
        <v>2</v>
      </c>
      <c r="F7" s="28" t="n">
        <v>1</v>
      </c>
      <c r="G7" s="216" t="n">
        <v>0</v>
      </c>
    </row>
    <row r="8">
      <c r="A8" s="298" t="inlineStr">
        <is>
          <t>2026-05-10 00:00:00</t>
        </is>
      </c>
      <c r="B8" s="28" t="n">
        <v>2026</v>
      </c>
      <c r="C8" s="28" t="n">
        <v>5</v>
      </c>
      <c r="D8" s="28" t="inlineStr">
        <is>
          <t>May</t>
        </is>
      </c>
      <c r="E8" s="28" t="n">
        <v>2</v>
      </c>
      <c r="F8" s="28" t="n">
        <v>1</v>
      </c>
      <c r="G8" s="216" t="n">
        <v>0</v>
      </c>
    </row>
    <row r="9">
      <c r="A9" s="298" t="inlineStr">
        <is>
          <t>2026-05-11 00:00:00</t>
        </is>
      </c>
      <c r="B9" s="28" t="n">
        <v>2026</v>
      </c>
      <c r="C9" s="28" t="n">
        <v>5</v>
      </c>
      <c r="D9" s="28" t="inlineStr">
        <is>
          <t>May</t>
        </is>
      </c>
      <c r="E9" s="28" t="n">
        <v>2</v>
      </c>
      <c r="F9" s="28" t="n">
        <v>2</v>
      </c>
      <c r="G9" s="216" t="n">
        <v>1</v>
      </c>
    </row>
    <row r="10">
      <c r="A10" s="298" t="inlineStr">
        <is>
          <t>2026-05-12 00:00:00</t>
        </is>
      </c>
      <c r="B10" s="28" t="n">
        <v>2026</v>
      </c>
      <c r="C10" s="28" t="n">
        <v>5</v>
      </c>
      <c r="D10" s="28" t="inlineStr">
        <is>
          <t>May</t>
        </is>
      </c>
      <c r="E10" s="28" t="n">
        <v>2</v>
      </c>
      <c r="F10" s="28" t="n">
        <v>2</v>
      </c>
      <c r="G10" s="216" t="n">
        <v>1</v>
      </c>
    </row>
    <row r="11">
      <c r="A11" s="298" t="inlineStr">
        <is>
          <t>2026-05-13 00:00:00</t>
        </is>
      </c>
      <c r="B11" s="28" t="n">
        <v>2026</v>
      </c>
      <c r="C11" s="28" t="n">
        <v>5</v>
      </c>
      <c r="D11" s="28" t="inlineStr">
        <is>
          <t>May</t>
        </is>
      </c>
      <c r="E11" s="28" t="n">
        <v>2</v>
      </c>
      <c r="F11" s="28" t="n">
        <v>2</v>
      </c>
      <c r="G11" s="216" t="n">
        <v>1</v>
      </c>
    </row>
    <row r="12">
      <c r="A12" s="298" t="inlineStr">
        <is>
          <t>2026-05-14 00:00:00</t>
        </is>
      </c>
      <c r="B12" s="28" t="n">
        <v>2026</v>
      </c>
      <c r="C12" s="28" t="n">
        <v>5</v>
      </c>
      <c r="D12" s="28" t="inlineStr">
        <is>
          <t>May</t>
        </is>
      </c>
      <c r="E12" s="28" t="n">
        <v>2</v>
      </c>
      <c r="F12" s="28" t="n">
        <v>2</v>
      </c>
      <c r="G12" s="216" t="n">
        <v>1</v>
      </c>
    </row>
    <row r="13">
      <c r="A13" s="298" t="inlineStr">
        <is>
          <t>2026-05-15 00:00:00</t>
        </is>
      </c>
      <c r="B13" s="28" t="n">
        <v>2026</v>
      </c>
      <c r="C13" s="28" t="n">
        <v>5</v>
      </c>
      <c r="D13" s="28" t="inlineStr">
        <is>
          <t>May</t>
        </is>
      </c>
      <c r="E13" s="28" t="n">
        <v>2</v>
      </c>
      <c r="F13" s="28" t="n">
        <v>2</v>
      </c>
      <c r="G13" s="216" t="n">
        <v>1</v>
      </c>
    </row>
    <row r="14">
      <c r="A14" s="298" t="inlineStr">
        <is>
          <t>2026-05-16 00:00:00</t>
        </is>
      </c>
      <c r="B14" s="28" t="n">
        <v>2026</v>
      </c>
      <c r="C14" s="28" t="n">
        <v>5</v>
      </c>
      <c r="D14" s="28" t="inlineStr">
        <is>
          <t>May</t>
        </is>
      </c>
      <c r="E14" s="28" t="n">
        <v>2</v>
      </c>
      <c r="F14" s="28" t="n">
        <v>2</v>
      </c>
      <c r="G14" s="216" t="n">
        <v>0</v>
      </c>
    </row>
    <row r="15">
      <c r="A15" s="298" t="inlineStr">
        <is>
          <t>2026-05-17 00:00:00</t>
        </is>
      </c>
      <c r="B15" s="28" t="n">
        <v>2026</v>
      </c>
      <c r="C15" s="28" t="n">
        <v>5</v>
      </c>
      <c r="D15" s="28" t="inlineStr">
        <is>
          <t>May</t>
        </is>
      </c>
      <c r="E15" s="28" t="n">
        <v>2</v>
      </c>
      <c r="F15" s="28" t="n">
        <v>2</v>
      </c>
      <c r="G15" s="216" t="n">
        <v>0</v>
      </c>
    </row>
    <row r="16">
      <c r="A16" s="298" t="inlineStr">
        <is>
          <t>2026-05-18 00:00:00</t>
        </is>
      </c>
      <c r="B16" s="28" t="n">
        <v>2026</v>
      </c>
      <c r="C16" s="28" t="n">
        <v>5</v>
      </c>
      <c r="D16" s="28" t="inlineStr">
        <is>
          <t>May</t>
        </is>
      </c>
      <c r="E16" s="28" t="n">
        <v>2</v>
      </c>
      <c r="F16" s="28" t="n">
        <v>3</v>
      </c>
      <c r="G16" s="216" t="n">
        <v>1</v>
      </c>
    </row>
    <row r="17">
      <c r="A17" s="298" t="inlineStr">
        <is>
          <t>2026-05-19 00:00:00</t>
        </is>
      </c>
      <c r="B17" s="28" t="n">
        <v>2026</v>
      </c>
      <c r="C17" s="28" t="n">
        <v>5</v>
      </c>
      <c r="D17" s="28" t="inlineStr">
        <is>
          <t>May</t>
        </is>
      </c>
      <c r="E17" s="28" t="n">
        <v>2</v>
      </c>
      <c r="F17" s="28" t="n">
        <v>3</v>
      </c>
      <c r="G17" s="216" t="n">
        <v>1</v>
      </c>
    </row>
    <row r="18">
      <c r="A18" s="298" t="inlineStr">
        <is>
          <t>2026-05-20 00:00:00</t>
        </is>
      </c>
      <c r="B18" s="28" t="n">
        <v>2026</v>
      </c>
      <c r="C18" s="28" t="n">
        <v>5</v>
      </c>
      <c r="D18" s="28" t="inlineStr">
        <is>
          <t>May</t>
        </is>
      </c>
      <c r="E18" s="28" t="n">
        <v>2</v>
      </c>
      <c r="F18" s="28" t="n">
        <v>3</v>
      </c>
      <c r="G18" s="216" t="n">
        <v>1</v>
      </c>
    </row>
    <row r="19">
      <c r="A19" s="298" t="inlineStr">
        <is>
          <t>2026-05-21 00:00:00</t>
        </is>
      </c>
      <c r="B19" s="28" t="n">
        <v>2026</v>
      </c>
      <c r="C19" s="28" t="n">
        <v>5</v>
      </c>
      <c r="D19" s="28" t="inlineStr">
        <is>
          <t>May</t>
        </is>
      </c>
      <c r="E19" s="28" t="n">
        <v>2</v>
      </c>
      <c r="F19" s="28" t="n">
        <v>3</v>
      </c>
      <c r="G19" s="216" t="n">
        <v>1</v>
      </c>
    </row>
    <row r="20">
      <c r="A20" s="298" t="inlineStr">
        <is>
          <t>2026-05-22 00:00:00</t>
        </is>
      </c>
      <c r="B20" s="28" t="n">
        <v>2026</v>
      </c>
      <c r="C20" s="28" t="n">
        <v>5</v>
      </c>
      <c r="D20" s="28" t="inlineStr">
        <is>
          <t>May</t>
        </is>
      </c>
      <c r="E20" s="28" t="n">
        <v>2</v>
      </c>
      <c r="F20" s="28" t="n">
        <v>3</v>
      </c>
      <c r="G20" s="216" t="n">
        <v>1</v>
      </c>
    </row>
    <row r="21">
      <c r="A21" s="298" t="inlineStr">
        <is>
          <t>2026-05-23 00:00:00</t>
        </is>
      </c>
      <c r="B21" s="28" t="n">
        <v>2026</v>
      </c>
      <c r="C21" s="28" t="n">
        <v>5</v>
      </c>
      <c r="D21" s="28" t="inlineStr">
        <is>
          <t>May</t>
        </is>
      </c>
      <c r="E21" s="28" t="n">
        <v>2</v>
      </c>
      <c r="F21" s="28" t="n">
        <v>3</v>
      </c>
      <c r="G21" s="216" t="n">
        <v>0</v>
      </c>
    </row>
    <row r="22">
      <c r="A22" s="298" t="inlineStr">
        <is>
          <t>2026-05-24 00:00:00</t>
        </is>
      </c>
      <c r="B22" s="28" t="n">
        <v>2026</v>
      </c>
      <c r="C22" s="28" t="n">
        <v>5</v>
      </c>
      <c r="D22" s="28" t="inlineStr">
        <is>
          <t>May</t>
        </is>
      </c>
      <c r="E22" s="28" t="n">
        <v>2</v>
      </c>
      <c r="F22" s="28" t="n">
        <v>3</v>
      </c>
      <c r="G22" s="216" t="n">
        <v>0</v>
      </c>
    </row>
    <row r="23">
      <c r="A23" s="298" t="inlineStr">
        <is>
          <t>2026-05-25 00:00:00</t>
        </is>
      </c>
      <c r="B23" s="28" t="n">
        <v>2026</v>
      </c>
      <c r="C23" s="28" t="n">
        <v>5</v>
      </c>
      <c r="D23" s="28" t="inlineStr">
        <is>
          <t>May</t>
        </is>
      </c>
      <c r="E23" s="28" t="n">
        <v>2</v>
      </c>
      <c r="F23" s="28" t="n">
        <v>4</v>
      </c>
      <c r="G23" s="216" t="n">
        <v>1</v>
      </c>
    </row>
    <row r="24">
      <c r="A24" s="298" t="inlineStr">
        <is>
          <t>2026-05-26 00:00:00</t>
        </is>
      </c>
      <c r="B24" s="28" t="n">
        <v>2026</v>
      </c>
      <c r="C24" s="28" t="n">
        <v>5</v>
      </c>
      <c r="D24" s="28" t="inlineStr">
        <is>
          <t>May</t>
        </is>
      </c>
      <c r="E24" s="28" t="n">
        <v>2</v>
      </c>
      <c r="F24" s="28" t="n">
        <v>4</v>
      </c>
      <c r="G24" s="216" t="n">
        <v>1</v>
      </c>
    </row>
    <row r="25">
      <c r="A25" s="298" t="inlineStr">
        <is>
          <t>2026-05-27 00:00:00</t>
        </is>
      </c>
      <c r="B25" s="28" t="n">
        <v>2026</v>
      </c>
      <c r="C25" s="28" t="n">
        <v>5</v>
      </c>
      <c r="D25" s="28" t="inlineStr">
        <is>
          <t>May</t>
        </is>
      </c>
      <c r="E25" s="28" t="n">
        <v>2</v>
      </c>
      <c r="F25" s="28" t="n">
        <v>4</v>
      </c>
      <c r="G25" s="216" t="n">
        <v>1</v>
      </c>
    </row>
    <row r="26">
      <c r="A26" s="298" t="inlineStr">
        <is>
          <t>2026-05-28 00:00:00</t>
        </is>
      </c>
      <c r="B26" s="28" t="n">
        <v>2026</v>
      </c>
      <c r="C26" s="28" t="n">
        <v>5</v>
      </c>
      <c r="D26" s="28" t="inlineStr">
        <is>
          <t>May</t>
        </is>
      </c>
      <c r="E26" s="28" t="n">
        <v>2</v>
      </c>
      <c r="F26" s="28" t="n">
        <v>4</v>
      </c>
      <c r="G26" s="216" t="n">
        <v>1</v>
      </c>
    </row>
    <row r="27">
      <c r="A27" s="298" t="inlineStr">
        <is>
          <t>2026-05-29 00:00:00</t>
        </is>
      </c>
      <c r="B27" s="28" t="n">
        <v>2026</v>
      </c>
      <c r="C27" s="28" t="n">
        <v>5</v>
      </c>
      <c r="D27" s="28" t="inlineStr">
        <is>
          <t>May</t>
        </is>
      </c>
      <c r="E27" s="28" t="n">
        <v>2</v>
      </c>
      <c r="F27" s="28" t="n">
        <v>4</v>
      </c>
      <c r="G27" s="216" t="n">
        <v>1</v>
      </c>
    </row>
    <row r="28">
      <c r="A28" s="298" t="inlineStr">
        <is>
          <t>2026-05-30 00:00:00</t>
        </is>
      </c>
      <c r="B28" s="28" t="n">
        <v>2026</v>
      </c>
      <c r="C28" s="28" t="n">
        <v>5</v>
      </c>
      <c r="D28" s="28" t="inlineStr">
        <is>
          <t>May</t>
        </is>
      </c>
      <c r="E28" s="28" t="n">
        <v>2</v>
      </c>
      <c r="F28" s="28" t="n">
        <v>4</v>
      </c>
      <c r="G28" s="216" t="n">
        <v>0</v>
      </c>
    </row>
    <row r="29">
      <c r="A29" s="298" t="inlineStr">
        <is>
          <t>2026-05-31 00:00:00</t>
        </is>
      </c>
      <c r="B29" s="28" t="n">
        <v>2026</v>
      </c>
      <c r="C29" s="28" t="n">
        <v>5</v>
      </c>
      <c r="D29" s="28" t="inlineStr">
        <is>
          <t>May</t>
        </is>
      </c>
      <c r="E29" s="28" t="n">
        <v>2</v>
      </c>
      <c r="F29" s="28" t="n">
        <v>4</v>
      </c>
      <c r="G29" s="216" t="n">
        <v>0</v>
      </c>
    </row>
    <row r="30">
      <c r="A30" s="298" t="inlineStr">
        <is>
          <t>2026-06-01 00:00:00</t>
        </is>
      </c>
      <c r="B30" s="28" t="n">
        <v>2026</v>
      </c>
      <c r="C30" s="28" t="n">
        <v>6</v>
      </c>
      <c r="D30" s="28" t="inlineStr">
        <is>
          <t>June</t>
        </is>
      </c>
      <c r="E30" s="28" t="n">
        <v>2</v>
      </c>
      <c r="F30" s="28" t="n">
        <v>5</v>
      </c>
      <c r="G30" s="216" t="n">
        <v>1</v>
      </c>
    </row>
    <row r="31">
      <c r="A31" s="298" t="inlineStr">
        <is>
          <t>2026-06-02 00:00:00</t>
        </is>
      </c>
      <c r="B31" s="28" t="n">
        <v>2026</v>
      </c>
      <c r="C31" s="28" t="n">
        <v>6</v>
      </c>
      <c r="D31" s="28" t="inlineStr">
        <is>
          <t>June</t>
        </is>
      </c>
      <c r="E31" s="28" t="n">
        <v>2</v>
      </c>
      <c r="F31" s="28" t="n">
        <v>5</v>
      </c>
      <c r="G31" s="216" t="n">
        <v>1</v>
      </c>
    </row>
    <row r="32">
      <c r="A32" s="298" t="inlineStr">
        <is>
          <t>2026-06-03 00:00:00</t>
        </is>
      </c>
      <c r="B32" s="28" t="n">
        <v>2026</v>
      </c>
      <c r="C32" s="28" t="n">
        <v>6</v>
      </c>
      <c r="D32" s="28" t="inlineStr">
        <is>
          <t>June</t>
        </is>
      </c>
      <c r="E32" s="28" t="n">
        <v>2</v>
      </c>
      <c r="F32" s="28" t="n">
        <v>5</v>
      </c>
      <c r="G32" s="216" t="n">
        <v>1</v>
      </c>
    </row>
    <row r="33">
      <c r="A33" s="298" t="inlineStr">
        <is>
          <t>2026-06-04 00:00:00</t>
        </is>
      </c>
      <c r="B33" s="28" t="n">
        <v>2026</v>
      </c>
      <c r="C33" s="28" t="n">
        <v>6</v>
      </c>
      <c r="D33" s="28" t="inlineStr">
        <is>
          <t>June</t>
        </is>
      </c>
      <c r="E33" s="28" t="n">
        <v>2</v>
      </c>
      <c r="F33" s="28" t="n">
        <v>5</v>
      </c>
      <c r="G33" s="216" t="n">
        <v>1</v>
      </c>
    </row>
    <row r="34">
      <c r="A34" s="298" t="inlineStr">
        <is>
          <t>2026-06-05 00:00:00</t>
        </is>
      </c>
      <c r="B34" s="28" t="n">
        <v>2026</v>
      </c>
      <c r="C34" s="28" t="n">
        <v>6</v>
      </c>
      <c r="D34" s="28" t="inlineStr">
        <is>
          <t>June</t>
        </is>
      </c>
      <c r="E34" s="28" t="n">
        <v>2</v>
      </c>
      <c r="F34" s="28" t="n">
        <v>5</v>
      </c>
      <c r="G34" s="216" t="n">
        <v>1</v>
      </c>
    </row>
    <row r="35">
      <c r="A35" s="298" t="inlineStr">
        <is>
          <t>2026-06-06 00:00:00</t>
        </is>
      </c>
      <c r="B35" s="28" t="n">
        <v>2026</v>
      </c>
      <c r="C35" s="28" t="n">
        <v>6</v>
      </c>
      <c r="D35" s="28" t="inlineStr">
        <is>
          <t>June</t>
        </is>
      </c>
      <c r="E35" s="28" t="n">
        <v>2</v>
      </c>
      <c r="F35" s="28" t="n">
        <v>5</v>
      </c>
      <c r="G35" s="216" t="n">
        <v>0</v>
      </c>
    </row>
    <row r="36">
      <c r="A36" s="298" t="inlineStr">
        <is>
          <t>2026-06-07 00:00:00</t>
        </is>
      </c>
      <c r="B36" s="28" t="n">
        <v>2026</v>
      </c>
      <c r="C36" s="28" t="n">
        <v>6</v>
      </c>
      <c r="D36" s="28" t="inlineStr">
        <is>
          <t>June</t>
        </is>
      </c>
      <c r="E36" s="28" t="n">
        <v>2</v>
      </c>
      <c r="F36" s="28" t="n">
        <v>5</v>
      </c>
      <c r="G36" s="216" t="n">
        <v>0</v>
      </c>
    </row>
    <row r="37">
      <c r="A37" s="298" t="inlineStr">
        <is>
          <t>2026-06-08 00:00:00</t>
        </is>
      </c>
      <c r="B37" s="28" t="n">
        <v>2026</v>
      </c>
      <c r="C37" s="28" t="n">
        <v>6</v>
      </c>
      <c r="D37" s="28" t="inlineStr">
        <is>
          <t>June</t>
        </is>
      </c>
      <c r="E37" s="28" t="n">
        <v>2</v>
      </c>
      <c r="F37" s="28" t="n">
        <v>6</v>
      </c>
      <c r="G37" s="216" t="n">
        <v>1</v>
      </c>
    </row>
    <row r="38">
      <c r="A38" s="298" t="inlineStr">
        <is>
          <t>2026-06-09 00:00:00</t>
        </is>
      </c>
      <c r="B38" s="28" t="n">
        <v>2026</v>
      </c>
      <c r="C38" s="28" t="n">
        <v>6</v>
      </c>
      <c r="D38" s="28" t="inlineStr">
        <is>
          <t>June</t>
        </is>
      </c>
      <c r="E38" s="28" t="n">
        <v>2</v>
      </c>
      <c r="F38" s="28" t="n">
        <v>6</v>
      </c>
      <c r="G38" s="216" t="n">
        <v>1</v>
      </c>
    </row>
    <row r="39">
      <c r="A39" s="298" t="inlineStr">
        <is>
          <t>2026-06-10 00:00:00</t>
        </is>
      </c>
      <c r="B39" s="28" t="n">
        <v>2026</v>
      </c>
      <c r="C39" s="28" t="n">
        <v>6</v>
      </c>
      <c r="D39" s="28" t="inlineStr">
        <is>
          <t>June</t>
        </is>
      </c>
      <c r="E39" s="28" t="n">
        <v>2</v>
      </c>
      <c r="F39" s="28" t="n">
        <v>6</v>
      </c>
      <c r="G39" s="216" t="n">
        <v>1</v>
      </c>
    </row>
    <row r="40">
      <c r="A40" s="298" t="inlineStr">
        <is>
          <t>2026-06-11 00:00:00</t>
        </is>
      </c>
      <c r="B40" s="28" t="n">
        <v>2026</v>
      </c>
      <c r="C40" s="28" t="n">
        <v>6</v>
      </c>
      <c r="D40" s="28" t="inlineStr">
        <is>
          <t>June</t>
        </is>
      </c>
      <c r="E40" s="28" t="n">
        <v>2</v>
      </c>
      <c r="F40" s="28" t="n">
        <v>6</v>
      </c>
      <c r="G40" s="216" t="n">
        <v>1</v>
      </c>
    </row>
    <row r="41">
      <c r="A41" s="298" t="inlineStr">
        <is>
          <t>2026-06-12 00:00:00</t>
        </is>
      </c>
      <c r="B41" s="28" t="n">
        <v>2026</v>
      </c>
      <c r="C41" s="28" t="n">
        <v>6</v>
      </c>
      <c r="D41" s="28" t="inlineStr">
        <is>
          <t>June</t>
        </is>
      </c>
      <c r="E41" s="28" t="n">
        <v>2</v>
      </c>
      <c r="F41" s="28" t="n">
        <v>6</v>
      </c>
      <c r="G41" s="216" t="n">
        <v>1</v>
      </c>
    </row>
    <row r="42">
      <c r="A42" s="298" t="inlineStr">
        <is>
          <t>2026-06-13 00:00:00</t>
        </is>
      </c>
      <c r="B42" s="28" t="n">
        <v>2026</v>
      </c>
      <c r="C42" s="28" t="n">
        <v>6</v>
      </c>
      <c r="D42" s="28" t="inlineStr">
        <is>
          <t>June</t>
        </is>
      </c>
      <c r="E42" s="28" t="n">
        <v>2</v>
      </c>
      <c r="F42" s="28" t="n">
        <v>6</v>
      </c>
      <c r="G42" s="216" t="n">
        <v>0</v>
      </c>
    </row>
    <row r="43">
      <c r="A43" s="298" t="inlineStr">
        <is>
          <t>2026-06-14 00:00:00</t>
        </is>
      </c>
      <c r="B43" s="28" t="n">
        <v>2026</v>
      </c>
      <c r="C43" s="28" t="n">
        <v>6</v>
      </c>
      <c r="D43" s="28" t="inlineStr">
        <is>
          <t>June</t>
        </is>
      </c>
      <c r="E43" s="28" t="n">
        <v>2</v>
      </c>
      <c r="F43" s="28" t="n">
        <v>6</v>
      </c>
      <c r="G43" s="216" t="n">
        <v>0</v>
      </c>
    </row>
    <row r="44">
      <c r="A44" s="298" t="inlineStr">
        <is>
          <t>2026-06-15 00:00:00</t>
        </is>
      </c>
      <c r="B44" s="28" t="n">
        <v>2026</v>
      </c>
      <c r="C44" s="28" t="n">
        <v>6</v>
      </c>
      <c r="D44" s="28" t="inlineStr">
        <is>
          <t>June</t>
        </is>
      </c>
      <c r="E44" s="28" t="n">
        <v>2</v>
      </c>
      <c r="F44" s="28" t="n">
        <v>7</v>
      </c>
      <c r="G44" s="216" t="n">
        <v>1</v>
      </c>
    </row>
    <row r="45">
      <c r="A45" s="298" t="inlineStr">
        <is>
          <t>2026-06-16 00:00:00</t>
        </is>
      </c>
      <c r="B45" s="28" t="n">
        <v>2026</v>
      </c>
      <c r="C45" s="28" t="n">
        <v>6</v>
      </c>
      <c r="D45" s="28" t="inlineStr">
        <is>
          <t>June</t>
        </is>
      </c>
      <c r="E45" s="28" t="n">
        <v>2</v>
      </c>
      <c r="F45" s="28" t="n">
        <v>7</v>
      </c>
      <c r="G45" s="216" t="n">
        <v>1</v>
      </c>
    </row>
    <row r="46">
      <c r="A46" s="298" t="inlineStr">
        <is>
          <t>2026-06-17 00:00:00</t>
        </is>
      </c>
      <c r="B46" s="28" t="n">
        <v>2026</v>
      </c>
      <c r="C46" s="28" t="n">
        <v>6</v>
      </c>
      <c r="D46" s="28" t="inlineStr">
        <is>
          <t>June</t>
        </is>
      </c>
      <c r="E46" s="28" t="n">
        <v>2</v>
      </c>
      <c r="F46" s="28" t="n">
        <v>7</v>
      </c>
      <c r="G46" s="216" t="n">
        <v>1</v>
      </c>
    </row>
    <row r="47">
      <c r="A47" s="298" t="inlineStr">
        <is>
          <t>2026-06-18 00:00:00</t>
        </is>
      </c>
      <c r="B47" s="28" t="n">
        <v>2026</v>
      </c>
      <c r="C47" s="28" t="n">
        <v>6</v>
      </c>
      <c r="D47" s="28" t="inlineStr">
        <is>
          <t>June</t>
        </is>
      </c>
      <c r="E47" s="28" t="n">
        <v>2</v>
      </c>
      <c r="F47" s="28" t="n">
        <v>7</v>
      </c>
      <c r="G47" s="216" t="n">
        <v>1</v>
      </c>
    </row>
    <row r="48">
      <c r="A48" s="298" t="inlineStr">
        <is>
          <t>2026-06-19 00:00:00</t>
        </is>
      </c>
      <c r="B48" s="28" t="n">
        <v>2026</v>
      </c>
      <c r="C48" s="28" t="n">
        <v>6</v>
      </c>
      <c r="D48" s="28" t="inlineStr">
        <is>
          <t>June</t>
        </is>
      </c>
      <c r="E48" s="28" t="n">
        <v>2</v>
      </c>
      <c r="F48" s="28" t="n">
        <v>7</v>
      </c>
      <c r="G48" s="216" t="n">
        <v>1</v>
      </c>
    </row>
    <row r="49">
      <c r="A49" s="298" t="inlineStr">
        <is>
          <t>2026-06-20 00:00:00</t>
        </is>
      </c>
      <c r="B49" s="28" t="n">
        <v>2026</v>
      </c>
      <c r="C49" s="28" t="n">
        <v>6</v>
      </c>
      <c r="D49" s="28" t="inlineStr">
        <is>
          <t>June</t>
        </is>
      </c>
      <c r="E49" s="28" t="n">
        <v>2</v>
      </c>
      <c r="F49" s="28" t="n">
        <v>7</v>
      </c>
      <c r="G49" s="216" t="n">
        <v>0</v>
      </c>
    </row>
    <row r="50">
      <c r="A50" s="298" t="inlineStr">
        <is>
          <t>2026-06-21 00:00:00</t>
        </is>
      </c>
      <c r="B50" s="28" t="n">
        <v>2026</v>
      </c>
      <c r="C50" s="28" t="n">
        <v>6</v>
      </c>
      <c r="D50" s="28" t="inlineStr">
        <is>
          <t>June</t>
        </is>
      </c>
      <c r="E50" s="28" t="n">
        <v>2</v>
      </c>
      <c r="F50" s="28" t="n">
        <v>7</v>
      </c>
      <c r="G50" s="216" t="n">
        <v>0</v>
      </c>
    </row>
    <row r="51">
      <c r="A51" s="298" t="inlineStr">
        <is>
          <t>2026-06-22 00:00:00</t>
        </is>
      </c>
      <c r="B51" s="28" t="n">
        <v>2026</v>
      </c>
      <c r="C51" s="28" t="n">
        <v>6</v>
      </c>
      <c r="D51" s="28" t="inlineStr">
        <is>
          <t>June</t>
        </is>
      </c>
      <c r="E51" s="28" t="n">
        <v>2</v>
      </c>
      <c r="F51" s="28" t="n">
        <v>8</v>
      </c>
      <c r="G51" s="216" t="n">
        <v>1</v>
      </c>
    </row>
    <row r="52">
      <c r="A52" s="298" t="inlineStr">
        <is>
          <t>2026-06-23 00:00:00</t>
        </is>
      </c>
      <c r="B52" s="28" t="n">
        <v>2026</v>
      </c>
      <c r="C52" s="28" t="n">
        <v>6</v>
      </c>
      <c r="D52" s="28" t="inlineStr">
        <is>
          <t>June</t>
        </is>
      </c>
      <c r="E52" s="28" t="n">
        <v>2</v>
      </c>
      <c r="F52" s="28" t="n">
        <v>8</v>
      </c>
      <c r="G52" s="216" t="n">
        <v>1</v>
      </c>
    </row>
    <row r="53">
      <c r="A53" s="298" t="inlineStr">
        <is>
          <t>2026-06-24 00:00:00</t>
        </is>
      </c>
      <c r="B53" s="28" t="n">
        <v>2026</v>
      </c>
      <c r="C53" s="28" t="n">
        <v>6</v>
      </c>
      <c r="D53" s="28" t="inlineStr">
        <is>
          <t>June</t>
        </is>
      </c>
      <c r="E53" s="28" t="n">
        <v>2</v>
      </c>
      <c r="F53" s="28" t="n">
        <v>8</v>
      </c>
      <c r="G53" s="216" t="n">
        <v>1</v>
      </c>
    </row>
    <row r="54">
      <c r="A54" s="298" t="inlineStr">
        <is>
          <t>2026-06-25 00:00:00</t>
        </is>
      </c>
      <c r="B54" s="28" t="n">
        <v>2026</v>
      </c>
      <c r="C54" s="28" t="n">
        <v>6</v>
      </c>
      <c r="D54" s="28" t="inlineStr">
        <is>
          <t>June</t>
        </is>
      </c>
      <c r="E54" s="28" t="n">
        <v>2</v>
      </c>
      <c r="F54" s="28" t="n">
        <v>8</v>
      </c>
      <c r="G54" s="216" t="n">
        <v>1</v>
      </c>
    </row>
    <row r="55">
      <c r="A55" s="298" t="inlineStr">
        <is>
          <t>2026-06-26 00:00:00</t>
        </is>
      </c>
      <c r="B55" s="28" t="n">
        <v>2026</v>
      </c>
      <c r="C55" s="28" t="n">
        <v>6</v>
      </c>
      <c r="D55" s="28" t="inlineStr">
        <is>
          <t>June</t>
        </is>
      </c>
      <c r="E55" s="28" t="n">
        <v>2</v>
      </c>
      <c r="F55" s="28" t="n">
        <v>8</v>
      </c>
      <c r="G55" s="216" t="n">
        <v>1</v>
      </c>
    </row>
    <row r="56">
      <c r="A56" s="298" t="inlineStr">
        <is>
          <t>2026-06-27 00:00:00</t>
        </is>
      </c>
      <c r="B56" s="28" t="n">
        <v>2026</v>
      </c>
      <c r="C56" s="28" t="n">
        <v>6</v>
      </c>
      <c r="D56" s="28" t="inlineStr">
        <is>
          <t>June</t>
        </is>
      </c>
      <c r="E56" s="28" t="n">
        <v>2</v>
      </c>
      <c r="F56" s="28" t="n">
        <v>8</v>
      </c>
      <c r="G56" s="216" t="n">
        <v>0</v>
      </c>
    </row>
    <row r="57">
      <c r="A57" s="298" t="inlineStr">
        <is>
          <t>2026-06-28 00:00:00</t>
        </is>
      </c>
      <c r="B57" s="28" t="n">
        <v>2026</v>
      </c>
      <c r="C57" s="28" t="n">
        <v>6</v>
      </c>
      <c r="D57" s="28" t="inlineStr">
        <is>
          <t>June</t>
        </is>
      </c>
      <c r="E57" s="28" t="n">
        <v>2</v>
      </c>
      <c r="F57" s="28" t="n">
        <v>8</v>
      </c>
      <c r="G57" s="216" t="n">
        <v>0</v>
      </c>
    </row>
    <row r="58">
      <c r="A58" s="298" t="inlineStr">
        <is>
          <t>2026-06-29 00:00:00</t>
        </is>
      </c>
      <c r="B58" s="28" t="n">
        <v>2026</v>
      </c>
      <c r="C58" s="28" t="n">
        <v>6</v>
      </c>
      <c r="D58" s="28" t="inlineStr">
        <is>
          <t>June</t>
        </is>
      </c>
      <c r="E58" s="28" t="n">
        <v>2</v>
      </c>
      <c r="F58" s="28" t="n">
        <v>9</v>
      </c>
      <c r="G58" s="216" t="n">
        <v>1</v>
      </c>
    </row>
    <row r="59">
      <c r="A59" s="298" t="inlineStr">
        <is>
          <t>2026-06-30 00:00:00</t>
        </is>
      </c>
      <c r="B59" s="28" t="n">
        <v>2026</v>
      </c>
      <c r="C59" s="28" t="n">
        <v>6</v>
      </c>
      <c r="D59" s="28" t="inlineStr">
        <is>
          <t>June</t>
        </is>
      </c>
      <c r="E59" s="28" t="n">
        <v>2</v>
      </c>
      <c r="F59" s="28" t="n">
        <v>9</v>
      </c>
      <c r="G59" s="216" t="n">
        <v>1</v>
      </c>
    </row>
    <row r="60">
      <c r="A60" s="298" t="inlineStr">
        <is>
          <t>2026-07-01 00:00:00</t>
        </is>
      </c>
      <c r="B60" s="28" t="n">
        <v>2026</v>
      </c>
      <c r="C60" s="28" t="n">
        <v>7</v>
      </c>
      <c r="D60" s="28" t="inlineStr">
        <is>
          <t>July</t>
        </is>
      </c>
      <c r="E60" s="28" t="n">
        <v>3</v>
      </c>
      <c r="F60" s="28" t="n">
        <v>9</v>
      </c>
      <c r="G60" s="216" t="n">
        <v>1</v>
      </c>
    </row>
    <row r="61">
      <c r="A61" s="298" t="inlineStr">
        <is>
          <t>2026-07-02 00:00:00</t>
        </is>
      </c>
      <c r="B61" s="28" t="n">
        <v>2026</v>
      </c>
      <c r="C61" s="28" t="n">
        <v>7</v>
      </c>
      <c r="D61" s="28" t="inlineStr">
        <is>
          <t>July</t>
        </is>
      </c>
      <c r="E61" s="28" t="n">
        <v>3</v>
      </c>
      <c r="F61" s="28" t="n">
        <v>9</v>
      </c>
      <c r="G61" s="216" t="n">
        <v>1</v>
      </c>
    </row>
    <row r="62">
      <c r="A62" s="298" t="inlineStr">
        <is>
          <t>2026-07-03 00:00:00</t>
        </is>
      </c>
      <c r="B62" s="28" t="n">
        <v>2026</v>
      </c>
      <c r="C62" s="28" t="n">
        <v>7</v>
      </c>
      <c r="D62" s="28" t="inlineStr">
        <is>
          <t>July</t>
        </is>
      </c>
      <c r="E62" s="28" t="n">
        <v>3</v>
      </c>
      <c r="F62" s="28" t="n">
        <v>9</v>
      </c>
      <c r="G62" s="216" t="n">
        <v>1</v>
      </c>
    </row>
    <row r="63">
      <c r="A63" s="298" t="inlineStr">
        <is>
          <t>2026-07-04 00:00:00</t>
        </is>
      </c>
      <c r="B63" s="28" t="n">
        <v>2026</v>
      </c>
      <c r="C63" s="28" t="n">
        <v>7</v>
      </c>
      <c r="D63" s="28" t="inlineStr">
        <is>
          <t>July</t>
        </is>
      </c>
      <c r="E63" s="28" t="n">
        <v>3</v>
      </c>
      <c r="F63" s="28" t="n">
        <v>9</v>
      </c>
      <c r="G63" s="216" t="n">
        <v>0</v>
      </c>
    </row>
    <row r="64">
      <c r="A64" s="298" t="inlineStr">
        <is>
          <t>2026-07-05 00:00:00</t>
        </is>
      </c>
      <c r="B64" s="28" t="n">
        <v>2026</v>
      </c>
      <c r="C64" s="28" t="n">
        <v>7</v>
      </c>
      <c r="D64" s="28" t="inlineStr">
        <is>
          <t>July</t>
        </is>
      </c>
      <c r="E64" s="28" t="n">
        <v>3</v>
      </c>
      <c r="F64" s="28" t="n">
        <v>9</v>
      </c>
      <c r="G64" s="216" t="n">
        <v>0</v>
      </c>
    </row>
    <row r="65">
      <c r="A65" s="298" t="inlineStr">
        <is>
          <t>2026-07-06 00:00:00</t>
        </is>
      </c>
      <c r="B65" s="28" t="n">
        <v>2026</v>
      </c>
      <c r="C65" s="28" t="n">
        <v>7</v>
      </c>
      <c r="D65" s="28" t="inlineStr">
        <is>
          <t>July</t>
        </is>
      </c>
      <c r="E65" s="28" t="n">
        <v>3</v>
      </c>
      <c r="F65" s="28" t="n">
        <v>10</v>
      </c>
      <c r="G65" s="216" t="n">
        <v>1</v>
      </c>
    </row>
    <row r="66">
      <c r="A66" s="298" t="inlineStr">
        <is>
          <t>2026-07-07 00:00:00</t>
        </is>
      </c>
      <c r="B66" s="28" t="n">
        <v>2026</v>
      </c>
      <c r="C66" s="28" t="n">
        <v>7</v>
      </c>
      <c r="D66" s="28" t="inlineStr">
        <is>
          <t>July</t>
        </is>
      </c>
      <c r="E66" s="28" t="n">
        <v>3</v>
      </c>
      <c r="F66" s="28" t="n">
        <v>10</v>
      </c>
      <c r="G66" s="216" t="n">
        <v>1</v>
      </c>
    </row>
    <row r="67">
      <c r="A67" s="298" t="inlineStr">
        <is>
          <t>2026-07-08 00:00:00</t>
        </is>
      </c>
      <c r="B67" s="28" t="n">
        <v>2026</v>
      </c>
      <c r="C67" s="28" t="n">
        <v>7</v>
      </c>
      <c r="D67" s="28" t="inlineStr">
        <is>
          <t>July</t>
        </is>
      </c>
      <c r="E67" s="28" t="n">
        <v>3</v>
      </c>
      <c r="F67" s="28" t="n">
        <v>10</v>
      </c>
      <c r="G67" s="216" t="n">
        <v>1</v>
      </c>
    </row>
    <row r="68">
      <c r="A68" s="298" t="inlineStr">
        <is>
          <t>2026-07-09 00:00:00</t>
        </is>
      </c>
      <c r="B68" s="28" t="n">
        <v>2026</v>
      </c>
      <c r="C68" s="28" t="n">
        <v>7</v>
      </c>
      <c r="D68" s="28" t="inlineStr">
        <is>
          <t>July</t>
        </is>
      </c>
      <c r="E68" s="28" t="n">
        <v>3</v>
      </c>
      <c r="F68" s="28" t="n">
        <v>10</v>
      </c>
      <c r="G68" s="216" t="n">
        <v>1</v>
      </c>
    </row>
    <row r="69">
      <c r="A69" s="298" t="inlineStr">
        <is>
          <t>2026-07-10 00:00:00</t>
        </is>
      </c>
      <c r="B69" s="28" t="n">
        <v>2026</v>
      </c>
      <c r="C69" s="28" t="n">
        <v>7</v>
      </c>
      <c r="D69" s="28" t="inlineStr">
        <is>
          <t>July</t>
        </is>
      </c>
      <c r="E69" s="28" t="n">
        <v>3</v>
      </c>
      <c r="F69" s="28" t="n">
        <v>10</v>
      </c>
      <c r="G69" s="216" t="n">
        <v>1</v>
      </c>
    </row>
    <row r="70">
      <c r="A70" s="298" t="inlineStr">
        <is>
          <t>2026-07-11 00:00:00</t>
        </is>
      </c>
      <c r="B70" s="28" t="n">
        <v>2026</v>
      </c>
      <c r="C70" s="28" t="n">
        <v>7</v>
      </c>
      <c r="D70" s="28" t="inlineStr">
        <is>
          <t>July</t>
        </is>
      </c>
      <c r="E70" s="28" t="n">
        <v>3</v>
      </c>
      <c r="F70" s="28" t="n">
        <v>10</v>
      </c>
      <c r="G70" s="216" t="n">
        <v>0</v>
      </c>
    </row>
    <row r="71">
      <c r="A71" s="298" t="inlineStr">
        <is>
          <t>2026-07-12 00:00:00</t>
        </is>
      </c>
      <c r="B71" s="28" t="n">
        <v>2026</v>
      </c>
      <c r="C71" s="28" t="n">
        <v>7</v>
      </c>
      <c r="D71" s="28" t="inlineStr">
        <is>
          <t>July</t>
        </is>
      </c>
      <c r="E71" s="28" t="n">
        <v>3</v>
      </c>
      <c r="F71" s="28" t="n">
        <v>10</v>
      </c>
      <c r="G71" s="216" t="n">
        <v>0</v>
      </c>
    </row>
    <row r="72">
      <c r="A72" s="298" t="inlineStr">
        <is>
          <t>2026-07-13 00:00:00</t>
        </is>
      </c>
      <c r="B72" s="28" t="n">
        <v>2026</v>
      </c>
      <c r="C72" s="28" t="n">
        <v>7</v>
      </c>
      <c r="D72" s="28" t="inlineStr">
        <is>
          <t>July</t>
        </is>
      </c>
      <c r="E72" s="28" t="n">
        <v>3</v>
      </c>
      <c r="F72" s="28" t="n">
        <v>11</v>
      </c>
      <c r="G72" s="216" t="n">
        <v>1</v>
      </c>
    </row>
    <row r="73">
      <c r="A73" s="298" t="inlineStr">
        <is>
          <t>2026-07-14 00:00:00</t>
        </is>
      </c>
      <c r="B73" s="28" t="n">
        <v>2026</v>
      </c>
      <c r="C73" s="28" t="n">
        <v>7</v>
      </c>
      <c r="D73" s="28" t="inlineStr">
        <is>
          <t>July</t>
        </is>
      </c>
      <c r="E73" s="28" t="n">
        <v>3</v>
      </c>
      <c r="F73" s="28" t="n">
        <v>11</v>
      </c>
      <c r="G73" s="216" t="n">
        <v>1</v>
      </c>
    </row>
    <row r="74">
      <c r="A74" s="298" t="inlineStr">
        <is>
          <t>2026-07-15 00:00:00</t>
        </is>
      </c>
      <c r="B74" s="28" t="n">
        <v>2026</v>
      </c>
      <c r="C74" s="28" t="n">
        <v>7</v>
      </c>
      <c r="D74" s="28" t="inlineStr">
        <is>
          <t>July</t>
        </is>
      </c>
      <c r="E74" s="28" t="n">
        <v>3</v>
      </c>
      <c r="F74" s="28" t="n">
        <v>11</v>
      </c>
      <c r="G74" s="216" t="n">
        <v>1</v>
      </c>
    </row>
    <row r="75">
      <c r="A75" s="298" t="inlineStr">
        <is>
          <t>2026-07-16 00:00:00</t>
        </is>
      </c>
      <c r="B75" s="28" t="n">
        <v>2026</v>
      </c>
      <c r="C75" s="28" t="n">
        <v>7</v>
      </c>
      <c r="D75" s="28" t="inlineStr">
        <is>
          <t>July</t>
        </is>
      </c>
      <c r="E75" s="28" t="n">
        <v>3</v>
      </c>
      <c r="F75" s="28" t="n">
        <v>11</v>
      </c>
      <c r="G75" s="216" t="n">
        <v>1</v>
      </c>
    </row>
    <row r="76">
      <c r="A76" s="298" t="inlineStr">
        <is>
          <t>2026-07-17 00:00:00</t>
        </is>
      </c>
      <c r="B76" s="28" t="n">
        <v>2026</v>
      </c>
      <c r="C76" s="28" t="n">
        <v>7</v>
      </c>
      <c r="D76" s="28" t="inlineStr">
        <is>
          <t>July</t>
        </is>
      </c>
      <c r="E76" s="28" t="n">
        <v>3</v>
      </c>
      <c r="F76" s="28" t="n">
        <v>11</v>
      </c>
      <c r="G76" s="216" t="n">
        <v>1</v>
      </c>
    </row>
    <row r="77">
      <c r="A77" s="298" t="inlineStr">
        <is>
          <t>2026-07-18 00:00:00</t>
        </is>
      </c>
      <c r="B77" s="28" t="n">
        <v>2026</v>
      </c>
      <c r="C77" s="28" t="n">
        <v>7</v>
      </c>
      <c r="D77" s="28" t="inlineStr">
        <is>
          <t>July</t>
        </is>
      </c>
      <c r="E77" s="28" t="n">
        <v>3</v>
      </c>
      <c r="F77" s="28" t="n">
        <v>11</v>
      </c>
      <c r="G77" s="216" t="n">
        <v>0</v>
      </c>
    </row>
    <row r="78">
      <c r="A78" s="298" t="inlineStr">
        <is>
          <t>2026-07-19 00:00:00</t>
        </is>
      </c>
      <c r="B78" s="28" t="n">
        <v>2026</v>
      </c>
      <c r="C78" s="28" t="n">
        <v>7</v>
      </c>
      <c r="D78" s="28" t="inlineStr">
        <is>
          <t>July</t>
        </is>
      </c>
      <c r="E78" s="28" t="n">
        <v>3</v>
      </c>
      <c r="F78" s="28" t="n">
        <v>11</v>
      </c>
      <c r="G78" s="216" t="n">
        <v>0</v>
      </c>
    </row>
    <row r="79">
      <c r="A79" s="298" t="inlineStr">
        <is>
          <t>2026-07-20 00:00:00</t>
        </is>
      </c>
      <c r="B79" s="28" t="n">
        <v>2026</v>
      </c>
      <c r="C79" s="28" t="n">
        <v>7</v>
      </c>
      <c r="D79" s="28" t="inlineStr">
        <is>
          <t>July</t>
        </is>
      </c>
      <c r="E79" s="28" t="n">
        <v>3</v>
      </c>
      <c r="F79" s="28" t="n">
        <v>12</v>
      </c>
      <c r="G79" s="216" t="n">
        <v>1</v>
      </c>
    </row>
    <row r="80">
      <c r="A80" s="298" t="inlineStr">
        <is>
          <t>2026-07-21 00:00:00</t>
        </is>
      </c>
      <c r="B80" s="28" t="n">
        <v>2026</v>
      </c>
      <c r="C80" s="28" t="n">
        <v>7</v>
      </c>
      <c r="D80" s="28" t="inlineStr">
        <is>
          <t>July</t>
        </is>
      </c>
      <c r="E80" s="28" t="n">
        <v>3</v>
      </c>
      <c r="F80" s="28" t="n">
        <v>12</v>
      </c>
      <c r="G80" s="216" t="n">
        <v>1</v>
      </c>
    </row>
    <row r="81">
      <c r="A81" s="298" t="inlineStr">
        <is>
          <t>2026-07-22 00:00:00</t>
        </is>
      </c>
      <c r="B81" s="28" t="n">
        <v>2026</v>
      </c>
      <c r="C81" s="28" t="n">
        <v>7</v>
      </c>
      <c r="D81" s="28" t="inlineStr">
        <is>
          <t>July</t>
        </is>
      </c>
      <c r="E81" s="28" t="n">
        <v>3</v>
      </c>
      <c r="F81" s="28" t="n">
        <v>12</v>
      </c>
      <c r="G81" s="216" t="n">
        <v>1</v>
      </c>
    </row>
    <row r="82">
      <c r="A82" s="298" t="inlineStr">
        <is>
          <t>2026-07-23 00:00:00</t>
        </is>
      </c>
      <c r="B82" s="28" t="n">
        <v>2026</v>
      </c>
      <c r="C82" s="28" t="n">
        <v>7</v>
      </c>
      <c r="D82" s="28" t="inlineStr">
        <is>
          <t>July</t>
        </is>
      </c>
      <c r="E82" s="28" t="n">
        <v>3</v>
      </c>
      <c r="F82" s="28" t="n">
        <v>12</v>
      </c>
      <c r="G82" s="216" t="n">
        <v>1</v>
      </c>
    </row>
    <row r="83">
      <c r="A83" s="298" t="inlineStr">
        <is>
          <t>2026-07-24 00:00:00</t>
        </is>
      </c>
      <c r="B83" s="28" t="n">
        <v>2026</v>
      </c>
      <c r="C83" s="28" t="n">
        <v>7</v>
      </c>
      <c r="D83" s="28" t="inlineStr">
        <is>
          <t>July</t>
        </is>
      </c>
      <c r="E83" s="28" t="n">
        <v>3</v>
      </c>
      <c r="F83" s="28" t="n">
        <v>12</v>
      </c>
      <c r="G83" s="216" t="n">
        <v>1</v>
      </c>
    </row>
    <row r="84">
      <c r="A84" s="298" t="inlineStr">
        <is>
          <t>2026-07-25 00:00:00</t>
        </is>
      </c>
      <c r="B84" s="28" t="n">
        <v>2026</v>
      </c>
      <c r="C84" s="28" t="n">
        <v>7</v>
      </c>
      <c r="D84" s="28" t="inlineStr">
        <is>
          <t>July</t>
        </is>
      </c>
      <c r="E84" s="28" t="n">
        <v>3</v>
      </c>
      <c r="F84" s="28" t="n">
        <v>12</v>
      </c>
      <c r="G84" s="216" t="n">
        <v>0</v>
      </c>
    </row>
    <row r="85">
      <c r="A85" s="299" t="inlineStr">
        <is>
          <t>2026-07-26 00:00:00</t>
        </is>
      </c>
      <c r="B85" s="208" t="n">
        <v>2026</v>
      </c>
      <c r="C85" s="208" t="n">
        <v>7</v>
      </c>
      <c r="D85" s="208" t="inlineStr">
        <is>
          <t>July</t>
        </is>
      </c>
      <c r="E85" s="208" t="n">
        <v>3</v>
      </c>
      <c r="F85" s="208" t="n">
        <v>12</v>
      </c>
      <c r="G85" s="218" t="n">
        <v>0</v>
      </c>
    </row>
  </sheetData>
  <conditionalFormatting sqref="G2:G85">
    <cfRule type="cellIs" priority="1" operator="equal" dxfId="53">
      <formula>1</formula>
    </cfRule>
    <cfRule type="cellIs" priority="2" operator="equal" dxfId="5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FFFFD966"/>
    <outlinePr summaryBelow="1" summaryRight="1"/>
    <pageSetUpPr/>
  </sheetPr>
  <dimension ref="A1:C44"/>
  <sheetViews>
    <sheetView workbookViewId="0">
      <selection activeCell="Q1" sqref="Q1"/>
    </sheetView>
  </sheetViews>
  <sheetFormatPr baseColWidth="8" defaultRowHeight="14.5"/>
  <cols>
    <col width="10.08984375" bestFit="1" customWidth="1" style="120" min="1" max="1"/>
    <col width="9.36328125" customWidth="1" style="120" min="2" max="2"/>
    <col width="15.26953125" customWidth="1" style="120" min="3" max="3"/>
  </cols>
  <sheetData>
    <row r="1">
      <c r="A1" s="204" t="inlineStr">
        <is>
          <t>Date</t>
        </is>
      </c>
      <c r="B1" s="205" t="inlineStr">
        <is>
          <t>WBS_ID</t>
        </is>
      </c>
      <c r="C1" s="206" t="inlineStr">
        <is>
          <t>Planned_Value</t>
        </is>
      </c>
    </row>
    <row r="2">
      <c r="A2" s="298" t="inlineStr">
        <is>
          <t>2026-09-07</t>
        </is>
      </c>
      <c r="B2" s="28" t="inlineStr">
        <is>
          <t>WBS001</t>
        </is>
      </c>
      <c r="C2" s="213" t="n">
        <v>5000</v>
      </c>
    </row>
    <row r="3">
      <c r="A3" s="298" t="inlineStr">
        <is>
          <t>2026-09-14</t>
        </is>
      </c>
      <c r="B3" s="28" t="inlineStr">
        <is>
          <t>WBS001</t>
        </is>
      </c>
      <c r="C3" s="213" t="n">
        <v>15000</v>
      </c>
    </row>
    <row r="4">
      <c r="A4" s="298" t="inlineStr">
        <is>
          <t>2026-09-21</t>
        </is>
      </c>
      <c r="B4" s="28" t="inlineStr">
        <is>
          <t>WBS002</t>
        </is>
      </c>
      <c r="C4" s="213" t="n">
        <v>10000</v>
      </c>
    </row>
    <row r="5">
      <c r="A5" s="298" t="inlineStr">
        <is>
          <t>2026-09-28</t>
        </is>
      </c>
      <c r="B5" s="28" t="inlineStr">
        <is>
          <t>WBS002</t>
        </is>
      </c>
      <c r="C5" s="213" t="n">
        <v>15000</v>
      </c>
    </row>
    <row r="6">
      <c r="A6" s="298" t="inlineStr">
        <is>
          <t>2026-10-05</t>
        </is>
      </c>
      <c r="B6" s="28" t="inlineStr">
        <is>
          <t>WBS003</t>
        </is>
      </c>
      <c r="C6" s="213" t="n">
        <v>5000</v>
      </c>
    </row>
    <row r="7">
      <c r="A7" s="298" t="inlineStr">
        <is>
          <t>2026-10-12</t>
        </is>
      </c>
      <c r="B7" s="28" t="inlineStr">
        <is>
          <t>WBS003</t>
        </is>
      </c>
      <c r="C7" s="213" t="n">
        <v>10000</v>
      </c>
    </row>
    <row r="8">
      <c r="A8" s="298" t="n">
        <v>46188</v>
      </c>
      <c r="B8" s="28" t="inlineStr">
        <is>
          <t>WBS-01</t>
        </is>
      </c>
      <c r="C8" s="213" t="n">
        <v>1500</v>
      </c>
    </row>
    <row r="9">
      <c r="A9" s="298" t="n">
        <v>46195</v>
      </c>
      <c r="B9" s="28" t="inlineStr">
        <is>
          <t>WBS-01</t>
        </is>
      </c>
      <c r="C9" s="213" t="n">
        <v>1500</v>
      </c>
    </row>
    <row r="10">
      <c r="A10" s="298" t="n">
        <v>46202</v>
      </c>
      <c r="B10" s="28" t="inlineStr">
        <is>
          <t>WBS-01</t>
        </is>
      </c>
      <c r="C10" s="213" t="n">
        <v>1500</v>
      </c>
    </row>
    <row r="11">
      <c r="A11" s="298" t="n">
        <v>46209</v>
      </c>
      <c r="B11" s="28" t="inlineStr">
        <is>
          <t>WBS-01</t>
        </is>
      </c>
      <c r="C11" s="213" t="n">
        <v>1500</v>
      </c>
    </row>
    <row r="12">
      <c r="A12" s="298" t="n">
        <v>46216</v>
      </c>
      <c r="B12" s="28" t="inlineStr">
        <is>
          <t>WBS-01</t>
        </is>
      </c>
      <c r="C12" s="213" t="n">
        <v>1500</v>
      </c>
    </row>
    <row r="13">
      <c r="A13" s="298" t="n">
        <v>46223</v>
      </c>
      <c r="B13" s="28" t="inlineStr">
        <is>
          <t>WBS-01</t>
        </is>
      </c>
      <c r="C13" s="213" t="n">
        <v>1500</v>
      </c>
    </row>
    <row r="14">
      <c r="A14" s="298" t="n">
        <v>46146</v>
      </c>
      <c r="B14" s="28" t="inlineStr">
        <is>
          <t>WBS-02</t>
        </is>
      </c>
      <c r="C14" s="213" t="n">
        <v>8500</v>
      </c>
    </row>
    <row r="15">
      <c r="A15" s="298" t="n">
        <v>46146</v>
      </c>
      <c r="B15" s="28" t="inlineStr">
        <is>
          <t>WBS-03</t>
        </is>
      </c>
      <c r="C15" s="213" t="n">
        <v>6400</v>
      </c>
    </row>
    <row r="16">
      <c r="A16" s="298" t="n">
        <v>46153</v>
      </c>
      <c r="B16" s="28" t="inlineStr">
        <is>
          <t>WBS-03</t>
        </is>
      </c>
      <c r="C16" s="213" t="n">
        <v>6400</v>
      </c>
    </row>
    <row r="17">
      <c r="A17" s="298" t="n">
        <v>46160</v>
      </c>
      <c r="B17" s="28" t="inlineStr">
        <is>
          <t>WBS-03</t>
        </is>
      </c>
      <c r="C17" s="213" t="n">
        <v>6400</v>
      </c>
    </row>
    <row r="18">
      <c r="A18" s="298" t="n">
        <v>46153</v>
      </c>
      <c r="B18" s="28" t="inlineStr">
        <is>
          <t>WBS-04</t>
        </is>
      </c>
      <c r="C18" s="213" t="n">
        <v>10500</v>
      </c>
    </row>
    <row r="19">
      <c r="A19" s="298" t="n">
        <v>46160</v>
      </c>
      <c r="B19" s="28" t="inlineStr">
        <is>
          <t>WBS-04</t>
        </is>
      </c>
      <c r="C19" s="213" t="n">
        <v>10500</v>
      </c>
    </row>
    <row r="20">
      <c r="A20" s="298" t="n">
        <v>46167</v>
      </c>
      <c r="B20" s="28" t="inlineStr">
        <is>
          <t>WBS-04</t>
        </is>
      </c>
      <c r="C20" s="213" t="n">
        <v>10500</v>
      </c>
    </row>
    <row r="21">
      <c r="A21" s="298" t="n">
        <v>46174</v>
      </c>
      <c r="B21" s="28" t="inlineStr">
        <is>
          <t>WBS-04</t>
        </is>
      </c>
      <c r="C21" s="213" t="n">
        <v>10500</v>
      </c>
    </row>
    <row r="22">
      <c r="A22" s="298" t="n">
        <v>46153</v>
      </c>
      <c r="B22" s="28" t="inlineStr">
        <is>
          <t>WBS-05</t>
        </is>
      </c>
      <c r="C22" s="213" t="n">
        <v>4400</v>
      </c>
    </row>
    <row r="23">
      <c r="A23" s="298" t="n">
        <v>46160</v>
      </c>
      <c r="B23" s="28" t="inlineStr">
        <is>
          <t>WBS-05</t>
        </is>
      </c>
      <c r="C23" s="213" t="n">
        <v>4400</v>
      </c>
    </row>
    <row r="24">
      <c r="A24" s="298" t="n">
        <v>46167</v>
      </c>
      <c r="B24" s="28" t="inlineStr">
        <is>
          <t>WBS-05</t>
        </is>
      </c>
      <c r="C24" s="213" t="n">
        <v>4400</v>
      </c>
    </row>
    <row r="25">
      <c r="A25" s="298" t="n">
        <v>46167</v>
      </c>
      <c r="B25" s="28" t="inlineStr">
        <is>
          <t>WBS-06</t>
        </is>
      </c>
      <c r="C25" s="213" t="n">
        <v>8666.67</v>
      </c>
    </row>
    <row r="26">
      <c r="A26" s="298" t="n">
        <v>46174</v>
      </c>
      <c r="B26" s="28" t="inlineStr">
        <is>
          <t>WBS-06</t>
        </is>
      </c>
      <c r="C26" s="213" t="n">
        <v>8666.67</v>
      </c>
    </row>
    <row r="27">
      <c r="A27" s="298" t="n">
        <v>46181</v>
      </c>
      <c r="B27" s="28" t="inlineStr">
        <is>
          <t>WBS-06</t>
        </is>
      </c>
      <c r="C27" s="213" t="n">
        <v>8666.66</v>
      </c>
    </row>
    <row r="28">
      <c r="A28" s="298" t="n">
        <v>46174</v>
      </c>
      <c r="B28" s="28" t="inlineStr">
        <is>
          <t>WBS-07</t>
        </is>
      </c>
      <c r="C28" s="213" t="n">
        <v>9000</v>
      </c>
    </row>
    <row r="29">
      <c r="A29" s="298" t="n">
        <v>46181</v>
      </c>
      <c r="B29" s="28" t="inlineStr">
        <is>
          <t>WBS-07</t>
        </is>
      </c>
      <c r="C29" s="213" t="n">
        <v>9000</v>
      </c>
    </row>
    <row r="30">
      <c r="A30" s="298" t="n">
        <v>46188</v>
      </c>
      <c r="B30" s="28" t="inlineStr">
        <is>
          <t>WBS-07</t>
        </is>
      </c>
      <c r="C30" s="213" t="n">
        <v>9000</v>
      </c>
    </row>
    <row r="31">
      <c r="A31" s="298" t="n">
        <v>46195</v>
      </c>
      <c r="B31" s="28" t="inlineStr">
        <is>
          <t>WBS-07</t>
        </is>
      </c>
      <c r="C31" s="213" t="n">
        <v>9000</v>
      </c>
    </row>
    <row r="32">
      <c r="A32" s="298" t="n">
        <v>46181</v>
      </c>
      <c r="B32" s="28" t="inlineStr">
        <is>
          <t>WBS-08</t>
        </is>
      </c>
      <c r="C32" s="213" t="n">
        <v>7000</v>
      </c>
    </row>
    <row r="33">
      <c r="A33" s="298" t="n">
        <v>46188</v>
      </c>
      <c r="B33" s="28" t="inlineStr">
        <is>
          <t>WBS-08</t>
        </is>
      </c>
      <c r="C33" s="213" t="n">
        <v>7000</v>
      </c>
    </row>
    <row r="34">
      <c r="A34" s="298" t="n">
        <v>46195</v>
      </c>
      <c r="B34" s="28" t="inlineStr">
        <is>
          <t>WBS-08</t>
        </is>
      </c>
      <c r="C34" s="213" t="n">
        <v>7000</v>
      </c>
    </row>
    <row r="35">
      <c r="A35" s="298" t="n">
        <v>46202</v>
      </c>
      <c r="B35" s="28" t="inlineStr">
        <is>
          <t>WBS-08</t>
        </is>
      </c>
      <c r="C35" s="213" t="n">
        <v>7000</v>
      </c>
    </row>
    <row r="36">
      <c r="A36" s="298" t="n">
        <v>46195</v>
      </c>
      <c r="B36" s="28" t="inlineStr">
        <is>
          <t>WBS-09</t>
        </is>
      </c>
      <c r="C36" s="213" t="n">
        <v>11916.67</v>
      </c>
    </row>
    <row r="37">
      <c r="A37" s="298" t="n">
        <v>46202</v>
      </c>
      <c r="B37" s="28" t="inlineStr">
        <is>
          <t>WBS-09</t>
        </is>
      </c>
      <c r="C37" s="213" t="n">
        <v>11916.67</v>
      </c>
    </row>
    <row r="38">
      <c r="A38" s="298" t="n">
        <v>46209</v>
      </c>
      <c r="B38" s="28" t="inlineStr">
        <is>
          <t>WBS-09</t>
        </is>
      </c>
      <c r="C38" s="213" t="n">
        <v>11916.66</v>
      </c>
    </row>
    <row r="39">
      <c r="A39" s="298" t="n">
        <v>46202</v>
      </c>
      <c r="B39" s="28" t="inlineStr">
        <is>
          <t>WBS-10</t>
        </is>
      </c>
      <c r="C39" s="213" t="n">
        <v>10000</v>
      </c>
    </row>
    <row r="40">
      <c r="A40" s="298" t="n">
        <v>46209</v>
      </c>
      <c r="B40" s="28" t="inlineStr">
        <is>
          <t>WBS-10</t>
        </is>
      </c>
      <c r="C40" s="213" t="n">
        <v>10000</v>
      </c>
    </row>
    <row r="41">
      <c r="A41" s="298" t="n">
        <v>46216</v>
      </c>
      <c r="B41" s="28" t="inlineStr">
        <is>
          <t>WBS-10</t>
        </is>
      </c>
      <c r="C41" s="213" t="n">
        <v>10000</v>
      </c>
    </row>
    <row r="42">
      <c r="A42" s="298" t="n">
        <v>46216</v>
      </c>
      <c r="B42" s="28" t="inlineStr">
        <is>
          <t>WBS-11</t>
        </is>
      </c>
      <c r="C42" s="213" t="n">
        <v>4200</v>
      </c>
    </row>
    <row r="43">
      <c r="A43" s="298" t="n">
        <v>46223</v>
      </c>
      <c r="B43" s="28" t="inlineStr">
        <is>
          <t>WBS-11</t>
        </is>
      </c>
      <c r="C43" s="213" t="n">
        <v>4200</v>
      </c>
    </row>
    <row r="44">
      <c r="A44" s="299" t="n">
        <v>46223</v>
      </c>
      <c r="B44" s="208" t="inlineStr">
        <is>
          <t>WBS-12</t>
        </is>
      </c>
      <c r="C44" s="214" t="n">
        <v>3600</v>
      </c>
    </row>
  </sheetData>
  <conditionalFormatting sqref="C2:C44">
    <cfRule type="cellIs" priority="1" operator="lessThanOrEqual" dxfId="53">
      <formula>4200</formula>
    </cfRule>
    <cfRule type="cellIs" priority="2" operator="between" dxfId="52">
      <formula>4200</formula>
      <formula>8666.67</formula>
    </cfRule>
    <cfRule type="cellIs" priority="3" operator="greaterThanOrEqual" dxfId="51">
      <formula>8666.67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FFFFD966"/>
    <outlinePr summaryBelow="1" summaryRight="1"/>
    <pageSetUpPr/>
  </sheetPr>
  <dimension ref="A1:E100"/>
  <sheetViews>
    <sheetView workbookViewId="0">
      <selection activeCell="Q1" sqref="Q1"/>
    </sheetView>
  </sheetViews>
  <sheetFormatPr baseColWidth="8" defaultRowHeight="14.5"/>
  <cols>
    <col width="10.08984375" bestFit="1" customWidth="1" style="120" min="1" max="1"/>
    <col width="9.36328125" customWidth="1" style="120" min="2" max="2"/>
    <col width="13.26953125" customWidth="1" style="120" min="3" max="3"/>
    <col width="12.81640625" customWidth="1" style="120" min="4" max="4"/>
    <col width="15.08984375" customWidth="1" style="120" min="5" max="5"/>
  </cols>
  <sheetData>
    <row r="1">
      <c r="A1" s="204" t="inlineStr">
        <is>
          <t>Date</t>
        </is>
      </c>
      <c r="B1" s="205" t="inlineStr">
        <is>
          <t>WBS_ID</t>
        </is>
      </c>
      <c r="C1" s="205" t="inlineStr">
        <is>
          <t>Resource_ID</t>
        </is>
      </c>
      <c r="D1" s="205" t="inlineStr">
        <is>
          <t>Actual_Cost</t>
        </is>
      </c>
      <c r="E1" s="206" t="inlineStr">
        <is>
          <t>Hours_Worked</t>
        </is>
      </c>
    </row>
    <row r="2">
      <c r="A2" s="298" t="inlineStr">
        <is>
          <t>2026-09-07</t>
        </is>
      </c>
      <c r="B2" s="28" t="inlineStr">
        <is>
          <t>WBS001</t>
        </is>
      </c>
      <c r="C2" s="28" t="inlineStr">
        <is>
          <t>RES101</t>
        </is>
      </c>
      <c r="D2" s="34" t="n">
        <v>4500</v>
      </c>
      <c r="E2" s="194" t="n">
        <v>22.5</v>
      </c>
    </row>
    <row r="3">
      <c r="A3" s="298" t="inlineStr">
        <is>
          <t>2026-09-14</t>
        </is>
      </c>
      <c r="B3" s="28" t="inlineStr">
        <is>
          <t>WBS001</t>
        </is>
      </c>
      <c r="C3" s="28" t="inlineStr">
        <is>
          <t>RES101</t>
        </is>
      </c>
      <c r="D3" s="34" t="n">
        <v>16000</v>
      </c>
      <c r="E3" s="194" t="n">
        <v>80</v>
      </c>
    </row>
    <row r="4">
      <c r="A4" s="298" t="inlineStr">
        <is>
          <t>2026-09-21</t>
        </is>
      </c>
      <c r="B4" s="28" t="inlineStr">
        <is>
          <t>WBS002</t>
        </is>
      </c>
      <c r="C4" s="28" t="inlineStr">
        <is>
          <t>RES101</t>
        </is>
      </c>
      <c r="D4" s="34" t="n">
        <v>11000</v>
      </c>
      <c r="E4" s="194" t="n">
        <v>55</v>
      </c>
    </row>
    <row r="5">
      <c r="A5" s="298" t="inlineStr">
        <is>
          <t>2026-09-28</t>
        </is>
      </c>
      <c r="B5" s="28" t="inlineStr">
        <is>
          <t>WBS002</t>
        </is>
      </c>
      <c r="C5" s="28" t="inlineStr">
        <is>
          <t>RES102</t>
        </is>
      </c>
      <c r="D5" s="34" t="n">
        <v>12000</v>
      </c>
      <c r="E5" s="194" t="n">
        <v>80</v>
      </c>
    </row>
    <row r="6">
      <c r="A6" s="298" t="n">
        <v>46150</v>
      </c>
      <c r="B6" s="28" t="inlineStr">
        <is>
          <t>WBS-01</t>
        </is>
      </c>
      <c r="C6" s="28" t="inlineStr">
        <is>
          <t>R01</t>
        </is>
      </c>
      <c r="D6" s="34" t="n">
        <v>320</v>
      </c>
      <c r="E6" s="194" t="n">
        <v>0.21</v>
      </c>
    </row>
    <row r="7">
      <c r="A7" s="298" t="n">
        <v>46146</v>
      </c>
      <c r="B7" s="28" t="inlineStr">
        <is>
          <t>WBS-02</t>
        </is>
      </c>
      <c r="C7" s="28" t="inlineStr">
        <is>
          <t>R04</t>
        </is>
      </c>
      <c r="D7" s="34" t="n">
        <v>1740</v>
      </c>
      <c r="E7" s="194" t="n">
        <v>0.79</v>
      </c>
    </row>
    <row r="8">
      <c r="A8" s="298" t="n">
        <v>46147</v>
      </c>
      <c r="B8" s="28" t="inlineStr">
        <is>
          <t>WBS-02</t>
        </is>
      </c>
      <c r="C8" s="28" t="inlineStr">
        <is>
          <t>R04</t>
        </is>
      </c>
      <c r="D8" s="34" t="n">
        <v>1740</v>
      </c>
      <c r="E8" s="194" t="n">
        <v>0.79</v>
      </c>
    </row>
    <row r="9">
      <c r="A9" s="298" t="n">
        <v>46148</v>
      </c>
      <c r="B9" s="28" t="inlineStr">
        <is>
          <t>WBS-02</t>
        </is>
      </c>
      <c r="C9" s="28" t="inlineStr">
        <is>
          <t>R04</t>
        </is>
      </c>
      <c r="D9" s="34" t="n">
        <v>1740</v>
      </c>
      <c r="E9" s="194" t="n">
        <v>0.79</v>
      </c>
    </row>
    <row r="10">
      <c r="A10" s="298" t="n">
        <v>46149</v>
      </c>
      <c r="B10" s="28" t="inlineStr">
        <is>
          <t>WBS-02</t>
        </is>
      </c>
      <c r="C10" s="28" t="inlineStr">
        <is>
          <t>R04</t>
        </is>
      </c>
      <c r="D10" s="34" t="n">
        <v>1740</v>
      </c>
      <c r="E10" s="194" t="n">
        <v>0.79</v>
      </c>
    </row>
    <row r="11">
      <c r="A11" s="298" t="n">
        <v>46150</v>
      </c>
      <c r="B11" s="28" t="inlineStr">
        <is>
          <t>WBS-02</t>
        </is>
      </c>
      <c r="C11" s="28" t="inlineStr">
        <is>
          <t>R04</t>
        </is>
      </c>
      <c r="D11" s="34" t="n">
        <v>1740</v>
      </c>
      <c r="E11" s="194" t="n">
        <v>0.79</v>
      </c>
    </row>
    <row r="12">
      <c r="A12" s="298" t="n">
        <v>46146</v>
      </c>
      <c r="B12" s="28" t="inlineStr">
        <is>
          <t>WBS-03</t>
        </is>
      </c>
      <c r="C12" s="28" t="inlineStr">
        <is>
          <t>R02</t>
        </is>
      </c>
      <c r="D12" s="34" t="n">
        <v>1199.01</v>
      </c>
      <c r="E12" s="194" t="n">
        <v>0.5</v>
      </c>
    </row>
    <row r="13">
      <c r="A13" s="298" t="n">
        <v>46147</v>
      </c>
      <c r="B13" s="28" t="inlineStr">
        <is>
          <t>WBS-03</t>
        </is>
      </c>
      <c r="C13" s="28" t="inlineStr">
        <is>
          <t>R02</t>
        </is>
      </c>
      <c r="D13" s="34" t="n">
        <v>1199.01</v>
      </c>
      <c r="E13" s="194" t="n">
        <v>0.5</v>
      </c>
    </row>
    <row r="14">
      <c r="A14" s="298" t="n">
        <v>46148</v>
      </c>
      <c r="B14" s="28" t="inlineStr">
        <is>
          <t>WBS-03</t>
        </is>
      </c>
      <c r="C14" s="28" t="inlineStr">
        <is>
          <t>R02</t>
        </is>
      </c>
      <c r="D14" s="34" t="n">
        <v>1199.01</v>
      </c>
      <c r="E14" s="194" t="n">
        <v>0.5</v>
      </c>
    </row>
    <row r="15">
      <c r="A15" s="298" t="n">
        <v>46149</v>
      </c>
      <c r="B15" s="28" t="inlineStr">
        <is>
          <t>WBS-03</t>
        </is>
      </c>
      <c r="C15" s="28" t="inlineStr">
        <is>
          <t>R02</t>
        </is>
      </c>
      <c r="D15" s="34" t="n">
        <v>1199.01</v>
      </c>
      <c r="E15" s="194" t="n">
        <v>0.5</v>
      </c>
    </row>
    <row r="16">
      <c r="A16" s="298" t="n">
        <v>46150</v>
      </c>
      <c r="B16" s="28" t="inlineStr">
        <is>
          <t>WBS-03</t>
        </is>
      </c>
      <c r="C16" s="28" t="inlineStr">
        <is>
          <t>R02</t>
        </is>
      </c>
      <c r="D16" s="34" t="n">
        <v>1199</v>
      </c>
      <c r="E16" s="194" t="n">
        <v>0.5</v>
      </c>
    </row>
    <row r="17">
      <c r="A17" s="298" t="n">
        <v>46153</v>
      </c>
      <c r="B17" s="28" t="inlineStr">
        <is>
          <t>WBS-01</t>
        </is>
      </c>
      <c r="C17" s="28" t="inlineStr">
        <is>
          <t>R01</t>
        </is>
      </c>
      <c r="D17" s="34" t="n">
        <v>320</v>
      </c>
      <c r="E17" s="194" t="n">
        <v>0.21</v>
      </c>
    </row>
    <row r="18">
      <c r="A18" s="298" t="n">
        <v>46154</v>
      </c>
      <c r="B18" s="28" t="inlineStr">
        <is>
          <t>WBS-01</t>
        </is>
      </c>
      <c r="C18" s="28" t="inlineStr">
        <is>
          <t>R01</t>
        </is>
      </c>
      <c r="D18" s="34" t="n">
        <v>320</v>
      </c>
      <c r="E18" s="194" t="n">
        <v>0.21</v>
      </c>
    </row>
    <row r="19">
      <c r="A19" s="298" t="n">
        <v>46155</v>
      </c>
      <c r="B19" s="28" t="inlineStr">
        <is>
          <t>WBS-01</t>
        </is>
      </c>
      <c r="C19" s="28" t="inlineStr">
        <is>
          <t>R01</t>
        </is>
      </c>
      <c r="D19" s="34" t="n">
        <v>320</v>
      </c>
      <c r="E19" s="194" t="n">
        <v>0.21</v>
      </c>
    </row>
    <row r="20">
      <c r="A20" s="298" t="n">
        <v>46156</v>
      </c>
      <c r="B20" s="28" t="inlineStr">
        <is>
          <t>WBS-01</t>
        </is>
      </c>
      <c r="C20" s="28" t="inlineStr">
        <is>
          <t>R01</t>
        </is>
      </c>
      <c r="D20" s="34" t="n">
        <v>320</v>
      </c>
      <c r="E20" s="194" t="n">
        <v>0.21</v>
      </c>
    </row>
    <row r="21">
      <c r="A21" s="298" t="n">
        <v>46157</v>
      </c>
      <c r="B21" s="28" t="inlineStr">
        <is>
          <t>WBS-01</t>
        </is>
      </c>
      <c r="C21" s="28" t="inlineStr">
        <is>
          <t>R01</t>
        </is>
      </c>
      <c r="D21" s="34" t="n">
        <v>320</v>
      </c>
      <c r="E21" s="194" t="n">
        <v>0.21</v>
      </c>
    </row>
    <row r="22">
      <c r="A22" s="298" t="n">
        <v>46153</v>
      </c>
      <c r="B22" s="28" t="inlineStr">
        <is>
          <t>WBS-03</t>
        </is>
      </c>
      <c r="C22" s="28" t="inlineStr">
        <is>
          <t>R02</t>
        </is>
      </c>
      <c r="D22" s="34" t="n">
        <v>1200</v>
      </c>
      <c r="E22" s="194" t="n">
        <v>0.5</v>
      </c>
    </row>
    <row r="23">
      <c r="A23" s="298" t="n">
        <v>46154</v>
      </c>
      <c r="B23" s="28" t="inlineStr">
        <is>
          <t>WBS-03</t>
        </is>
      </c>
      <c r="C23" s="28" t="inlineStr">
        <is>
          <t>R02</t>
        </is>
      </c>
      <c r="D23" s="34" t="n">
        <v>1200</v>
      </c>
      <c r="E23" s="194" t="n">
        <v>0.5</v>
      </c>
    </row>
    <row r="24">
      <c r="A24" s="298" t="n">
        <v>46155</v>
      </c>
      <c r="B24" s="28" t="inlineStr">
        <is>
          <t>WBS-03</t>
        </is>
      </c>
      <c r="C24" s="28" t="inlineStr">
        <is>
          <t>R02</t>
        </is>
      </c>
      <c r="D24" s="34" t="n">
        <v>1200</v>
      </c>
      <c r="E24" s="194" t="n">
        <v>0.5</v>
      </c>
    </row>
    <row r="25">
      <c r="A25" s="298" t="n">
        <v>46156</v>
      </c>
      <c r="B25" s="28" t="inlineStr">
        <is>
          <t>WBS-03</t>
        </is>
      </c>
      <c r="C25" s="28" t="inlineStr">
        <is>
          <t>R02</t>
        </is>
      </c>
      <c r="D25" s="34" t="n">
        <v>1200</v>
      </c>
      <c r="E25" s="194" t="n">
        <v>0.5</v>
      </c>
    </row>
    <row r="26">
      <c r="A26" s="298" t="n">
        <v>46157</v>
      </c>
      <c r="B26" s="28" t="inlineStr">
        <is>
          <t>WBS-03</t>
        </is>
      </c>
      <c r="C26" s="28" t="inlineStr">
        <is>
          <t>R02</t>
        </is>
      </c>
      <c r="D26" s="34" t="n">
        <v>1200</v>
      </c>
      <c r="E26" s="194" t="n">
        <v>0.5</v>
      </c>
    </row>
    <row r="27">
      <c r="A27" s="298" t="n">
        <v>46155</v>
      </c>
      <c r="B27" s="28" t="inlineStr">
        <is>
          <t>WBS-04</t>
        </is>
      </c>
      <c r="C27" s="28" t="inlineStr">
        <is>
          <t>R07</t>
        </is>
      </c>
      <c r="D27" s="34" t="n">
        <v>10500</v>
      </c>
      <c r="E27" s="194" t="n">
        <v>0</v>
      </c>
    </row>
    <row r="28">
      <c r="A28" s="298" t="n">
        <v>46153</v>
      </c>
      <c r="B28" s="28" t="inlineStr">
        <is>
          <t>WBS-05</t>
        </is>
      </c>
      <c r="C28" s="28" t="inlineStr">
        <is>
          <t>R04</t>
        </is>
      </c>
      <c r="D28" s="34" t="n">
        <v>910.8200000000001</v>
      </c>
      <c r="E28" s="194" t="n">
        <v>0.41</v>
      </c>
    </row>
    <row r="29">
      <c r="A29" s="298" t="n">
        <v>46154</v>
      </c>
      <c r="B29" s="28" t="inlineStr">
        <is>
          <t>WBS-05</t>
        </is>
      </c>
      <c r="C29" s="28" t="inlineStr">
        <is>
          <t>R04</t>
        </is>
      </c>
      <c r="D29" s="34" t="n">
        <v>910.8200000000001</v>
      </c>
      <c r="E29" s="194" t="n">
        <v>0.41</v>
      </c>
    </row>
    <row r="30">
      <c r="A30" s="298" t="n">
        <v>46155</v>
      </c>
      <c r="B30" s="28" t="inlineStr">
        <is>
          <t>WBS-05</t>
        </is>
      </c>
      <c r="C30" s="28" t="inlineStr">
        <is>
          <t>R04</t>
        </is>
      </c>
      <c r="D30" s="34" t="n">
        <v>910.8200000000001</v>
      </c>
      <c r="E30" s="194" t="n">
        <v>0.41</v>
      </c>
    </row>
    <row r="31">
      <c r="A31" s="298" t="n">
        <v>46156</v>
      </c>
      <c r="B31" s="28" t="inlineStr">
        <is>
          <t>WBS-05</t>
        </is>
      </c>
      <c r="C31" s="28" t="inlineStr">
        <is>
          <t>R04</t>
        </is>
      </c>
      <c r="D31" s="34" t="n">
        <v>910.8200000000001</v>
      </c>
      <c r="E31" s="194" t="n">
        <v>0.41</v>
      </c>
    </row>
    <row r="32">
      <c r="A32" s="298" t="n">
        <v>46157</v>
      </c>
      <c r="B32" s="28" t="inlineStr">
        <is>
          <t>WBS-05</t>
        </is>
      </c>
      <c r="C32" s="28" t="inlineStr">
        <is>
          <t>R04</t>
        </is>
      </c>
      <c r="D32" s="34" t="n">
        <v>910.8</v>
      </c>
      <c r="E32" s="194" t="n">
        <v>0.41</v>
      </c>
    </row>
    <row r="33">
      <c r="A33" s="298" t="n">
        <v>46160</v>
      </c>
      <c r="B33" s="28" t="inlineStr">
        <is>
          <t>WBS-01</t>
        </is>
      </c>
      <c r="C33" s="28" t="inlineStr">
        <is>
          <t>R01</t>
        </is>
      </c>
      <c r="D33" s="34" t="n">
        <v>320</v>
      </c>
      <c r="E33" s="194" t="n">
        <v>0.21</v>
      </c>
    </row>
    <row r="34">
      <c r="A34" s="298" t="n">
        <v>46161</v>
      </c>
      <c r="B34" s="28" t="inlineStr">
        <is>
          <t>WBS-01</t>
        </is>
      </c>
      <c r="C34" s="28" t="inlineStr">
        <is>
          <t>R01</t>
        </is>
      </c>
      <c r="D34" s="34" t="n">
        <v>320</v>
      </c>
      <c r="E34" s="194" t="n">
        <v>0.21</v>
      </c>
    </row>
    <row r="35">
      <c r="A35" s="298" t="n">
        <v>46162</v>
      </c>
      <c r="B35" s="28" t="inlineStr">
        <is>
          <t>WBS-01</t>
        </is>
      </c>
      <c r="C35" s="28" t="inlineStr">
        <is>
          <t>R01</t>
        </is>
      </c>
      <c r="D35" s="34" t="n">
        <v>320</v>
      </c>
      <c r="E35" s="194" t="n">
        <v>0.21</v>
      </c>
    </row>
    <row r="36">
      <c r="A36" s="298" t="n">
        <v>46163</v>
      </c>
      <c r="B36" s="28" t="inlineStr">
        <is>
          <t>WBS-01</t>
        </is>
      </c>
      <c r="C36" s="28" t="inlineStr">
        <is>
          <t>R01</t>
        </is>
      </c>
      <c r="D36" s="34" t="n">
        <v>320</v>
      </c>
      <c r="E36" s="194" t="n">
        <v>0.21</v>
      </c>
    </row>
    <row r="37">
      <c r="A37" s="298" t="n">
        <v>46164</v>
      </c>
      <c r="B37" s="28" t="inlineStr">
        <is>
          <t>WBS-01</t>
        </is>
      </c>
      <c r="C37" s="28" t="inlineStr">
        <is>
          <t>R01</t>
        </is>
      </c>
      <c r="D37" s="34" t="n">
        <v>320</v>
      </c>
      <c r="E37" s="194" t="n">
        <v>0.21</v>
      </c>
    </row>
    <row r="38">
      <c r="A38" s="298" t="n">
        <v>46160</v>
      </c>
      <c r="B38" s="28" t="inlineStr">
        <is>
          <t>WBS-03</t>
        </is>
      </c>
      <c r="C38" s="28" t="inlineStr">
        <is>
          <t>R02</t>
        </is>
      </c>
      <c r="D38" s="34" t="n">
        <v>1240</v>
      </c>
      <c r="E38" s="194" t="n">
        <v>0.52</v>
      </c>
    </row>
    <row r="39">
      <c r="A39" s="298" t="n">
        <v>46161</v>
      </c>
      <c r="B39" s="28" t="inlineStr">
        <is>
          <t>WBS-03</t>
        </is>
      </c>
      <c r="C39" s="28" t="inlineStr">
        <is>
          <t>R02</t>
        </is>
      </c>
      <c r="D39" s="34" t="n">
        <v>1240</v>
      </c>
      <c r="E39" s="194" t="n">
        <v>0.52</v>
      </c>
    </row>
    <row r="40">
      <c r="A40" s="298" t="n">
        <v>46162</v>
      </c>
      <c r="B40" s="28" t="inlineStr">
        <is>
          <t>WBS-03</t>
        </is>
      </c>
      <c r="C40" s="28" t="inlineStr">
        <is>
          <t>R02</t>
        </is>
      </c>
      <c r="D40" s="34" t="n">
        <v>1240</v>
      </c>
      <c r="E40" s="194" t="n">
        <v>0.52</v>
      </c>
    </row>
    <row r="41">
      <c r="A41" s="298" t="n">
        <v>46163</v>
      </c>
      <c r="B41" s="28" t="inlineStr">
        <is>
          <t>WBS-03</t>
        </is>
      </c>
      <c r="C41" s="28" t="inlineStr">
        <is>
          <t>R02</t>
        </is>
      </c>
      <c r="D41" s="34" t="n">
        <v>1240</v>
      </c>
      <c r="E41" s="194" t="n">
        <v>0.52</v>
      </c>
    </row>
    <row r="42">
      <c r="A42" s="298" t="n">
        <v>46164</v>
      </c>
      <c r="B42" s="28" t="inlineStr">
        <is>
          <t>WBS-03</t>
        </is>
      </c>
      <c r="C42" s="28" t="inlineStr">
        <is>
          <t>R02</t>
        </is>
      </c>
      <c r="D42" s="34" t="n">
        <v>1240</v>
      </c>
      <c r="E42" s="194" t="n">
        <v>0.52</v>
      </c>
    </row>
    <row r="43">
      <c r="A43" s="298" t="n">
        <v>46162</v>
      </c>
      <c r="B43" s="28" t="inlineStr">
        <is>
          <t>WBS-04</t>
        </is>
      </c>
      <c r="C43" s="28" t="inlineStr">
        <is>
          <t>R07</t>
        </is>
      </c>
      <c r="D43" s="34" t="n">
        <v>10200</v>
      </c>
      <c r="E43" s="194" t="n">
        <v>0</v>
      </c>
    </row>
    <row r="44">
      <c r="A44" s="298" t="n">
        <v>46160</v>
      </c>
      <c r="B44" s="28" t="inlineStr">
        <is>
          <t>WBS-05</t>
        </is>
      </c>
      <c r="C44" s="28" t="inlineStr">
        <is>
          <t>R04</t>
        </is>
      </c>
      <c r="D44" s="34" t="n">
        <v>930.8200000000001</v>
      </c>
      <c r="E44" s="194" t="n">
        <v>0.42</v>
      </c>
    </row>
    <row r="45">
      <c r="A45" s="298" t="n">
        <v>46161</v>
      </c>
      <c r="B45" s="28" t="inlineStr">
        <is>
          <t>WBS-05</t>
        </is>
      </c>
      <c r="C45" s="28" t="inlineStr">
        <is>
          <t>R04</t>
        </is>
      </c>
      <c r="D45" s="34" t="n">
        <v>930.8200000000001</v>
      </c>
      <c r="E45" s="194" t="n">
        <v>0.42</v>
      </c>
    </row>
    <row r="46">
      <c r="A46" s="298" t="n">
        <v>46162</v>
      </c>
      <c r="B46" s="28" t="inlineStr">
        <is>
          <t>WBS-05</t>
        </is>
      </c>
      <c r="C46" s="28" t="inlineStr">
        <is>
          <t>R04</t>
        </is>
      </c>
      <c r="D46" s="34" t="n">
        <v>930.8200000000001</v>
      </c>
      <c r="E46" s="194" t="n">
        <v>0.42</v>
      </c>
    </row>
    <row r="47">
      <c r="A47" s="298" t="n">
        <v>46163</v>
      </c>
      <c r="B47" s="28" t="inlineStr">
        <is>
          <t>WBS-05</t>
        </is>
      </c>
      <c r="C47" s="28" t="inlineStr">
        <is>
          <t>R04</t>
        </is>
      </c>
      <c r="D47" s="34" t="n">
        <v>930.8200000000001</v>
      </c>
      <c r="E47" s="194" t="n">
        <v>0.42</v>
      </c>
    </row>
    <row r="48">
      <c r="A48" s="298" t="n">
        <v>46164</v>
      </c>
      <c r="B48" s="28" t="inlineStr">
        <is>
          <t>WBS-05</t>
        </is>
      </c>
      <c r="C48" s="28" t="inlineStr">
        <is>
          <t>R04</t>
        </is>
      </c>
      <c r="D48" s="34" t="n">
        <v>930.8</v>
      </c>
      <c r="E48" s="194" t="n">
        <v>0.42</v>
      </c>
    </row>
    <row r="49">
      <c r="A49" s="298" t="n">
        <v>46167</v>
      </c>
      <c r="B49" s="28" t="inlineStr">
        <is>
          <t>WBS-01</t>
        </is>
      </c>
      <c r="C49" s="28" t="inlineStr">
        <is>
          <t>R01</t>
        </is>
      </c>
      <c r="D49" s="34" t="n">
        <v>320</v>
      </c>
      <c r="E49" s="194" t="n">
        <v>0.21</v>
      </c>
    </row>
    <row r="50">
      <c r="A50" s="298" t="n">
        <v>46168</v>
      </c>
      <c r="B50" s="28" t="inlineStr">
        <is>
          <t>WBS-01</t>
        </is>
      </c>
      <c r="C50" s="28" t="inlineStr">
        <is>
          <t>R01</t>
        </is>
      </c>
      <c r="D50" s="34" t="n">
        <v>320</v>
      </c>
      <c r="E50" s="194" t="n">
        <v>0.21</v>
      </c>
    </row>
    <row r="51">
      <c r="A51" s="298" t="n">
        <v>46169</v>
      </c>
      <c r="B51" s="28" t="inlineStr">
        <is>
          <t>WBS-01</t>
        </is>
      </c>
      <c r="C51" s="28" t="inlineStr">
        <is>
          <t>R01</t>
        </is>
      </c>
      <c r="D51" s="34" t="n">
        <v>320</v>
      </c>
      <c r="E51" s="194" t="n">
        <v>0.21</v>
      </c>
    </row>
    <row r="52">
      <c r="A52" s="298" t="n">
        <v>46170</v>
      </c>
      <c r="B52" s="28" t="inlineStr">
        <is>
          <t>WBS-01</t>
        </is>
      </c>
      <c r="C52" s="28" t="inlineStr">
        <is>
          <t>R01</t>
        </is>
      </c>
      <c r="D52" s="34" t="n">
        <v>320</v>
      </c>
      <c r="E52" s="194" t="n">
        <v>0.21</v>
      </c>
    </row>
    <row r="53">
      <c r="A53" s="298" t="n">
        <v>46171</v>
      </c>
      <c r="B53" s="28" t="inlineStr">
        <is>
          <t>WBS-01</t>
        </is>
      </c>
      <c r="C53" s="28" t="inlineStr">
        <is>
          <t>R01</t>
        </is>
      </c>
      <c r="D53" s="34" t="n">
        <v>320</v>
      </c>
      <c r="E53" s="194" t="n">
        <v>0.21</v>
      </c>
    </row>
    <row r="54">
      <c r="A54" s="298" t="n">
        <v>46169</v>
      </c>
      <c r="B54" s="28" t="inlineStr">
        <is>
          <t>WBS-04</t>
        </is>
      </c>
      <c r="C54" s="28" t="inlineStr">
        <is>
          <t>R07</t>
        </is>
      </c>
      <c r="D54" s="34" t="n">
        <v>10200</v>
      </c>
      <c r="E54" s="194" t="n">
        <v>0</v>
      </c>
    </row>
    <row r="55">
      <c r="A55" s="298" t="n">
        <v>46167</v>
      </c>
      <c r="B55" s="28" t="inlineStr">
        <is>
          <t>WBS-05</t>
        </is>
      </c>
      <c r="C55" s="28" t="inlineStr">
        <is>
          <t>R04</t>
        </is>
      </c>
      <c r="D55" s="34" t="n">
        <v>840</v>
      </c>
      <c r="E55" s="194" t="n">
        <v>0.38</v>
      </c>
    </row>
    <row r="56">
      <c r="A56" s="298" t="n">
        <v>46168</v>
      </c>
      <c r="B56" s="28" t="inlineStr">
        <is>
          <t>WBS-05</t>
        </is>
      </c>
      <c r="C56" s="28" t="inlineStr">
        <is>
          <t>R04</t>
        </is>
      </c>
      <c r="D56" s="34" t="n">
        <v>840</v>
      </c>
      <c r="E56" s="194" t="n">
        <v>0.38</v>
      </c>
    </row>
    <row r="57">
      <c r="A57" s="298" t="n">
        <v>46169</v>
      </c>
      <c r="B57" s="28" t="inlineStr">
        <is>
          <t>WBS-05</t>
        </is>
      </c>
      <c r="C57" s="28" t="inlineStr">
        <is>
          <t>R04</t>
        </is>
      </c>
      <c r="D57" s="34" t="n">
        <v>840</v>
      </c>
      <c r="E57" s="194" t="n">
        <v>0.38</v>
      </c>
    </row>
    <row r="58">
      <c r="A58" s="298" t="n">
        <v>46170</v>
      </c>
      <c r="B58" s="28" t="inlineStr">
        <is>
          <t>WBS-05</t>
        </is>
      </c>
      <c r="C58" s="28" t="inlineStr">
        <is>
          <t>R04</t>
        </is>
      </c>
      <c r="D58" s="34" t="n">
        <v>840</v>
      </c>
      <c r="E58" s="194" t="n">
        <v>0.38</v>
      </c>
    </row>
    <row r="59">
      <c r="A59" s="298" t="n">
        <v>46171</v>
      </c>
      <c r="B59" s="28" t="inlineStr">
        <is>
          <t>WBS-05</t>
        </is>
      </c>
      <c r="C59" s="28" t="inlineStr">
        <is>
          <t>R04</t>
        </is>
      </c>
      <c r="D59" s="34" t="n">
        <v>840</v>
      </c>
      <c r="E59" s="194" t="n">
        <v>0.38</v>
      </c>
    </row>
    <row r="60">
      <c r="A60" s="298" t="n">
        <v>46167</v>
      </c>
      <c r="B60" s="28" t="inlineStr">
        <is>
          <t>WBS-06</t>
        </is>
      </c>
      <c r="C60" s="28" t="inlineStr">
        <is>
          <t>R03</t>
        </is>
      </c>
      <c r="D60" s="34" t="n">
        <v>1781.25</v>
      </c>
      <c r="E60" s="194" t="n">
        <v>0.6899999999999999</v>
      </c>
    </row>
    <row r="61">
      <c r="A61" s="298" t="n">
        <v>46168</v>
      </c>
      <c r="B61" s="28" t="inlineStr">
        <is>
          <t>WBS-06</t>
        </is>
      </c>
      <c r="C61" s="28" t="inlineStr">
        <is>
          <t>R03</t>
        </is>
      </c>
      <c r="D61" s="34" t="n">
        <v>1781.25</v>
      </c>
      <c r="E61" s="194" t="n">
        <v>0.6899999999999999</v>
      </c>
    </row>
    <row r="62">
      <c r="A62" s="298" t="n">
        <v>46169</v>
      </c>
      <c r="B62" s="28" t="inlineStr">
        <is>
          <t>WBS-06</t>
        </is>
      </c>
      <c r="C62" s="28" t="inlineStr">
        <is>
          <t>R03</t>
        </is>
      </c>
      <c r="D62" s="34" t="n">
        <v>1781.25</v>
      </c>
      <c r="E62" s="194" t="n">
        <v>0.6899999999999999</v>
      </c>
    </row>
    <row r="63">
      <c r="A63" s="298" t="n">
        <v>46170</v>
      </c>
      <c r="B63" s="28" t="inlineStr">
        <is>
          <t>WBS-06</t>
        </is>
      </c>
      <c r="C63" s="28" t="inlineStr">
        <is>
          <t>R03</t>
        </is>
      </c>
      <c r="D63" s="34" t="n">
        <v>1781.25</v>
      </c>
      <c r="E63" s="194" t="n">
        <v>0.6899999999999999</v>
      </c>
    </row>
    <row r="64">
      <c r="A64" s="298" t="n">
        <v>46171</v>
      </c>
      <c r="B64" s="28" t="inlineStr">
        <is>
          <t>WBS-06</t>
        </is>
      </c>
      <c r="C64" s="28" t="inlineStr">
        <is>
          <t>R03</t>
        </is>
      </c>
      <c r="D64" s="34" t="n">
        <v>1781.24</v>
      </c>
      <c r="E64" s="194" t="n">
        <v>0.6899999999999999</v>
      </c>
    </row>
    <row r="65">
      <c r="A65" s="298" t="n">
        <v>46174</v>
      </c>
      <c r="B65" s="28" t="inlineStr">
        <is>
          <t>WBS-01</t>
        </is>
      </c>
      <c r="C65" s="28" t="inlineStr">
        <is>
          <t>R01</t>
        </is>
      </c>
      <c r="D65" s="34" t="n">
        <v>320</v>
      </c>
      <c r="E65" s="194" t="n">
        <v>0.21</v>
      </c>
    </row>
    <row r="66">
      <c r="A66" s="298" t="n">
        <v>46175</v>
      </c>
      <c r="B66" s="28" t="inlineStr">
        <is>
          <t>WBS-01</t>
        </is>
      </c>
      <c r="C66" s="28" t="inlineStr">
        <is>
          <t>R01</t>
        </is>
      </c>
      <c r="D66" s="34" t="n">
        <v>320</v>
      </c>
      <c r="E66" s="194" t="n">
        <v>0.21</v>
      </c>
    </row>
    <row r="67">
      <c r="A67" s="298" t="n">
        <v>46176</v>
      </c>
      <c r="B67" s="28" t="inlineStr">
        <is>
          <t>WBS-01</t>
        </is>
      </c>
      <c r="C67" s="28" t="inlineStr">
        <is>
          <t>R01</t>
        </is>
      </c>
      <c r="D67" s="34" t="n">
        <v>320</v>
      </c>
      <c r="E67" s="194" t="n">
        <v>0.21</v>
      </c>
    </row>
    <row r="68">
      <c r="A68" s="298" t="n">
        <v>46177</v>
      </c>
      <c r="B68" s="28" t="inlineStr">
        <is>
          <t>WBS-01</t>
        </is>
      </c>
      <c r="C68" s="28" t="inlineStr">
        <is>
          <t>R01</t>
        </is>
      </c>
      <c r="D68" s="34" t="n">
        <v>320</v>
      </c>
      <c r="E68" s="194" t="n">
        <v>0.21</v>
      </c>
    </row>
    <row r="69">
      <c r="A69" s="298" t="n">
        <v>46178</v>
      </c>
      <c r="B69" s="28" t="inlineStr">
        <is>
          <t>WBS-01</t>
        </is>
      </c>
      <c r="C69" s="28" t="inlineStr">
        <is>
          <t>R01</t>
        </is>
      </c>
      <c r="D69" s="34" t="n">
        <v>320</v>
      </c>
      <c r="E69" s="194" t="n">
        <v>0.21</v>
      </c>
    </row>
    <row r="70">
      <c r="A70" s="298" t="n">
        <v>46176</v>
      </c>
      <c r="B70" s="28" t="inlineStr">
        <is>
          <t>WBS-04</t>
        </is>
      </c>
      <c r="C70" s="28" t="inlineStr">
        <is>
          <t>R07</t>
        </is>
      </c>
      <c r="D70" s="34" t="n">
        <v>10400</v>
      </c>
      <c r="E70" s="194" t="n">
        <v>0</v>
      </c>
    </row>
    <row r="71">
      <c r="A71" s="298" t="n">
        <v>46174</v>
      </c>
      <c r="B71" s="28" t="inlineStr">
        <is>
          <t>WBS-06</t>
        </is>
      </c>
      <c r="C71" s="28" t="inlineStr">
        <is>
          <t>R03</t>
        </is>
      </c>
      <c r="D71" s="34" t="n">
        <v>1760</v>
      </c>
      <c r="E71" s="194" t="n">
        <v>0.68</v>
      </c>
    </row>
    <row r="72">
      <c r="A72" s="298" t="n">
        <v>46175</v>
      </c>
      <c r="B72" s="28" t="inlineStr">
        <is>
          <t>WBS-06</t>
        </is>
      </c>
      <c r="C72" s="28" t="inlineStr">
        <is>
          <t>R03</t>
        </is>
      </c>
      <c r="D72" s="34" t="n">
        <v>1760</v>
      </c>
      <c r="E72" s="194" t="n">
        <v>0.68</v>
      </c>
    </row>
    <row r="73">
      <c r="A73" s="298" t="n">
        <v>46176</v>
      </c>
      <c r="B73" s="28" t="inlineStr">
        <is>
          <t>WBS-06</t>
        </is>
      </c>
      <c r="C73" s="28" t="inlineStr">
        <is>
          <t>R03</t>
        </is>
      </c>
      <c r="D73" s="34" t="n">
        <v>1760</v>
      </c>
      <c r="E73" s="194" t="n">
        <v>0.68</v>
      </c>
    </row>
    <row r="74">
      <c r="A74" s="298" t="n">
        <v>46177</v>
      </c>
      <c r="B74" s="28" t="inlineStr">
        <is>
          <t>WBS-06</t>
        </is>
      </c>
      <c r="C74" s="28" t="inlineStr">
        <is>
          <t>R03</t>
        </is>
      </c>
      <c r="D74" s="34" t="n">
        <v>1760</v>
      </c>
      <c r="E74" s="194" t="n">
        <v>0.68</v>
      </c>
    </row>
    <row r="75">
      <c r="A75" s="298" t="n">
        <v>46178</v>
      </c>
      <c r="B75" s="28" t="inlineStr">
        <is>
          <t>WBS-06</t>
        </is>
      </c>
      <c r="C75" s="28" t="inlineStr">
        <is>
          <t>R03</t>
        </is>
      </c>
      <c r="D75" s="34" t="n">
        <v>1760</v>
      </c>
      <c r="E75" s="194" t="n">
        <v>0.68</v>
      </c>
    </row>
    <row r="76">
      <c r="A76" s="298" t="n">
        <v>46174</v>
      </c>
      <c r="B76" s="28" t="inlineStr">
        <is>
          <t>WBS-07</t>
        </is>
      </c>
      <c r="C76" s="28" t="inlineStr">
        <is>
          <t>R08</t>
        </is>
      </c>
      <c r="D76" s="34" t="n">
        <v>1735.36</v>
      </c>
      <c r="E76" s="194" t="n">
        <v>0</v>
      </c>
    </row>
    <row r="77">
      <c r="A77" s="298" t="n">
        <v>46175</v>
      </c>
      <c r="B77" s="28" t="inlineStr">
        <is>
          <t>WBS-07</t>
        </is>
      </c>
      <c r="C77" s="28" t="inlineStr">
        <is>
          <t>R08</t>
        </is>
      </c>
      <c r="D77" s="34" t="n">
        <v>1735.36</v>
      </c>
      <c r="E77" s="194" t="n">
        <v>0</v>
      </c>
    </row>
    <row r="78">
      <c r="A78" s="298" t="n">
        <v>46176</v>
      </c>
      <c r="B78" s="28" t="inlineStr">
        <is>
          <t>WBS-07</t>
        </is>
      </c>
      <c r="C78" s="28" t="inlineStr">
        <is>
          <t>R08</t>
        </is>
      </c>
      <c r="D78" s="34" t="n">
        <v>1735.36</v>
      </c>
      <c r="E78" s="194" t="n">
        <v>0</v>
      </c>
    </row>
    <row r="79">
      <c r="A79" s="298" t="n">
        <v>46177</v>
      </c>
      <c r="B79" s="28" t="inlineStr">
        <is>
          <t>WBS-07</t>
        </is>
      </c>
      <c r="C79" s="28" t="inlineStr">
        <is>
          <t>R08</t>
        </is>
      </c>
      <c r="D79" s="34" t="n">
        <v>1735.36</v>
      </c>
      <c r="E79" s="194" t="n">
        <v>0</v>
      </c>
    </row>
    <row r="80">
      <c r="A80" s="298" t="n">
        <v>46178</v>
      </c>
      <c r="B80" s="28" t="inlineStr">
        <is>
          <t>WBS-07</t>
        </is>
      </c>
      <c r="C80" s="28" t="inlineStr">
        <is>
          <t>R08</t>
        </is>
      </c>
      <c r="D80" s="34" t="n">
        <v>1735.36</v>
      </c>
      <c r="E80" s="194" t="n">
        <v>0</v>
      </c>
    </row>
    <row r="81">
      <c r="A81" s="298" t="n">
        <v>46181</v>
      </c>
      <c r="B81" s="28" t="inlineStr">
        <is>
          <t>WBS-01</t>
        </is>
      </c>
      <c r="C81" s="28" t="inlineStr">
        <is>
          <t>R01</t>
        </is>
      </c>
      <c r="D81" s="34" t="n">
        <v>320</v>
      </c>
      <c r="E81" s="194" t="n">
        <v>0.21</v>
      </c>
    </row>
    <row r="82">
      <c r="A82" s="298" t="n">
        <v>46182</v>
      </c>
      <c r="B82" s="28" t="inlineStr">
        <is>
          <t>WBS-01</t>
        </is>
      </c>
      <c r="C82" s="28" t="inlineStr">
        <is>
          <t>R01</t>
        </is>
      </c>
      <c r="D82" s="34" t="n">
        <v>320</v>
      </c>
      <c r="E82" s="194" t="n">
        <v>0.21</v>
      </c>
    </row>
    <row r="83">
      <c r="A83" s="298" t="n">
        <v>46183</v>
      </c>
      <c r="B83" s="28" t="inlineStr">
        <is>
          <t>WBS-01</t>
        </is>
      </c>
      <c r="C83" s="28" t="inlineStr">
        <is>
          <t>R01</t>
        </is>
      </c>
      <c r="D83" s="34" t="n">
        <v>320</v>
      </c>
      <c r="E83" s="194" t="n">
        <v>0.21</v>
      </c>
    </row>
    <row r="84">
      <c r="A84" s="298" t="n">
        <v>46184</v>
      </c>
      <c r="B84" s="28" t="inlineStr">
        <is>
          <t>WBS-01</t>
        </is>
      </c>
      <c r="C84" s="28" t="inlineStr">
        <is>
          <t>R01</t>
        </is>
      </c>
      <c r="D84" s="34" t="n">
        <v>320</v>
      </c>
      <c r="E84" s="194" t="n">
        <v>0.21</v>
      </c>
    </row>
    <row r="85">
      <c r="A85" s="298" t="n">
        <v>46185</v>
      </c>
      <c r="B85" s="28" t="inlineStr">
        <is>
          <t>WBS-01</t>
        </is>
      </c>
      <c r="C85" s="28" t="inlineStr">
        <is>
          <t>R01</t>
        </is>
      </c>
      <c r="D85" s="34" t="n">
        <v>320</v>
      </c>
      <c r="E85" s="194" t="n">
        <v>0.21</v>
      </c>
    </row>
    <row r="86">
      <c r="A86" s="298" t="n">
        <v>46181</v>
      </c>
      <c r="B86" s="28" t="inlineStr">
        <is>
          <t>WBS-06</t>
        </is>
      </c>
      <c r="C86" s="28" t="inlineStr">
        <is>
          <t>R03</t>
        </is>
      </c>
      <c r="D86" s="34" t="n">
        <v>1700</v>
      </c>
      <c r="E86" s="194" t="n">
        <v>0.65</v>
      </c>
    </row>
    <row r="87">
      <c r="A87" s="298" t="n">
        <v>46182</v>
      </c>
      <c r="B87" s="28" t="inlineStr">
        <is>
          <t>WBS-06</t>
        </is>
      </c>
      <c r="C87" s="28" t="inlineStr">
        <is>
          <t>R03</t>
        </is>
      </c>
      <c r="D87" s="34" t="n">
        <v>1700</v>
      </c>
      <c r="E87" s="194" t="n">
        <v>0.65</v>
      </c>
    </row>
    <row r="88">
      <c r="A88" s="298" t="n">
        <v>46183</v>
      </c>
      <c r="B88" s="28" t="inlineStr">
        <is>
          <t>WBS-06</t>
        </is>
      </c>
      <c r="C88" s="28" t="inlineStr">
        <is>
          <t>R03</t>
        </is>
      </c>
      <c r="D88" s="34" t="n">
        <v>1700</v>
      </c>
      <c r="E88" s="194" t="n">
        <v>0.65</v>
      </c>
    </row>
    <row r="89">
      <c r="A89" s="298" t="n">
        <v>46184</v>
      </c>
      <c r="B89" s="28" t="inlineStr">
        <is>
          <t>WBS-06</t>
        </is>
      </c>
      <c r="C89" s="28" t="inlineStr">
        <is>
          <t>R03</t>
        </is>
      </c>
      <c r="D89" s="34" t="n">
        <v>1700</v>
      </c>
      <c r="E89" s="194" t="n">
        <v>0.65</v>
      </c>
    </row>
    <row r="90">
      <c r="A90" s="298" t="n">
        <v>46185</v>
      </c>
      <c r="B90" s="28" t="inlineStr">
        <is>
          <t>WBS-06</t>
        </is>
      </c>
      <c r="C90" s="28" t="inlineStr">
        <is>
          <t>R03</t>
        </is>
      </c>
      <c r="D90" s="34" t="n">
        <v>1700</v>
      </c>
      <c r="E90" s="194" t="n">
        <v>0.65</v>
      </c>
    </row>
    <row r="91">
      <c r="A91" s="298" t="n">
        <v>46181</v>
      </c>
      <c r="B91" s="28" t="inlineStr">
        <is>
          <t>WBS-07</t>
        </is>
      </c>
      <c r="C91" s="28" t="inlineStr">
        <is>
          <t>R08</t>
        </is>
      </c>
      <c r="D91" s="34" t="n">
        <v>1760</v>
      </c>
      <c r="E91" s="194" t="n">
        <v>0</v>
      </c>
    </row>
    <row r="92">
      <c r="A92" s="298" t="n">
        <v>46182</v>
      </c>
      <c r="B92" s="28" t="inlineStr">
        <is>
          <t>WBS-07</t>
        </is>
      </c>
      <c r="C92" s="28" t="inlineStr">
        <is>
          <t>R08</t>
        </is>
      </c>
      <c r="D92" s="34" t="n">
        <v>1760</v>
      </c>
      <c r="E92" s="194" t="n">
        <v>0</v>
      </c>
    </row>
    <row r="93">
      <c r="A93" s="298" t="n">
        <v>46183</v>
      </c>
      <c r="B93" s="28" t="inlineStr">
        <is>
          <t>WBS-07</t>
        </is>
      </c>
      <c r="C93" s="28" t="inlineStr">
        <is>
          <t>R08</t>
        </is>
      </c>
      <c r="D93" s="34" t="n">
        <v>1760</v>
      </c>
      <c r="E93" s="194" t="n">
        <v>0</v>
      </c>
    </row>
    <row r="94">
      <c r="A94" s="298" t="n">
        <v>46184</v>
      </c>
      <c r="B94" s="28" t="inlineStr">
        <is>
          <t>WBS-07</t>
        </is>
      </c>
      <c r="C94" s="28" t="inlineStr">
        <is>
          <t>R08</t>
        </is>
      </c>
      <c r="D94" s="34" t="n">
        <v>1760</v>
      </c>
      <c r="E94" s="194" t="n">
        <v>0</v>
      </c>
    </row>
    <row r="95">
      <c r="A95" s="298" t="n">
        <v>46185</v>
      </c>
      <c r="B95" s="28" t="inlineStr">
        <is>
          <t>WBS-07</t>
        </is>
      </c>
      <c r="C95" s="28" t="inlineStr">
        <is>
          <t>R08</t>
        </is>
      </c>
      <c r="D95" s="34" t="n">
        <v>1760</v>
      </c>
      <c r="E95" s="194" t="n">
        <v>0</v>
      </c>
    </row>
    <row r="96">
      <c r="A96" s="298" t="n">
        <v>46181</v>
      </c>
      <c r="B96" s="28" t="inlineStr">
        <is>
          <t>WBS-08</t>
        </is>
      </c>
      <c r="C96" s="28" t="inlineStr">
        <is>
          <t>R09</t>
        </is>
      </c>
      <c r="D96" s="34" t="n">
        <v>1419.84</v>
      </c>
      <c r="E96" s="194" t="n">
        <v>0</v>
      </c>
    </row>
    <row r="97">
      <c r="A97" s="298" t="n">
        <v>46182</v>
      </c>
      <c r="B97" s="28" t="inlineStr">
        <is>
          <t>WBS-08</t>
        </is>
      </c>
      <c r="C97" s="28" t="inlineStr">
        <is>
          <t>R09</t>
        </is>
      </c>
      <c r="D97" s="34" t="n">
        <v>1419.84</v>
      </c>
      <c r="E97" s="194" t="n">
        <v>0</v>
      </c>
    </row>
    <row r="98">
      <c r="A98" s="298" t="n">
        <v>46183</v>
      </c>
      <c r="B98" s="28" t="inlineStr">
        <is>
          <t>WBS-08</t>
        </is>
      </c>
      <c r="C98" s="28" t="inlineStr">
        <is>
          <t>R09</t>
        </is>
      </c>
      <c r="D98" s="34" t="n">
        <v>1419.84</v>
      </c>
      <c r="E98" s="194" t="n">
        <v>0</v>
      </c>
    </row>
    <row r="99">
      <c r="A99" s="298" t="n">
        <v>46184</v>
      </c>
      <c r="B99" s="28" t="inlineStr">
        <is>
          <t>WBS-08</t>
        </is>
      </c>
      <c r="C99" s="28" t="inlineStr">
        <is>
          <t>R09</t>
        </is>
      </c>
      <c r="D99" s="34" t="n">
        <v>1419.84</v>
      </c>
      <c r="E99" s="194" t="n">
        <v>0</v>
      </c>
    </row>
    <row r="100">
      <c r="A100" s="299" t="n">
        <v>46185</v>
      </c>
      <c r="B100" s="208" t="inlineStr">
        <is>
          <t>WBS-08</t>
        </is>
      </c>
      <c r="C100" s="208" t="inlineStr">
        <is>
          <t>R09</t>
        </is>
      </c>
      <c r="D100" s="199" t="n">
        <v>1419.84</v>
      </c>
      <c r="E100" s="201" t="n">
        <v>0</v>
      </c>
    </row>
  </sheetData>
  <conditionalFormatting sqref="D2:D100">
    <cfRule type="cellIs" priority="1" operator="lessThanOrEqual" dxfId="53">
      <formula>840</formula>
    </cfRule>
    <cfRule type="cellIs" priority="2" operator="between" dxfId="52">
      <formula>840</formula>
      <formula>1700</formula>
    </cfRule>
    <cfRule type="cellIs" priority="3" operator="greaterThanOrEqual" dxfId="51">
      <formula>1700</formula>
    </cfRule>
  </conditionalFormatting>
  <conditionalFormatting sqref="E2:E100">
    <cfRule type="cellIs" priority="4" operator="lessThanOrEqual" dxfId="53">
      <formula>0.21</formula>
    </cfRule>
    <cfRule type="cellIs" priority="5" operator="between" dxfId="52">
      <formula>0.21</formula>
      <formula>0.5</formula>
    </cfRule>
    <cfRule type="cellIs" priority="6" operator="greaterThanOrEqual" dxfId="51">
      <formula>0.5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FFFFD966"/>
    <outlinePr summaryBelow="1" summaryRight="1"/>
    <pageSetUpPr/>
  </sheetPr>
  <dimension ref="A1:C35"/>
  <sheetViews>
    <sheetView workbookViewId="0">
      <selection activeCell="Q1" sqref="Q1"/>
    </sheetView>
  </sheetViews>
  <sheetFormatPr baseColWidth="8" defaultRowHeight="14.5"/>
  <cols>
    <col width="10.08984375" bestFit="1" customWidth="1" style="120" min="1" max="1"/>
    <col width="9.36328125" customWidth="1" style="120" min="2" max="2"/>
    <col width="21.26953125" customWidth="1" style="120" min="3" max="3"/>
  </cols>
  <sheetData>
    <row r="1">
      <c r="A1" s="204" t="inlineStr">
        <is>
          <t>Date</t>
        </is>
      </c>
      <c r="B1" s="205" t="inlineStr">
        <is>
          <t>WBS_ID</t>
        </is>
      </c>
      <c r="C1" s="206" t="inlineStr">
        <is>
          <t>Physical_Progress_Pct</t>
        </is>
      </c>
    </row>
    <row r="2">
      <c r="A2" s="298" t="inlineStr">
        <is>
          <t>2026-09-07</t>
        </is>
      </c>
      <c r="B2" s="28" t="inlineStr">
        <is>
          <t>WBS001</t>
        </is>
      </c>
      <c r="C2" s="300" t="n">
        <v>0.25</v>
      </c>
    </row>
    <row r="3">
      <c r="A3" s="298" t="inlineStr">
        <is>
          <t>2026-09-14</t>
        </is>
      </c>
      <c r="B3" s="28" t="inlineStr">
        <is>
          <t>WBS001</t>
        </is>
      </c>
      <c r="C3" s="300" t="n">
        <v>1</v>
      </c>
    </row>
    <row r="4">
      <c r="A4" s="298" t="inlineStr">
        <is>
          <t>2026-09-21</t>
        </is>
      </c>
      <c r="B4" s="28" t="inlineStr">
        <is>
          <t>WBS002</t>
        </is>
      </c>
      <c r="C4" s="300" t="n">
        <v>0.4</v>
      </c>
    </row>
    <row r="5">
      <c r="A5" s="298" t="inlineStr">
        <is>
          <t>2026-09-28</t>
        </is>
      </c>
      <c r="B5" s="28" t="inlineStr">
        <is>
          <t>WBS002</t>
        </is>
      </c>
      <c r="C5" s="300" t="n">
        <v>0.9</v>
      </c>
    </row>
    <row r="6">
      <c r="A6" s="298" t="n">
        <v>46157</v>
      </c>
      <c r="B6" s="28" t="inlineStr">
        <is>
          <t>WBS-02</t>
        </is>
      </c>
      <c r="C6" s="300" t="n">
        <v>1</v>
      </c>
    </row>
    <row r="7">
      <c r="A7" s="298" t="n">
        <v>46157</v>
      </c>
      <c r="B7" s="28" t="inlineStr">
        <is>
          <t>WBS-03</t>
        </is>
      </c>
      <c r="C7" s="300" t="n">
        <v>0.6</v>
      </c>
    </row>
    <row r="8">
      <c r="A8" s="298" t="n">
        <v>46157</v>
      </c>
      <c r="B8" s="28" t="inlineStr">
        <is>
          <t>WBS-04</t>
        </is>
      </c>
      <c r="C8" s="300" t="n">
        <v>0.2</v>
      </c>
    </row>
    <row r="9">
      <c r="A9" s="298" t="n">
        <v>46157</v>
      </c>
      <c r="B9" s="28" t="inlineStr">
        <is>
          <t>WBS-05</t>
        </is>
      </c>
      <c r="C9" s="300" t="n">
        <v>0.351818</v>
      </c>
    </row>
    <row r="10">
      <c r="A10" s="298" t="n">
        <v>46164</v>
      </c>
      <c r="B10" s="28" t="inlineStr">
        <is>
          <t>WBS-01</t>
        </is>
      </c>
      <c r="C10" s="300" t="n">
        <v>0.25</v>
      </c>
    </row>
    <row r="11">
      <c r="A11" s="298" t="n">
        <v>46164</v>
      </c>
      <c r="B11" s="28" t="inlineStr">
        <is>
          <t>WBS-02</t>
        </is>
      </c>
      <c r="C11" s="300" t="n">
        <v>1</v>
      </c>
    </row>
    <row r="12">
      <c r="A12" s="298" t="n">
        <v>46164</v>
      </c>
      <c r="B12" s="28" t="inlineStr">
        <is>
          <t>WBS-03</t>
        </is>
      </c>
      <c r="C12" s="300" t="n">
        <v>1</v>
      </c>
    </row>
    <row r="13">
      <c r="A13" s="298" t="n">
        <v>46164</v>
      </c>
      <c r="B13" s="28" t="inlineStr">
        <is>
          <t>WBS-04</t>
        </is>
      </c>
      <c r="C13" s="300" t="n">
        <v>0.45</v>
      </c>
    </row>
    <row r="14">
      <c r="A14" s="298" t="n">
        <v>46164</v>
      </c>
      <c r="B14" s="28" t="inlineStr">
        <is>
          <t>WBS-05</t>
        </is>
      </c>
      <c r="C14" s="300" t="n">
        <v>0.45</v>
      </c>
    </row>
    <row r="15">
      <c r="A15" s="298" t="n">
        <v>46171</v>
      </c>
      <c r="B15" s="28" t="inlineStr">
        <is>
          <t>WBS-01</t>
        </is>
      </c>
      <c r="C15" s="300" t="n">
        <v>0.333333</v>
      </c>
    </row>
    <row r="16">
      <c r="A16" s="298" t="n">
        <v>46171</v>
      </c>
      <c r="B16" s="28" t="inlineStr">
        <is>
          <t>WBS-02</t>
        </is>
      </c>
      <c r="C16" s="300" t="n">
        <v>1</v>
      </c>
    </row>
    <row r="17">
      <c r="A17" s="298" t="n">
        <v>46171</v>
      </c>
      <c r="B17" s="28" t="inlineStr">
        <is>
          <t>WBS-03</t>
        </is>
      </c>
      <c r="C17" s="300" t="n">
        <v>1</v>
      </c>
    </row>
    <row r="18">
      <c r="A18" s="298" t="n">
        <v>46171</v>
      </c>
      <c r="B18" s="28" t="inlineStr">
        <is>
          <t>WBS-04</t>
        </is>
      </c>
      <c r="C18" s="300" t="n">
        <v>0.7</v>
      </c>
    </row>
    <row r="19">
      <c r="A19" s="298" t="n">
        <v>46171</v>
      </c>
      <c r="B19" s="28" t="inlineStr">
        <is>
          <t>WBS-05</t>
        </is>
      </c>
      <c r="C19" s="300" t="n">
        <v>0.85</v>
      </c>
    </row>
    <row r="20">
      <c r="A20" s="298" t="n">
        <v>46171</v>
      </c>
      <c r="B20" s="28" t="inlineStr">
        <is>
          <t>WBS-06</t>
        </is>
      </c>
      <c r="C20" s="300" t="n">
        <v>0.222359</v>
      </c>
    </row>
    <row r="21">
      <c r="A21" s="298" t="n">
        <v>46178</v>
      </c>
      <c r="B21" s="28" t="inlineStr">
        <is>
          <t>WBS-01</t>
        </is>
      </c>
      <c r="C21" s="300" t="n">
        <v>0.416667</v>
      </c>
    </row>
    <row r="22">
      <c r="A22" s="298" t="n">
        <v>46178</v>
      </c>
      <c r="B22" s="28" t="inlineStr">
        <is>
          <t>WBS-02</t>
        </is>
      </c>
      <c r="C22" s="300" t="n">
        <v>1</v>
      </c>
    </row>
    <row r="23">
      <c r="A23" s="298" t="n">
        <v>46178</v>
      </c>
      <c r="B23" s="28" t="inlineStr">
        <is>
          <t>WBS-03</t>
        </is>
      </c>
      <c r="C23" s="300" t="n">
        <v>1</v>
      </c>
    </row>
    <row r="24">
      <c r="A24" s="298" t="n">
        <v>46178</v>
      </c>
      <c r="B24" s="28" t="inlineStr">
        <is>
          <t>WBS-04</t>
        </is>
      </c>
      <c r="C24" s="300" t="n">
        <v>1</v>
      </c>
    </row>
    <row r="25">
      <c r="A25" s="298" t="n">
        <v>46178</v>
      </c>
      <c r="B25" s="28" t="inlineStr">
        <is>
          <t>WBS-05</t>
        </is>
      </c>
      <c r="C25" s="300" t="n">
        <v>1</v>
      </c>
    </row>
    <row r="26">
      <c r="A26" s="298" t="n">
        <v>46178</v>
      </c>
      <c r="B26" s="28" t="inlineStr">
        <is>
          <t>WBS-06</t>
        </is>
      </c>
      <c r="C26" s="300" t="n">
        <v>0.5</v>
      </c>
    </row>
    <row r="27">
      <c r="A27" s="298" t="n">
        <v>46178</v>
      </c>
      <c r="B27" s="28" t="inlineStr">
        <is>
          <t>WBS-07</t>
        </is>
      </c>
      <c r="C27" s="300" t="n">
        <v>0.110963</v>
      </c>
    </row>
    <row r="28">
      <c r="A28" s="298" t="n">
        <v>46185</v>
      </c>
      <c r="B28" s="28" t="inlineStr">
        <is>
          <t>WBS-01</t>
        </is>
      </c>
      <c r="C28" s="300" t="n">
        <v>0.5</v>
      </c>
    </row>
    <row r="29">
      <c r="A29" s="298" t="n">
        <v>46185</v>
      </c>
      <c r="B29" s="28" t="inlineStr">
        <is>
          <t>WBS-02</t>
        </is>
      </c>
      <c r="C29" s="300" t="n">
        <v>1</v>
      </c>
    </row>
    <row r="30">
      <c r="A30" s="298" t="n">
        <v>46185</v>
      </c>
      <c r="B30" s="28" t="inlineStr">
        <is>
          <t>WBS-03</t>
        </is>
      </c>
      <c r="C30" s="300" t="n">
        <v>1</v>
      </c>
    </row>
    <row r="31">
      <c r="A31" s="298" t="n">
        <v>46185</v>
      </c>
      <c r="B31" s="28" t="inlineStr">
        <is>
          <t>WBS-04</t>
        </is>
      </c>
      <c r="C31" s="300" t="n">
        <v>1</v>
      </c>
    </row>
    <row r="32">
      <c r="A32" s="298" t="n">
        <v>46185</v>
      </c>
      <c r="B32" s="28" t="inlineStr">
        <is>
          <t>WBS-05</t>
        </is>
      </c>
      <c r="C32" s="300" t="n">
        <v>1</v>
      </c>
    </row>
    <row r="33">
      <c r="A33" s="298" t="n">
        <v>46185</v>
      </c>
      <c r="B33" s="28" t="inlineStr">
        <is>
          <t>WBS-06</t>
        </is>
      </c>
      <c r="C33" s="300" t="n">
        <v>0.7</v>
      </c>
    </row>
    <row r="34">
      <c r="A34" s="298" t="n">
        <v>46185</v>
      </c>
      <c r="B34" s="28" t="inlineStr">
        <is>
          <t>WBS-07</t>
        </is>
      </c>
      <c r="C34" s="300" t="n">
        <v>0.4</v>
      </c>
    </row>
    <row r="35">
      <c r="A35" s="299" t="n">
        <v>46185</v>
      </c>
      <c r="B35" s="208" t="inlineStr">
        <is>
          <t>WBS-08</t>
        </is>
      </c>
      <c r="C35" s="301" t="n">
        <v>0.248857</v>
      </c>
    </row>
  </sheetData>
  <conditionalFormatting sqref="C2:C35">
    <cfRule type="cellIs" priority="1" operator="lessThan" dxfId="51">
      <formula>0.5</formula>
    </cfRule>
    <cfRule type="cellIs" priority="2" operator="between" dxfId="52">
      <formula>0.5</formula>
      <formula>0.799999</formula>
    </cfRule>
    <cfRule type="cellIs" priority="3" operator="greaterThanOrEqual" dxfId="53">
      <formula>0.8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FFED7D31"/>
    <outlinePr summaryBelow="1" summaryRight="1"/>
    <pageSetUpPr/>
  </sheetPr>
  <dimension ref="A1:N25"/>
  <sheetViews>
    <sheetView showGridLines="0" workbookViewId="0">
      <selection activeCell="Q1" sqref="Q1"/>
    </sheetView>
  </sheetViews>
  <sheetFormatPr baseColWidth="8" defaultRowHeight="14.5"/>
  <cols>
    <col width="10" customWidth="1" style="120" min="1" max="1"/>
    <col width="25.6328125" customWidth="1" style="120" min="2" max="2"/>
    <col width="18.36328125" customWidth="1" style="120" min="3" max="3"/>
    <col width="24.26953125" customWidth="1" style="120" min="4" max="4"/>
    <col width="15.453125" customWidth="1" style="120" min="5" max="8"/>
    <col width="16.90625" customWidth="1" style="120" min="9" max="9"/>
    <col width="15.6328125" customWidth="1" style="120" min="10" max="10"/>
    <col width="15.453125" customWidth="1" style="120" min="11" max="13"/>
    <col width="13.6328125" customWidth="1" style="120" min="14" max="14"/>
    <col width="7.26953125" customWidth="1" style="120" min="15" max="15"/>
  </cols>
  <sheetData>
    <row r="1" ht="23.5" customHeight="1" s="120">
      <c r="A1" s="100" t="inlineStr">
        <is>
          <t>EVM Reporting</t>
        </is>
      </c>
    </row>
    <row r="2">
      <c r="A2" s="102" t="inlineStr">
        <is>
          <t>Weekly earned value reporting table using the guideline formulas: PV, AC, EV, SV, CV, SPI, CPI, BAC, EAC, ETC, and VAC.</t>
        </is>
      </c>
    </row>
    <row r="4">
      <c r="A4" s="132" t="inlineStr">
        <is>
          <t>Week</t>
        </is>
      </c>
      <c r="B4" s="126" t="inlineStr">
        <is>
          <t>Week Date</t>
        </is>
      </c>
      <c r="C4" s="126" t="inlineStr">
        <is>
          <t>Cum PV</t>
        </is>
      </c>
      <c r="D4" s="126" t="inlineStr">
        <is>
          <t>Cum AC</t>
        </is>
      </c>
      <c r="E4" s="126" t="inlineStr">
        <is>
          <t>Cum EV</t>
        </is>
      </c>
      <c r="F4" s="126" t="inlineStr">
        <is>
          <t>SV</t>
        </is>
      </c>
      <c r="G4" s="126" t="inlineStr">
        <is>
          <t>CV</t>
        </is>
      </c>
      <c r="H4" s="126" t="inlineStr">
        <is>
          <t>SPI</t>
        </is>
      </c>
      <c r="I4" s="126" t="inlineStr">
        <is>
          <t>CPI</t>
        </is>
      </c>
      <c r="J4" s="126" t="inlineStr">
        <is>
          <t>BAC</t>
        </is>
      </c>
      <c r="K4" s="126" t="inlineStr">
        <is>
          <t>EAC</t>
        </is>
      </c>
      <c r="L4" s="126" t="inlineStr">
        <is>
          <t>ETC</t>
        </is>
      </c>
      <c r="M4" s="126" t="inlineStr">
        <is>
          <t>VAC</t>
        </is>
      </c>
      <c r="N4" s="133" t="inlineStr">
        <is>
          <t>Status</t>
        </is>
      </c>
    </row>
    <row r="5">
      <c r="A5" s="130" t="n">
        <v>1</v>
      </c>
      <c r="B5" s="280" t="inlineStr">
        <is>
          <t>2026-05-08 00:00:00</t>
        </is>
      </c>
      <c r="C5" s="49" t="n">
        <v>16400</v>
      </c>
      <c r="D5" s="49" t="n">
        <v>16295.04</v>
      </c>
      <c r="E5" s="49" t="n">
        <v>15087.994</v>
      </c>
      <c r="F5" s="49" t="n">
        <v>-1312.005999999999</v>
      </c>
      <c r="G5" s="49" t="n">
        <v>-1207.046</v>
      </c>
      <c r="H5" s="50" t="n">
        <v>0.9199996341463414</v>
      </c>
      <c r="I5" s="50" t="n">
        <v>0.925925557715722</v>
      </c>
      <c r="J5" s="49" t="n">
        <v>268650</v>
      </c>
      <c r="K5" s="49" t="n">
        <v>290142.1153799504</v>
      </c>
      <c r="L5" s="49" t="n">
        <v>273847.0753799505</v>
      </c>
      <c r="M5" s="49" t="n">
        <v>-21492.11537995044</v>
      </c>
      <c r="N5" s="131" t="inlineStr">
        <is>
          <t>Red</t>
        </is>
      </c>
    </row>
    <row r="6">
      <c r="A6" s="130" t="n">
        <v>2</v>
      </c>
      <c r="B6" s="280" t="inlineStr">
        <is>
          <t>2026-05-15 00:00:00</t>
        </is>
      </c>
      <c r="C6" s="49" t="n">
        <v>39200</v>
      </c>
      <c r="D6" s="49" t="n">
        <v>38949.12</v>
      </c>
      <c r="E6" s="49" t="n">
        <v>36064.0036</v>
      </c>
      <c r="F6" s="49" t="n">
        <v>-3135.996399999996</v>
      </c>
      <c r="G6" s="49" t="n">
        <v>-2885.116399999999</v>
      </c>
      <c r="H6" s="50" t="n">
        <v>0.9200000918367348</v>
      </c>
      <c r="I6" s="50" t="n">
        <v>0.9259260183542016</v>
      </c>
      <c r="J6" s="49" t="n">
        <v>268650</v>
      </c>
      <c r="K6" s="49" t="n">
        <v>290141.9710372922</v>
      </c>
      <c r="L6" s="49" t="n">
        <v>251192.8510372922</v>
      </c>
      <c r="M6" s="49" t="n">
        <v>-21491.97103729215</v>
      </c>
      <c r="N6" s="131" t="inlineStr">
        <is>
          <t>Red</t>
        </is>
      </c>
    </row>
    <row r="7">
      <c r="A7" s="130" t="n">
        <v>3</v>
      </c>
      <c r="B7" s="280" t="inlineStr">
        <is>
          <t>2026-05-22 00:00:00</t>
        </is>
      </c>
      <c r="C7" s="49" t="n">
        <v>62000</v>
      </c>
      <c r="D7" s="49" t="n">
        <v>61603.2</v>
      </c>
      <c r="E7" s="49" t="n">
        <v>57040</v>
      </c>
      <c r="F7" s="49" t="n">
        <v>-4960</v>
      </c>
      <c r="G7" s="49" t="n">
        <v>-4563.200000000004</v>
      </c>
      <c r="H7" s="50" t="n">
        <v>0.92</v>
      </c>
      <c r="I7" s="50" t="n">
        <v>0.9259259259259258</v>
      </c>
      <c r="J7" s="49" t="n">
        <v>268650</v>
      </c>
      <c r="K7" s="49" t="n">
        <v>290142.0000000001</v>
      </c>
      <c r="L7" s="49" t="n">
        <v>228538.8</v>
      </c>
      <c r="M7" s="49" t="n">
        <v>-21492.00000000006</v>
      </c>
      <c r="N7" s="131" t="inlineStr">
        <is>
          <t>Red</t>
        </is>
      </c>
    </row>
    <row r="8">
      <c r="A8" s="130" t="n">
        <v>4</v>
      </c>
      <c r="B8" s="280" t="inlineStr">
        <is>
          <t>2026-05-29 00:00:00</t>
        </is>
      </c>
      <c r="C8" s="49" t="n">
        <v>87066.67</v>
      </c>
      <c r="D8" s="49" t="n">
        <v>86509.44000000002</v>
      </c>
      <c r="E8" s="49" t="n">
        <v>80101.32799999999</v>
      </c>
      <c r="F8" s="49" t="n">
        <v>-6965.342000000004</v>
      </c>
      <c r="G8" s="49" t="n">
        <v>-6408.112000000023</v>
      </c>
      <c r="H8" s="50" t="n">
        <v>0.9199999035222088</v>
      </c>
      <c r="I8" s="50" t="n">
        <v>0.925925864275621</v>
      </c>
      <c r="J8" s="49" t="n">
        <v>268650</v>
      </c>
      <c r="K8" s="49" t="n">
        <v>290142.0193183315</v>
      </c>
      <c r="L8" s="49" t="n">
        <v>203632.5793183315</v>
      </c>
      <c r="M8" s="49" t="n">
        <v>-21492.0193183315</v>
      </c>
      <c r="N8" s="131" t="inlineStr">
        <is>
          <t>Red</t>
        </is>
      </c>
    </row>
    <row r="9">
      <c r="A9" s="130" t="n">
        <v>5</v>
      </c>
      <c r="B9" s="280" t="inlineStr">
        <is>
          <t>2026-06-05 00:00:00</t>
        </is>
      </c>
      <c r="C9" s="49" t="n">
        <v>116733.34</v>
      </c>
      <c r="D9" s="49" t="n">
        <v>115986.24</v>
      </c>
      <c r="E9" s="49" t="n">
        <v>107394.674</v>
      </c>
      <c r="F9" s="49" t="n">
        <v>-9338.665999999997</v>
      </c>
      <c r="G9" s="49" t="n">
        <v>-8591.566000000021</v>
      </c>
      <c r="H9" s="50" t="n">
        <v>0.9200000102798396</v>
      </c>
      <c r="I9" s="50" t="n">
        <v>0.9259259891518165</v>
      </c>
      <c r="J9" s="49" t="n">
        <v>268650</v>
      </c>
      <c r="K9" s="49" t="n">
        <v>290141.9801879561</v>
      </c>
      <c r="L9" s="49" t="n">
        <v>174155.7401879561</v>
      </c>
      <c r="M9" s="49" t="n">
        <v>-21491.98018795613</v>
      </c>
      <c r="N9" s="131" t="inlineStr">
        <is>
          <t>Red</t>
        </is>
      </c>
    </row>
    <row r="10">
      <c r="A10" s="130" t="n">
        <v>6</v>
      </c>
      <c r="B10" s="280" t="inlineStr">
        <is>
          <t>2026-06-12 00:00:00</t>
        </is>
      </c>
      <c r="C10" s="49" t="n">
        <v>142900</v>
      </c>
      <c r="D10" s="49" t="n">
        <v>141985.44</v>
      </c>
      <c r="E10" s="49" t="n">
        <v>131467.996</v>
      </c>
      <c r="F10" s="49" t="n">
        <v>-11432.00399999999</v>
      </c>
      <c r="G10" s="49" t="n">
        <v>-10517.44399999999</v>
      </c>
      <c r="H10" s="50" t="n">
        <v>0.9199999720083976</v>
      </c>
      <c r="I10" s="50" t="n">
        <v>0.9259258977540233</v>
      </c>
      <c r="J10" s="49" t="n">
        <v>268650</v>
      </c>
      <c r="K10" s="49" t="n">
        <v>290142.0088277606</v>
      </c>
      <c r="L10" s="49" t="n">
        <v>148156.5688277606</v>
      </c>
      <c r="M10" s="49" t="n">
        <v>-21492.00882776058</v>
      </c>
      <c r="N10" s="131" t="inlineStr">
        <is>
          <t>Red</t>
        </is>
      </c>
    </row>
    <row r="11">
      <c r="A11" s="130" t="n">
        <v>7</v>
      </c>
      <c r="B11" s="280" t="inlineStr">
        <is>
          <t>2026-06-19 00:00:00</t>
        </is>
      </c>
      <c r="C11" s="49" t="n">
        <v>160400</v>
      </c>
      <c r="D11" s="49" t="n">
        <v>141985.44</v>
      </c>
      <c r="E11" s="49" t="n">
        <v>131467.996</v>
      </c>
      <c r="F11" s="49" t="n">
        <v>-28932.00399999999</v>
      </c>
      <c r="G11" s="49" t="n">
        <v>-10517.44399999999</v>
      </c>
      <c r="H11" s="50" t="n">
        <v>0.819625910224439</v>
      </c>
      <c r="I11" s="50" t="n">
        <v>0.9259258977540233</v>
      </c>
      <c r="J11" s="49" t="n">
        <v>268650</v>
      </c>
      <c r="K11" s="49" t="n">
        <v>290142.0088277606</v>
      </c>
      <c r="L11" s="49" t="n">
        <v>148156.5688277606</v>
      </c>
      <c r="M11" s="49" t="n">
        <v>-21492.00882776058</v>
      </c>
      <c r="N11" s="131" t="inlineStr">
        <is>
          <t>Red</t>
        </is>
      </c>
    </row>
    <row r="12">
      <c r="A12" s="130" t="n">
        <v>8</v>
      </c>
      <c r="B12" s="280" t="inlineStr">
        <is>
          <t>2026-06-26 00:00:00</t>
        </is>
      </c>
      <c r="C12" s="49" t="n">
        <v>189816.67</v>
      </c>
      <c r="D12" s="49" t="n">
        <v>141985.44</v>
      </c>
      <c r="E12" s="49" t="n">
        <v>131467.996</v>
      </c>
      <c r="F12" s="49" t="n">
        <v>-58348.674</v>
      </c>
      <c r="G12" s="49" t="n">
        <v>-10517.44399999999</v>
      </c>
      <c r="H12" s="50" t="n">
        <v>0.6926051120799875</v>
      </c>
      <c r="I12" s="50" t="n">
        <v>0.9259258977540233</v>
      </c>
      <c r="J12" s="49" t="n">
        <v>268650</v>
      </c>
      <c r="K12" s="49" t="n">
        <v>290142.0088277606</v>
      </c>
      <c r="L12" s="49" t="n">
        <v>148156.5688277606</v>
      </c>
      <c r="M12" s="49" t="n">
        <v>-21492.00882776058</v>
      </c>
      <c r="N12" s="131" t="inlineStr">
        <is>
          <t>Red</t>
        </is>
      </c>
    </row>
    <row r="13">
      <c r="A13" s="130" t="n">
        <v>9</v>
      </c>
      <c r="B13" s="280" t="inlineStr">
        <is>
          <t>2026-07-03 00:00:00</t>
        </is>
      </c>
      <c r="C13" s="49" t="n">
        <v>220233.34</v>
      </c>
      <c r="D13" s="49" t="n">
        <v>141985.44</v>
      </c>
      <c r="E13" s="49" t="n">
        <v>131467.996</v>
      </c>
      <c r="F13" s="49" t="n">
        <v>-88765.34400000001</v>
      </c>
      <c r="G13" s="49" t="n">
        <v>-10517.44399999999</v>
      </c>
      <c r="H13" s="50" t="n">
        <v>0.5969486545497608</v>
      </c>
      <c r="I13" s="50" t="n">
        <v>0.9259258977540233</v>
      </c>
      <c r="J13" s="49" t="n">
        <v>268650</v>
      </c>
      <c r="K13" s="49" t="n">
        <v>290142.0088277606</v>
      </c>
      <c r="L13" s="49" t="n">
        <v>148156.5688277606</v>
      </c>
      <c r="M13" s="49" t="n">
        <v>-21492.00882776058</v>
      </c>
      <c r="N13" s="131" t="inlineStr">
        <is>
          <t>Red</t>
        </is>
      </c>
    </row>
    <row r="14">
      <c r="A14" s="130" t="n">
        <v>10</v>
      </c>
      <c r="B14" s="280" t="inlineStr">
        <is>
          <t>2026-07-10 00:00:00</t>
        </is>
      </c>
      <c r="C14" s="49" t="n">
        <v>243650</v>
      </c>
      <c r="D14" s="49" t="n">
        <v>141985.44</v>
      </c>
      <c r="E14" s="49" t="n">
        <v>131467.996</v>
      </c>
      <c r="F14" s="49" t="n">
        <v>-112182.004</v>
      </c>
      <c r="G14" s="49" t="n">
        <v>-10517.44399999999</v>
      </c>
      <c r="H14" s="50" t="n">
        <v>0.5395772460496614</v>
      </c>
      <c r="I14" s="50" t="n">
        <v>0.9259258977540233</v>
      </c>
      <c r="J14" s="49" t="n">
        <v>268650</v>
      </c>
      <c r="K14" s="49" t="n">
        <v>290142.0088277606</v>
      </c>
      <c r="L14" s="49" t="n">
        <v>148156.5688277606</v>
      </c>
      <c r="M14" s="49" t="n">
        <v>-21492.00882776058</v>
      </c>
      <c r="N14" s="131" t="inlineStr">
        <is>
          <t>Red</t>
        </is>
      </c>
    </row>
    <row r="15">
      <c r="A15" s="130" t="n">
        <v>11</v>
      </c>
      <c r="B15" s="280" t="inlineStr">
        <is>
          <t>2026-07-17 00:00:00</t>
        </is>
      </c>
      <c r="C15" s="49" t="n">
        <v>259350</v>
      </c>
      <c r="D15" s="49" t="n">
        <v>141985.44</v>
      </c>
      <c r="E15" s="49" t="n">
        <v>131467.996</v>
      </c>
      <c r="F15" s="49" t="n">
        <v>-127882.004</v>
      </c>
      <c r="G15" s="49" t="n">
        <v>-10517.44399999999</v>
      </c>
      <c r="H15" s="50" t="n">
        <v>0.50691342201658</v>
      </c>
      <c r="I15" s="50" t="n">
        <v>0.9259258977540233</v>
      </c>
      <c r="J15" s="49" t="n">
        <v>268650</v>
      </c>
      <c r="K15" s="49" t="n">
        <v>290142.0088277606</v>
      </c>
      <c r="L15" s="49" t="n">
        <v>148156.5688277606</v>
      </c>
      <c r="M15" s="49" t="n">
        <v>-21492.00882776058</v>
      </c>
      <c r="N15" s="131" t="inlineStr">
        <is>
          <t>Red</t>
        </is>
      </c>
    </row>
    <row r="16">
      <c r="A16" s="134" t="n">
        <v>12</v>
      </c>
      <c r="B16" s="284" t="inlineStr">
        <is>
          <t>2026-07-24 00:00:00</t>
        </is>
      </c>
      <c r="C16" s="142" t="n">
        <v>268650</v>
      </c>
      <c r="D16" s="142" t="n">
        <v>141985.44</v>
      </c>
      <c r="E16" s="142" t="n">
        <v>131467.996</v>
      </c>
      <c r="F16" s="142" t="n">
        <v>-137182.004</v>
      </c>
      <c r="G16" s="142" t="n">
        <v>-10517.44399999999</v>
      </c>
      <c r="H16" s="160" t="n">
        <v>0.4893653303554812</v>
      </c>
      <c r="I16" s="160" t="n">
        <v>0.9259258977540233</v>
      </c>
      <c r="J16" s="142" t="n">
        <v>268650</v>
      </c>
      <c r="K16" s="142" t="n">
        <v>290142.0088277606</v>
      </c>
      <c r="L16" s="142" t="n">
        <v>148156.5688277606</v>
      </c>
      <c r="M16" s="142" t="n">
        <v>-21492.00882776058</v>
      </c>
      <c r="N16" s="136" t="inlineStr">
        <is>
          <t>Red</t>
        </is>
      </c>
    </row>
    <row r="19">
      <c r="A19" s="129" t="inlineStr">
        <is>
          <t>Formula</t>
        </is>
      </c>
      <c r="B19" s="45" t="inlineStr">
        <is>
          <t>Workbook implementation</t>
        </is>
      </c>
      <c r="C19" s="45" t="inlineStr">
        <is>
          <t>Guideline meaning</t>
        </is>
      </c>
      <c r="D19" s="45" t="inlineStr">
        <is>
          <t>Current status-date value</t>
        </is>
      </c>
      <c r="E19" s="45" t="inlineStr">
        <is>
          <t>Check</t>
        </is>
      </c>
      <c r="F19" s="45" t="inlineStr">
        <is>
          <t>Source</t>
        </is>
      </c>
      <c r="G19" t="inlineStr">
        <is>
          <t>Column1</t>
        </is>
      </c>
      <c r="H19" s="103" t="inlineStr">
        <is>
          <t>Status tie-out</t>
        </is>
      </c>
      <c r="I19" s="103" t="inlineStr">
        <is>
          <t>Dashboard value</t>
        </is>
      </c>
      <c r="J19" s="103" t="inlineStr">
        <is>
          <t>Task Plan value</t>
        </is>
      </c>
      <c r="K19" s="103" t="inlineStr">
        <is>
          <t>Variance</t>
        </is>
      </c>
      <c r="L19" s="103" t="inlineStr">
        <is>
          <t>Check2</t>
        </is>
      </c>
      <c r="M19" s="137" t="inlineStr">
        <is>
          <t>Source3</t>
        </is>
      </c>
    </row>
    <row r="20">
      <c r="A20" s="130" t="inlineStr">
        <is>
          <t>SV = EV - PV</t>
        </is>
      </c>
      <c r="B20" s="49" t="e">
        <v>#N/A</v>
      </c>
      <c r="C20" s="2" t="inlineStr">
        <is>
          <t>Schedule variance at status date</t>
        </is>
      </c>
      <c r="D20" s="49" t="e">
        <v>#N/A</v>
      </c>
      <c r="E20" s="2" t="inlineStr">
        <is>
          <t>Live</t>
        </is>
      </c>
      <c r="F20" s="2" t="inlineStr">
        <is>
          <t>PM-EVM.md lines 145-150</t>
        </is>
      </c>
      <c r="H20" s="2" t="inlineStr">
        <is>
          <t>PV</t>
        </is>
      </c>
      <c r="I20" s="49" t="n">
        <v>220233.34</v>
      </c>
      <c r="J20" s="49" t="n">
        <v>220233.34</v>
      </c>
      <c r="K20" s="49" t="n">
        <v>0</v>
      </c>
      <c r="L20" s="2" t="inlineStr">
        <is>
          <t>OK</t>
        </is>
      </c>
      <c r="M20" s="131" t="inlineStr">
        <is>
          <t>Task Plan!I17</t>
        </is>
      </c>
    </row>
    <row r="21">
      <c r="A21" s="130" t="inlineStr">
        <is>
          <t>CV = EV - AC</t>
        </is>
      </c>
      <c r="B21" s="49" t="e">
        <v>#N/A</v>
      </c>
      <c r="C21" s="2" t="inlineStr">
        <is>
          <t>Cost variance at status date</t>
        </is>
      </c>
      <c r="D21" s="49" t="e">
        <v>#N/A</v>
      </c>
      <c r="E21" s="2" t="inlineStr">
        <is>
          <t>Live</t>
        </is>
      </c>
      <c r="F21" s="2" t="inlineStr">
        <is>
          <t>PM-EVM.md lines 145-150</t>
        </is>
      </c>
      <c r="H21" s="2" t="inlineStr">
        <is>
          <t>AC</t>
        </is>
      </c>
      <c r="I21" s="49" t="n">
        <v>141985.44</v>
      </c>
      <c r="J21" s="49" t="n">
        <v>141985.44</v>
      </c>
      <c r="K21" s="49" t="n">
        <v>0</v>
      </c>
      <c r="L21" s="2" t="inlineStr">
        <is>
          <t>OK</t>
        </is>
      </c>
      <c r="M21" s="131" t="inlineStr">
        <is>
          <t>Task Plan!J17</t>
        </is>
      </c>
    </row>
    <row r="22">
      <c r="A22" s="130" t="inlineStr">
        <is>
          <t>SPI = EV / PV</t>
        </is>
      </c>
      <c r="B22" s="49" t="e">
        <v>#N/A</v>
      </c>
      <c r="C22" s="2" t="inlineStr">
        <is>
          <t>Schedule efficiency</t>
        </is>
      </c>
      <c r="D22" s="50" t="e">
        <v>#N/A</v>
      </c>
      <c r="E22" s="2" t="inlineStr">
        <is>
          <t>Live</t>
        </is>
      </c>
      <c r="F22" s="2" t="inlineStr">
        <is>
          <t>PM-EVM.md lines 145-150</t>
        </is>
      </c>
      <c r="H22" s="2" t="inlineStr">
        <is>
          <t>EV</t>
        </is>
      </c>
      <c r="I22" s="49" t="n">
        <v>131467.996</v>
      </c>
      <c r="J22" s="49" t="n">
        <v>131467.996</v>
      </c>
      <c r="K22" s="49" t="n">
        <v>0</v>
      </c>
      <c r="L22" s="2" t="inlineStr">
        <is>
          <t>OK</t>
        </is>
      </c>
      <c r="M22" s="131" t="inlineStr">
        <is>
          <t>Task Plan!L17</t>
        </is>
      </c>
    </row>
    <row r="23">
      <c r="A23" s="130" t="inlineStr">
        <is>
          <t>CPI = EV / AC</t>
        </is>
      </c>
      <c r="B23" s="49" t="e">
        <v>#N/A</v>
      </c>
      <c r="C23" s="2" t="inlineStr">
        <is>
          <t>Cost efficiency</t>
        </is>
      </c>
      <c r="D23" s="50" t="e">
        <v>#N/A</v>
      </c>
      <c r="E23" s="2" t="inlineStr">
        <is>
          <t>Live</t>
        </is>
      </c>
      <c r="F23" s="2" t="inlineStr">
        <is>
          <t>PM-EVM.md lines 145-150</t>
        </is>
      </c>
      <c r="H23" s="2" t="inlineStr">
        <is>
          <t>SPI</t>
        </is>
      </c>
      <c r="I23" s="50" t="n">
        <v>0.5969486545497608</v>
      </c>
      <c r="J23" s="50" t="n">
        <v>0.5969486545497608</v>
      </c>
      <c r="K23" s="50" t="n">
        <v>0</v>
      </c>
      <c r="L23" s="2" t="inlineStr">
        <is>
          <t>OK</t>
        </is>
      </c>
      <c r="M23" s="131" t="inlineStr">
        <is>
          <t>Task Plan!O17</t>
        </is>
      </c>
    </row>
    <row r="24">
      <c r="A24" s="130" t="inlineStr">
        <is>
          <t>EAC = BAC / CPI</t>
        </is>
      </c>
      <c r="B24" s="49" t="e">
        <v>#N/A</v>
      </c>
      <c r="C24" s="2" t="inlineStr">
        <is>
          <t>Forecast final cost</t>
        </is>
      </c>
      <c r="D24" s="49" t="e">
        <v>#N/A</v>
      </c>
      <c r="E24" s="2" t="inlineStr">
        <is>
          <t>Live</t>
        </is>
      </c>
      <c r="F24" s="2" t="inlineStr">
        <is>
          <t>PM-EVM.md lines 203-214</t>
        </is>
      </c>
      <c r="H24" s="2" t="inlineStr">
        <is>
          <t>CPI</t>
        </is>
      </c>
      <c r="I24" s="50" t="n">
        <v>0.9259258977540233</v>
      </c>
      <c r="J24" s="50" t="n">
        <v>0.9259258977540233</v>
      </c>
      <c r="K24" s="50" t="n">
        <v>0</v>
      </c>
      <c r="L24" s="2" t="inlineStr">
        <is>
          <t>OK</t>
        </is>
      </c>
      <c r="M24" s="131" t="inlineStr">
        <is>
          <t>Task Plan!P17</t>
        </is>
      </c>
    </row>
    <row r="25">
      <c r="A25" s="130" t="inlineStr">
        <is>
          <t>VAC = BAC - EAC</t>
        </is>
      </c>
      <c r="B25" s="49" t="e">
        <v>#N/A</v>
      </c>
      <c r="C25" s="2" t="inlineStr">
        <is>
          <t>Expected budget variance at completion</t>
        </is>
      </c>
      <c r="D25" s="49" t="e">
        <v>#N/A</v>
      </c>
      <c r="E25" s="2" t="inlineStr">
        <is>
          <t>Live</t>
        </is>
      </c>
      <c r="F25" s="2" t="inlineStr">
        <is>
          <t>PM-EVM.md lines 203-214</t>
        </is>
      </c>
      <c r="H25" s="2" t="inlineStr">
        <is>
          <t>VAC</t>
        </is>
      </c>
      <c r="I25" s="49" t="n">
        <v>-21492.00882776058</v>
      </c>
      <c r="J25" s="49" t="n">
        <v>-21492.00882776058</v>
      </c>
      <c r="K25" s="49" t="n">
        <v>0</v>
      </c>
      <c r="L25" s="2" t="inlineStr">
        <is>
          <t>OK</t>
        </is>
      </c>
      <c r="M25" s="131" t="inlineStr">
        <is>
          <t>Task Plan!S17</t>
        </is>
      </c>
    </row>
  </sheetData>
  <mergeCells count="2">
    <mergeCell ref="A2:N2"/>
    <mergeCell ref="A1:N1"/>
  </mergeCells>
  <conditionalFormatting sqref="F5:G16">
    <cfRule type="cellIs" priority="7" operator="lessThan" dxfId="51">
      <formula>0</formula>
    </cfRule>
    <cfRule type="cellIs" priority="8" operator="greaterThanOrEqual" dxfId="53">
      <formula>0</formula>
    </cfRule>
  </conditionalFormatting>
  <conditionalFormatting sqref="H5:I16">
    <cfRule type="cellIs" priority="4" operator="lessThan" dxfId="51">
      <formula>0.95</formula>
    </cfRule>
    <cfRule type="cellIs" priority="5" operator="between" dxfId="52">
      <formula>0.95</formula>
      <formula>0.999999</formula>
    </cfRule>
    <cfRule type="cellIs" priority="6" operator="greaterThanOrEqual" dxfId="53">
      <formula>1</formula>
    </cfRule>
  </conditionalFormatting>
  <conditionalFormatting sqref="L20:L25">
    <cfRule type="containsText" priority="9" operator="containsText" dxfId="53" text="OK">
      <formula>NOT(ISERROR(SEARCH("OK",L20)))</formula>
    </cfRule>
    <cfRule type="containsText" priority="10" operator="containsText" dxfId="51" text="Review">
      <formula>NOT(ISERROR(SEARCH("Review",L20)))</formula>
    </cfRule>
  </conditionalFormatting>
  <conditionalFormatting sqref="N5:N16">
    <cfRule type="expression" priority="11" dxfId="35">
      <formula>ISNUMBER(SEARCH("Red",N5))</formula>
    </cfRule>
    <cfRule type="expression" priority="12" dxfId="34">
      <formula>ISNUMBER(SEARCH("Amber",N5))</formula>
    </cfRule>
    <cfRule type="expression" priority="13" dxfId="33">
      <formula>ISNUMBER(SEARCH("Green",N5))</formula>
    </cfRule>
  </conditionalFormatting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3.xml><?xml version="1.0" encoding="utf-8"?>
<worksheet xmlns="http://schemas.openxmlformats.org/spreadsheetml/2006/main">
  <sheetPr>
    <tabColor rgb="FFED7D31"/>
    <outlinePr summaryBelow="1" summaryRight="1"/>
    <pageSetUpPr/>
  </sheetPr>
  <dimension ref="A1:P35"/>
  <sheetViews>
    <sheetView showGridLines="0" workbookViewId="0">
      <selection activeCell="Q1" sqref="Q1"/>
    </sheetView>
  </sheetViews>
  <sheetFormatPr baseColWidth="8" defaultRowHeight="14.5"/>
  <cols>
    <col width="8.90625" customWidth="1" style="120" min="1" max="1"/>
    <col width="12.08984375" customWidth="1" style="120" min="2" max="2"/>
    <col width="11.36328125" customWidth="1" style="120" min="3" max="4"/>
    <col width="12.54296875" customWidth="1" style="120" min="5" max="5"/>
    <col width="14.7265625" customWidth="1" style="120" min="6" max="6"/>
    <col width="11.90625" customWidth="1" style="120" min="7" max="7"/>
    <col width="38.6328125" customWidth="1" style="120" min="12" max="12"/>
    <col width="15.453125" customWidth="1" style="120" min="14" max="14"/>
    <col width="23.6328125" customWidth="1" style="120" min="15" max="15"/>
    <col width="30.90625" customWidth="1" style="120" min="16" max="16"/>
  </cols>
  <sheetData>
    <row r="1" ht="23.5" customHeight="1" s="120">
      <c r="A1" s="101" t="inlineStr">
        <is>
          <t>Project Schedule &amp; EVM Curves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N1" s="45" t="inlineStr">
        <is>
          <t>Project Start</t>
        </is>
      </c>
      <c r="O1" s="280">
        <f>Control_Project_Start</f>
        <v/>
      </c>
    </row>
    <row r="2" ht="304.5" customHeight="1" s="120">
      <c r="A2" s="102" t="inlineStr">
        <is>
          <t>Gantt schedule is derived from baseline PV dates by WBS; the S-curve uses cumulative PV, actual cost, and earned value as of each weekly status date.</t>
        </is>
      </c>
      <c r="B2" s="102" t="n"/>
      <c r="C2" s="102" t="n"/>
      <c r="D2" s="102" t="n"/>
      <c r="E2" s="102" t="n"/>
      <c r="F2" s="102" t="n"/>
      <c r="G2" s="102" t="n"/>
      <c r="H2" s="102" t="n"/>
      <c r="I2" s="102" t="n"/>
      <c r="J2" s="102" t="n"/>
      <c r="K2" s="102" t="n"/>
      <c r="L2" s="102" t="n"/>
      <c r="N2" s="45" t="inlineStr">
        <is>
          <t>Project Finish</t>
        </is>
      </c>
      <c r="O2" s="280">
        <f>Control_Project_End</f>
        <v/>
      </c>
    </row>
    <row r="3">
      <c r="N3" s="45" t="inlineStr">
        <is>
          <t>Status Date</t>
        </is>
      </c>
      <c r="O3" s="280">
        <f>Control_Status_Date</f>
        <v/>
      </c>
    </row>
    <row r="4">
      <c r="A4" s="132" t="inlineStr">
        <is>
          <t>WBS ID</t>
        </is>
      </c>
      <c r="B4" s="126" t="inlineStr">
        <is>
          <t>Activity</t>
        </is>
      </c>
      <c r="C4" s="126" t="inlineStr">
        <is>
          <t>Start</t>
        </is>
      </c>
      <c r="D4" s="126" t="inlineStr">
        <is>
          <t>Finish</t>
        </is>
      </c>
      <c r="E4" s="126" t="inlineStr">
        <is>
          <t>Start Offset</t>
        </is>
      </c>
      <c r="F4" s="126" t="inlineStr">
        <is>
          <t>Duration Days</t>
        </is>
      </c>
      <c r="G4" s="126" t="inlineStr">
        <is>
          <t>Progress %</t>
        </is>
      </c>
      <c r="H4" s="133" t="inlineStr">
        <is>
          <t>RAG</t>
        </is>
      </c>
    </row>
    <row r="5">
      <c r="A5" s="130" t="inlineStr">
        <is>
          <t>WBS-01</t>
        </is>
      </c>
      <c r="B5" s="2" t="inlineStr">
        <is>
          <t>Project Management</t>
        </is>
      </c>
      <c r="C5" s="280" t="inlineStr">
        <is>
          <t>2026-05-04 00:00:00</t>
        </is>
      </c>
      <c r="D5" s="280" t="inlineStr">
        <is>
          <t>2026-07-26 00:00:00</t>
        </is>
      </c>
      <c r="E5" s="47" t="n">
        <v>0</v>
      </c>
      <c r="F5" s="47" t="n">
        <v>84</v>
      </c>
      <c r="G5" s="283" t="n">
        <v>0.5</v>
      </c>
      <c r="H5" s="131" t="inlineStr">
        <is>
          <t>Amber</t>
        </is>
      </c>
      <c r="N5" s="126" t="inlineStr">
        <is>
          <t>RAG Legend</t>
        </is>
      </c>
      <c r="O5" s="126" t="inlineStr">
        <is>
          <t>Rule</t>
        </is>
      </c>
      <c r="P5" s="126" t="inlineStr">
        <is>
          <t>Used in charts</t>
        </is>
      </c>
    </row>
    <row r="6">
      <c r="A6" s="130" t="inlineStr">
        <is>
          <t>WBS-02</t>
        </is>
      </c>
      <c r="B6" s="2" t="inlineStr">
        <is>
          <t>Site Survey &amp; Mobilization</t>
        </is>
      </c>
      <c r="C6" s="280" t="inlineStr">
        <is>
          <t>2026-05-04 00:00:00</t>
        </is>
      </c>
      <c r="D6" s="280" t="inlineStr">
        <is>
          <t>2026-05-10 00:00:00</t>
        </is>
      </c>
      <c r="E6" s="47" t="n">
        <v>0</v>
      </c>
      <c r="F6" s="47" t="n">
        <v>7</v>
      </c>
      <c r="G6" s="283" t="n">
        <v>1</v>
      </c>
      <c r="H6" s="131" t="inlineStr">
        <is>
          <t>Green</t>
        </is>
      </c>
      <c r="N6" s="65" t="inlineStr">
        <is>
          <t>Green</t>
        </is>
      </c>
      <c r="O6" s="7" t="inlineStr">
        <is>
          <t>Good / baseline target</t>
        </is>
      </c>
      <c r="P6" s="69" t="inlineStr">
        <is>
          <t>Gantt good bars; PV line</t>
        </is>
      </c>
    </row>
    <row r="7">
      <c r="A7" s="130" t="inlineStr">
        <is>
          <t>WBS-03</t>
        </is>
      </c>
      <c r="B7" s="2" t="inlineStr">
        <is>
          <t>Design &amp; Engineering</t>
        </is>
      </c>
      <c r="C7" s="280" t="inlineStr">
        <is>
          <t>2026-05-04 00:00:00</t>
        </is>
      </c>
      <c r="D7" s="280" t="inlineStr">
        <is>
          <t>2026-05-24 00:00:00</t>
        </is>
      </c>
      <c r="E7" s="47" t="n">
        <v>0</v>
      </c>
      <c r="F7" s="47" t="n">
        <v>21</v>
      </c>
      <c r="G7" s="283" t="n">
        <v>1</v>
      </c>
      <c r="H7" s="131" t="inlineStr">
        <is>
          <t>Green</t>
        </is>
      </c>
      <c r="N7" s="66" t="inlineStr">
        <is>
          <t>Amber</t>
        </is>
      </c>
      <c r="O7" s="7" t="inlineStr">
        <is>
          <t>Watch / earned progress</t>
        </is>
      </c>
      <c r="P7" s="69" t="inlineStr">
        <is>
          <t>Gantt watch bars; EV line</t>
        </is>
      </c>
    </row>
    <row r="8">
      <c r="A8" s="130" t="inlineStr">
        <is>
          <t>WBS-04</t>
        </is>
      </c>
      <c r="B8" s="2" t="inlineStr">
        <is>
          <t>Procurement - Materials</t>
        </is>
      </c>
      <c r="C8" s="280" t="inlineStr">
        <is>
          <t>2026-05-11 00:00:00</t>
        </is>
      </c>
      <c r="D8" s="280" t="inlineStr">
        <is>
          <t>2026-06-07 00:00:00</t>
        </is>
      </c>
      <c r="E8" s="47" t="n">
        <v>7</v>
      </c>
      <c r="F8" s="47" t="n">
        <v>28</v>
      </c>
      <c r="G8" s="283" t="n">
        <v>1</v>
      </c>
      <c r="H8" s="131" t="inlineStr">
        <is>
          <t>Green</t>
        </is>
      </c>
      <c r="N8" s="67" t="inlineStr">
        <is>
          <t>Red</t>
        </is>
      </c>
      <c r="O8" s="7" t="inlineStr">
        <is>
          <t>Action / cost exposure</t>
        </is>
      </c>
      <c r="P8" s="69" t="inlineStr">
        <is>
          <t>Gantt action bars; AC line</t>
        </is>
      </c>
    </row>
    <row r="9">
      <c r="A9" s="130" t="inlineStr">
        <is>
          <t>WBS-05</t>
        </is>
      </c>
      <c r="B9" s="2" t="inlineStr">
        <is>
          <t>Demolition &amp; Prep</t>
        </is>
      </c>
      <c r="C9" s="280" t="inlineStr">
        <is>
          <t>2026-05-11 00:00:00</t>
        </is>
      </c>
      <c r="D9" s="280" t="inlineStr">
        <is>
          <t>2026-05-31 00:00:00</t>
        </is>
      </c>
      <c r="E9" s="47" t="n">
        <v>7</v>
      </c>
      <c r="F9" s="47" t="n">
        <v>21</v>
      </c>
      <c r="G9" s="283" t="n">
        <v>1</v>
      </c>
      <c r="H9" s="131" t="inlineStr">
        <is>
          <t>Green</t>
        </is>
      </c>
      <c r="N9" s="68" t="inlineStr">
        <is>
          <t>White</t>
        </is>
      </c>
      <c r="O9" s="7" t="inlineStr">
        <is>
          <t>Hidden helper</t>
        </is>
      </c>
      <c r="P9" s="69" t="inlineStr">
        <is>
          <t>Gantt start-offset series</t>
        </is>
      </c>
    </row>
    <row r="10">
      <c r="A10" s="130" t="inlineStr">
        <is>
          <t>WBS-06</t>
        </is>
      </c>
      <c r="B10" s="2" t="inlineStr">
        <is>
          <t>Electrical Rough-In</t>
        </is>
      </c>
      <c r="C10" s="280" t="inlineStr">
        <is>
          <t>2026-05-25 00:00:00</t>
        </is>
      </c>
      <c r="D10" s="280" t="inlineStr">
        <is>
          <t>2026-06-14 00:00:00</t>
        </is>
      </c>
      <c r="E10" s="47" t="n">
        <v>21</v>
      </c>
      <c r="F10" s="47" t="n">
        <v>21</v>
      </c>
      <c r="G10" s="283" t="n">
        <v>0.7</v>
      </c>
      <c r="H10" s="131" t="inlineStr">
        <is>
          <t>Amber</t>
        </is>
      </c>
      <c r="N10" s="52" t="inlineStr">
        <is>
          <t>Red dotted</t>
        </is>
      </c>
      <c r="O10" s="51" t="inlineStr">
        <is>
          <t>Status date</t>
        </is>
      </c>
      <c r="P10" s="51" t="inlineStr">
        <is>
          <t>Vertical marker at 2026-06-30</t>
        </is>
      </c>
    </row>
    <row r="11">
      <c r="A11" s="130" t="inlineStr">
        <is>
          <t>WBS-07</t>
        </is>
      </c>
      <c r="B11" s="2" t="inlineStr">
        <is>
          <t>HVAC Installation</t>
        </is>
      </c>
      <c r="C11" s="280" t="inlineStr">
        <is>
          <t>2026-06-01 00:00:00</t>
        </is>
      </c>
      <c r="D11" s="280" t="inlineStr">
        <is>
          <t>2026-06-28 00:00:00</t>
        </is>
      </c>
      <c r="E11" s="47" t="n">
        <v>28</v>
      </c>
      <c r="F11" s="47" t="n">
        <v>28</v>
      </c>
      <c r="G11" s="283" t="n">
        <v>0.4</v>
      </c>
      <c r="H11" s="131" t="inlineStr">
        <is>
          <t>Red</t>
        </is>
      </c>
    </row>
    <row r="12">
      <c r="A12" s="130" t="inlineStr">
        <is>
          <t>WBS-08</t>
        </is>
      </c>
      <c r="B12" s="2" t="inlineStr">
        <is>
          <t>Partitions &amp; Drywall</t>
        </is>
      </c>
      <c r="C12" s="280" t="inlineStr">
        <is>
          <t>2026-06-08 00:00:00</t>
        </is>
      </c>
      <c r="D12" s="280" t="inlineStr">
        <is>
          <t>2026-07-05 00:00:00</t>
        </is>
      </c>
      <c r="E12" s="47" t="n">
        <v>35</v>
      </c>
      <c r="F12" s="47" t="n">
        <v>28</v>
      </c>
      <c r="G12" s="283" t="n">
        <v>0.248857</v>
      </c>
      <c r="H12" s="131" t="inlineStr">
        <is>
          <t>Red</t>
        </is>
      </c>
    </row>
    <row r="13">
      <c r="A13" s="130" t="inlineStr">
        <is>
          <t>WBS-09</t>
        </is>
      </c>
      <c r="B13" s="2" t="inlineStr">
        <is>
          <t>Flooring</t>
        </is>
      </c>
      <c r="C13" s="280" t="inlineStr">
        <is>
          <t>2026-06-22 00:00:00</t>
        </is>
      </c>
      <c r="D13" s="280" t="inlineStr">
        <is>
          <t>2026-07-12 00:00:00</t>
        </is>
      </c>
      <c r="E13" s="47" t="n">
        <v>49</v>
      </c>
      <c r="F13" s="47" t="n">
        <v>21</v>
      </c>
      <c r="G13" s="283" t="n">
        <v>0</v>
      </c>
      <c r="H13" s="131" t="inlineStr">
        <is>
          <t>Red</t>
        </is>
      </c>
    </row>
    <row r="14">
      <c r="A14" s="130" t="inlineStr">
        <is>
          <t>WBS-10</t>
        </is>
      </c>
      <c r="B14" s="2" t="inlineStr">
        <is>
          <t>Fixtures &amp; Furniture</t>
        </is>
      </c>
      <c r="C14" s="280" t="inlineStr">
        <is>
          <t>2026-06-29 00:00:00</t>
        </is>
      </c>
      <c r="D14" s="280" t="inlineStr">
        <is>
          <t>2026-07-19 00:00:00</t>
        </is>
      </c>
      <c r="E14" s="47" t="n">
        <v>56</v>
      </c>
      <c r="F14" s="47" t="n">
        <v>21</v>
      </c>
      <c r="G14" s="283" t="n">
        <v>0</v>
      </c>
      <c r="H14" s="131" t="inlineStr">
        <is>
          <t>Red</t>
        </is>
      </c>
    </row>
    <row r="15">
      <c r="A15" s="130" t="inlineStr">
        <is>
          <t>WBS-11</t>
        </is>
      </c>
      <c r="B15" s="2" t="inlineStr">
        <is>
          <t>Testing / Commissioning</t>
        </is>
      </c>
      <c r="C15" s="280" t="inlineStr">
        <is>
          <t>2026-07-13 00:00:00</t>
        </is>
      </c>
      <c r="D15" s="280" t="inlineStr">
        <is>
          <t>2026-07-26 00:00:00</t>
        </is>
      </c>
      <c r="E15" s="47" t="n">
        <v>70</v>
      </c>
      <c r="F15" s="47" t="n">
        <v>14</v>
      </c>
      <c r="G15" s="283" t="n">
        <v>0</v>
      </c>
      <c r="H15" s="131" t="inlineStr">
        <is>
          <t>Red</t>
        </is>
      </c>
    </row>
    <row r="16">
      <c r="A16" s="134" t="inlineStr">
        <is>
          <t>WBS-12</t>
        </is>
      </c>
      <c r="B16" s="135" t="inlineStr">
        <is>
          <t>Handover &amp; Closeout</t>
        </is>
      </c>
      <c r="C16" s="284" t="inlineStr">
        <is>
          <t>2026-07-20 00:00:00</t>
        </is>
      </c>
      <c r="D16" s="284" t="inlineStr">
        <is>
          <t>2026-07-26 00:00:00</t>
        </is>
      </c>
      <c r="E16" s="158" t="n">
        <v>77</v>
      </c>
      <c r="F16" s="158" t="n">
        <v>7</v>
      </c>
      <c r="G16" s="285" t="n">
        <v>0</v>
      </c>
      <c r="H16" s="136" t="inlineStr">
        <is>
          <t>Red</t>
        </is>
      </c>
    </row>
    <row r="23">
      <c r="A23" s="132" t="inlineStr">
        <is>
          <t>Week</t>
        </is>
      </c>
      <c r="B23" s="126" t="inlineStr">
        <is>
          <t>Week Date</t>
        </is>
      </c>
      <c r="C23" s="126" t="inlineStr">
        <is>
          <t>Cum PV</t>
        </is>
      </c>
      <c r="D23" s="126" t="inlineStr">
        <is>
          <t>Cum AC</t>
        </is>
      </c>
      <c r="E23" s="126" t="inlineStr">
        <is>
          <t>Cum EV</t>
        </is>
      </c>
      <c r="F23" s="126" t="inlineStr">
        <is>
          <t>CPI</t>
        </is>
      </c>
      <c r="G23" s="133" t="inlineStr">
        <is>
          <t>SPI</t>
        </is>
      </c>
      <c r="H23" t="inlineStr">
        <is>
          <t>CV</t>
        </is>
      </c>
      <c r="I23" t="inlineStr">
        <is>
          <t>SV</t>
        </is>
      </c>
    </row>
    <row r="24">
      <c r="A24" s="130" t="n">
        <v>1</v>
      </c>
      <c r="B24" s="280" t="inlineStr">
        <is>
          <t>2026-05-08 00:00:00</t>
        </is>
      </c>
      <c r="C24" s="49" t="n">
        <v>16400</v>
      </c>
      <c r="D24" s="49" t="n">
        <v>16295.04</v>
      </c>
      <c r="E24" s="49" t="n">
        <v>15087.994</v>
      </c>
      <c r="F24" s="50" t="n">
        <v>0.925925557715722</v>
      </c>
      <c r="G24" s="151" t="n">
        <v>0.9199996341463414</v>
      </c>
      <c r="H24">
        <f>E24-D24</f>
        <v/>
      </c>
      <c r="I24">
        <f>E24-C24</f>
        <v/>
      </c>
    </row>
    <row r="25">
      <c r="A25" s="130" t="n">
        <v>2</v>
      </c>
      <c r="B25" s="280" t="inlineStr">
        <is>
          <t>2026-05-15 00:00:00</t>
        </is>
      </c>
      <c r="C25" s="49" t="n">
        <v>39200</v>
      </c>
      <c r="D25" s="49" t="n">
        <v>38949.12</v>
      </c>
      <c r="E25" s="49" t="n">
        <v>36064.0036</v>
      </c>
      <c r="F25" s="50" t="n">
        <v>0.9259260183542016</v>
      </c>
      <c r="G25" s="151" t="n">
        <v>0.9200000918367348</v>
      </c>
      <c r="H25">
        <f>E25-D25</f>
        <v/>
      </c>
      <c r="I25">
        <f>E25-C25</f>
        <v/>
      </c>
    </row>
    <row r="26">
      <c r="A26" s="130" t="n">
        <v>3</v>
      </c>
      <c r="B26" s="280" t="inlineStr">
        <is>
          <t>2026-05-22 00:00:00</t>
        </is>
      </c>
      <c r="C26" s="49" t="n">
        <v>62000</v>
      </c>
      <c r="D26" s="49" t="n">
        <v>61603.2</v>
      </c>
      <c r="E26" s="49" t="n">
        <v>57040</v>
      </c>
      <c r="F26" s="50" t="n">
        <v>0.9259259259259258</v>
      </c>
      <c r="G26" s="151" t="n">
        <v>0.92</v>
      </c>
      <c r="H26">
        <f>E26-D26</f>
        <v/>
      </c>
      <c r="I26">
        <f>E26-C26</f>
        <v/>
      </c>
    </row>
    <row r="27">
      <c r="A27" s="130" t="n">
        <v>4</v>
      </c>
      <c r="B27" s="280" t="inlineStr">
        <is>
          <t>2026-05-29 00:00:00</t>
        </is>
      </c>
      <c r="C27" s="49" t="n">
        <v>87066.67</v>
      </c>
      <c r="D27" s="49" t="n">
        <v>86509.44000000002</v>
      </c>
      <c r="E27" s="49" t="n">
        <v>80101.32799999999</v>
      </c>
      <c r="F27" s="50" t="n">
        <v>0.925925864275621</v>
      </c>
      <c r="G27" s="151" t="n">
        <v>0.9199999035222088</v>
      </c>
      <c r="H27">
        <f>E27-D27</f>
        <v/>
      </c>
      <c r="I27">
        <f>E27-C27</f>
        <v/>
      </c>
    </row>
    <row r="28">
      <c r="A28" s="130" t="n">
        <v>5</v>
      </c>
      <c r="B28" s="280" t="inlineStr">
        <is>
          <t>2026-06-05 00:00:00</t>
        </is>
      </c>
      <c r="C28" s="49" t="n">
        <v>116733.34</v>
      </c>
      <c r="D28" s="49" t="n">
        <v>115986.24</v>
      </c>
      <c r="E28" s="49" t="n">
        <v>107394.674</v>
      </c>
      <c r="F28" s="50" t="n">
        <v>0.9259259891518165</v>
      </c>
      <c r="G28" s="151" t="n">
        <v>0.9200000102798396</v>
      </c>
      <c r="H28">
        <f>E28-D28</f>
        <v/>
      </c>
      <c r="I28">
        <f>E28-C28</f>
        <v/>
      </c>
    </row>
    <row r="29">
      <c r="A29" s="130" t="n">
        <v>6</v>
      </c>
      <c r="B29" s="280" t="inlineStr">
        <is>
          <t>2026-06-12 00:00:00</t>
        </is>
      </c>
      <c r="C29" s="49" t="n">
        <v>142900</v>
      </c>
      <c r="D29" s="49" t="n">
        <v>141985.44</v>
      </c>
      <c r="E29" s="49" t="n">
        <v>131467.996</v>
      </c>
      <c r="F29" s="50" t="n">
        <v>0.9259258977540233</v>
      </c>
      <c r="G29" s="151" t="n">
        <v>0.9199999720083976</v>
      </c>
      <c r="H29">
        <f>E29-D29</f>
        <v/>
      </c>
      <c r="I29">
        <f>E29-C29</f>
        <v/>
      </c>
    </row>
    <row r="30">
      <c r="A30" s="130" t="n">
        <v>7</v>
      </c>
      <c r="B30" s="280" t="inlineStr">
        <is>
          <t>2026-06-19 00:00:00</t>
        </is>
      </c>
      <c r="C30" s="49" t="n">
        <v>160400</v>
      </c>
      <c r="D30" s="49" t="n">
        <v>141985.44</v>
      </c>
      <c r="E30" s="49" t="n">
        <v>131467.996</v>
      </c>
      <c r="F30" s="50" t="n">
        <v>0.9259258977540233</v>
      </c>
      <c r="G30" s="151" t="n">
        <v>0.819625910224439</v>
      </c>
      <c r="H30">
        <f>E30-D30</f>
        <v/>
      </c>
      <c r="I30">
        <f>E30-C30</f>
        <v/>
      </c>
    </row>
    <row r="31">
      <c r="A31" s="130" t="n">
        <v>8</v>
      </c>
      <c r="B31" s="280" t="inlineStr">
        <is>
          <t>2026-06-26 00:00:00</t>
        </is>
      </c>
      <c r="C31" s="49" t="n">
        <v>189816.67</v>
      </c>
      <c r="D31" s="49" t="n">
        <v>141985.44</v>
      </c>
      <c r="E31" s="49" t="n">
        <v>131467.996</v>
      </c>
      <c r="F31" s="50" t="n">
        <v>0.9259258977540233</v>
      </c>
      <c r="G31" s="151" t="n">
        <v>0.6926051120799875</v>
      </c>
      <c r="H31">
        <f>E31-D31</f>
        <v/>
      </c>
      <c r="I31">
        <f>E31-C31</f>
        <v/>
      </c>
    </row>
    <row r="32">
      <c r="A32" s="130" t="n">
        <v>9</v>
      </c>
      <c r="B32" s="280" t="inlineStr">
        <is>
          <t>2026-07-03 00:00:00</t>
        </is>
      </c>
      <c r="C32" s="49" t="n">
        <v>220233.34</v>
      </c>
      <c r="D32" s="49" t="n">
        <v>141985.44</v>
      </c>
      <c r="E32" s="49" t="n">
        <v>131467.996</v>
      </c>
      <c r="F32" s="50" t="n">
        <v>0.9259258977540233</v>
      </c>
      <c r="G32" s="151" t="n">
        <v>0.5969486545497608</v>
      </c>
      <c r="H32">
        <f>E32-D32</f>
        <v/>
      </c>
      <c r="I32">
        <f>E32-C32</f>
        <v/>
      </c>
    </row>
    <row r="33">
      <c r="A33" s="130" t="n">
        <v>10</v>
      </c>
      <c r="B33" s="280" t="inlineStr">
        <is>
          <t>2026-07-10 00:00:00</t>
        </is>
      </c>
      <c r="C33" s="49" t="n">
        <v>243650</v>
      </c>
      <c r="D33" s="49" t="n">
        <v>141985.44</v>
      </c>
      <c r="E33" s="49" t="n">
        <v>131467.996</v>
      </c>
      <c r="F33" s="50" t="n">
        <v>0.9259258977540233</v>
      </c>
      <c r="G33" s="151" t="n">
        <v>0.5395772460496614</v>
      </c>
      <c r="H33">
        <f>E33-D33</f>
        <v/>
      </c>
      <c r="I33">
        <f>E33-C33</f>
        <v/>
      </c>
    </row>
    <row r="34">
      <c r="A34" s="130" t="n">
        <v>11</v>
      </c>
      <c r="B34" s="280" t="inlineStr">
        <is>
          <t>2026-07-17 00:00:00</t>
        </is>
      </c>
      <c r="C34" s="49" t="n">
        <v>259350</v>
      </c>
      <c r="D34" s="49" t="n">
        <v>141985.44</v>
      </c>
      <c r="E34" s="49" t="n">
        <v>131467.996</v>
      </c>
      <c r="F34" s="50" t="n">
        <v>0.9259258977540233</v>
      </c>
      <c r="G34" s="151" t="n">
        <v>0.50691342201658</v>
      </c>
      <c r="H34">
        <f>E34-D34</f>
        <v/>
      </c>
      <c r="I34">
        <f>E34-C34</f>
        <v/>
      </c>
    </row>
    <row r="35">
      <c r="A35" s="134" t="n">
        <v>12</v>
      </c>
      <c r="B35" s="284" t="inlineStr">
        <is>
          <t>2026-07-24 00:00:00</t>
        </is>
      </c>
      <c r="C35" s="142" t="n">
        <v>268650</v>
      </c>
      <c r="D35" s="142" t="n">
        <v>141985.44</v>
      </c>
      <c r="E35" s="142" t="n">
        <v>131467.996</v>
      </c>
      <c r="F35" s="160" t="n">
        <v>0.9259258977540233</v>
      </c>
      <c r="G35" s="152" t="n">
        <v>0.4893653303554812</v>
      </c>
      <c r="H35">
        <f>E35-D35</f>
        <v/>
      </c>
      <c r="I35">
        <f>E35-C35</f>
        <v/>
      </c>
    </row>
  </sheetData>
  <conditionalFormatting sqref="F24:G35">
    <cfRule type="cellIs" priority="4" operator="lessThan" dxfId="51">
      <formula>0.95</formula>
    </cfRule>
    <cfRule type="cellIs" priority="5" operator="between" dxfId="52">
      <formula>0.95</formula>
      <formula>0.999999</formula>
    </cfRule>
    <cfRule type="cellIs" priority="6" operator="greaterThanOrEqual" dxfId="53">
      <formula>1</formula>
    </cfRule>
  </conditionalFormatting>
  <conditionalFormatting sqref="G5:G16">
    <cfRule type="cellIs" priority="1" operator="lessThan" dxfId="51">
      <formula>0.5</formula>
    </cfRule>
    <cfRule type="cellIs" priority="2" operator="between" dxfId="52">
      <formula>0.5</formula>
      <formula>0.799999</formula>
    </cfRule>
    <cfRule type="cellIs" priority="3" operator="greaterThanOrEqual" dxfId="53">
      <formula>0.8</formula>
    </cfRule>
  </conditionalFormatting>
  <conditionalFormatting sqref="H5:H16">
    <cfRule type="expression" priority="13" dxfId="35">
      <formula>ISNUMBER(SEARCH("Red",H5))</formula>
    </cfRule>
    <cfRule type="expression" priority="14" dxfId="34">
      <formula>ISNUMBER(SEARCH("Amber",H5))</formula>
    </cfRule>
    <cfRule type="expression" priority="15" dxfId="33">
      <formula>ISNUMBER(SEARCH("Green",H5))</formula>
    </cfRule>
  </conditionalFormatting>
  <conditionalFormatting sqref="N6:N10">
    <cfRule type="expression" priority="16" dxfId="35">
      <formula>ISNUMBER(SEARCH("Red",N6))</formula>
    </cfRule>
    <cfRule type="expression" priority="17" dxfId="34">
      <formula>ISNUMBER(SEARCH("Amber",N6))</formula>
    </cfRule>
    <cfRule type="expression" priority="18" dxfId="33">
      <formula>ISNUMBER(SEARCH("Green",N6))</formula>
    </cfRule>
  </conditionalFormatting>
  <pageMargins left="0.7" right="0.7" top="0.75" bottom="0.75" header="0.3" footer="0.3"/>
  <drawing xmlns:r="http://schemas.openxmlformats.org/officeDocument/2006/relationships" r:id="rId1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4.xml><?xml version="1.0" encoding="utf-8"?>
<worksheet xmlns="http://schemas.openxmlformats.org/spreadsheetml/2006/main">
  <sheetPr>
    <tabColor rgb="FF70AD47"/>
    <outlinePr summaryBelow="1" summaryRight="1"/>
    <pageSetUpPr/>
  </sheetPr>
  <dimension ref="A1:AH66"/>
  <sheetViews>
    <sheetView showGridLines="0" workbookViewId="0">
      <selection activeCell="Q1" sqref="Q1"/>
    </sheetView>
  </sheetViews>
  <sheetFormatPr baseColWidth="8" defaultRowHeight="14.5"/>
  <cols>
    <col width="30.90625" customWidth="1" style="120" min="1" max="1"/>
    <col width="17.26953125" customWidth="1" style="120" min="2" max="2"/>
    <col width="13.1796875" customWidth="1" style="120" min="3" max="3"/>
    <col width="13.08984375" customWidth="1" style="120" min="4" max="4"/>
    <col width="13.7265625" customWidth="1" style="120" min="5" max="5"/>
    <col width="13" customWidth="1" style="120" min="6" max="6"/>
    <col width="10" customWidth="1" style="120" min="7" max="14"/>
    <col width="13.6328125" customWidth="1" style="120" min="15" max="15"/>
  </cols>
  <sheetData>
    <row r="1" ht="23.5" customHeight="1" s="120">
      <c r="A1" s="101" t="inlineStr">
        <is>
          <t>Gantt Model — Office Fit-Out</t>
        </is>
      </c>
      <c r="AA1" s="101" t="n"/>
      <c r="AB1" s="101" t="n"/>
      <c r="AC1" s="101" t="n"/>
      <c r="AD1" s="101" t="n"/>
      <c r="AE1" s="101" t="n"/>
      <c r="AF1" s="101" t="n"/>
      <c r="AG1" s="101" t="n"/>
      <c r="AH1" s="101" t="n"/>
    </row>
    <row r="2">
      <c r="A2" s="102" t="inlineStr">
        <is>
          <t>Adapted from the attached Garden Office Gantt template. This sheet is populated from the current workbook WBS, baseline PV, actual cost, actual hours, progress, CPI/RAG status, and status date.</t>
        </is>
      </c>
      <c r="AA2" s="102" t="n"/>
      <c r="AB2" s="102" t="n"/>
      <c r="AC2" s="102" t="n"/>
      <c r="AD2" s="102" t="n"/>
      <c r="AE2" s="102" t="n"/>
      <c r="AF2" s="102" t="n"/>
      <c r="AG2" s="102" t="n"/>
      <c r="AH2" s="102" t="n"/>
    </row>
    <row r="4">
      <c r="A4" s="105" t="inlineStr">
        <is>
          <t>Project controls and model mapping</t>
        </is>
      </c>
      <c r="B4" s="273" t="n"/>
      <c r="C4" s="273" t="n"/>
      <c r="D4" s="273" t="n"/>
      <c r="E4" s="273" t="n"/>
      <c r="F4" s="273" t="n"/>
      <c r="G4" s="273" t="n"/>
      <c r="H4" s="273" t="n"/>
      <c r="I4" s="273" t="n"/>
      <c r="J4" s="273" t="n"/>
      <c r="K4" s="273" t="n"/>
      <c r="L4" s="273" t="n"/>
      <c r="M4" s="273" t="n"/>
      <c r="N4" s="273" t="n"/>
      <c r="O4" s="130" t="n"/>
    </row>
    <row r="5">
      <c r="A5" s="45" t="inlineStr">
        <is>
          <t>Project</t>
        </is>
      </c>
      <c r="B5" s="45">
        <f>Control_Project_Name</f>
        <v/>
      </c>
      <c r="C5" s="45" t="inlineStr">
        <is>
          <t>Project Start</t>
        </is>
      </c>
      <c r="D5" s="302">
        <f>Control_Project_Start</f>
        <v/>
      </c>
      <c r="E5" s="302" t="inlineStr">
        <is>
          <t>Project End</t>
        </is>
      </c>
      <c r="F5" s="302">
        <f>Control_Project_End</f>
        <v/>
      </c>
      <c r="G5" s="302" t="inlineStr">
        <is>
          <t>Status Date</t>
        </is>
      </c>
      <c r="H5" s="302">
        <f>Control_Status_Date</f>
        <v/>
      </c>
      <c r="I5" s="45" t="inlineStr">
        <is>
          <t>BAC</t>
        </is>
      </c>
      <c r="J5" s="45" t="inlineStr">
        <is>
          <t>268,650.00 NOK</t>
        </is>
      </c>
      <c r="K5" s="45" t="inlineStr">
        <is>
          <t>Source</t>
        </is>
      </c>
      <c r="L5" s="45" t="inlineStr">
        <is>
          <t>Current workbook</t>
        </is>
      </c>
      <c r="M5" s="45" t="n"/>
      <c r="N5" s="45" t="n"/>
      <c r="O5" s="45" t="n"/>
    </row>
    <row r="6">
      <c r="A6" s="221" t="inlineStr">
        <is>
          <t>Template element</t>
        </is>
      </c>
      <c r="B6" s="222" t="inlineStr">
        <is>
          <t>Implemented as</t>
        </is>
      </c>
      <c r="C6" s="222" t="inlineStr">
        <is>
          <t>Source table</t>
        </is>
      </c>
      <c r="D6" s="222" t="inlineStr">
        <is>
          <t>Meaning</t>
        </is>
      </c>
      <c r="E6" s="223" t="inlineStr">
        <is>
          <t>Classification</t>
        </is>
      </c>
      <c r="F6" s="74" t="n"/>
      <c r="G6" s="74" t="n"/>
      <c r="H6" s="74" t="n"/>
      <c r="I6" s="74" t="n"/>
      <c r="J6" s="74" t="n"/>
      <c r="K6" s="74" t="n"/>
      <c r="L6" s="74" t="n"/>
      <c r="M6" s="74" t="n"/>
      <c r="N6" s="74" t="n"/>
      <c r="O6" s="74" t="n"/>
    </row>
    <row r="7" ht="14" customHeight="1" s="120">
      <c r="A7" s="130" t="inlineStr">
        <is>
          <t>My hours</t>
        </is>
      </c>
      <c r="B7" s="2" t="inlineStr">
        <is>
          <t>Weekly hours grid</t>
        </is>
      </c>
      <c r="C7" s="2" t="inlineStr">
        <is>
          <t>Fact_Actual_Costs[Hours_Worked]</t>
        </is>
      </c>
      <c r="D7" s="99" t="inlineStr">
        <is>
          <t>Actual hours by WBS and week; o = planned week with no actual hours yet.</t>
        </is>
      </c>
      <c r="E7" s="131" t="inlineStr">
        <is>
          <t>Control</t>
        </is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 ht="10" customHeight="1" s="120">
      <c r="A8" s="134" t="inlineStr">
        <is>
          <t>Total costs</t>
        </is>
      </c>
      <c r="B8" s="135" t="inlineStr">
        <is>
          <t>Weekly cost grid</t>
        </is>
      </c>
      <c r="C8" s="135" t="inlineStr">
        <is>
          <t>Fact_Actual_Costs[Actual_Cost]</t>
        </is>
      </c>
      <c r="D8" s="127" t="inlineStr">
        <is>
          <t>Actual cost by WBS and week; o = planned week with no actual cost yet.</t>
        </is>
      </c>
      <c r="E8" s="136" t="inlineStr">
        <is>
          <t>Control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10">
      <c r="A10" s="105" t="inlineStr">
        <is>
          <t>My hours — current project actual hours by WBS / week</t>
        </is>
      </c>
      <c r="B10" s="273" t="n"/>
      <c r="C10" s="273" t="n"/>
      <c r="D10" s="273" t="n"/>
      <c r="E10" s="273" t="n"/>
      <c r="F10" s="273" t="n"/>
      <c r="G10" s="273" t="n"/>
      <c r="H10" s="273" t="n"/>
      <c r="I10" s="273" t="n"/>
      <c r="J10" s="273" t="n"/>
      <c r="K10" s="273" t="n"/>
      <c r="L10" s="273" t="n"/>
      <c r="M10" s="273" t="n"/>
      <c r="N10" s="273" t="n"/>
      <c r="O10" s="130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</row>
    <row r="11">
      <c r="A11" s="45" t="inlineStr">
        <is>
          <t>Task</t>
        </is>
      </c>
      <c r="B11" s="45" t="inlineStr">
        <is>
          <t>Role / Type</t>
        </is>
      </c>
      <c r="C11" s="302" t="n">
        <v>46146</v>
      </c>
      <c r="D11" s="302" t="n">
        <v>46153</v>
      </c>
      <c r="E11" s="302" t="n">
        <v>46160</v>
      </c>
      <c r="F11" s="302" t="n">
        <v>46167</v>
      </c>
      <c r="G11" s="302" t="n">
        <v>46174</v>
      </c>
      <c r="H11" s="302" t="n">
        <v>46181</v>
      </c>
      <c r="I11" s="302" t="n">
        <v>46188</v>
      </c>
      <c r="J11" s="302" t="n">
        <v>46195</v>
      </c>
      <c r="K11" s="303" t="n">
        <v>46202</v>
      </c>
      <c r="L11" s="302" t="n">
        <v>46209</v>
      </c>
      <c r="M11" s="302" t="n">
        <v>46216</v>
      </c>
      <c r="N11" s="302" t="n">
        <v>46223</v>
      </c>
      <c r="O11" s="45" t="inlineStr">
        <is>
          <t>Total</t>
        </is>
      </c>
    </row>
    <row r="12">
      <c r="A12" s="45" t="n"/>
      <c r="B12" s="45" t="n"/>
      <c r="C12" s="45" t="n">
        <v>1</v>
      </c>
      <c r="D12" s="45" t="n">
        <v>2</v>
      </c>
      <c r="E12" s="45" t="n">
        <v>3</v>
      </c>
      <c r="F12" s="45" t="n">
        <v>4</v>
      </c>
      <c r="G12" s="45" t="n">
        <v>5</v>
      </c>
      <c r="H12" s="45" t="n">
        <v>6</v>
      </c>
      <c r="I12" s="45" t="n">
        <v>7</v>
      </c>
      <c r="J12" s="45" t="n">
        <v>8</v>
      </c>
      <c r="K12" s="95" t="n">
        <v>9</v>
      </c>
      <c r="L12" s="45" t="n">
        <v>10</v>
      </c>
      <c r="M12" s="45" t="n">
        <v>11</v>
      </c>
      <c r="N12" s="45" t="n">
        <v>12</v>
      </c>
      <c r="O12" s="45" t="n"/>
    </row>
    <row r="13">
      <c r="A13" s="9" t="inlineStr">
        <is>
          <t>Project Management</t>
        </is>
      </c>
      <c r="B13" s="9" t="inlineStr">
        <is>
          <t>Labor</t>
        </is>
      </c>
      <c r="C13" s="50" t="n">
        <v>1.05</v>
      </c>
      <c r="D13" s="50" t="n">
        <v>1.05</v>
      </c>
      <c r="E13" s="50" t="n">
        <v>1.05</v>
      </c>
      <c r="F13" s="50" t="n">
        <v>1.05</v>
      </c>
      <c r="G13" s="50" t="n">
        <v>1.05</v>
      </c>
      <c r="H13" s="50" t="n">
        <v>1.05</v>
      </c>
      <c r="I13" s="50" t="inlineStr">
        <is>
          <t>o</t>
        </is>
      </c>
      <c r="J13" s="50" t="inlineStr">
        <is>
          <t>o</t>
        </is>
      </c>
      <c r="K13" s="90" t="inlineStr">
        <is>
          <t>o</t>
        </is>
      </c>
      <c r="L13" s="50" t="inlineStr">
        <is>
          <t>o</t>
        </is>
      </c>
      <c r="M13" s="50" t="inlineStr">
        <is>
          <t>o</t>
        </is>
      </c>
      <c r="N13" s="50" t="inlineStr">
        <is>
          <t>o</t>
        </is>
      </c>
      <c r="O13" s="86" t="n">
        <v>6.3</v>
      </c>
    </row>
    <row r="14">
      <c r="A14" s="9" t="inlineStr">
        <is>
          <t>Site Survey &amp; Mobilization</t>
        </is>
      </c>
      <c r="B14" s="9" t="inlineStr">
        <is>
          <t>Labor</t>
        </is>
      </c>
      <c r="C14" s="50" t="n">
        <v>3.95</v>
      </c>
      <c r="D14" s="50" t="n"/>
      <c r="E14" s="50" t="n"/>
      <c r="F14" s="50" t="n"/>
      <c r="G14" s="50" t="n"/>
      <c r="H14" s="50" t="n"/>
      <c r="I14" s="50" t="n"/>
      <c r="J14" s="50" t="n"/>
      <c r="K14" s="90" t="n"/>
      <c r="L14" s="50" t="n"/>
      <c r="M14" s="50" t="n"/>
      <c r="N14" s="50" t="n"/>
      <c r="O14" s="86" t="n">
        <v>3.95</v>
      </c>
    </row>
    <row r="15">
      <c r="A15" s="6" t="inlineStr">
        <is>
          <t>Design &amp; Engineering</t>
        </is>
      </c>
      <c r="B15" s="6" t="inlineStr">
        <is>
          <t>Labor</t>
        </is>
      </c>
      <c r="C15" s="50" t="n">
        <v>2.5</v>
      </c>
      <c r="D15" s="50" t="n">
        <v>2.5</v>
      </c>
      <c r="E15" s="50" t="n">
        <v>2.6</v>
      </c>
      <c r="F15" s="50" t="n"/>
      <c r="G15" s="50" t="n"/>
      <c r="H15" s="50" t="n"/>
      <c r="I15" s="50" t="n"/>
      <c r="J15" s="50" t="n"/>
      <c r="K15" s="90" t="n"/>
      <c r="L15" s="50" t="n"/>
      <c r="M15" s="50" t="n"/>
      <c r="N15" s="50" t="n"/>
      <c r="O15" s="88" t="n">
        <v>7.6</v>
      </c>
    </row>
    <row r="16">
      <c r="A16" s="6" t="inlineStr">
        <is>
          <t>Procurement - Materials</t>
        </is>
      </c>
      <c r="B16" s="6" t="inlineStr">
        <is>
          <t>Material</t>
        </is>
      </c>
      <c r="C16" s="50" t="n"/>
      <c r="D16" s="50" t="inlineStr">
        <is>
          <t>o</t>
        </is>
      </c>
      <c r="E16" s="50" t="inlineStr">
        <is>
          <t>o</t>
        </is>
      </c>
      <c r="F16" s="50" t="inlineStr">
        <is>
          <t>o</t>
        </is>
      </c>
      <c r="G16" s="50" t="inlineStr">
        <is>
          <t>o</t>
        </is>
      </c>
      <c r="H16" s="50" t="n"/>
      <c r="I16" s="50" t="n"/>
      <c r="J16" s="50" t="n"/>
      <c r="K16" s="90" t="n"/>
      <c r="L16" s="50" t="n"/>
      <c r="M16" s="50" t="n"/>
      <c r="N16" s="50" t="n"/>
      <c r="O16" s="88" t="n">
        <v>0</v>
      </c>
    </row>
    <row r="17">
      <c r="A17" s="9" t="inlineStr">
        <is>
          <t>Demolition &amp; Prep</t>
        </is>
      </c>
      <c r="B17" s="9" t="inlineStr">
        <is>
          <t>Labor</t>
        </is>
      </c>
      <c r="C17" s="50" t="n"/>
      <c r="D17" s="50" t="n">
        <v>2.05</v>
      </c>
      <c r="E17" s="50" t="n">
        <v>2.1</v>
      </c>
      <c r="F17" s="50" t="n">
        <v>1.9</v>
      </c>
      <c r="G17" s="50" t="n"/>
      <c r="H17" s="50" t="n"/>
      <c r="I17" s="50" t="n"/>
      <c r="J17" s="50" t="n"/>
      <c r="K17" s="90" t="n"/>
      <c r="L17" s="50" t="n"/>
      <c r="M17" s="50" t="n"/>
      <c r="N17" s="50" t="n"/>
      <c r="O17" s="86" t="n">
        <v>6.05</v>
      </c>
    </row>
    <row r="18">
      <c r="A18" s="9" t="inlineStr">
        <is>
          <t>Electrical Rough-In</t>
        </is>
      </c>
      <c r="B18" s="9" t="inlineStr">
        <is>
          <t>Labor</t>
        </is>
      </c>
      <c r="C18" s="50" t="n"/>
      <c r="D18" s="50" t="n"/>
      <c r="E18" s="50" t="n"/>
      <c r="F18" s="50" t="n">
        <v>3.45</v>
      </c>
      <c r="G18" s="50" t="n">
        <v>3.4</v>
      </c>
      <c r="H18" s="50" t="n">
        <v>3.25</v>
      </c>
      <c r="I18" s="50" t="n"/>
      <c r="J18" s="50" t="n"/>
      <c r="K18" s="90" t="n"/>
      <c r="L18" s="50" t="n"/>
      <c r="M18" s="50" t="n"/>
      <c r="N18" s="50" t="n"/>
      <c r="O18" s="86" t="n">
        <v>10.1</v>
      </c>
    </row>
    <row r="19">
      <c r="A19" s="9" t="inlineStr">
        <is>
          <t>HVAC Installation</t>
        </is>
      </c>
      <c r="B19" s="9" t="inlineStr">
        <is>
          <t>Subcontractor</t>
        </is>
      </c>
      <c r="C19" s="50" t="n"/>
      <c r="D19" s="50" t="n"/>
      <c r="E19" s="50" t="n"/>
      <c r="F19" s="50" t="n"/>
      <c r="G19" s="50" t="inlineStr">
        <is>
          <t>o</t>
        </is>
      </c>
      <c r="H19" s="50" t="inlineStr">
        <is>
          <t>o</t>
        </is>
      </c>
      <c r="I19" s="50" t="inlineStr">
        <is>
          <t>o</t>
        </is>
      </c>
      <c r="J19" s="50" t="inlineStr">
        <is>
          <t>o</t>
        </is>
      </c>
      <c r="K19" s="90" t="n"/>
      <c r="L19" s="50" t="n"/>
      <c r="M19" s="50" t="n"/>
      <c r="N19" s="50" t="n"/>
      <c r="O19" s="86" t="n">
        <v>0</v>
      </c>
    </row>
    <row r="20">
      <c r="A20" s="9" t="inlineStr">
        <is>
          <t>Partitions &amp; Drywall</t>
        </is>
      </c>
      <c r="B20" s="9" t="inlineStr">
        <is>
          <t>Subcontractor</t>
        </is>
      </c>
      <c r="C20" s="50" t="n"/>
      <c r="D20" s="50" t="n"/>
      <c r="E20" s="50" t="n"/>
      <c r="F20" s="50" t="n"/>
      <c r="G20" s="50" t="n"/>
      <c r="H20" s="50" t="inlineStr">
        <is>
          <t>o</t>
        </is>
      </c>
      <c r="I20" s="50" t="inlineStr">
        <is>
          <t>o</t>
        </is>
      </c>
      <c r="J20" s="50" t="inlineStr">
        <is>
          <t>o</t>
        </is>
      </c>
      <c r="K20" s="90" t="inlineStr">
        <is>
          <t>o</t>
        </is>
      </c>
      <c r="L20" s="50" t="n"/>
      <c r="M20" s="50" t="n"/>
      <c r="N20" s="50" t="n"/>
      <c r="O20" s="86" t="n">
        <v>0</v>
      </c>
    </row>
    <row r="21">
      <c r="A21" s="9" t="inlineStr">
        <is>
          <t>Flooring</t>
        </is>
      </c>
      <c r="B21" s="9" t="inlineStr">
        <is>
          <t>Material</t>
        </is>
      </c>
      <c r="C21" s="50" t="n"/>
      <c r="D21" s="50" t="n"/>
      <c r="E21" s="50" t="n"/>
      <c r="F21" s="50" t="n"/>
      <c r="G21" s="50" t="n"/>
      <c r="H21" s="50" t="n"/>
      <c r="I21" s="50" t="n"/>
      <c r="J21" s="50" t="inlineStr">
        <is>
          <t>o</t>
        </is>
      </c>
      <c r="K21" s="90" t="inlineStr">
        <is>
          <t>o</t>
        </is>
      </c>
      <c r="L21" s="50" t="inlineStr">
        <is>
          <t>o</t>
        </is>
      </c>
      <c r="M21" s="50" t="n"/>
      <c r="N21" s="50" t="n"/>
      <c r="O21" s="86" t="n">
        <v>0</v>
      </c>
    </row>
    <row r="22">
      <c r="A22" s="9" t="inlineStr">
        <is>
          <t>Fixtures &amp; Furniture</t>
        </is>
      </c>
      <c r="B22" s="9" t="inlineStr">
        <is>
          <t>Material</t>
        </is>
      </c>
      <c r="C22" s="50" t="n"/>
      <c r="D22" s="50" t="n"/>
      <c r="E22" s="50" t="n"/>
      <c r="F22" s="50" t="n"/>
      <c r="G22" s="50" t="n"/>
      <c r="H22" s="50" t="n"/>
      <c r="I22" s="50" t="n"/>
      <c r="J22" s="50" t="n"/>
      <c r="K22" s="90" t="inlineStr">
        <is>
          <t>o</t>
        </is>
      </c>
      <c r="L22" s="50" t="inlineStr">
        <is>
          <t>o</t>
        </is>
      </c>
      <c r="M22" s="50" t="inlineStr">
        <is>
          <t>o</t>
        </is>
      </c>
      <c r="N22" s="50" t="n"/>
      <c r="O22" s="86" t="n">
        <v>0</v>
      </c>
    </row>
    <row r="23">
      <c r="A23" s="6" t="inlineStr">
        <is>
          <t>Testing / Commissioning</t>
        </is>
      </c>
      <c r="B23" s="6" t="inlineStr">
        <is>
          <t>Labor</t>
        </is>
      </c>
      <c r="C23" s="50" t="n"/>
      <c r="D23" s="50" t="n"/>
      <c r="E23" s="50" t="n"/>
      <c r="F23" s="50" t="n"/>
      <c r="G23" s="50" t="n"/>
      <c r="H23" s="50" t="n"/>
      <c r="I23" s="50" t="n"/>
      <c r="J23" s="50" t="n"/>
      <c r="K23" s="90" t="n"/>
      <c r="L23" s="50" t="n"/>
      <c r="M23" s="50" t="inlineStr">
        <is>
          <t>o</t>
        </is>
      </c>
      <c r="N23" s="50" t="inlineStr">
        <is>
          <t>o</t>
        </is>
      </c>
      <c r="O23" s="88" t="n">
        <v>0</v>
      </c>
    </row>
    <row r="24">
      <c r="A24" s="6" t="inlineStr">
        <is>
          <t>Handover &amp; Closeout</t>
        </is>
      </c>
      <c r="B24" s="6" t="inlineStr">
        <is>
          <t>Labor</t>
        </is>
      </c>
      <c r="C24" s="50" t="n"/>
      <c r="D24" s="50" t="n"/>
      <c r="E24" s="50" t="n"/>
      <c r="F24" s="50" t="n"/>
      <c r="G24" s="50" t="n"/>
      <c r="H24" s="50" t="n"/>
      <c r="I24" s="50" t="n"/>
      <c r="J24" s="50" t="n"/>
      <c r="K24" s="90" t="n"/>
      <c r="L24" s="50" t="n"/>
      <c r="M24" s="50" t="n"/>
      <c r="N24" s="50" t="inlineStr">
        <is>
          <t>o</t>
        </is>
      </c>
      <c r="O24" s="88" t="n">
        <v>0</v>
      </c>
    </row>
    <row r="25">
      <c r="A25" s="55" t="inlineStr">
        <is>
          <t>my total hours</t>
        </is>
      </c>
      <c r="B25" s="55" t="n"/>
      <c r="C25" s="60" t="n">
        <v>7.5</v>
      </c>
      <c r="D25" s="60" t="n">
        <v>5.6</v>
      </c>
      <c r="E25" s="60" t="n">
        <v>5.75</v>
      </c>
      <c r="F25" s="60" t="n">
        <v>6.4</v>
      </c>
      <c r="G25" s="60" t="n">
        <v>4.45</v>
      </c>
      <c r="H25" s="60" t="n">
        <v>4.3</v>
      </c>
      <c r="I25" s="60" t="n">
        <v>0</v>
      </c>
      <c r="J25" s="60" t="n">
        <v>0</v>
      </c>
      <c r="K25" s="91" t="n">
        <v>0</v>
      </c>
      <c r="L25" s="60" t="n">
        <v>0</v>
      </c>
      <c r="M25" s="60" t="n">
        <v>0</v>
      </c>
      <c r="N25" s="60" t="n">
        <v>0</v>
      </c>
      <c r="O25" s="60" t="n">
        <v>34</v>
      </c>
    </row>
    <row r="28">
      <c r="A28" s="105" t="inlineStr">
        <is>
          <t>Total costs — current project actual costs by WBS / week</t>
        </is>
      </c>
      <c r="B28" s="273" t="n"/>
      <c r="C28" s="273" t="n"/>
      <c r="D28" s="273" t="n"/>
      <c r="E28" s="273" t="n"/>
      <c r="F28" s="273" t="n"/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130" t="n"/>
    </row>
    <row r="29">
      <c r="A29" s="45" t="inlineStr">
        <is>
          <t>Task</t>
        </is>
      </c>
      <c r="B29" s="45" t="inlineStr">
        <is>
          <t>Who / Type</t>
        </is>
      </c>
      <c r="C29" s="302" t="n">
        <v>46146</v>
      </c>
      <c r="D29" s="302" t="n">
        <v>46153</v>
      </c>
      <c r="E29" s="302" t="n">
        <v>46160</v>
      </c>
      <c r="F29" s="302" t="n">
        <v>46167</v>
      </c>
      <c r="G29" s="302" t="n">
        <v>46174</v>
      </c>
      <c r="H29" s="302" t="n">
        <v>46181</v>
      </c>
      <c r="I29" s="302" t="n">
        <v>46188</v>
      </c>
      <c r="J29" s="302" t="n">
        <v>46195</v>
      </c>
      <c r="K29" s="303" t="n">
        <v>46202</v>
      </c>
      <c r="L29" s="302" t="n">
        <v>46209</v>
      </c>
      <c r="M29" s="302" t="n">
        <v>46216</v>
      </c>
      <c r="N29" s="302" t="n">
        <v>46223</v>
      </c>
      <c r="O29" s="45" t="inlineStr">
        <is>
          <t>Total</t>
        </is>
      </c>
    </row>
    <row r="30">
      <c r="A30" s="45" t="n"/>
      <c r="B30" s="45" t="n"/>
      <c r="C30" s="45" t="n">
        <v>1</v>
      </c>
      <c r="D30" s="45" t="n">
        <v>2</v>
      </c>
      <c r="E30" s="45" t="n">
        <v>3</v>
      </c>
      <c r="F30" s="45" t="n">
        <v>4</v>
      </c>
      <c r="G30" s="45" t="n">
        <v>5</v>
      </c>
      <c r="H30" s="45" t="n">
        <v>6</v>
      </c>
      <c r="I30" s="45" t="n">
        <v>7</v>
      </c>
      <c r="J30" s="45" t="n">
        <v>8</v>
      </c>
      <c r="K30" s="95" t="n">
        <v>9</v>
      </c>
      <c r="L30" s="45" t="n">
        <v>10</v>
      </c>
      <c r="M30" s="45" t="n">
        <v>11</v>
      </c>
      <c r="N30" s="45" t="n">
        <v>12</v>
      </c>
      <c r="O30" s="45" t="n"/>
    </row>
    <row r="31">
      <c r="A31" s="9" t="inlineStr">
        <is>
          <t>Project Management</t>
        </is>
      </c>
      <c r="B31" s="9" t="inlineStr">
        <is>
          <t>Labor</t>
        </is>
      </c>
      <c r="C31" s="49" t="n">
        <v>1600</v>
      </c>
      <c r="D31" s="49" t="n">
        <v>1600</v>
      </c>
      <c r="E31" s="49" t="n">
        <v>1600</v>
      </c>
      <c r="F31" s="49" t="n">
        <v>1600</v>
      </c>
      <c r="G31" s="49" t="n">
        <v>1600</v>
      </c>
      <c r="H31" s="49" t="n">
        <v>1600</v>
      </c>
      <c r="I31" s="49" t="inlineStr">
        <is>
          <t>o</t>
        </is>
      </c>
      <c r="J31" s="49" t="inlineStr">
        <is>
          <t>o</t>
        </is>
      </c>
      <c r="K31" s="92" t="inlineStr">
        <is>
          <t>o</t>
        </is>
      </c>
      <c r="L31" s="49" t="inlineStr">
        <is>
          <t>o</t>
        </is>
      </c>
      <c r="M31" s="49" t="inlineStr">
        <is>
          <t>o</t>
        </is>
      </c>
      <c r="N31" s="49" t="inlineStr">
        <is>
          <t>o</t>
        </is>
      </c>
      <c r="O31" s="87" t="n">
        <v>9600</v>
      </c>
    </row>
    <row r="32">
      <c r="A32" s="9" t="inlineStr">
        <is>
          <t>Site Survey &amp; Mobilization</t>
        </is>
      </c>
      <c r="B32" s="9" t="inlineStr">
        <is>
          <t>Labor</t>
        </is>
      </c>
      <c r="C32" s="49" t="n">
        <v>8700</v>
      </c>
      <c r="D32" s="49" t="n"/>
      <c r="E32" s="49" t="n"/>
      <c r="F32" s="49" t="n"/>
      <c r="G32" s="49" t="n"/>
      <c r="H32" s="49" t="n"/>
      <c r="I32" s="49" t="n"/>
      <c r="J32" s="49" t="n"/>
      <c r="K32" s="92" t="n"/>
      <c r="L32" s="49" t="n"/>
      <c r="M32" s="49" t="n"/>
      <c r="N32" s="49" t="n"/>
      <c r="O32" s="87" t="n">
        <v>8700</v>
      </c>
    </row>
    <row r="33">
      <c r="A33" s="6" t="inlineStr">
        <is>
          <t>Design &amp; Engineering</t>
        </is>
      </c>
      <c r="B33" s="6" t="inlineStr">
        <is>
          <t>Labor</t>
        </is>
      </c>
      <c r="C33" s="49" t="n">
        <v>5995.04</v>
      </c>
      <c r="D33" s="49" t="n">
        <v>6000</v>
      </c>
      <c r="E33" s="49" t="n">
        <v>6200</v>
      </c>
      <c r="F33" s="49" t="n"/>
      <c r="G33" s="49" t="n"/>
      <c r="H33" s="49" t="n"/>
      <c r="I33" s="49" t="n"/>
      <c r="J33" s="49" t="n"/>
      <c r="K33" s="92" t="n"/>
      <c r="L33" s="49" t="n"/>
      <c r="M33" s="49" t="n"/>
      <c r="N33" s="49" t="n"/>
      <c r="O33" s="89" t="n">
        <v>18195.04</v>
      </c>
    </row>
    <row r="34">
      <c r="A34" s="6" t="inlineStr">
        <is>
          <t>Procurement - Materials</t>
        </is>
      </c>
      <c r="B34" s="6" t="inlineStr">
        <is>
          <t>Material</t>
        </is>
      </c>
      <c r="C34" s="49" t="n"/>
      <c r="D34" s="49" t="n">
        <v>10500</v>
      </c>
      <c r="E34" s="49" t="n">
        <v>10200</v>
      </c>
      <c r="F34" s="49" t="n">
        <v>10200</v>
      </c>
      <c r="G34" s="49" t="n">
        <v>10400</v>
      </c>
      <c r="H34" s="49" t="n"/>
      <c r="I34" s="49" t="n"/>
      <c r="J34" s="49" t="n"/>
      <c r="K34" s="92" t="n"/>
      <c r="L34" s="49" t="n"/>
      <c r="M34" s="49" t="n"/>
      <c r="N34" s="49" t="n"/>
      <c r="O34" s="89" t="n">
        <v>41300</v>
      </c>
    </row>
    <row r="35">
      <c r="A35" s="9" t="inlineStr">
        <is>
          <t>Demolition &amp; Prep</t>
        </is>
      </c>
      <c r="B35" s="9" t="inlineStr">
        <is>
          <t>Labor</t>
        </is>
      </c>
      <c r="C35" s="49" t="n"/>
      <c r="D35" s="49" t="n">
        <v>4554.08</v>
      </c>
      <c r="E35" s="49" t="n">
        <v>4654.08</v>
      </c>
      <c r="F35" s="49" t="n">
        <v>4200</v>
      </c>
      <c r="G35" s="49" t="n"/>
      <c r="H35" s="49" t="n"/>
      <c r="I35" s="49" t="n"/>
      <c r="J35" s="49" t="n"/>
      <c r="K35" s="92" t="n"/>
      <c r="L35" s="49" t="n"/>
      <c r="M35" s="49" t="n"/>
      <c r="N35" s="49" t="n"/>
      <c r="O35" s="87" t="n">
        <v>13408.16</v>
      </c>
    </row>
    <row r="36">
      <c r="A36" s="9" t="inlineStr">
        <is>
          <t>Electrical Rough-In</t>
        </is>
      </c>
      <c r="B36" s="9" t="inlineStr">
        <is>
          <t>Labor</t>
        </is>
      </c>
      <c r="C36" s="49" t="n"/>
      <c r="D36" s="49" t="n"/>
      <c r="E36" s="49" t="n"/>
      <c r="F36" s="49" t="n">
        <v>8906.24</v>
      </c>
      <c r="G36" s="49" t="n">
        <v>8800</v>
      </c>
      <c r="H36" s="49" t="n">
        <v>8500</v>
      </c>
      <c r="I36" s="49" t="n"/>
      <c r="J36" s="49" t="n"/>
      <c r="K36" s="92" t="n"/>
      <c r="L36" s="49" t="n"/>
      <c r="M36" s="49" t="n"/>
      <c r="N36" s="49" t="n"/>
      <c r="O36" s="87" t="n">
        <v>26206.24</v>
      </c>
    </row>
    <row r="37">
      <c r="A37" s="9" t="inlineStr">
        <is>
          <t>HVAC Installation</t>
        </is>
      </c>
      <c r="B37" s="9" t="inlineStr">
        <is>
          <t>Subcontractor</t>
        </is>
      </c>
      <c r="C37" s="49" t="n"/>
      <c r="D37" s="49" t="n"/>
      <c r="E37" s="49" t="n"/>
      <c r="F37" s="49" t="n"/>
      <c r="G37" s="49" t="n">
        <v>8676.799999999999</v>
      </c>
      <c r="H37" s="49" t="n">
        <v>8800</v>
      </c>
      <c r="I37" s="49" t="inlineStr">
        <is>
          <t>o</t>
        </is>
      </c>
      <c r="J37" s="49" t="inlineStr">
        <is>
          <t>o</t>
        </is>
      </c>
      <c r="K37" s="92" t="n"/>
      <c r="L37" s="49" t="n"/>
      <c r="M37" s="49" t="n"/>
      <c r="N37" s="49" t="n"/>
      <c r="O37" s="87" t="n">
        <v>17476.8</v>
      </c>
    </row>
    <row r="38">
      <c r="A38" s="9" t="inlineStr">
        <is>
          <t>Partitions &amp; Drywall</t>
        </is>
      </c>
      <c r="B38" s="9" t="inlineStr">
        <is>
          <t>Subcontractor</t>
        </is>
      </c>
      <c r="C38" s="49" t="n"/>
      <c r="D38" s="49" t="n"/>
      <c r="E38" s="49" t="n"/>
      <c r="F38" s="49" t="n"/>
      <c r="G38" s="49" t="n"/>
      <c r="H38" s="49" t="n">
        <v>7099.2</v>
      </c>
      <c r="I38" s="49" t="inlineStr">
        <is>
          <t>o</t>
        </is>
      </c>
      <c r="J38" s="49" t="inlineStr">
        <is>
          <t>o</t>
        </is>
      </c>
      <c r="K38" s="92" t="inlineStr">
        <is>
          <t>o</t>
        </is>
      </c>
      <c r="L38" s="49" t="n"/>
      <c r="M38" s="49" t="n"/>
      <c r="N38" s="49" t="n"/>
      <c r="O38" s="87" t="n">
        <v>7099.2</v>
      </c>
    </row>
    <row r="39">
      <c r="A39" s="9" t="inlineStr">
        <is>
          <t>Flooring</t>
        </is>
      </c>
      <c r="B39" s="9" t="inlineStr">
        <is>
          <t>Material</t>
        </is>
      </c>
      <c r="C39" s="49" t="n"/>
      <c r="D39" s="49" t="n"/>
      <c r="E39" s="49" t="n"/>
      <c r="F39" s="49" t="n"/>
      <c r="G39" s="49" t="n"/>
      <c r="H39" s="49" t="n"/>
      <c r="I39" s="49" t="n"/>
      <c r="J39" s="49" t="inlineStr">
        <is>
          <t>o</t>
        </is>
      </c>
      <c r="K39" s="92" t="inlineStr">
        <is>
          <t>o</t>
        </is>
      </c>
      <c r="L39" s="49" t="inlineStr">
        <is>
          <t>o</t>
        </is>
      </c>
      <c r="M39" s="49" t="n"/>
      <c r="N39" s="49" t="n"/>
      <c r="O39" s="87" t="n">
        <v>0</v>
      </c>
    </row>
    <row r="40">
      <c r="A40" s="9" t="inlineStr">
        <is>
          <t>Fixtures &amp; Furniture</t>
        </is>
      </c>
      <c r="B40" s="9" t="inlineStr">
        <is>
          <t>Material</t>
        </is>
      </c>
      <c r="C40" s="49" t="n"/>
      <c r="D40" s="49" t="n"/>
      <c r="E40" s="49" t="n"/>
      <c r="F40" s="49" t="n"/>
      <c r="G40" s="49" t="n"/>
      <c r="H40" s="49" t="n"/>
      <c r="I40" s="49" t="n"/>
      <c r="J40" s="49" t="n"/>
      <c r="K40" s="92" t="inlineStr">
        <is>
          <t>o</t>
        </is>
      </c>
      <c r="L40" s="49" t="inlineStr">
        <is>
          <t>o</t>
        </is>
      </c>
      <c r="M40" s="49" t="inlineStr">
        <is>
          <t>o</t>
        </is>
      </c>
      <c r="N40" s="49" t="n"/>
      <c r="O40" s="87" t="n">
        <v>0</v>
      </c>
    </row>
    <row r="41">
      <c r="A41" s="6" t="inlineStr">
        <is>
          <t>Testing / Commissioning</t>
        </is>
      </c>
      <c r="B41" s="6" t="inlineStr">
        <is>
          <t>Labor</t>
        </is>
      </c>
      <c r="C41" s="49" t="n"/>
      <c r="D41" s="49" t="n"/>
      <c r="E41" s="49" t="n"/>
      <c r="F41" s="49" t="n"/>
      <c r="G41" s="49" t="n"/>
      <c r="H41" s="49" t="n"/>
      <c r="I41" s="49" t="n"/>
      <c r="J41" s="49" t="n"/>
      <c r="K41" s="92" t="n"/>
      <c r="L41" s="49" t="n"/>
      <c r="M41" s="49" t="inlineStr">
        <is>
          <t>o</t>
        </is>
      </c>
      <c r="N41" s="49" t="inlineStr">
        <is>
          <t>o</t>
        </is>
      </c>
      <c r="O41" s="89" t="n">
        <v>0</v>
      </c>
    </row>
    <row r="42">
      <c r="A42" s="6" t="inlineStr">
        <is>
          <t>Handover &amp; Closeout</t>
        </is>
      </c>
      <c r="B42" s="6" t="inlineStr">
        <is>
          <t>Labor</t>
        </is>
      </c>
      <c r="C42" s="49" t="n"/>
      <c r="D42" s="49" t="n"/>
      <c r="E42" s="49" t="n"/>
      <c r="F42" s="49" t="n"/>
      <c r="G42" s="49" t="n"/>
      <c r="H42" s="49" t="n"/>
      <c r="I42" s="49" t="n"/>
      <c r="J42" s="49" t="n"/>
      <c r="K42" s="92" t="n"/>
      <c r="L42" s="49" t="n"/>
      <c r="M42" s="49" t="n"/>
      <c r="N42" s="49" t="inlineStr">
        <is>
          <t>o</t>
        </is>
      </c>
      <c r="O42" s="89" t="n">
        <v>0</v>
      </c>
    </row>
    <row r="43">
      <c r="A43" s="55" t="inlineStr">
        <is>
          <t>my total costs</t>
        </is>
      </c>
      <c r="B43" s="55" t="n"/>
      <c r="C43" s="58" t="n">
        <v>16295.04</v>
      </c>
      <c r="D43" s="58" t="n">
        <v>22654.08</v>
      </c>
      <c r="E43" s="58" t="n">
        <v>22654.08</v>
      </c>
      <c r="F43" s="58" t="n">
        <v>24906.24</v>
      </c>
      <c r="G43" s="58" t="n">
        <v>29476.8</v>
      </c>
      <c r="H43" s="58" t="n">
        <v>25999.2</v>
      </c>
      <c r="I43" s="58" t="n">
        <v>0</v>
      </c>
      <c r="J43" s="58" t="n">
        <v>0</v>
      </c>
      <c r="K43" s="93" t="n">
        <v>0</v>
      </c>
      <c r="L43" s="58" t="n">
        <v>0</v>
      </c>
      <c r="M43" s="58" t="n">
        <v>0</v>
      </c>
      <c r="N43" s="58" t="n">
        <v>0</v>
      </c>
      <c r="O43" s="58" t="n">
        <v>141985.44</v>
      </c>
    </row>
    <row r="46">
      <c r="A46" s="132" t="inlineStr">
        <is>
          <t>Task</t>
        </is>
      </c>
      <c r="B46" s="126" t="inlineStr">
        <is>
          <t>BAC</t>
        </is>
      </c>
      <c r="C46" s="126" t="inlineStr">
        <is>
          <t>PV @ Status</t>
        </is>
      </c>
      <c r="D46" s="126" t="inlineStr">
        <is>
          <t>AC @ Status</t>
        </is>
      </c>
      <c r="E46" s="126" t="inlineStr">
        <is>
          <t>Progress %</t>
        </is>
      </c>
      <c r="F46" s="126" t="inlineStr">
        <is>
          <t>EV @ Status</t>
        </is>
      </c>
      <c r="G46" s="126" t="inlineStr">
        <is>
          <t>SV</t>
        </is>
      </c>
      <c r="H46" s="126" t="inlineStr">
        <is>
          <t>CV</t>
        </is>
      </c>
      <c r="I46" s="126" t="inlineStr">
        <is>
          <t>SPI</t>
        </is>
      </c>
      <c r="J46" s="126" t="inlineStr">
        <is>
          <t>CPI</t>
        </is>
      </c>
      <c r="K46" s="133" t="inlineStr">
        <is>
          <t>RAG</t>
        </is>
      </c>
    </row>
    <row r="47">
      <c r="A47" s="224" t="inlineStr">
        <is>
          <t>Project Management</t>
        </is>
      </c>
      <c r="B47" s="87" t="n">
        <v>18000</v>
      </c>
      <c r="C47" s="87" t="n">
        <v>13500</v>
      </c>
      <c r="D47" s="87" t="n">
        <v>9600</v>
      </c>
      <c r="E47" s="304" t="n">
        <v>0.5</v>
      </c>
      <c r="F47" s="87" t="n">
        <v>9000</v>
      </c>
      <c r="G47" s="87" t="n">
        <v>-4500</v>
      </c>
      <c r="H47" s="87" t="n">
        <v>-600</v>
      </c>
      <c r="I47" s="86" t="n">
        <v>0.666666666666667</v>
      </c>
      <c r="J47" s="86" t="n">
        <v>0.9375</v>
      </c>
      <c r="K47" s="226" t="inlineStr">
        <is>
          <t>Red</t>
        </is>
      </c>
    </row>
    <row r="48">
      <c r="A48" s="224" t="inlineStr">
        <is>
          <t>Site Survey &amp; Mobilization</t>
        </is>
      </c>
      <c r="B48" s="87" t="n">
        <v>8500</v>
      </c>
      <c r="C48" s="87" t="n">
        <v>8500</v>
      </c>
      <c r="D48" s="87" t="n">
        <v>8700</v>
      </c>
      <c r="E48" s="304" t="n">
        <v>1</v>
      </c>
      <c r="F48" s="87" t="n">
        <v>8500</v>
      </c>
      <c r="G48" s="87" t="n">
        <v>0</v>
      </c>
      <c r="H48" s="87" t="n">
        <v>-200</v>
      </c>
      <c r="I48" s="86" t="n">
        <v>1</v>
      </c>
      <c r="J48" s="86" t="n">
        <v>0.977011494252874</v>
      </c>
      <c r="K48" s="226" t="inlineStr">
        <is>
          <t>Red</t>
        </is>
      </c>
    </row>
    <row r="49">
      <c r="A49" s="225" t="inlineStr">
        <is>
          <t>Design &amp; Engineering</t>
        </is>
      </c>
      <c r="B49" s="89" t="n">
        <v>19200</v>
      </c>
      <c r="C49" s="89" t="n">
        <v>19200</v>
      </c>
      <c r="D49" s="89" t="n">
        <v>18195.04</v>
      </c>
      <c r="E49" s="305" t="n">
        <v>1</v>
      </c>
      <c r="F49" s="89" t="n">
        <v>19200</v>
      </c>
      <c r="G49" s="89" t="n">
        <v>0</v>
      </c>
      <c r="H49" s="89" t="n">
        <v>1004.96</v>
      </c>
      <c r="I49" s="88" t="n">
        <v>1</v>
      </c>
      <c r="J49" s="88" t="n">
        <v>1.05523263482795</v>
      </c>
      <c r="K49" s="227" t="inlineStr">
        <is>
          <t>Green</t>
        </is>
      </c>
    </row>
    <row r="50">
      <c r="A50" s="225" t="inlineStr">
        <is>
          <t>Procurement - Materials</t>
        </is>
      </c>
      <c r="B50" s="89" t="n">
        <v>42000</v>
      </c>
      <c r="C50" s="89" t="n">
        <v>42000</v>
      </c>
      <c r="D50" s="89" t="n">
        <v>41300</v>
      </c>
      <c r="E50" s="305" t="n">
        <v>1</v>
      </c>
      <c r="F50" s="89" t="n">
        <v>42000</v>
      </c>
      <c r="G50" s="89" t="n">
        <v>0</v>
      </c>
      <c r="H50" s="89" t="n">
        <v>700</v>
      </c>
      <c r="I50" s="88" t="n">
        <v>1</v>
      </c>
      <c r="J50" s="88" t="n">
        <v>1.01694915254237</v>
      </c>
      <c r="K50" s="227" t="inlineStr">
        <is>
          <t>Green</t>
        </is>
      </c>
    </row>
    <row r="51">
      <c r="A51" s="224" t="inlineStr">
        <is>
          <t>Demolition &amp; Prep</t>
        </is>
      </c>
      <c r="B51" s="87" t="n">
        <v>13200</v>
      </c>
      <c r="C51" s="87" t="n">
        <v>13200</v>
      </c>
      <c r="D51" s="87" t="n">
        <v>13408.16</v>
      </c>
      <c r="E51" s="304" t="n">
        <v>1</v>
      </c>
      <c r="F51" s="87" t="n">
        <v>13200</v>
      </c>
      <c r="G51" s="87" t="n">
        <v>0</v>
      </c>
      <c r="H51" s="87" t="n">
        <v>-208.159999999998</v>
      </c>
      <c r="I51" s="86" t="n">
        <v>1</v>
      </c>
      <c r="J51" s="86" t="n">
        <v>0.98447512559516</v>
      </c>
      <c r="K51" s="226" t="inlineStr">
        <is>
          <t>Red</t>
        </is>
      </c>
    </row>
    <row r="52">
      <c r="A52" s="224" t="inlineStr">
        <is>
          <t>Electrical Rough-In</t>
        </is>
      </c>
      <c r="B52" s="87" t="n">
        <v>26000</v>
      </c>
      <c r="C52" s="87" t="n">
        <v>26000</v>
      </c>
      <c r="D52" s="87" t="n">
        <v>26206.24</v>
      </c>
      <c r="E52" s="304" t="n">
        <v>0.7</v>
      </c>
      <c r="F52" s="87" t="n">
        <v>18200</v>
      </c>
      <c r="G52" s="87" t="n">
        <v>-7800</v>
      </c>
      <c r="H52" s="87" t="n">
        <v>-8006.24</v>
      </c>
      <c r="I52" s="86" t="n">
        <v>0.7</v>
      </c>
      <c r="J52" s="86" t="n">
        <v>0.694491083039765</v>
      </c>
      <c r="K52" s="226" t="inlineStr">
        <is>
          <t>Red</t>
        </is>
      </c>
    </row>
    <row r="53">
      <c r="A53" s="224" t="inlineStr">
        <is>
          <t>HVAC Installation</t>
        </is>
      </c>
      <c r="B53" s="87" t="n">
        <v>36000</v>
      </c>
      <c r="C53" s="87" t="n">
        <v>36000</v>
      </c>
      <c r="D53" s="87" t="n">
        <v>17476.8</v>
      </c>
      <c r="E53" s="304" t="n">
        <v>0.4</v>
      </c>
      <c r="F53" s="87" t="n">
        <v>14400</v>
      </c>
      <c r="G53" s="87" t="n">
        <v>-21600</v>
      </c>
      <c r="H53" s="87" t="n">
        <v>-3076.8</v>
      </c>
      <c r="I53" s="86" t="n">
        <v>0.4</v>
      </c>
      <c r="J53" s="86" t="n">
        <v>0.823949464432848</v>
      </c>
      <c r="K53" s="226" t="inlineStr">
        <is>
          <t>Red</t>
        </is>
      </c>
    </row>
    <row r="54">
      <c r="A54" s="224" t="inlineStr">
        <is>
          <t>Partitions &amp; Drywall</t>
        </is>
      </c>
      <c r="B54" s="87" t="n">
        <v>28000</v>
      </c>
      <c r="C54" s="87" t="n">
        <v>28000</v>
      </c>
      <c r="D54" s="87" t="n">
        <v>7099.2</v>
      </c>
      <c r="E54" s="304" t="n">
        <v>0.248857</v>
      </c>
      <c r="F54" s="87" t="n">
        <v>6967.996</v>
      </c>
      <c r="G54" s="87" t="n">
        <v>-21032.004</v>
      </c>
      <c r="H54" s="87" t="n">
        <v>-131.204</v>
      </c>
      <c r="I54" s="86" t="n">
        <v>0.248857</v>
      </c>
      <c r="J54" s="86" t="n">
        <v>0.981518480955601</v>
      </c>
      <c r="K54" s="226" t="inlineStr">
        <is>
          <t>Red</t>
        </is>
      </c>
    </row>
    <row r="55">
      <c r="A55" s="224" t="inlineStr">
        <is>
          <t>Flooring</t>
        </is>
      </c>
      <c r="B55" s="87" t="n">
        <v>35750</v>
      </c>
      <c r="C55" s="87" t="n">
        <v>23833.34</v>
      </c>
      <c r="D55" s="87" t="n">
        <v>0</v>
      </c>
      <c r="E55" s="304" t="n">
        <v>0</v>
      </c>
      <c r="F55" s="87" t="n">
        <v>0</v>
      </c>
      <c r="G55" s="87" t="n">
        <v>-23833.34</v>
      </c>
      <c r="H55" s="87" t="n">
        <v>0</v>
      </c>
      <c r="I55" s="86" t="n">
        <v>0</v>
      </c>
      <c r="J55" s="86" t="n">
        <v>1</v>
      </c>
      <c r="K55" s="226" t="inlineStr">
        <is>
          <t>Red</t>
        </is>
      </c>
    </row>
    <row r="56">
      <c r="A56" s="224" t="inlineStr">
        <is>
          <t>Fixtures &amp; Furniture</t>
        </is>
      </c>
      <c r="B56" s="87" t="n">
        <v>30000</v>
      </c>
      <c r="C56" s="87" t="n">
        <v>10000</v>
      </c>
      <c r="D56" s="87" t="n">
        <v>0</v>
      </c>
      <c r="E56" s="304" t="n">
        <v>0</v>
      </c>
      <c r="F56" s="87" t="n">
        <v>0</v>
      </c>
      <c r="G56" s="87" t="n">
        <v>-10000</v>
      </c>
      <c r="H56" s="87" t="n">
        <v>0</v>
      </c>
      <c r="I56" s="86" t="n">
        <v>0</v>
      </c>
      <c r="J56" s="86" t="n">
        <v>1</v>
      </c>
      <c r="K56" s="226" t="inlineStr">
        <is>
          <t>Red</t>
        </is>
      </c>
    </row>
    <row r="57">
      <c r="A57" s="225" t="inlineStr">
        <is>
          <t>Testing / Commissioning</t>
        </is>
      </c>
      <c r="B57" s="89" t="n">
        <v>8400</v>
      </c>
      <c r="C57" s="89" t="n">
        <v>0</v>
      </c>
      <c r="D57" s="89" t="n">
        <v>0</v>
      </c>
      <c r="E57" s="305" t="n">
        <v>0</v>
      </c>
      <c r="F57" s="89" t="n">
        <v>0</v>
      </c>
      <c r="G57" s="89" t="n">
        <v>0</v>
      </c>
      <c r="H57" s="89" t="n">
        <v>0</v>
      </c>
      <c r="I57" s="88" t="n">
        <v>1</v>
      </c>
      <c r="J57" s="88" t="n">
        <v>1</v>
      </c>
      <c r="K57" s="227" t="inlineStr">
        <is>
          <t>Green</t>
        </is>
      </c>
    </row>
    <row r="58">
      <c r="A58" s="228" t="inlineStr">
        <is>
          <t>Handover &amp; Closeout</t>
        </is>
      </c>
      <c r="B58" s="229" t="n">
        <v>3600</v>
      </c>
      <c r="C58" s="229" t="n">
        <v>0</v>
      </c>
      <c r="D58" s="229" t="n">
        <v>0</v>
      </c>
      <c r="E58" s="306" t="n">
        <v>0</v>
      </c>
      <c r="F58" s="229" t="n">
        <v>0</v>
      </c>
      <c r="G58" s="229" t="n">
        <v>0</v>
      </c>
      <c r="H58" s="229" t="n">
        <v>0</v>
      </c>
      <c r="I58" s="231" t="n">
        <v>1</v>
      </c>
      <c r="J58" s="231" t="n">
        <v>1</v>
      </c>
      <c r="K58" s="232" t="inlineStr">
        <is>
          <t>Green</t>
        </is>
      </c>
    </row>
    <row r="61">
      <c r="A61" s="103" t="inlineStr">
        <is>
          <t>Status timeline: 2026-06-30</t>
        </is>
      </c>
      <c r="B61" s="273" t="n"/>
      <c r="C61" s="273" t="n"/>
      <c r="D61" s="273" t="n"/>
      <c r="E61" s="273" t="n"/>
      <c r="F61" s="273" t="n"/>
      <c r="G61" s="273" t="n"/>
      <c r="H61" s="273" t="n"/>
      <c r="I61" s="273" t="n"/>
      <c r="J61" s="273" t="n"/>
      <c r="K61" s="130" t="n"/>
    </row>
    <row r="62">
      <c r="A62" s="132" t="inlineStr">
        <is>
          <t>Legend</t>
        </is>
      </c>
      <c r="B62" s="126" t="inlineStr">
        <is>
          <t>Meaning</t>
        </is>
      </c>
      <c r="C62" s="133" t="inlineStr">
        <is>
          <t>Applied to</t>
        </is>
      </c>
      <c r="D62" s="45" t="n"/>
      <c r="E62" s="45" t="n"/>
      <c r="F62" s="45" t="n"/>
      <c r="G62" s="45" t="n"/>
      <c r="H62" s="45" t="n"/>
      <c r="I62" s="45" t="n"/>
      <c r="J62" s="45" t="n"/>
      <c r="K62" s="45" t="n"/>
    </row>
    <row r="63">
      <c r="A63" s="130" t="inlineStr">
        <is>
          <t>Red dotted vertical line</t>
        </is>
      </c>
      <c r="B63" s="2" t="inlineStr">
        <is>
          <t>Status date 2026-06-30</t>
        </is>
      </c>
      <c r="C63" s="131" t="inlineStr">
        <is>
          <t>My hours and Total costs grids</t>
        </is>
      </c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153" t="inlineStr">
        <is>
          <t>Green row</t>
        </is>
      </c>
      <c r="B64" s="2" t="inlineStr">
        <is>
          <t>CPI/SPI &gt;= 1.00 and favorable variance</t>
        </is>
      </c>
      <c r="C64" s="131" t="inlineStr">
        <is>
          <t>Summary + task totals</t>
        </is>
      </c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s="154" t="inlineStr">
        <is>
          <t>Amber row</t>
        </is>
      </c>
      <c r="B65" s="2" t="inlineStr">
        <is>
          <t>Near threshold</t>
        </is>
      </c>
      <c r="C65" s="131" t="inlineStr">
        <is>
          <t>Summary + task totals</t>
        </is>
      </c>
      <c r="D65" s="2" t="n"/>
      <c r="E65" s="2" t="n"/>
      <c r="F65" s="2" t="n"/>
      <c r="G65" s="2" t="n"/>
      <c r="H65" s="2" t="n"/>
      <c r="I65" s="2" t="n"/>
      <c r="J65" s="2" t="n"/>
      <c r="K65" s="2" t="n"/>
    </row>
    <row r="66">
      <c r="A66" s="156" t="inlineStr">
        <is>
          <t>Red row</t>
        </is>
      </c>
      <c r="B66" s="135" t="inlineStr">
        <is>
          <t>Behind plan / cost overrun / low index</t>
        </is>
      </c>
      <c r="C66" s="136" t="inlineStr">
        <is>
          <t>Summary + task totals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</row>
  </sheetData>
  <mergeCells count="6">
    <mergeCell ref="A61:K61"/>
    <mergeCell ref="A2:O2"/>
    <mergeCell ref="A10:O10"/>
    <mergeCell ref="A28:O28"/>
    <mergeCell ref="A1:O1"/>
    <mergeCell ref="A4:O4"/>
  </mergeCells>
  <conditionalFormatting sqref="C13:N24">
    <cfRule type="containsText" priority="1" operator="containsText" dxfId="54" text="o">
      <formula>NOT(ISERROR(SEARCH("o",C13)))</formula>
    </cfRule>
    <cfRule type="expression" priority="6" dxfId="582">
      <formula>AND(Control_Status_Date&gt;=C$11, Control_Status_Date&lt;C$11+7)</formula>
    </cfRule>
    <cfRule type="expression" priority="8" dxfId="583">
      <formula>OR(C13="M", C13="◆")</formula>
    </cfRule>
  </conditionalFormatting>
  <conditionalFormatting sqref="C31:N42">
    <cfRule type="containsText" priority="2" operator="containsText" dxfId="54" text="o">
      <formula>NOT(ISERROR(SEARCH("o",C31)))</formula>
    </cfRule>
    <cfRule type="expression" priority="7" dxfId="582">
      <formula>AND(Control_Status_Date&gt;=C$29, Control_Status_Date&lt;C$29+7)</formula>
    </cfRule>
    <cfRule type="expression" priority="9" dxfId="583">
      <formula>OR(C31="M", C31="◆")</formula>
    </cfRule>
  </conditionalFormatting>
  <conditionalFormatting sqref="K47:K58">
    <cfRule type="expression" priority="3" dxfId="35">
      <formula>ISNUMBER(SEARCH("Red",K47))</formula>
    </cfRule>
    <cfRule type="expression" priority="4" dxfId="34">
      <formula>ISNUMBER(SEARCH("Amber",K47))</formula>
    </cfRule>
    <cfRule type="expression" priority="5" dxfId="33">
      <formula>ISNUMBER(SEARCH("Green",K47))</formula>
    </cfRule>
  </conditionalFormatting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5.xml><?xml version="1.0" encoding="utf-8"?>
<worksheet xmlns="http://schemas.openxmlformats.org/spreadsheetml/2006/main">
  <sheetPr>
    <tabColor rgb="FFED7D31"/>
    <outlinePr summaryBelow="1" summaryRight="1"/>
    <pageSetUpPr/>
  </sheetPr>
  <dimension ref="A1:N23"/>
  <sheetViews>
    <sheetView showGridLines="0" tabSelected="1" zoomScale="85" zoomScaleNormal="85" workbookViewId="0">
      <selection activeCell="E10" sqref="E10"/>
    </sheetView>
  </sheetViews>
  <sheetFormatPr baseColWidth="8" defaultRowHeight="14.5"/>
  <cols>
    <col width="13.6328125" customWidth="1" style="120" min="1" max="1"/>
    <col width="33.6328125" customWidth="1" style="120" min="2" max="2"/>
    <col width="17.26953125" customWidth="1" style="120" min="3" max="9"/>
    <col width="22.90625" customWidth="1" style="120" min="10" max="10"/>
    <col width="23" customWidth="1" style="120" min="12" max="12"/>
    <col width="20" customWidth="1" style="120" min="13" max="14"/>
  </cols>
  <sheetData>
    <row r="1" ht="23.5" customHeight="1" s="120">
      <c r="A1" s="101" t="inlineStr">
        <is>
          <t>Swimlane PERT Diagram — Office Fit-Out</t>
        </is>
      </c>
    </row>
    <row r="2">
      <c r="A2" s="102" t="inlineStr">
        <is>
          <t>PERT network grouped into swimlanes by Task Plan type: Labor, Material, and Subcontractor. Status date: 2026-06-30. Node colors use the workbook RAG status.</t>
        </is>
      </c>
    </row>
    <row r="4">
      <c r="A4" s="132" t="inlineStr">
        <is>
          <t>WBS ID</t>
        </is>
      </c>
      <c r="B4" s="126" t="inlineStr">
        <is>
          <t>Activity</t>
        </is>
      </c>
      <c r="C4" s="126" t="inlineStr">
        <is>
          <t>Baseline Start</t>
        </is>
      </c>
      <c r="D4" s="126" t="inlineStr">
        <is>
          <t>Baseline Finish</t>
        </is>
      </c>
      <c r="E4" s="126" t="inlineStr">
        <is>
          <t>Duration</t>
        </is>
      </c>
      <c r="F4" s="126" t="inlineStr">
        <is>
          <t>Progress</t>
        </is>
      </c>
      <c r="G4" s="126" t="inlineStr">
        <is>
          <t>SPI</t>
        </is>
      </c>
      <c r="H4" s="126" t="inlineStr">
        <is>
          <t>CPI</t>
        </is>
      </c>
      <c r="I4" s="126" t="inlineStr">
        <is>
          <t>RAG</t>
        </is>
      </c>
      <c r="J4" s="133" t="inlineStr">
        <is>
          <t>Inferred predecessor(s)</t>
        </is>
      </c>
      <c r="L4" s="132" t="inlineStr">
        <is>
          <t>Visio-style PERT Legend</t>
        </is>
      </c>
      <c r="M4" s="126" t="inlineStr">
        <is>
          <t>Column1</t>
        </is>
      </c>
      <c r="N4" s="133" t="inlineStr">
        <is>
          <t>Column2</t>
        </is>
      </c>
    </row>
    <row r="5">
      <c r="A5" s="130" t="inlineStr">
        <is>
          <t>A1</t>
        </is>
      </c>
      <c r="B5" s="2" t="inlineStr">
        <is>
          <t>Conceptual Design</t>
        </is>
      </c>
      <c r="C5" s="98" t="n">
        <v>5</v>
      </c>
      <c r="D5" s="98" t="n">
        <v>7</v>
      </c>
      <c r="E5" s="47" t="n">
        <v>9</v>
      </c>
      <c r="F5" s="283" t="n">
        <v>7</v>
      </c>
      <c r="G5" s="50" t="inlineStr">
        <is>
          <t>Predecessors</t>
        </is>
      </c>
      <c r="H5" s="50" t="n">
        <v>0</v>
      </c>
      <c r="I5" s="2" t="n">
        <v>7</v>
      </c>
      <c r="J5" s="131" t="n">
        <v>0</v>
      </c>
      <c r="L5" s="153" t="inlineStr">
        <is>
          <t>Green</t>
        </is>
      </c>
      <c r="M5" s="2" t="inlineStr">
        <is>
          <t>On track</t>
        </is>
      </c>
      <c r="N5" s="131" t="inlineStr">
        <is>
          <t>CPI/SPI/variance favorable</t>
        </is>
      </c>
    </row>
    <row r="6">
      <c r="A6" s="130" t="inlineStr">
        <is>
          <t>A2</t>
        </is>
      </c>
      <c r="B6" s="2" t="inlineStr">
        <is>
          <t>Detail Drafting</t>
        </is>
      </c>
      <c r="C6" s="98" t="n">
        <v>4</v>
      </c>
      <c r="D6" s="98" t="n">
        <v>7</v>
      </c>
      <c r="E6" s="47" t="n">
        <v>10</v>
      </c>
      <c r="F6" s="283" t="n">
        <v>7</v>
      </c>
      <c r="G6" s="50" t="inlineStr">
        <is>
          <t>A1</t>
        </is>
      </c>
      <c r="H6" s="50" t="n">
        <v>7</v>
      </c>
      <c r="I6" s="2" t="n">
        <v>14</v>
      </c>
      <c r="J6" s="131" t="n">
        <v>0</v>
      </c>
      <c r="L6" s="154" t="inlineStr">
        <is>
          <t>Amber</t>
        </is>
      </c>
      <c r="M6" s="2" t="inlineStr">
        <is>
          <t>Watch</t>
        </is>
      </c>
      <c r="N6" s="131" t="inlineStr">
        <is>
          <t>Near threshold</t>
        </is>
      </c>
    </row>
    <row r="7">
      <c r="A7" s="130" t="inlineStr">
        <is>
          <t>WBS-03</t>
        </is>
      </c>
      <c r="B7" s="2" t="inlineStr">
        <is>
          <t>Design &amp; Engineering</t>
        </is>
      </c>
      <c r="C7" s="98" t="n">
        <v>46146</v>
      </c>
      <c r="D7" s="98" t="n">
        <v>46166</v>
      </c>
      <c r="E7" s="47" t="n">
        <v>21</v>
      </c>
      <c r="F7" s="283" t="n">
        <v>1</v>
      </c>
      <c r="G7" s="50" t="n">
        <v>1</v>
      </c>
      <c r="H7" s="50" t="n">
        <v>1.06</v>
      </c>
      <c r="I7" s="2" t="inlineStr">
        <is>
          <t>Green</t>
        </is>
      </c>
      <c r="J7" s="131" t="inlineStr">
        <is>
          <t>START</t>
        </is>
      </c>
      <c r="L7" s="155" t="inlineStr">
        <is>
          <t>Red</t>
        </is>
      </c>
      <c r="M7" s="2" t="inlineStr">
        <is>
          <t>Action</t>
        </is>
      </c>
      <c r="N7" s="131" t="inlineStr">
        <is>
          <t>Behind plan / overrun</t>
        </is>
      </c>
    </row>
    <row r="8">
      <c r="A8" s="130" t="inlineStr">
        <is>
          <t>WBS-04</t>
        </is>
      </c>
      <c r="B8" s="2" t="inlineStr">
        <is>
          <t>Procurement - Materials</t>
        </is>
      </c>
      <c r="C8" s="98" t="n">
        <v>46153</v>
      </c>
      <c r="D8" s="98" t="n">
        <v>46180</v>
      </c>
      <c r="E8" s="47" t="n">
        <v>28</v>
      </c>
      <c r="F8" s="283" t="n">
        <v>1</v>
      </c>
      <c r="G8" s="50" t="n">
        <v>1</v>
      </c>
      <c r="H8" s="50" t="n">
        <v>1.02</v>
      </c>
      <c r="I8" s="2" t="inlineStr">
        <is>
          <t>Green</t>
        </is>
      </c>
      <c r="J8" s="131" t="inlineStr">
        <is>
          <t>WBS-02 / WBS-03</t>
        </is>
      </c>
      <c r="L8" s="234" t="inlineStr">
        <is>
          <t>Gray</t>
        </is>
      </c>
      <c r="M8" s="135" t="inlineStr">
        <is>
          <t>Start / Finish</t>
        </is>
      </c>
      <c r="N8" s="136" t="inlineStr">
        <is>
          <t>Network endpoints</t>
        </is>
      </c>
    </row>
    <row r="9">
      <c r="A9" s="130" t="inlineStr">
        <is>
          <t>WBS-05</t>
        </is>
      </c>
      <c r="B9" s="2" t="inlineStr">
        <is>
          <t>Demolition &amp; Prep</t>
        </is>
      </c>
      <c r="C9" s="98" t="n">
        <v>46153</v>
      </c>
      <c r="D9" s="98" t="n">
        <v>46173</v>
      </c>
      <c r="E9" s="47" t="n">
        <v>21</v>
      </c>
      <c r="F9" s="283" t="n">
        <v>1</v>
      </c>
      <c r="G9" s="50" t="n">
        <v>1</v>
      </c>
      <c r="H9" s="50" t="n">
        <v>0.98</v>
      </c>
      <c r="I9" s="2" t="inlineStr">
        <is>
          <t>Red</t>
        </is>
      </c>
      <c r="J9" s="131" t="inlineStr">
        <is>
          <t>WBS-02 / WBS-03</t>
        </is>
      </c>
    </row>
    <row r="10">
      <c r="A10" s="130" t="inlineStr">
        <is>
          <t>WBS-06</t>
        </is>
      </c>
      <c r="B10" s="2" t="inlineStr">
        <is>
          <t>Electrical Rough-In</t>
        </is>
      </c>
      <c r="C10" s="98" t="n">
        <v>46167</v>
      </c>
      <c r="D10" s="98" t="n">
        <v>46187</v>
      </c>
      <c r="E10" s="47" t="n">
        <v>21</v>
      </c>
      <c r="F10" s="283" t="n">
        <v>0.7</v>
      </c>
      <c r="G10" s="50" t="n">
        <v>0.7</v>
      </c>
      <c r="H10" s="50" t="n">
        <v>0.6899999999999999</v>
      </c>
      <c r="I10" s="2" t="inlineStr">
        <is>
          <t>Red</t>
        </is>
      </c>
      <c r="J10" s="131" t="inlineStr">
        <is>
          <t>WBS-04 / WBS-05</t>
        </is>
      </c>
    </row>
    <row r="11">
      <c r="A11" s="130" t="inlineStr">
        <is>
          <t>WBS-07</t>
        </is>
      </c>
      <c r="B11" s="2" t="inlineStr">
        <is>
          <t>HVAC Installation</t>
        </is>
      </c>
      <c r="C11" s="98" t="n">
        <v>46174</v>
      </c>
      <c r="D11" s="98" t="n">
        <v>46201</v>
      </c>
      <c r="E11" s="47" t="n">
        <v>28</v>
      </c>
      <c r="F11" s="283" t="n">
        <v>0.4</v>
      </c>
      <c r="G11" s="50" t="n">
        <v>0.4</v>
      </c>
      <c r="H11" s="50" t="n">
        <v>0.82</v>
      </c>
      <c r="I11" s="2" t="inlineStr">
        <is>
          <t>Red</t>
        </is>
      </c>
      <c r="J11" s="131" t="inlineStr">
        <is>
          <t>WBS-06</t>
        </is>
      </c>
    </row>
    <row r="12">
      <c r="A12" s="130" t="inlineStr">
        <is>
          <t>WBS-08</t>
        </is>
      </c>
      <c r="B12" s="2" t="inlineStr">
        <is>
          <t>Partitions &amp; Drywall</t>
        </is>
      </c>
      <c r="C12" s="98" t="n">
        <v>46181</v>
      </c>
      <c r="D12" s="98" t="n">
        <v>46208</v>
      </c>
      <c r="E12" s="47" t="n">
        <v>28</v>
      </c>
      <c r="F12" s="283" t="n">
        <v>0.249</v>
      </c>
      <c r="G12" s="50" t="n">
        <v>0.25</v>
      </c>
      <c r="H12" s="50" t="n">
        <v>0.98</v>
      </c>
      <c r="I12" s="2" t="inlineStr">
        <is>
          <t>Red</t>
        </is>
      </c>
      <c r="J12" s="131" t="inlineStr">
        <is>
          <t>WBS-06</t>
        </is>
      </c>
    </row>
    <row r="13">
      <c r="A13" s="130" t="inlineStr">
        <is>
          <t>WBS-09</t>
        </is>
      </c>
      <c r="B13" s="2" t="inlineStr">
        <is>
          <t>Flooring</t>
        </is>
      </c>
      <c r="C13" s="98" t="n">
        <v>46195</v>
      </c>
      <c r="D13" s="98" t="n">
        <v>46215</v>
      </c>
      <c r="E13" s="47" t="n">
        <v>21</v>
      </c>
      <c r="F13" s="283" t="n">
        <v>0</v>
      </c>
      <c r="G13" s="50" t="n">
        <v>0</v>
      </c>
      <c r="H13" s="50" t="n">
        <v>1</v>
      </c>
      <c r="I13" s="2" t="inlineStr">
        <is>
          <t>Red</t>
        </is>
      </c>
      <c r="J13" s="131" t="inlineStr">
        <is>
          <t>WBS-07 / WBS-08</t>
        </is>
      </c>
    </row>
    <row r="14">
      <c r="A14" s="130" t="inlineStr">
        <is>
          <t>WBS-10</t>
        </is>
      </c>
      <c r="B14" s="2" t="inlineStr">
        <is>
          <t>Fixtures &amp; Furniture</t>
        </is>
      </c>
      <c r="C14" s="98" t="n">
        <v>46202</v>
      </c>
      <c r="D14" s="98" t="n">
        <v>46222</v>
      </c>
      <c r="E14" s="47" t="n">
        <v>21</v>
      </c>
      <c r="F14" s="283" t="n">
        <v>0</v>
      </c>
      <c r="G14" s="50" t="n">
        <v>0</v>
      </c>
      <c r="H14" s="50" t="n">
        <v>1</v>
      </c>
      <c r="I14" s="2" t="inlineStr">
        <is>
          <t>Red</t>
        </is>
      </c>
      <c r="J14" s="131" t="inlineStr">
        <is>
          <t>WBS-07 / WBS-08</t>
        </is>
      </c>
    </row>
    <row r="15">
      <c r="A15" s="130" t="inlineStr">
        <is>
          <t>WBS-11</t>
        </is>
      </c>
      <c r="B15" s="2" t="inlineStr">
        <is>
          <t>Testing / Commissioning</t>
        </is>
      </c>
      <c r="C15" s="98" t="n">
        <v>46216</v>
      </c>
      <c r="D15" s="98" t="n">
        <v>46229</v>
      </c>
      <c r="E15" s="47" t="n">
        <v>14</v>
      </c>
      <c r="F15" s="283" t="n">
        <v>0</v>
      </c>
      <c r="G15" s="50" t="n">
        <v>1</v>
      </c>
      <c r="H15" s="50" t="n">
        <v>1</v>
      </c>
      <c r="I15" s="2" t="inlineStr">
        <is>
          <t>Green</t>
        </is>
      </c>
      <c r="J15" s="131" t="inlineStr">
        <is>
          <t>WBS-09 / WBS-10</t>
        </is>
      </c>
    </row>
    <row r="16">
      <c r="A16" s="134" t="inlineStr">
        <is>
          <t>WBS-12</t>
        </is>
      </c>
      <c r="B16" s="135" t="inlineStr">
        <is>
          <t>Handover &amp; Closeout</t>
        </is>
      </c>
      <c r="C16" s="233" t="n">
        <v>46223</v>
      </c>
      <c r="D16" s="233" t="n">
        <v>46229</v>
      </c>
      <c r="E16" s="158" t="n">
        <v>7</v>
      </c>
      <c r="F16" s="285" t="n">
        <v>0</v>
      </c>
      <c r="G16" s="160" t="n">
        <v>1</v>
      </c>
      <c r="H16" s="160" t="n">
        <v>1</v>
      </c>
      <c r="I16" s="135" t="inlineStr">
        <is>
          <t>Green</t>
        </is>
      </c>
      <c r="J16" s="136" t="inlineStr">
        <is>
          <t>WBS-11</t>
        </is>
      </c>
    </row>
    <row r="17">
      <c r="C17" s="121" t="n"/>
      <c r="D17" s="121" t="n"/>
      <c r="E17" s="122" t="n"/>
      <c r="F17" s="307" t="n"/>
      <c r="G17" s="124" t="n"/>
      <c r="H17" s="124" t="n"/>
    </row>
    <row r="18">
      <c r="A18" s="237" t="inlineStr">
        <is>
          <t>Swimlane view below: dependencies flow left-to-right; each horizontal lane groups work by Task Plan type.</t>
        </is>
      </c>
    </row>
    <row r="19">
      <c r="C19" s="121" t="n"/>
      <c r="D19" s="121" t="n"/>
      <c r="E19" s="122" t="n"/>
      <c r="F19" s="307" t="n"/>
      <c r="G19" s="124" t="n"/>
      <c r="H19" s="124" t="n"/>
    </row>
    <row r="20">
      <c r="C20" s="121" t="n"/>
      <c r="D20" s="121" t="n"/>
      <c r="E20" s="122" t="n"/>
      <c r="F20" s="307" t="n"/>
      <c r="G20" s="124" t="n"/>
      <c r="H20" s="124" t="n"/>
    </row>
    <row r="21">
      <c r="C21" s="121" t="n"/>
      <c r="D21" s="121" t="n"/>
      <c r="E21" s="122" t="n"/>
      <c r="F21" s="307" t="n"/>
      <c r="G21" s="124" t="n"/>
      <c r="H21" s="124" t="n"/>
    </row>
    <row r="22">
      <c r="C22" s="121" t="n"/>
      <c r="D22" s="121" t="n"/>
      <c r="E22" s="122" t="n"/>
      <c r="F22" s="307" t="n"/>
      <c r="G22" s="124" t="n"/>
      <c r="H22" s="124" t="n"/>
    </row>
    <row r="23">
      <c r="C23" s="121" t="n"/>
      <c r="D23" s="121" t="n"/>
      <c r="E23" s="122" t="n"/>
      <c r="F23" s="307" t="n"/>
      <c r="G23" s="124" t="n"/>
      <c r="H23" s="124" t="n"/>
    </row>
  </sheetData>
  <mergeCells count="3">
    <mergeCell ref="A18:N18"/>
    <mergeCell ref="A2:N2"/>
    <mergeCell ref="A1:N1"/>
  </mergeCells>
  <conditionalFormatting sqref="I5:I16">
    <cfRule type="expression" priority="7" dxfId="35">
      <formula>ISNUMBER(SEARCH("Red",I5))</formula>
    </cfRule>
    <cfRule type="expression" priority="8" dxfId="34">
      <formula>ISNUMBER(SEARCH("Amber",I5))</formula>
    </cfRule>
    <cfRule type="expression" priority="9" dxfId="33">
      <formula>ISNUMBER(SEARCH("Green",I5))</formula>
    </cfRule>
  </conditionalFormatting>
  <conditionalFormatting sqref="L5:L8">
    <cfRule type="expression" priority="10" dxfId="35">
      <formula>ISNUMBER(SEARCH("Red",L5))</formula>
    </cfRule>
    <cfRule type="expression" priority="11" dxfId="34">
      <formula>ISNUMBER(SEARCH("Amber",L5))</formula>
    </cfRule>
    <cfRule type="expression" priority="12" dxfId="33">
      <formula>ISNUMBER(SEARCH("Green",L5))</formula>
    </cfRule>
  </conditionalFormatting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2026-08-04T11:57:05Z</dcterms:created>
  <dcterms:modified xmlns:dcterms="http://purl.org/dc/terms/" xmlns:xsi="http://www.w3.org/2001/XMLSchema-instance" xsi:type="dcterms:W3CDTF">2026-08-04T19:15:03Z</dcterms:modified>
  <cp:lastModifiedBy>Frank Ellingsen</cp:lastModifiedBy>
</cp:coreProperties>
</file>