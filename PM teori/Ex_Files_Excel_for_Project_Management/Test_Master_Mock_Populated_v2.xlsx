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nk\Desktop\Project Mng\PM teori\Ex_Files_Excel_for_Project_Management\"/>
    </mc:Choice>
  </mc:AlternateContent>
  <xr:revisionPtr revIDLastSave="0" documentId="13_ncr:1_{2BA4046E-B691-4C98-AB59-ACF9834C0834}" xr6:coauthVersionLast="47" xr6:coauthVersionMax="47" xr10:uidLastSave="{00000000-0000-0000-0000-000000000000}"/>
  <bookViews>
    <workbookView xWindow="-110" yWindow="-110" windowWidth="19420" windowHeight="10300" firstSheet="21" activeTab="24" xr2:uid="{00000000-000D-0000-FFFF-FFFF00000000}"/>
  </bookViews>
  <sheets>
    <sheet name="Cover" sheetId="1" r:id="rId1"/>
    <sheet name="Slicer Controls" sheetId="2" r:id="rId2"/>
    <sheet name="Glossary" sheetId="3" r:id="rId3"/>
    <sheet name="Review" sheetId="4" r:id="rId4"/>
    <sheet name="PID" sheetId="5" r:id="rId5"/>
    <sheet name="Method Roadmap" sheetId="6" r:id="rId6"/>
    <sheet name="PM-EVM Compliance" sheetId="7" r:id="rId7"/>
    <sheet name="Setup" sheetId="8" r:id="rId8"/>
    <sheet name="Task Plan" sheetId="9" r:id="rId9"/>
    <sheet name="Task Capture" sheetId="10" r:id="rId10"/>
    <sheet name="EVM Dashboard" sheetId="11" r:id="rId11"/>
    <sheet name="Red Actions" sheetId="12" r:id="rId12"/>
    <sheet name="Pivot Summary" sheetId="13" r:id="rId13"/>
    <sheet name="Resource Grid" sheetId="14" r:id="rId14"/>
    <sheet name="Dim_Project" sheetId="15" r:id="rId15"/>
    <sheet name="Dim_WBS" sheetId="16" r:id="rId16"/>
    <sheet name="Dim_Resource" sheetId="17" r:id="rId17"/>
    <sheet name="Dim_Calendar" sheetId="18" r:id="rId18"/>
    <sheet name="Fact_Baseline_PV" sheetId="19" r:id="rId19"/>
    <sheet name="Fact_Actual_Costs" sheetId="20" r:id="rId20"/>
    <sheet name="Fact_Physical_Progress" sheetId="21" r:id="rId21"/>
    <sheet name="EVM" sheetId="22" r:id="rId22"/>
    <sheet name="EVM Charts" sheetId="23" r:id="rId23"/>
    <sheet name="Simple Gantt Model" sheetId="24" r:id="rId24"/>
    <sheet name="PERT Diagram" sheetId="25" r:id="rId25"/>
  </sheets>
  <definedNames>
    <definedName name="Actual_Cost_Values" comment="Actual cost amount column.">tbl_Fact_Actual_Costs[Actual_Cost]</definedName>
    <definedName name="Actual_Hours_Values" comment="Actual hours column.">tbl_Fact_Actual_Costs[Hours_Worked]</definedName>
    <definedName name="Baseline_PV_Values" comment="Baseline planned value column.">tbl_Fact_Baseline_PV[Planned_Value]</definedName>
    <definedName name="Control_BAC" comment="Budget at Completion from the project dimension.">Dim_Project!$E$2</definedName>
    <definedName name="Control_CPI_SPI_Green" comment="CPI/SPI green threshold.">Setup!$B$13</definedName>
    <definedName name="Control_CPI_SPI_Red" comment="CPI/SPI red threshold.">Setup!$B$12</definedName>
    <definedName name="Control_Progress_Amber" comment="Progress amber threshold.">Setup!$B$14</definedName>
    <definedName name="Control_Progress_Green" comment="Progress green threshold.">Setup!$B$15</definedName>
    <definedName name="Control_Project_End" comment="Project baseline end date.">Dim_Project!$D$2</definedName>
    <definedName name="Control_Project_ID" comment="Project ID from the project dimension.">Dim_Project!$A$2</definedName>
    <definedName name="Control_Project_Name" comment="Project name from the project dimension.">Dim_Project!$B$2</definedName>
    <definedName name="Control_Project_Start" comment="Project baseline start date.">Dim_Project!$C$2</definedName>
    <definedName name="Control_Sector" comment="Project sector from the project dimension.">Dim_Project!$F$2</definedName>
    <definedName name="Control_Status_Date" comment="Workbook status date / reporting cut-off.">Setup!$B$9</definedName>
    <definedName name="Input_Actual_Costs" comment="Single actual costs fact table.">tbl_Fact_Actual_Costs[]</definedName>
    <definedName name="Input_Baseline_PV" comment="Single baseline planned value fact table.">tbl_Fact_Baseline_PV[]</definedName>
    <definedName name="Input_Calendar" comment="Single calendar/date dimension.">tbl_Dim_Calendar[]</definedName>
    <definedName name="Input_Physical_Progress" comment="Single physical progress fact table.">tbl_Fact_Physical_Progress[]</definedName>
    <definedName name="Input_Project" comment="Single project master record.">tbl_Dim_Project[]</definedName>
    <definedName name="Input_Resources" comment="Single resource master table.">tbl_Dim_Resource[]</definedName>
    <definedName name="Input_WBS" comment="Single WBS/activity master table.">tbl_Dim_WBS[]</definedName>
    <definedName name="Progress_Pct_Values" comment="Physical progress percentage column.">tbl_Fact_Physical_Progress[Physical_Progress_Pct]</definedName>
    <definedName name="Slicer_Category">#N/A</definedName>
    <definedName name="Slicer_Measure">#N/A</definedName>
    <definedName name="Slicer_Month_Name">#N/A</definedName>
    <definedName name="Slicer_Owner">#N/A</definedName>
    <definedName name="Slicer_Owner1">#N/A</definedName>
    <definedName name="Slicer_Owner2">#N/A</definedName>
    <definedName name="Slicer_RAG">#N/A</definedName>
    <definedName name="Slicer_RAG1">#N/A</definedName>
    <definedName name="Slicer_RAG2">#N/A</definedName>
    <definedName name="Slicer_RAG3">#N/A</definedName>
    <definedName name="Slicer_Resource_ID">#N/A</definedName>
    <definedName name="Slicer_Role">#N/A</definedName>
    <definedName name="Slicer_Status">#N/A</definedName>
    <definedName name="Slicer_Status1">#N/A</definedName>
    <definedName name="Slicer_Status2">#N/A</definedName>
    <definedName name="Slicer_Status3">#N/A</definedName>
    <definedName name="Slicer_Status4">#N/A</definedName>
    <definedName name="Slicer_Type">#N/A</definedName>
    <definedName name="Slicer_Type1">#N/A</definedName>
    <definedName name="Slicer_Type2">#N/A</definedName>
    <definedName name="Slicer_Type3">#N/A</definedName>
    <definedName name="Slicer_WBS_ID">#N/A</definedName>
    <definedName name="Slicer_WBS_ID1">#N/A</definedName>
    <definedName name="Slicer_WBS_ID2">#N/A</definedName>
    <definedName name="Slicer_WBS_ID3">#N/A</definedName>
    <definedName name="Slicer_WBS_ID4">#N/A</definedName>
    <definedName name="Slicer_Week">#N/A</definedName>
    <definedName name="Slicer_Week_Number">#N/A</definedName>
    <definedName name="WBS_Activities" comment="Activity names from the WBS master.">tbl_Dim_WBS[Activity_Name]</definedName>
    <definedName name="WBS_Budgets" comment="Activity budget list from the WBS master.">tbl_Dim_WBS[Total_Budget]</definedName>
    <definedName name="WBS_IDs" comment="WBS ID list from the WBS master.">tbl_Dim_WBS[WBS_ID]</definedName>
    <definedName name="WBS_Types" comment="Activity type list from the WBS master.">tbl_Dim_WBS[Type]</definedName>
  </definedNames>
  <calcPr calcId="191029"/>
  <pivotCaches>
    <pivotCache cacheId="38" r:id="rId26"/>
    <pivotCache cacheId="39" r:id="rId27"/>
    <pivotCache cacheId="40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4" l="1"/>
  <c r="F5" i="24"/>
  <c r="D5" i="24"/>
  <c r="B5" i="24"/>
  <c r="O3" i="23"/>
  <c r="O2" i="23"/>
  <c r="O1" i="23"/>
  <c r="H21" i="12"/>
  <c r="E21" i="12"/>
  <c r="C21" i="12"/>
  <c r="H20" i="12"/>
  <c r="E20" i="12"/>
  <c r="C20" i="12"/>
  <c r="H19" i="12"/>
  <c r="E19" i="12"/>
  <c r="C19" i="12"/>
  <c r="H18" i="12"/>
  <c r="E18" i="12"/>
  <c r="C18" i="12"/>
  <c r="H17" i="12"/>
  <c r="E17" i="12"/>
  <c r="C17" i="12"/>
  <c r="H16" i="12"/>
  <c r="E16" i="12"/>
  <c r="C16" i="12"/>
  <c r="H15" i="12"/>
  <c r="E15" i="12"/>
  <c r="C15" i="12"/>
  <c r="A7" i="11"/>
  <c r="H4" i="11"/>
  <c r="E4" i="11"/>
  <c r="B4" i="11"/>
  <c r="D16" i="10"/>
  <c r="C16" i="10"/>
  <c r="B16" i="10"/>
  <c r="A16" i="10"/>
  <c r="D15" i="10"/>
  <c r="C15" i="10"/>
  <c r="B15" i="10"/>
  <c r="A15" i="10"/>
  <c r="D14" i="10"/>
  <c r="C14" i="10"/>
  <c r="B14" i="10"/>
  <c r="A14" i="10"/>
  <c r="D13" i="10"/>
  <c r="C13" i="10"/>
  <c r="J13" i="10" s="1"/>
  <c r="B13" i="10"/>
  <c r="A13" i="10"/>
  <c r="J12" i="10"/>
  <c r="D12" i="10"/>
  <c r="C12" i="10"/>
  <c r="B12" i="10"/>
  <c r="A12" i="10"/>
  <c r="J11" i="10"/>
  <c r="D11" i="10"/>
  <c r="C11" i="10"/>
  <c r="B11" i="10"/>
  <c r="A11" i="10"/>
  <c r="D10" i="10"/>
  <c r="C10" i="10"/>
  <c r="B10" i="10"/>
  <c r="A10" i="10"/>
  <c r="D9" i="10"/>
  <c r="C9" i="10"/>
  <c r="J9" i="10" s="1"/>
  <c r="B9" i="10"/>
  <c r="A9" i="10"/>
  <c r="D8" i="10"/>
  <c r="C8" i="10"/>
  <c r="B8" i="10"/>
  <c r="A8" i="10"/>
  <c r="J7" i="10"/>
  <c r="D7" i="10"/>
  <c r="C7" i="10"/>
  <c r="B7" i="10"/>
  <c r="A7" i="10"/>
  <c r="I16" i="9"/>
  <c r="H16" i="9"/>
  <c r="F16" i="9"/>
  <c r="D16" i="9"/>
  <c r="C16" i="9"/>
  <c r="B16" i="9"/>
  <c r="A16" i="9"/>
  <c r="H15" i="9"/>
  <c r="F15" i="9"/>
  <c r="D15" i="9"/>
  <c r="C15" i="9"/>
  <c r="B15" i="9"/>
  <c r="A15" i="9"/>
  <c r="I15" i="9" s="1"/>
  <c r="L14" i="9"/>
  <c r="K14" i="9" a="1"/>
  <c r="K14" i="9" s="1"/>
  <c r="H14" i="9"/>
  <c r="F14" i="9"/>
  <c r="G14" i="9" s="1"/>
  <c r="E14" i="9"/>
  <c r="D14" i="9"/>
  <c r="C14" i="9"/>
  <c r="B14" i="9"/>
  <c r="A14" i="9"/>
  <c r="J14" i="9" s="1"/>
  <c r="J13" i="9"/>
  <c r="H13" i="9"/>
  <c r="E13" i="9"/>
  <c r="D13" i="9"/>
  <c r="C13" i="9"/>
  <c r="B13" i="9"/>
  <c r="A13" i="9"/>
  <c r="J12" i="9"/>
  <c r="H12" i="9"/>
  <c r="G12" i="9"/>
  <c r="F12" i="9"/>
  <c r="E12" i="9"/>
  <c r="D12" i="9"/>
  <c r="C12" i="9"/>
  <c r="B12" i="9"/>
  <c r="A12" i="9"/>
  <c r="K12" i="9" s="1" a="1"/>
  <c r="K12" i="9" s="1"/>
  <c r="K11" i="9" a="1"/>
  <c r="K11" i="9"/>
  <c r="L11" i="9" s="1"/>
  <c r="J11" i="9"/>
  <c r="N11" i="9" s="1"/>
  <c r="H11" i="9"/>
  <c r="E11" i="9"/>
  <c r="D11" i="9"/>
  <c r="C11" i="9"/>
  <c r="B11" i="9"/>
  <c r="A11" i="9"/>
  <c r="I11" i="9" s="1"/>
  <c r="J10" i="9"/>
  <c r="I10" i="9"/>
  <c r="H10" i="9"/>
  <c r="D10" i="9"/>
  <c r="C10" i="9"/>
  <c r="B10" i="9"/>
  <c r="A10" i="9"/>
  <c r="N9" i="9"/>
  <c r="K9" i="9" a="1"/>
  <c r="K9" i="9" s="1"/>
  <c r="L9" i="9" s="1"/>
  <c r="H9" i="9"/>
  <c r="G9" i="9"/>
  <c r="F9" i="9"/>
  <c r="E9" i="9"/>
  <c r="D9" i="9"/>
  <c r="C9" i="9"/>
  <c r="B9" i="9"/>
  <c r="A9" i="9"/>
  <c r="J9" i="9" s="1"/>
  <c r="H8" i="9"/>
  <c r="D8" i="9"/>
  <c r="C8" i="9"/>
  <c r="B8" i="9"/>
  <c r="A8" i="9"/>
  <c r="I8" i="9" s="1"/>
  <c r="P7" i="9"/>
  <c r="Q7" i="9" s="1"/>
  <c r="O7" i="9"/>
  <c r="N7" i="9"/>
  <c r="M7" i="9"/>
  <c r="K7" i="9" a="1"/>
  <c r="K7" i="9"/>
  <c r="L7" i="9" s="1"/>
  <c r="J7" i="9"/>
  <c r="I7" i="9"/>
  <c r="K6" i="9" a="1"/>
  <c r="K6" i="9" s="1"/>
  <c r="L6" i="9" s="1"/>
  <c r="J6" i="9"/>
  <c r="I6" i="9"/>
  <c r="K5" i="9" a="1"/>
  <c r="K5" i="9"/>
  <c r="J5" i="9"/>
  <c r="I5" i="9"/>
  <c r="F79" i="5"/>
  <c r="F78" i="5"/>
  <c r="F77" i="5"/>
  <c r="B9" i="5"/>
  <c r="B6" i="5"/>
  <c r="B5" i="5"/>
  <c r="B8" i="4"/>
  <c r="B6" i="4"/>
  <c r="B5" i="4"/>
  <c r="B4" i="4"/>
  <c r="L12" i="9" l="1"/>
  <c r="P14" i="9"/>
  <c r="Q14" i="9" s="1"/>
  <c r="N14" i="9"/>
  <c r="S7" i="9"/>
  <c r="R7" i="9"/>
  <c r="P6" i="9"/>
  <c r="Q6" i="9" s="1"/>
  <c r="N6" i="9"/>
  <c r="M6" i="9"/>
  <c r="P11" i="9"/>
  <c r="O11" i="9"/>
  <c r="M11" i="9"/>
  <c r="J5" i="10"/>
  <c r="J8" i="10"/>
  <c r="L5" i="9"/>
  <c r="O6" i="9"/>
  <c r="F8" i="9"/>
  <c r="F13" i="9"/>
  <c r="G13" i="9" s="1"/>
  <c r="K13" i="9" a="1"/>
  <c r="K13" i="9" s="1"/>
  <c r="L13" i="9" s="1"/>
  <c r="I13" i="9"/>
  <c r="E16" i="9"/>
  <c r="K16" i="9" a="1"/>
  <c r="K16" i="9" s="1"/>
  <c r="L16" i="9" s="1"/>
  <c r="J16" i="9"/>
  <c r="T7" i="9"/>
  <c r="H17" i="9"/>
  <c r="P9" i="9"/>
  <c r="L10" i="9"/>
  <c r="B9" i="13"/>
  <c r="J14" i="10"/>
  <c r="J16" i="10"/>
  <c r="J6" i="10"/>
  <c r="E8" i="9"/>
  <c r="J15" i="10"/>
  <c r="K8" i="9" a="1"/>
  <c r="K8" i="9" s="1"/>
  <c r="L8" i="9" s="1"/>
  <c r="J8" i="9"/>
  <c r="J10" i="10"/>
  <c r="G16" i="9"/>
  <c r="I9" i="9"/>
  <c r="O9" i="9" s="1"/>
  <c r="F10" i="9"/>
  <c r="G10" i="9" s="1"/>
  <c r="E10" i="9"/>
  <c r="K10" i="9" a="1"/>
  <c r="K10" i="9" s="1"/>
  <c r="E15" i="9"/>
  <c r="G15" i="9" s="1"/>
  <c r="K15" i="9" a="1"/>
  <c r="K15" i="9" s="1"/>
  <c r="L15" i="9" s="1"/>
  <c r="J15" i="9"/>
  <c r="F11" i="9"/>
  <c r="G11" i="9" s="1"/>
  <c r="I12" i="9"/>
  <c r="I14" i="9"/>
  <c r="O14" i="9" s="1"/>
  <c r="M15" i="9" l="1"/>
  <c r="N15" i="9"/>
  <c r="P15" i="9"/>
  <c r="Q15" i="9" s="1"/>
  <c r="O15" i="9"/>
  <c r="O8" i="9"/>
  <c r="N8" i="9"/>
  <c r="M8" i="9"/>
  <c r="P8" i="9"/>
  <c r="Q8" i="9" s="1"/>
  <c r="G8" i="9"/>
  <c r="G17" i="9"/>
  <c r="R14" i="9"/>
  <c r="S14" i="9"/>
  <c r="K17" i="9"/>
  <c r="Q11" i="9"/>
  <c r="T11" i="9"/>
  <c r="P12" i="9"/>
  <c r="Q12" i="9" s="1"/>
  <c r="O12" i="9"/>
  <c r="M12" i="9"/>
  <c r="N12" i="9"/>
  <c r="I17" i="9"/>
  <c r="O16" i="9"/>
  <c r="N16" i="9"/>
  <c r="T16" i="9" s="1"/>
  <c r="M16" i="9"/>
  <c r="P16" i="9"/>
  <c r="Q16" i="9" s="1"/>
  <c r="N13" i="9"/>
  <c r="M13" i="9"/>
  <c r="P13" i="9"/>
  <c r="Q13" i="9" s="1"/>
  <c r="O13" i="9"/>
  <c r="M14" i="9"/>
  <c r="M10" i="9"/>
  <c r="P10" i="9"/>
  <c r="Q10" i="9" s="1"/>
  <c r="O10" i="9"/>
  <c r="N10" i="9"/>
  <c r="T10" i="9" s="1"/>
  <c r="D30" i="11"/>
  <c r="M9" i="9"/>
  <c r="Q9" i="9"/>
  <c r="T9" i="9"/>
  <c r="D9" i="13"/>
  <c r="N5" i="9"/>
  <c r="M5" i="9"/>
  <c r="M17" i="9" s="1"/>
  <c r="L17" i="9"/>
  <c r="P5" i="9"/>
  <c r="O5" i="9"/>
  <c r="E9" i="13" s="1"/>
  <c r="J17" i="9"/>
  <c r="T6" i="9"/>
  <c r="S6" i="9"/>
  <c r="R6" i="9"/>
  <c r="C9" i="13"/>
  <c r="T14" i="9"/>
  <c r="F9" i="13" l="1"/>
  <c r="Q5" i="9"/>
  <c r="R13" i="9"/>
  <c r="S13" i="9"/>
  <c r="R11" i="9"/>
  <c r="S11" i="9"/>
  <c r="S8" i="9"/>
  <c r="R8" i="9"/>
  <c r="P17" i="9"/>
  <c r="H30" i="11"/>
  <c r="O17" i="9"/>
  <c r="J7" i="11"/>
  <c r="R10" i="9"/>
  <c r="S10" i="9"/>
  <c r="J13" i="11"/>
  <c r="G30" i="11"/>
  <c r="T8" i="9"/>
  <c r="D10" i="11"/>
  <c r="J30" i="11"/>
  <c r="T13" i="9"/>
  <c r="R12" i="9"/>
  <c r="S12" i="9"/>
  <c r="N17" i="9"/>
  <c r="T5" i="9"/>
  <c r="T12" i="9"/>
  <c r="R15" i="9"/>
  <c r="S15" i="9"/>
  <c r="S16" i="9"/>
  <c r="R16" i="9"/>
  <c r="T15" i="9"/>
  <c r="E30" i="11"/>
  <c r="D7" i="11"/>
  <c r="G7" i="11"/>
  <c r="F30" i="11"/>
  <c r="R9" i="9"/>
  <c r="S9" i="9"/>
  <c r="S5" i="9" l="1"/>
  <c r="G9" i="13" s="1"/>
  <c r="R5" i="9"/>
  <c r="L30" i="11"/>
  <c r="J10" i="11"/>
  <c r="G10" i="12"/>
  <c r="A9" i="13"/>
  <c r="C10" i="12"/>
  <c r="A10" i="12"/>
  <c r="E10" i="12"/>
  <c r="Q17" i="9"/>
  <c r="K30" i="11"/>
  <c r="G10" i="11"/>
  <c r="A10" i="11"/>
  <c r="T17" i="9"/>
  <c r="P30" i="11" s="1"/>
  <c r="I30" i="11"/>
  <c r="M30" i="11" l="1"/>
  <c r="A13" i="11"/>
  <c r="R17" i="9"/>
  <c r="S17" i="9"/>
  <c r="N30" i="11" l="1"/>
  <c r="D13" i="11"/>
  <c r="G13" i="11"/>
  <c r="O30" i="11"/>
</calcChain>
</file>

<file path=xl/sharedStrings.xml><?xml version="1.0" encoding="utf-8"?>
<sst xmlns="http://schemas.openxmlformats.org/spreadsheetml/2006/main" count="2293" uniqueCount="983">
  <si>
    <t>Swimlane PERT Diagram — Office Fit-Out</t>
  </si>
  <si>
    <t>PERT network grouped into swimlanes by Task Plan type: Labor, Material, and Subcontractor. Status date: 2026-06-30. Node colors use the workbook RAG status.</t>
  </si>
  <si>
    <t>WBS ID</t>
  </si>
  <si>
    <t>Activity</t>
  </si>
  <si>
    <t>Baseline Start</t>
  </si>
  <si>
    <t>Baseline Finish</t>
  </si>
  <si>
    <t>Duration</t>
  </si>
  <si>
    <t>Progress</t>
  </si>
  <si>
    <t>SPI</t>
  </si>
  <si>
    <t>CPI</t>
  </si>
  <si>
    <t>RAG</t>
  </si>
  <si>
    <t>Inferred predecessor(s)</t>
  </si>
  <si>
    <t>Visio-style PERT Legend</t>
  </si>
  <si>
    <t>Column1</t>
  </si>
  <si>
    <t>Column2</t>
  </si>
  <si>
    <t>A1</t>
  </si>
  <si>
    <t>Conceptual Design</t>
  </si>
  <si>
    <t>Predecessors</t>
  </si>
  <si>
    <t>Green</t>
  </si>
  <si>
    <t>On track</t>
  </si>
  <si>
    <t>CPI/SPI/variance favorable</t>
  </si>
  <si>
    <t>A2</t>
  </si>
  <si>
    <t>Detail Drafting</t>
  </si>
  <si>
    <t>Amber</t>
  </si>
  <si>
    <t>Watch</t>
  </si>
  <si>
    <t>Near threshold</t>
  </si>
  <si>
    <t>WBS-03</t>
  </si>
  <si>
    <t>Design &amp; Engineering</t>
  </si>
  <si>
    <t>START</t>
  </si>
  <si>
    <t>Red</t>
  </si>
  <si>
    <t>Action</t>
  </si>
  <si>
    <t>Behind plan / overrun</t>
  </si>
  <si>
    <t>WBS-04</t>
  </si>
  <si>
    <t>Procurement - Materials</t>
  </si>
  <si>
    <t>WBS-02 / WBS-03</t>
  </si>
  <si>
    <t>Gray</t>
  </si>
  <si>
    <t>Start / Finish</t>
  </si>
  <si>
    <t>Network endpoints</t>
  </si>
  <si>
    <t>WBS-05</t>
  </si>
  <si>
    <t>Demolition &amp; Prep</t>
  </si>
  <si>
    <t>WBS-06</t>
  </si>
  <si>
    <t>Electrical Rough-In</t>
  </si>
  <si>
    <t>WBS-04 / WBS-05</t>
  </si>
  <si>
    <t>WBS-07</t>
  </si>
  <si>
    <t>HVAC Installation</t>
  </si>
  <si>
    <t>WBS-08</t>
  </si>
  <si>
    <t>Partitions &amp; Drywall</t>
  </si>
  <si>
    <t>WBS-09</t>
  </si>
  <si>
    <t>Flooring</t>
  </si>
  <si>
    <t>WBS-07 / WBS-08</t>
  </si>
  <si>
    <t>WBS-10</t>
  </si>
  <si>
    <t>Fixtures &amp; Furniture</t>
  </si>
  <si>
    <t>WBS-11</t>
  </si>
  <si>
    <t>Testing / Commissioning</t>
  </si>
  <si>
    <t>WBS-09 / WBS-10</t>
  </si>
  <si>
    <t>WBS-12</t>
  </si>
  <si>
    <t>Handover &amp; Closeout</t>
  </si>
  <si>
    <t>Swimlane view below: dependencies flow left-to-right; each horizontal lane groups work by Task Plan type.</t>
  </si>
  <si>
    <t>Office Fit-Out Project Control Workbook</t>
  </si>
  <si>
    <t>PM-EVM compliant workbook map: setup controls, task plan, Gantt, EVM S-curve, dashboard, source dimensions, and fact tables.</t>
  </si>
  <si>
    <t>Sheet</t>
  </si>
  <si>
    <t>Purpose</t>
  </si>
  <si>
    <t>Tab Color Legend</t>
  </si>
  <si>
    <t>Setup</t>
  </si>
  <si>
    <t>Project-level controls: project metadata, status date, reporting period, and RAG thresholds.</t>
  </si>
  <si>
    <t>Color</t>
  </si>
  <si>
    <t>Category</t>
  </si>
  <si>
    <t>Sheets</t>
  </si>
  <si>
    <t>Task Plan</t>
  </si>
  <si>
    <t>Integrated WBS/task control table linking baseline dates, BAC, progress, AC, EV, variances, forecasts, and RAG status.</t>
  </si>
  <si>
    <t>Navigation / Reference</t>
  </si>
  <si>
    <t>Cover, Glossary</t>
  </si>
  <si>
    <t>EVM</t>
  </si>
  <si>
    <t>Weekly EVM reporting table with cumulative PV, AC, EV, SV, CV, SPI, CPI, EAC, ETC, and VAC.</t>
  </si>
  <si>
    <t>Method / Governance</t>
  </si>
  <si>
    <t>Method Roadmap, PID, PM-EVM Compliance, Review</t>
  </si>
  <si>
    <t>EVM Charts</t>
  </si>
  <si>
    <t>Baseline Gantt schedule and EVM S-curve generated from the same WBS, budget, progress, and actual-cost data.</t>
  </si>
  <si>
    <t xml:space="preserve"> </t>
  </si>
  <si>
    <t>Controls / Planning</t>
  </si>
  <si>
    <t>Setup, Task Plan, Task Capture, Resource Grid</t>
  </si>
  <si>
    <t>EVM Dashboard</t>
  </si>
  <si>
    <t>Management view with KPI tiles, WBS performance breakdown, trends, and RAG coloring.</t>
  </si>
  <si>
    <t>Management Outputs</t>
  </si>
  <si>
    <t>EVM Dashboard, EVM, EVM Charts</t>
  </si>
  <si>
    <t>PM-EVM Compliance</t>
  </si>
  <si>
    <t>Checklist mapping the workbook to the attached PM-EVM guideline.</t>
  </si>
  <si>
    <t>Dimension Data</t>
  </si>
  <si>
    <t>Dim_Project, Dim_WBS, Dim_Resource, Dim_Calendar</t>
  </si>
  <si>
    <t>Dim_* / Fact_*</t>
  </si>
  <si>
    <t>Star-schema source data used by the live formulas and charts.</t>
  </si>
  <si>
    <t>Fact Data</t>
  </si>
  <si>
    <t>Fact_Baseline_PV, Fact_Actual_Costs, Fact_Physical_Progress</t>
  </si>
  <si>
    <t>Glossary</t>
  </si>
  <si>
    <t>Definitions for the EVM, WBS, Gantt, schedule, cost, RAG, and data-model terms used in the workbook.</t>
  </si>
  <si>
    <t>Method Roadmap</t>
  </si>
  <si>
    <t>12-step project management method mapped to workbook sheets and current project controls.</t>
  </si>
  <si>
    <t>Input / Control / Output Classification</t>
  </si>
  <si>
    <t>PID</t>
  </si>
  <si>
    <t>Project Initiation Document template with business case, scope, controls, risk and financial sections.</t>
  </si>
  <si>
    <t>Class</t>
  </si>
  <si>
    <t>Meaning</t>
  </si>
  <si>
    <t>Task Capture</t>
  </si>
  <si>
    <t>Task-list brainstorming sheet based on the attached list-the-tasks method, linked to current WBS.</t>
  </si>
  <si>
    <t>Input</t>
  </si>
  <si>
    <t>Source data or user-entered templates that feed calculations.</t>
  </si>
  <si>
    <t>Dim_Project, Dim_WBS, Dim_Resource, Dim_Calendar, Fact_Baseline_PV, Fact_Actual_Costs, Fact_Physical_Progress, PID, Task Capture, Review</t>
  </si>
  <si>
    <t>Resource Grid</t>
  </si>
  <si>
    <t>Weekly hours/cost resource allocation grid adapted from the attached Gantt template.</t>
  </si>
  <si>
    <t>Control</t>
  </si>
  <si>
    <t>Assumptions, governance, validation, methods, and planning logic that manage how inputs are interpreted.</t>
  </si>
  <si>
    <t>Setup, Method Roadmap, PM-EVM Compliance, Task Plan, Resource Grid</t>
  </si>
  <si>
    <t>Review</t>
  </si>
  <si>
    <t>GOOD / BAD / BETTER review template and action log.</t>
  </si>
  <si>
    <t>Output</t>
  </si>
  <si>
    <t>Management-facing reports, charts, dashboards, and reference views produced from inputs and controls.</t>
  </si>
  <si>
    <t>Cover, Glossary, EVM Dashboard, EVM, EVM Charts</t>
  </si>
  <si>
    <t>Garden Gantt Model</t>
  </si>
  <si>
    <t>Attached garden-office Gantt template implemented with current project weekly hours and cost data.</t>
  </si>
  <si>
    <t>PERT Diagram</t>
  </si>
  <si>
    <t>Visio-style PERT network diagram reflecting the current WBS, schedule, progress and RAG status.</t>
  </si>
  <si>
    <t>Reason</t>
  </si>
  <si>
    <t>Red Actions</t>
  </si>
  <si>
    <t>Recommended recovery actions for all current red RAG WBS items and control risks.</t>
  </si>
  <si>
    <t>Cover</t>
  </si>
  <si>
    <t>Workbook navigation and summary.</t>
  </si>
  <si>
    <t>Pivot Summary</t>
  </si>
  <si>
    <t>High-level PivotTables and descriptive statistics for project cost, schedule, EVM, and RAG performance.</t>
  </si>
  <si>
    <t>Dim_Project</t>
  </si>
  <si>
    <t>Dim_WBS</t>
  </si>
  <si>
    <t>Dim_Resource</t>
  </si>
  <si>
    <t>Dim_Calendar</t>
  </si>
  <si>
    <t>Fact_Baseline_PV</t>
  </si>
  <si>
    <t>Fact_Actual_Costs</t>
  </si>
  <si>
    <t>Fact_Physical_Progress</t>
  </si>
  <si>
    <t>Workbook Slicer Controls</t>
  </si>
  <si>
    <t>Use this panel to filter the source Excel Tables directly. Slicers are grouped by reporting outputs, source inputs, and governance/control tables.</t>
  </si>
  <si>
    <t>MANAGEMENT OUTPUTS</t>
  </si>
  <si>
    <t>SOURCE INPUTS</t>
  </si>
  <si>
    <t>GOVERNANCE / CONTROL</t>
  </si>
  <si>
    <t>Slicer name</t>
  </si>
  <si>
    <t>Source area</t>
  </si>
  <si>
    <t>Field</t>
  </si>
  <si>
    <t>Caption</t>
  </si>
  <si>
    <t>slc_Dashboard_Status</t>
  </si>
  <si>
    <t>Dashboard</t>
  </si>
  <si>
    <t>Status</t>
  </si>
  <si>
    <t>Dashboard: Status</t>
  </si>
  <si>
    <t>slc_Dashboard_Type</t>
  </si>
  <si>
    <t>Type</t>
  </si>
  <si>
    <t>Dashboard: Type</t>
  </si>
  <si>
    <t>slc_TaskPlan_Status</t>
  </si>
  <si>
    <t>Task Plan: Status</t>
  </si>
  <si>
    <t>slc_TaskPlan_Type</t>
  </si>
  <si>
    <t>Task Plan: Type</t>
  </si>
  <si>
    <t>slc_TaskPlan_WBSID</t>
  </si>
  <si>
    <t>Task Plan: WBS ID</t>
  </si>
  <si>
    <t>slc_EVM_Status</t>
  </si>
  <si>
    <t>EVM: Status</t>
  </si>
  <si>
    <t>slc_EVM_Week</t>
  </si>
  <si>
    <t>Week</t>
  </si>
  <si>
    <t>EVM: Week</t>
  </si>
  <si>
    <t>slc_PERT_RAG</t>
  </si>
  <si>
    <t>PERT</t>
  </si>
  <si>
    <t>PERT: RAG</t>
  </si>
  <si>
    <t>slc_Resource_Measure</t>
  </si>
  <si>
    <t>Measure</t>
  </si>
  <si>
    <t>Resource Grid: Measure</t>
  </si>
  <si>
    <t>slc_Resource_RAG</t>
  </si>
  <si>
    <t>Resource Grid: RAG</t>
  </si>
  <si>
    <t>slc_Calendar_Month</t>
  </si>
  <si>
    <t>Calendar</t>
  </si>
  <si>
    <t>Month</t>
  </si>
  <si>
    <t>Calendar: Month</t>
  </si>
  <si>
    <t>slc_Calendar_Week</t>
  </si>
  <si>
    <t>Calendar: Week</t>
  </si>
  <si>
    <t>slc_DimResource_Role</t>
  </si>
  <si>
    <t>Resources</t>
  </si>
  <si>
    <t>Role</t>
  </si>
  <si>
    <t>Resources: Role</t>
  </si>
  <si>
    <t>slc_DimWBS_Type</t>
  </si>
  <si>
    <t>WBS Master</t>
  </si>
  <si>
    <t>WBS Master: Type</t>
  </si>
  <si>
    <t>slc_DimWBS_WBSID</t>
  </si>
  <si>
    <t>WBS Master: WBS ID</t>
  </si>
  <si>
    <t>slc_ActualCosts_ResourceID</t>
  </si>
  <si>
    <t>Actual Costs</t>
  </si>
  <si>
    <t>Resource</t>
  </si>
  <si>
    <t>Actual Costs: Resource</t>
  </si>
  <si>
    <t>slc_ActualCosts_WBSID</t>
  </si>
  <si>
    <t>Actual Costs: WBS ID</t>
  </si>
  <si>
    <t>slc_BaselinePV_WBSID</t>
  </si>
  <si>
    <t>Baseline PV</t>
  </si>
  <si>
    <t>Baseline PV: WBS ID</t>
  </si>
  <si>
    <t>slc_Progress_WBSID</t>
  </si>
  <si>
    <t>Progress: WBS ID</t>
  </si>
  <si>
    <t>slc_TaskCapture_Type</t>
  </si>
  <si>
    <t>Task Capture: Type</t>
  </si>
  <si>
    <t>slc_Method_Status</t>
  </si>
  <si>
    <t>Method Roadmap: Status</t>
  </si>
  <si>
    <t>slc_PIDRisk_Owner</t>
  </si>
  <si>
    <t>PID Risks</t>
  </si>
  <si>
    <t>Owner</t>
  </si>
  <si>
    <t>PID Risks: Owner</t>
  </si>
  <si>
    <t>slc_PIDRisk_RAG</t>
  </si>
  <si>
    <t>PID Risks: RAG</t>
  </si>
  <si>
    <t>slc_Review_Owner</t>
  </si>
  <si>
    <t>Review Actions</t>
  </si>
  <si>
    <t>Review Actions: Owner</t>
  </si>
  <si>
    <t>slc_Review_RAG</t>
  </si>
  <si>
    <t>Review Actions: RAG</t>
  </si>
  <si>
    <t>slc_Compliance_Status</t>
  </si>
  <si>
    <t>PM-EVM</t>
  </si>
  <si>
    <t>PM-EVM: Status</t>
  </si>
  <si>
    <t>slc_Glossary_Category</t>
  </si>
  <si>
    <t>Glossary: Category</t>
  </si>
  <si>
    <t>slc_Method_Owner</t>
  </si>
  <si>
    <t>Method Roadmap: Owner</t>
  </si>
  <si>
    <t>Project Control Glossary</t>
  </si>
  <si>
    <t>Definitions for the EVM, WBS, Gantt, schedule, cost, and RAG terms used across this workbook.</t>
  </si>
  <si>
    <t>Term</t>
  </si>
  <si>
    <t>Abbrev.</t>
  </si>
  <si>
    <t>Definition</t>
  </si>
  <si>
    <t>Workbook reference</t>
  </si>
  <si>
    <t>Project setup</t>
  </si>
  <si>
    <t>Project Start</t>
  </si>
  <si>
    <t>Approved start date for the project control baseline.</t>
  </si>
  <si>
    <t>Setup!B7 / Dim_Project!C2</t>
  </si>
  <si>
    <t>Project End</t>
  </si>
  <si>
    <t>Approved planned end date for the project.</t>
  </si>
  <si>
    <t>Setup!B8 / Dim_Project!D2</t>
  </si>
  <si>
    <t>Status Date</t>
  </si>
  <si>
    <t>Cut-off date for reported progress, actual costs, and EVM metrics.</t>
  </si>
  <si>
    <t>Setup!B9 / EVM Dashboard!B4</t>
  </si>
  <si>
    <t>Scope / WBS</t>
  </si>
  <si>
    <t>Work Breakdown Structure</t>
  </si>
  <si>
    <t>WBS</t>
  </si>
  <si>
    <t>Hierarchical breakdown of project scope into controllable work packages or activities.</t>
  </si>
  <si>
    <t>Dim_WBS / Task Plan</t>
  </si>
  <si>
    <t>Unique identifier used to connect WBS activities to baseline PV, actual costs, and progress facts.</t>
  </si>
  <si>
    <t>Dim_WBS!A:A</t>
  </si>
  <si>
    <t>Activity / Task</t>
  </si>
  <si>
    <t>A controllable unit of project work with budget, schedule, progress, and cost tracking.</t>
  </si>
  <si>
    <t>Task Plan!C:C</t>
  </si>
  <si>
    <t>Schedule</t>
  </si>
  <si>
    <t>Planned start date for a WBS activity from the approved baseline.</t>
  </si>
  <si>
    <t>Task Plan!E:E</t>
  </si>
  <si>
    <t>Planned finish date for a WBS activity from the approved baseline.</t>
  </si>
  <si>
    <t>Task Plan!F:F</t>
  </si>
  <si>
    <t>Duration Days</t>
  </si>
  <si>
    <t>Calendar-day span between baseline start and finish dates.</t>
  </si>
  <si>
    <t>Task Plan!G:G</t>
  </si>
  <si>
    <t>Gantt Chart</t>
  </si>
  <si>
    <t>Timeline chart showing planned activity timing and duration by WBS activity.</t>
  </si>
  <si>
    <t>EVM Charts!Gantt Schedule</t>
  </si>
  <si>
    <t>Cost / EVM</t>
  </si>
  <si>
    <t>Budget at Completion</t>
  </si>
  <si>
    <t>BAC</t>
  </si>
  <si>
    <t>Approved total budget for the project or WBS activity.</t>
  </si>
  <si>
    <t>Setup!B11 / Task Plan!H:H</t>
  </si>
  <si>
    <t>Planned Value</t>
  </si>
  <si>
    <t>PV</t>
  </si>
  <si>
    <t>Budgeted value of work planned to be complete by a given date.</t>
  </si>
  <si>
    <t>Task Plan!I:I / EVM!C:C</t>
  </si>
  <si>
    <t>Actual Cost</t>
  </si>
  <si>
    <t>AC</t>
  </si>
  <si>
    <t>Actual cost incurred by a given date.</t>
  </si>
  <si>
    <t>Task Plan!J:J / EVM!D:D</t>
  </si>
  <si>
    <t>Physical Progress</t>
  </si>
  <si>
    <t>Progress %</t>
  </si>
  <si>
    <t>Latest reported percent complete for each WBS activity as of the status date.</t>
  </si>
  <si>
    <t>Task Plan!K:K</t>
  </si>
  <si>
    <t>Earned Value</t>
  </si>
  <si>
    <t>EV</t>
  </si>
  <si>
    <t>Budgeted value of the work actually completed; calculated as BAC × progress.</t>
  </si>
  <si>
    <t>Task Plan!L:L / EVM!E:E</t>
  </si>
  <si>
    <t>Variance</t>
  </si>
  <si>
    <t>Schedule Variance</t>
  </si>
  <si>
    <t>SV</t>
  </si>
  <si>
    <t>EV minus PV; negative means less work completed than planned.</t>
  </si>
  <si>
    <t>Task Plan!M:M / EVM!F:F</t>
  </si>
  <si>
    <t>Cost Variance</t>
  </si>
  <si>
    <t>CV</t>
  </si>
  <si>
    <t>EV minus AC; negative means cost overrun for completed work.</t>
  </si>
  <si>
    <t>Task Plan!N:N / EVM!G:G</t>
  </si>
  <si>
    <t>Performance index</t>
  </si>
  <si>
    <t>Schedule Performance Index</t>
  </si>
  <si>
    <t>EV divided by PV; below 1.0 indicates unfavorable schedule efficiency.</t>
  </si>
  <si>
    <t>Task Plan!O:O / EVM!H:H</t>
  </si>
  <si>
    <t>Cost Performance Index</t>
  </si>
  <si>
    <t>EV divided by AC; below 1.0 indicates unfavorable cost efficiency.</t>
  </si>
  <si>
    <t>Task Plan!P:P / EVM!I:I</t>
  </si>
  <si>
    <t>Forecast</t>
  </si>
  <si>
    <t>Estimate at Completion</t>
  </si>
  <si>
    <t>EAC</t>
  </si>
  <si>
    <t>Forecast final project or WBS cost, typically BAC divided by CPI.</t>
  </si>
  <si>
    <t>Task Plan!Q:Q / EVM!K:K</t>
  </si>
  <si>
    <t>Estimate to Complete</t>
  </si>
  <si>
    <t>ETC</t>
  </si>
  <si>
    <t>Forecast remaining cost to complete the work; EAC minus AC.</t>
  </si>
  <si>
    <t>Task Plan!R:R / EVM!L:L</t>
  </si>
  <si>
    <t>Variance at Completion</t>
  </si>
  <si>
    <t>VAC</t>
  </si>
  <si>
    <t>Expected budget variance at completion; BAC minus EAC.</t>
  </si>
  <si>
    <t>Task Plan!S:S / EVM!M:M</t>
  </si>
  <si>
    <t>Chart</t>
  </si>
  <si>
    <t>EVM S-Curve</t>
  </si>
  <si>
    <t>Line chart comparing cumulative PV, EV, and AC over time.</t>
  </si>
  <si>
    <t>EVM Charts!EVM S-Curve</t>
  </si>
  <si>
    <t>Good condition: on/above plan, favorable variance, or acceptable performance threshold.</t>
  </si>
  <si>
    <t>Setup!A18:D18</t>
  </si>
  <si>
    <t>Watch condition: close to threshold or mid-progress; monitor closely.</t>
  </si>
  <si>
    <t>Setup!A19:D19</t>
  </si>
  <si>
    <t>Action condition: negative variance, low progress, CPI/SPI below threshold, or overrun.</t>
  </si>
  <si>
    <t>Setup!A20:D20</t>
  </si>
  <si>
    <t>Reporting</t>
  </si>
  <si>
    <t>Management summary view showing KPIs, WBS performance, trend data, and RAG status.</t>
  </si>
  <si>
    <t>EVM Dashboard!A1:P47</t>
  </si>
  <si>
    <t>Tie-out</t>
  </si>
  <si>
    <t>Validation that dashboard KPIs match the detailed EVM reporting table at the status date.</t>
  </si>
  <si>
    <t>EVM!H19:M25</t>
  </si>
  <si>
    <t>Data model</t>
  </si>
  <si>
    <t>Dimension Table</t>
  </si>
  <si>
    <t>Dim</t>
  </si>
  <si>
    <t>Reference table describing projects, WBS, resources, or calendar dates.</t>
  </si>
  <si>
    <t>Dim_Project / Dim_WBS / Dim_Resource / Dim_Calendar</t>
  </si>
  <si>
    <t>Fact Table</t>
  </si>
  <si>
    <t>Fact</t>
  </si>
  <si>
    <t>Transaction or event table containing planned values, actual costs, or progress observations.</t>
  </si>
  <si>
    <t>Fact_Baseline_PV / Fact_Actual_Costs / Fact_Physical_Progress</t>
  </si>
  <si>
    <t>Workbook classification</t>
  </si>
  <si>
    <t>Source data or user-entered content that feeds project calculations and reports.</t>
  </si>
  <si>
    <t>Cover!D13:H39</t>
  </si>
  <si>
    <t>Assumptions, thresholds, validation, governance, and planning logic used to interpret inputs.</t>
  </si>
  <si>
    <t>Reports, charts, dashboards, and references produced from the input data and control logic.</t>
  </si>
  <si>
    <t>Project Review &amp; Lessons</t>
  </si>
  <si>
    <t>Review template from attachment: GOOD / BAD / BETTER plus action log for plan adjustments and lessons learned.</t>
  </si>
  <si>
    <t>Project Description</t>
  </si>
  <si>
    <t>Project Period</t>
  </si>
  <si>
    <t>Review Owner</t>
  </si>
  <si>
    <t>Frank Ellingsen</t>
  </si>
  <si>
    <t>Review Date</t>
  </si>
  <si>
    <t>GOOD — what went well that others should repeat?</t>
  </si>
  <si>
    <t>BAD — what mistakes were made or unexpected issues occurred?</t>
  </si>
  <si>
    <t>BETTER / ACTION LOG</t>
  </si>
  <si>
    <t>Due date</t>
  </si>
  <si>
    <t>Decision required?</t>
  </si>
  <si>
    <t>Linked workbook evidence</t>
  </si>
  <si>
    <t>ACT-01</t>
  </si>
  <si>
    <t>2026-09-10</t>
  </si>
  <si>
    <t>Verify steel delivery delay impact</t>
  </si>
  <si>
    <t>Alex Smith</t>
  </si>
  <si>
    <t>High</t>
  </si>
  <si>
    <t>Open</t>
  </si>
  <si>
    <t>Review cost efficiency and current EAC forecast</t>
  </si>
  <si>
    <t>Project Controls</t>
  </si>
  <si>
    <t>Yes</t>
  </si>
  <si>
    <t>EVM Dashboard!G10 / Task Plan!Q17</t>
  </si>
  <si>
    <t>Confirm mitigation for red WBS activities in Gantt</t>
  </si>
  <si>
    <t>Project Manager</t>
  </si>
  <si>
    <t>Check future material/subcontractor dependencies</t>
  </si>
  <si>
    <t>Planner</t>
  </si>
  <si>
    <t>No</t>
  </si>
  <si>
    <t>Task Plan / Resource Grid</t>
  </si>
  <si>
    <t>Capture lessons from completed WBS items</t>
  </si>
  <si>
    <t>Project Team</t>
  </si>
  <si>
    <t>Task Capture / Review</t>
  </si>
  <si>
    <t>Review source</t>
  </si>
  <si>
    <t>13.1.2 Review Template.pdf</t>
  </si>
  <si>
    <t>Project Initiation Document (PID)</t>
  </si>
  <si>
    <t>PID template from the attached method, prefilled with current workbook metadata where available. Fill yellow cells during project definition.</t>
  </si>
  <si>
    <t>Project header</t>
  </si>
  <si>
    <t>Project Name</t>
  </si>
  <si>
    <t>Project Number</t>
  </si>
  <si>
    <t>Project Risk Level</t>
  </si>
  <si>
    <t>H/M/L</t>
  </si>
  <si>
    <t>Prepared by</t>
  </si>
  <si>
    <t>Date</t>
  </si>
  <si>
    <t>Persons consulted</t>
  </si>
  <si>
    <t>Key Driver</t>
  </si>
  <si>
    <t>Cost / Quality / Time</t>
  </si>
  <si>
    <t>1. Business Case</t>
  </si>
  <si>
    <t>Why this project; why now; options considered; what if we do not do it; benefits; payback period.</t>
  </si>
  <si>
    <t>2.1 In Scope / Included</t>
  </si>
  <si>
    <t>Work and deliverables included in the project.</t>
  </si>
  <si>
    <t>2.2 Out of Scope / Excluded</t>
  </si>
  <si>
    <t>Work explicitly excluded from the project.</t>
  </si>
  <si>
    <t>2.3 Dependencies</t>
  </si>
  <si>
    <t>How the project impacts or is impacted by other projects or programmes.</t>
  </si>
  <si>
    <t>2.4 Constraints</t>
  </si>
  <si>
    <t>Deadlines, budget limits, resource limitations or other delivery constraints.</t>
  </si>
  <si>
    <t>2.5 Assumptions</t>
  </si>
  <si>
    <t>Assumptions currently being used for planning.</t>
  </si>
  <si>
    <t>3. Key Actions Proposed</t>
  </si>
  <si>
    <t>Must include a high-level or detailed Gantt chart.</t>
  </si>
  <si>
    <t>4. Project Controls and Reporting</t>
  </si>
  <si>
    <t>How progress will be reported, frequency, method and responsibility.</t>
  </si>
  <si>
    <t>Frequency / timing</t>
  </si>
  <si>
    <t>How control is reported</t>
  </si>
  <si>
    <t>Responsibility</t>
  </si>
  <si>
    <t>Next report date</t>
  </si>
  <si>
    <t>Project Controller</t>
  </si>
  <si>
    <t>Cost and Schedule control Lead</t>
  </si>
  <si>
    <t>frank@company.com</t>
  </si>
  <si>
    <t>Approved</t>
  </si>
  <si>
    <t>Stage end</t>
  </si>
  <si>
    <t>PID / Review pack</t>
  </si>
  <si>
    <t>Planned</t>
  </si>
  <si>
    <t>Monthly</t>
  </si>
  <si>
    <t>Board summary</t>
  </si>
  <si>
    <t>5. Risk Control</t>
  </si>
  <si>
    <t>Project risks and containment measures.</t>
  </si>
  <si>
    <t>Project Risk</t>
  </si>
  <si>
    <t>Containment Measures</t>
  </si>
  <si>
    <t>Due Date</t>
  </si>
  <si>
    <t>RSK-01</t>
  </si>
  <si>
    <t>Steel Price Fluctuation</t>
  </si>
  <si>
    <t>Medium</t>
  </si>
  <si>
    <t>Fixed-price supply contracts</t>
  </si>
  <si>
    <t>Cost overrun</t>
  </si>
  <si>
    <t>Monitor CPI/CV/EAC and review WBS cost drivers.</t>
  </si>
  <si>
    <t>Resource availability</t>
  </si>
  <si>
    <t>Use weekly Resource Grid to identify conflicts.</t>
  </si>
  <si>
    <t>Resource Manager</t>
  </si>
  <si>
    <t>Scope creep</t>
  </si>
  <si>
    <t>Confirm in/out of scope and change-control route in PID.</t>
  </si>
  <si>
    <t>Quality issue</t>
  </si>
  <si>
    <t>Define acceptance criteria and quality checks by task.</t>
  </si>
  <si>
    <t>Supplier delay</t>
  </si>
  <si>
    <t>Track procurement/material activities and delivery milestones.</t>
  </si>
  <si>
    <t>6. Financial Implications</t>
  </si>
  <si>
    <t>Quarterly/annual financial profile adapted from the PID template; Year 1 is linked to the current baseline planned value.</t>
  </si>
  <si>
    <t>Financial Implications</t>
  </si>
  <si>
    <t>Q1</t>
  </si>
  <si>
    <t>Q2</t>
  </si>
  <si>
    <t>Q3</t>
  </si>
  <si>
    <t>Q4</t>
  </si>
  <si>
    <t>Total</t>
  </si>
  <si>
    <t>Labor</t>
  </si>
  <si>
    <t>Materials</t>
  </si>
  <si>
    <t>Fully committed</t>
  </si>
  <si>
    <t>Amount Year 3</t>
  </si>
  <si>
    <t>Amount Year 4</t>
  </si>
  <si>
    <t>Amount Year 5</t>
  </si>
  <si>
    <t>12-Step Project Management Method Roadmap</t>
  </si>
  <si>
    <t>Course method embedded into the workbook: define, list, sequence, estimate, check, Gantt, resource, risk, monitor progress/cost, adjust, and review.</t>
  </si>
  <si>
    <t>Step</t>
  </si>
  <si>
    <t>Method step</t>
  </si>
  <si>
    <t>Workbook implementation</t>
  </si>
  <si>
    <t>Primary sheet / range</t>
  </si>
  <si>
    <t>Source</t>
  </si>
  <si>
    <t>Define the project</t>
  </si>
  <si>
    <t>Create the project definition and controls.</t>
  </si>
  <si>
    <t>PID template added with live project metadata.</t>
  </si>
  <si>
    <t>PID!A1:H50</t>
  </si>
  <si>
    <t>Active</t>
  </si>
  <si>
    <t>1.2 12 Step Process / 2.1.2 PID template</t>
  </si>
  <si>
    <t>List the tasks</t>
  </si>
  <si>
    <t>Capture all tasks without initially worrying about order, cost, or time.</t>
  </si>
  <si>
    <t>Task Capture sheet added; WBS imported from current Dim_WBS and grouped by type.</t>
  </si>
  <si>
    <t>Task Capture!A4:J18</t>
  </si>
  <si>
    <t>3.1.5 List the Tasks / 4.1 List of Tasks</t>
  </si>
  <si>
    <t>Establish task order</t>
  </si>
  <si>
    <t>Convert brainstormed tasks into planned sequencing.</t>
  </si>
  <si>
    <t>Task Plan and Gantt use WBS order and baseline dates.</t>
  </si>
  <si>
    <t>Task Plan!A4:T17</t>
  </si>
  <si>
    <t>1.2 12 Step Process</t>
  </si>
  <si>
    <t>Estimate time</t>
  </si>
  <si>
    <t>Estimate duration by task.</t>
  </si>
  <si>
    <t>Baseline start, finish, and duration calculated per WBS.</t>
  </si>
  <si>
    <t>Task Plan!E5:G17</t>
  </si>
  <si>
    <t>Margin check &amp; reality check</t>
  </si>
  <si>
    <t>Check whether dates, budget, and resource assumptions are feasible.</t>
  </si>
  <si>
    <t>Status tie-out, EVM checks, and RAG indicators added.</t>
  </si>
  <si>
    <t>Show planned timing and status.</t>
  </si>
  <si>
    <t>Gantt chart with RAG bars and status-date marker exists.</t>
  </si>
  <si>
    <t>8.1.2 Gantt templates</t>
  </si>
  <si>
    <t>Resource allocation</t>
  </si>
  <si>
    <t>Map tasks to people/resources and weekly loading.</t>
  </si>
  <si>
    <t>Resource Grid added with weekly hours and costs by WBS.</t>
  </si>
  <si>
    <t>Resource Grid!A4:Z35</t>
  </si>
  <si>
    <t>8.1.2 Gantt template from garden office</t>
  </si>
  <si>
    <t>Predicting &amp; reducing risk</t>
  </si>
  <si>
    <t>Identify project risks and containment measures.</t>
  </si>
  <si>
    <t>PID risk-control register added.</t>
  </si>
  <si>
    <t>PID!A63:E70</t>
  </si>
  <si>
    <t>Template ready</t>
  </si>
  <si>
    <t>2.1.2 PID template</t>
  </si>
  <si>
    <t>Monitoring progress</t>
  </si>
  <si>
    <t>Track completion against plan.</t>
  </si>
  <si>
    <t>Progress is linked from Fact_Physical_Progress to Task Plan and dashboard.</t>
  </si>
  <si>
    <t>Task Plan!K5:K17</t>
  </si>
  <si>
    <t>Monitoring cost</t>
  </si>
  <si>
    <t>Track actual cost and forecast.</t>
  </si>
  <si>
    <t>EVM reporting monitors AC, CV, CPI, EAC, ETC, VAC.</t>
  </si>
  <si>
    <t>EVM!A4:N16</t>
  </si>
  <si>
    <t>Adjusting the plan</t>
  </si>
  <si>
    <t>Use EVM and RAG exceptions to trigger decisions.</t>
  </si>
  <si>
    <t>Decision/action log added to Review.</t>
  </si>
  <si>
    <t>Review!A20:F28</t>
  </si>
  <si>
    <t>Project Board</t>
  </si>
  <si>
    <t>Review &amp; lessons</t>
  </si>
  <si>
    <t>Capture good, bad, better after delivery.</t>
  </si>
  <si>
    <t>Review sheet added with GOOD / BAD / BETTER structure.</t>
  </si>
  <si>
    <t>Review!A4:F17</t>
  </si>
  <si>
    <t>13.1.2 Review Template</t>
  </si>
  <si>
    <t>PM-EVM Compliance Checklist</t>
  </si>
  <si>
    <t>Workbook compliance map against the attached PM-EVM guideline: WBS, Gantt, EVM, dashboard, live formulas, and exception-focused reporting.</t>
  </si>
  <si>
    <t>Guideline requirement</t>
  </si>
  <si>
    <t>Location</t>
  </si>
  <si>
    <t>Evidence</t>
  </si>
  <si>
    <t>Setup controls: project metadata, status date, reporting period, rates/thresholds</t>
  </si>
  <si>
    <t>Added setup control sheet with live project metadata and thresholds</t>
  </si>
  <si>
    <t>Setup!A4:D20</t>
  </si>
  <si>
    <t>Compliant</t>
  </si>
  <si>
    <t>PM-EVM.md lines 117-126</t>
  </si>
  <si>
    <t>Task Plan as integrated WBS/task control view</t>
  </si>
  <si>
    <t>Added live task table combining WBS, dates, BAC, PV, AC, progress, EV, variances, forecasts and RAG</t>
  </si>
  <si>
    <t>PM-EVM.md lines 120-125</t>
  </si>
  <si>
    <t>Gantt display tied to WBS baseline dates</t>
  </si>
  <si>
    <t>Existing EVM Charts Gantt uses WBS activities, baseline start/finish and duration</t>
  </si>
  <si>
    <t>PM-EVM.md lines 122-125</t>
  </si>
  <si>
    <t>EVM by reporting period with PV, EV, AC, SV, CV, SPI, CPI, BAC, EAC, ETC, VAC</t>
  </si>
  <si>
    <t>Added EVM reporting table with weekly live formulas</t>
  </si>
  <si>
    <t>PM-EVM.md lines 123-124</t>
  </si>
  <si>
    <t>S-curve shows cumulative PV, EV, and AC over time</t>
  </si>
  <si>
    <t>Existing EVM S-curve chart is sourced from weekly cumulative helper table</t>
  </si>
  <si>
    <t>PM-EVM.md lines 50-54</t>
  </si>
  <si>
    <t>Dashboard summarizes management KPIs and top WBS exceptions</t>
  </si>
  <si>
    <t>Existing dashboard has KPI tiles, WBS table, RAG, variance/status fields</t>
  </si>
  <si>
    <t>PM-EVM.md lines 781-785</t>
  </si>
  <si>
    <t>Exception-focused reporting with RAG / traffic-light indicators</t>
  </si>
  <si>
    <t>RAG rules applied across performance indices, progress, variances, and status cells</t>
  </si>
  <si>
    <t>EVM Dashboard, Task Plan, EVM</t>
  </si>
  <si>
    <t>Consistent WBS codes, budgets, dates, and actuals across views</t>
  </si>
  <si>
    <t>Task Plan, EVM, Gantt and dashboard all reference Dim_WBS and fact tables</t>
  </si>
  <si>
    <t>Dim_WBS / Fact_*</t>
  </si>
  <si>
    <t>PM-EVM.md lines 270-274</t>
  </si>
  <si>
    <t>Validate formulas and totals</t>
  </si>
  <si>
    <t>Added formula validation and status-date tie-out to dashboard KPIs</t>
  </si>
  <si>
    <t>PM-EVM.md lines 783-785</t>
  </si>
  <si>
    <t>Setup Controls</t>
  </si>
  <si>
    <t>Single place to review project metadata, status date, reporting period, and RAG thresholds used by the control workbook.</t>
  </si>
  <si>
    <t>Value</t>
  </si>
  <si>
    <t>Project ID</t>
  </si>
  <si>
    <t>P101</t>
  </si>
  <si>
    <t>Office Fit-Out</t>
  </si>
  <si>
    <t>2026-05-04 00:00:00</t>
  </si>
  <si>
    <t>2026-07-26 00:00:00</t>
  </si>
  <si>
    <t>2026-06-30 00:00:00</t>
  </si>
  <si>
    <t>Reporting Period</t>
  </si>
  <si>
    <t>Weekly</t>
  </si>
  <si>
    <t>Budget at Completion (BAC)</t>
  </si>
  <si>
    <t>CPI/SPI Red Threshold</t>
  </si>
  <si>
    <t>CPI/SPI Green Threshold</t>
  </si>
  <si>
    <t>Progress Amber Threshold</t>
  </si>
  <si>
    <t>Progress Green Threshold</t>
  </si>
  <si>
    <t>Metric</t>
  </si>
  <si>
    <t>Rule</t>
  </si>
  <si>
    <t>Interpretation</t>
  </si>
  <si>
    <t>CPI/SPI</t>
  </si>
  <si>
    <t>&gt;= 1.00</t>
  </si>
  <si>
    <t>On or above plan</t>
  </si>
  <si>
    <t>0.95 to &lt; 1.00</t>
  </si>
  <si>
    <t>Near threshold / watch</t>
  </si>
  <si>
    <t>&lt; 0.95</t>
  </si>
  <si>
    <t>Action required</t>
  </si>
  <si>
    <t>Integrated WBS control table: one live task-level view for scope, schedule, budget, progress, actuals, forecasts, and RAG status.</t>
  </si>
  <si>
    <t>WBS Code</t>
  </si>
  <si>
    <t>Task / Activity</t>
  </si>
  <si>
    <t>BAC (NOK)</t>
  </si>
  <si>
    <t>PV @ Status</t>
  </si>
  <si>
    <t>AC @ Status</t>
  </si>
  <si>
    <t>EV @ Status</t>
  </si>
  <si>
    <t>WBS001</t>
  </si>
  <si>
    <t>Design Phase</t>
  </si>
  <si>
    <t>2026-09-01</t>
  </si>
  <si>
    <t>2026-09-14</t>
  </si>
  <si>
    <t>RES101</t>
  </si>
  <si>
    <t>Complete</t>
  </si>
  <si>
    <t>WBS002</t>
  </si>
  <si>
    <t>Structural Steel Work</t>
  </si>
  <si>
    <t>2026-09-15</t>
  </si>
  <si>
    <t>2026-09-28</t>
  </si>
  <si>
    <t>In Progress</t>
  </si>
  <si>
    <t>WBS003</t>
  </si>
  <si>
    <t>Electrical &amp; Outfitting</t>
  </si>
  <si>
    <t>2026-09-29</t>
  </si>
  <si>
    <t>2026-10-12</t>
  </si>
  <si>
    <t>RES102</t>
  </si>
  <si>
    <t>Not Started</t>
  </si>
  <si>
    <t>Total / Project Portfolio</t>
  </si>
  <si>
    <t>Task Capture / List the Tasks</t>
  </si>
  <si>
    <t>Method: first list all tasks without worrying about order, cost, or time; then group into phases and convert into the controlled Task Plan.</t>
  </si>
  <si>
    <t>Phase / Area</t>
  </si>
  <si>
    <t>Task</t>
  </si>
  <si>
    <t>Included?</t>
  </si>
  <si>
    <t>Event / Milestone?</t>
  </si>
  <si>
    <t>Notes</t>
  </si>
  <si>
    <t>Source / next action</t>
  </si>
  <si>
    <t>Mapped to Task Plan</t>
  </si>
  <si>
    <t>2026-09-07</t>
  </si>
  <si>
    <t>Design initial drafting</t>
  </si>
  <si>
    <t>Imported from current WBS</t>
  </si>
  <si>
    <t>Approved by client</t>
  </si>
  <si>
    <t>Brainstorm / new</t>
  </si>
  <si>
    <t>Add new tasks here before sequencing</t>
  </si>
  <si>
    <t>Example task-list method from attachment</t>
  </si>
  <si>
    <t>Garden office example grouped tasks: clear the space, foundations, buy the shed, install shed, legal. Use this area to add unstructured tasks before converting them to WBS.</t>
  </si>
  <si>
    <t>OFFICE FIT-OUT - PROJECT CONTROLLING DASHBOARD</t>
  </si>
  <si>
    <t>EVM Performance Status | Tufte-Compliant Design | Data-Ink Maximized</t>
  </si>
  <si>
    <t>Status Date:</t>
  </si>
  <si>
    <t>Status Week:</t>
  </si>
  <si>
    <t>Sector:</t>
  </si>
  <si>
    <t>RAG Legend</t>
  </si>
  <si>
    <t>Good</t>
  </si>
  <si>
    <t>On/above plan or low exposure</t>
  </si>
  <si>
    <t>BUDGET AT COMPLETION (BAC)</t>
  </si>
  <si>
    <t>PLANNED VALUE (PV)</t>
  </si>
  <si>
    <t>ACTUAL COST (AC)</t>
  </si>
  <si>
    <t>EARNED VALUE (EV)</t>
  </si>
  <si>
    <t>Near threshold / medium exposure</t>
  </si>
  <si>
    <t>Behind plan, overrun, or high exposure</t>
  </si>
  <si>
    <t>COST VARIANCE (CV)</t>
  </si>
  <si>
    <t>SCHEDULE VARIANCE (SV)</t>
  </si>
  <si>
    <t>CPI (COST INDEX)</t>
  </si>
  <si>
    <t>SPI (SCHEDULE INDEX)</t>
  </si>
  <si>
    <t>ESTIMATE AT COMPLETION (EAC)</t>
  </si>
  <si>
    <t>ESTIMATE TO COMPLETE (ETC)</t>
  </si>
  <si>
    <t>VARIANCE AT COMPLETION (VAC)</t>
  </si>
  <si>
    <t>PROJECT PROGRESS %</t>
  </si>
  <si>
    <t>WBS Element Performance Breakdown</t>
  </si>
  <si>
    <t>Activity Name</t>
  </si>
  <si>
    <t>Budget (BAC)</t>
  </si>
  <si>
    <t>Planned Value (PV)</t>
  </si>
  <si>
    <t>Actual Cost (AC)</t>
  </si>
  <si>
    <t>Earned Value (EV)</t>
  </si>
  <si>
    <t>WBS-01</t>
  </si>
  <si>
    <t>Project Management</t>
  </si>
  <si>
    <t>🔴 Overrun</t>
  </si>
  <si>
    <t>WBS-02</t>
  </si>
  <si>
    <t>Site Survey &amp; Mobilization</t>
  </si>
  <si>
    <t>On Track</t>
  </si>
  <si>
    <t>Material</t>
  </si>
  <si>
    <t>Subcontractor</t>
  </si>
  <si>
    <t>Weekly Cumulative Performance Trends</t>
  </si>
  <si>
    <t>Week Date</t>
  </si>
  <si>
    <t>Weekly PV</t>
  </si>
  <si>
    <t>Cum PV</t>
  </si>
  <si>
    <t>Weekly AC</t>
  </si>
  <si>
    <t>Cum AC</t>
  </si>
  <si>
    <t>Cum EV</t>
  </si>
  <si>
    <t>2026-05-11 00:00:00</t>
  </si>
  <si>
    <t>2026-05-18 00:00:00</t>
  </si>
  <si>
    <t>2026-05-25 00:00:00</t>
  </si>
  <si>
    <t>2026-06-01 00:00:00</t>
  </si>
  <si>
    <t>2026-06-08 00:00:00</t>
  </si>
  <si>
    <t>2026-06-15 00:00:00</t>
  </si>
  <si>
    <t>2026-06-22 00:00:00</t>
  </si>
  <si>
    <t>2026-06-29 00:00:00</t>
  </si>
  <si>
    <t>2026-07-06 00:00:00</t>
  </si>
  <si>
    <t>2026-07-13 00:00:00</t>
  </si>
  <si>
    <t>2026-07-20 00:00:00</t>
  </si>
  <si>
    <t>Red RAG Action Recommendations</t>
  </si>
  <si>
    <t>Focused recovery actions for WBS items and control risks currently flagged Red. Evidence is pulled live from tbl_Task_Plan.</t>
  </si>
  <si>
    <t>STORY IN BRIEF</t>
  </si>
  <si>
    <t>The red status is mainly schedule-driven: Flooring, Fixtures &amp; Furniture, Partitions &amp; Drywall, HVAC, and Electrical Rough-In are the recovery priorities because their SPI and schedule variances are pulling the project off plan. Cost exposure is concentrated in Electrical Rough-In and HVAC, while completed red tasks need closeout variance review rather than delivery acceleration. The recommended response is a short recovery sprint: remove blockers, confirm subcontractor/material readiness, reset near-term dates, and escalate decision items already logged in the Review sheet.</t>
  </si>
  <si>
    <t>Red WBS items</t>
  </si>
  <si>
    <t>Worst red SPI</t>
  </si>
  <si>
    <t>Largest red SV</t>
  </si>
  <si>
    <t>Red forecast overrun</t>
  </si>
  <si>
    <t>Priority</t>
  </si>
  <si>
    <t>Red driver</t>
  </si>
  <si>
    <t>Live evidence</t>
  </si>
  <si>
    <t>Recommended action</t>
  </si>
  <si>
    <t>REC-01</t>
  </si>
  <si>
    <t>Design Phase Actual Cost slightly overran baseline</t>
  </si>
  <si>
    <t>CPI: 0.98</t>
  </si>
  <si>
    <t>Low</t>
  </si>
  <si>
    <t>Monitor labor rates</t>
  </si>
  <si>
    <t>Closed</t>
  </si>
  <si>
    <t>Low progress / schedule</t>
  </si>
  <si>
    <t>Run a blocker review with electrical rough-in and subcontractor leads; add resources or resequence drylining areas to recover the critical path.</t>
  </si>
  <si>
    <t>Subcontractor schedule + cost</t>
  </si>
  <si>
    <t>Require a subcontractor recovery plan: committed crew levels, daily output targets, and commercial review of cost burn versus earned progress.</t>
  </si>
  <si>
    <t>Cost + schedule</t>
  </si>
  <si>
    <t>Hold a root-cause review on low CPI/SPI; separate scope change from productivity loss, update EAC, and escalate any funding/date decision.</t>
  </si>
  <si>
    <t>Future work at risk</t>
  </si>
  <si>
    <t>Confirm fixture/furniture procurement, delivery slots, and installation dependency on flooring; prepare fallback suppliers if dates slip.</t>
  </si>
  <si>
    <t>Procurement / Planner</t>
  </si>
  <si>
    <t>Management effort behind plan</t>
  </si>
  <si>
    <t>Increase recovery cadence: daily issue log, weekly decision pack, and named owners for every red WBS mitigation.</t>
  </si>
  <si>
    <t>Completed cost variance</t>
  </si>
  <si>
    <t>Close out the small overrun: validate final actuals, code any one-off cost correctly, and prevent it from distorting future forecasts.</t>
  </si>
  <si>
    <t>Close out demolition/prep variance and capture lessons learned for estimate accuracy and crew productivity assumptions.</t>
  </si>
  <si>
    <t>ESCALATE / TRACK</t>
  </si>
  <si>
    <t>Use Review!A21:F23 as the decision log for schedule slippage, EAC/cost review, and red WBS mitigation. Use PID!A64:E65 as the risk register entries for schedule slippage and cost overrun. Refresh this sheet after changing the source Task Plan or thresholds.</t>
  </si>
  <si>
    <t>High-Level Pivot Summary &amp; Descriptive Statistics</t>
  </si>
  <si>
    <t>PivotTables summarize the key project-control tables; descriptive statistics are live formulas linked to the Task Plan source range.</t>
  </si>
  <si>
    <t>The project is under schedule pressure, with red WBS items concentrated in unfinished material/subcontractor and rough-in work. The PivotTables summarize exposure by Type, Status, WBS, and week; the descriptive statistics quantify central tendency and outliers across task-level cost and schedule metrics.</t>
  </si>
  <si>
    <t>Red WBS</t>
  </si>
  <si>
    <t>Total BAC</t>
  </si>
  <si>
    <t>Avg SPI</t>
  </si>
  <si>
    <t>Avg CPI</t>
  </si>
  <si>
    <t>Forecast overrun</t>
  </si>
  <si>
    <t>DESCRIPTIVE STATISTICS</t>
  </si>
  <si>
    <t>Count</t>
  </si>
  <si>
    <t>Mean</t>
  </si>
  <si>
    <t>Median</t>
  </si>
  <si>
    <t>Std Dev</t>
  </si>
  <si>
    <t>Min</t>
  </si>
  <si>
    <t>Max</t>
  </si>
  <si>
    <t>PIVOT: COST / VALUE BY TYPE</t>
  </si>
  <si>
    <t>Row Labels</t>
  </si>
  <si>
    <t>Sum of BAC (NOK)</t>
  </si>
  <si>
    <t>Sum of PV @ Status</t>
  </si>
  <si>
    <t>Sum of AC @ Status</t>
  </si>
  <si>
    <t>Sum of EV @ Status</t>
  </si>
  <si>
    <t>Sum of SV</t>
  </si>
  <si>
    <t>Sum of CV</t>
  </si>
  <si>
    <t>Sum of VAC</t>
  </si>
  <si>
    <t>Grand Total</t>
  </si>
  <si>
    <t>PIVOT: COST / VALUE BY STATUS</t>
  </si>
  <si>
    <t>PIVOT: ACTUAL COSTS BY WBS</t>
  </si>
  <si>
    <t>Sum of Actual_Cost</t>
  </si>
  <si>
    <t>Sum of Hours_Worked</t>
  </si>
  <si>
    <t>PIVOT: WEEKLY EVM SUMMARY</t>
  </si>
  <si>
    <t>Sum of Cum PV</t>
  </si>
  <si>
    <t>Sum of Cum AC</t>
  </si>
  <si>
    <t>Sum of Cum EV</t>
  </si>
  <si>
    <t>Resource Allocation Grid</t>
  </si>
  <si>
    <t>Weekly hours and cost grid adapted from the attached Gantt template: rows are WBS tasks; columns are reporting weeks; totals are live formulas from actual-cost facts.</t>
  </si>
  <si>
    <t>Resource / Role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</si>
  <si>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</si>
  <si>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</si>
  <si>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</si>
  <si>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</si>
  <si>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</si>
  <si>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</si>
  <si>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</si>
  <si>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</si>
  <si>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</si>
  <si>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</si>
  <si>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</si>
  <si>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</si>
  <si>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Actual @ Status</t>
  </si>
  <si>
    <t>Remaining BAC</t>
  </si>
  <si>
    <t>Template source</t>
  </si>
  <si>
    <t>Hours</t>
  </si>
  <si>
    <t>Hours row</t>
  </si>
  <si>
    <t>Cost</t>
  </si>
  <si>
    <t>Cost row</t>
  </si>
  <si>
    <t>Gantt of Gantts / monthly workload summary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</si>
  <si>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</si>
  <si>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</si>
  <si>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</si>
  <si>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</si>
  <si>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</si>
  <si>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</si>
  <si>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</si>
  <si>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</si>
  <si>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Planned PV</t>
  </si>
  <si>
    <t>8.1.2 Gantt of Gantts template</t>
  </si>
  <si>
    <t>Monthly portfolio-style total from current project PV</t>
  </si>
  <si>
    <t>Monthly portfolio-style total from actual costs</t>
  </si>
  <si>
    <t>Active WBS count</t>
  </si>
  <si>
    <t>Simple monthly activity indicator</t>
  </si>
  <si>
    <t>Project_ID</t>
  </si>
  <si>
    <t>Project_Name</t>
  </si>
  <si>
    <t>Start_Date</t>
  </si>
  <si>
    <t>End_Date</t>
  </si>
  <si>
    <t>Sector</t>
  </si>
  <si>
    <t>PRJ999</t>
  </si>
  <si>
    <t>Shipyard Assembly Beta</t>
  </si>
  <si>
    <t>2026-10-31</t>
  </si>
  <si>
    <t>Maritime</t>
  </si>
  <si>
    <t>WBS_ID</t>
  </si>
  <si>
    <t>WBS_Code</t>
  </si>
  <si>
    <t>Activity_Name</t>
  </si>
  <si>
    <t>Total_Budget</t>
  </si>
  <si>
    <t>Summary Task</t>
  </si>
  <si>
    <t>Resource_ID</t>
  </si>
  <si>
    <t>Resource_Name</t>
  </si>
  <si>
    <t>Hourly_Rate</t>
  </si>
  <si>
    <t>Structural Engineer</t>
  </si>
  <si>
    <t>Sarah Jones</t>
  </si>
  <si>
    <t>Electrician</t>
  </si>
  <si>
    <t>R03</t>
  </si>
  <si>
    <t>Trades</t>
  </si>
  <si>
    <t>R04</t>
  </si>
  <si>
    <t>Demolition Crew</t>
  </si>
  <si>
    <t>R05</t>
  </si>
  <si>
    <t>Testing Engineer</t>
  </si>
  <si>
    <t>QA</t>
  </si>
  <si>
    <t>R06</t>
  </si>
  <si>
    <t>Closeout Specialist</t>
  </si>
  <si>
    <t>R07</t>
  </si>
  <si>
    <t>Materials Vendor</t>
  </si>
  <si>
    <t>Vendor</t>
  </si>
  <si>
    <t>R08</t>
  </si>
  <si>
    <t>HVAC Contractor</t>
  </si>
  <si>
    <t>Contractor</t>
  </si>
  <si>
    <t>R09</t>
  </si>
  <si>
    <t>Drywall Contractor</t>
  </si>
  <si>
    <t>R10</t>
  </si>
  <si>
    <t>Flooring Supplier</t>
  </si>
  <si>
    <t>R11</t>
  </si>
  <si>
    <t>Furniture Supplier</t>
  </si>
  <si>
    <t>Year</t>
  </si>
  <si>
    <t>Month_Name</t>
  </si>
  <si>
    <t>Quarter</t>
  </si>
  <si>
    <t>Week_Number</t>
  </si>
  <si>
    <t>Is_Weekday</t>
  </si>
  <si>
    <t>May</t>
  </si>
  <si>
    <t>2026-05-05 00:00:00</t>
  </si>
  <si>
    <t>2026-05-06 00:00:00</t>
  </si>
  <si>
    <t>2026-05-07 00:00:00</t>
  </si>
  <si>
    <t>2026-05-08 00:00:00</t>
  </si>
  <si>
    <t>2026-05-09 00:00:00</t>
  </si>
  <si>
    <t>2026-05-10 00:00:00</t>
  </si>
  <si>
    <t>2026-05-12 00:00:00</t>
  </si>
  <si>
    <t>2026-05-13 00:00:00</t>
  </si>
  <si>
    <t>2026-05-14 00:00:00</t>
  </si>
  <si>
    <t>2026-05-15 00:00:00</t>
  </si>
  <si>
    <t>2026-05-16 00:00:00</t>
  </si>
  <si>
    <t>2026-05-17 00:00:00</t>
  </si>
  <si>
    <t>2026-05-19 00:00:00</t>
  </si>
  <si>
    <t>2026-05-20 00:00:00</t>
  </si>
  <si>
    <t>2026-05-21 00:00:00</t>
  </si>
  <si>
    <t>2026-05-22 00:00:00</t>
  </si>
  <si>
    <t>2026-05-23 00:00:00</t>
  </si>
  <si>
    <t>2026-05-24 00:00:00</t>
  </si>
  <si>
    <t>2026-05-26 00:00:00</t>
  </si>
  <si>
    <t>2026-05-27 00:00:00</t>
  </si>
  <si>
    <t>2026-05-28 00:00:00</t>
  </si>
  <si>
    <t>2026-05-29 00:00:00</t>
  </si>
  <si>
    <t>2026-05-30 00:00:00</t>
  </si>
  <si>
    <t>2026-05-31 00:00:00</t>
  </si>
  <si>
    <t>June</t>
  </si>
  <si>
    <t>2026-06-02 00:00:00</t>
  </si>
  <si>
    <t>2026-06-03 00:00:00</t>
  </si>
  <si>
    <t>2026-06-04 00:00:00</t>
  </si>
  <si>
    <t>2026-06-05 00:00:00</t>
  </si>
  <si>
    <t>2026-06-06 00:00:00</t>
  </si>
  <si>
    <t>2026-06-07 00:00:00</t>
  </si>
  <si>
    <t>2026-06-09 00:00:00</t>
  </si>
  <si>
    <t>2026-06-10 00:00:00</t>
  </si>
  <si>
    <t>2026-06-11 00:00:00</t>
  </si>
  <si>
    <t>2026-06-12 00:00:00</t>
  </si>
  <si>
    <t>2026-06-13 00:00:00</t>
  </si>
  <si>
    <t>2026-06-14 00:00:00</t>
  </si>
  <si>
    <t>2026-06-16 00:00:00</t>
  </si>
  <si>
    <t>2026-06-17 00:00:00</t>
  </si>
  <si>
    <t>2026-06-18 00:00:00</t>
  </si>
  <si>
    <t>2026-06-19 00:00:00</t>
  </si>
  <si>
    <t>2026-06-20 00:00:00</t>
  </si>
  <si>
    <t>2026-06-21 00:00:00</t>
  </si>
  <si>
    <t>2026-06-23 00:00:00</t>
  </si>
  <si>
    <t>2026-06-24 00:00:00</t>
  </si>
  <si>
    <t>2026-06-25 00:00:00</t>
  </si>
  <si>
    <t>2026-06-26 00:00:00</t>
  </si>
  <si>
    <t>2026-06-27 00:00:00</t>
  </si>
  <si>
    <t>2026-06-28 00:00:00</t>
  </si>
  <si>
    <t>2026-07-01 00:00:00</t>
  </si>
  <si>
    <t>July</t>
  </si>
  <si>
    <t>2026-07-02 00:00:00</t>
  </si>
  <si>
    <t>2026-07-03 00:00:00</t>
  </si>
  <si>
    <t>2026-07-04 00:00:00</t>
  </si>
  <si>
    <t>2026-07-05 00:00:00</t>
  </si>
  <si>
    <t>2026-07-07 00:00:00</t>
  </si>
  <si>
    <t>2026-07-08 00:00:00</t>
  </si>
  <si>
    <t>2026-07-09 00:00:00</t>
  </si>
  <si>
    <t>2026-07-10 00:00:00</t>
  </si>
  <si>
    <t>2026-07-11 00:00:00</t>
  </si>
  <si>
    <t>2026-07-12 00:00:00</t>
  </si>
  <si>
    <t>2026-07-14 00:00:00</t>
  </si>
  <si>
    <t>2026-07-15 00:00:00</t>
  </si>
  <si>
    <t>2026-07-16 00:00:00</t>
  </si>
  <si>
    <t>2026-07-17 00:00:00</t>
  </si>
  <si>
    <t>2026-07-18 00:00:00</t>
  </si>
  <si>
    <t>2026-07-19 00:00:00</t>
  </si>
  <si>
    <t>2026-07-21 00:00:00</t>
  </si>
  <si>
    <t>2026-07-22 00:00:00</t>
  </si>
  <si>
    <t>2026-07-23 00:00:00</t>
  </si>
  <si>
    <t>2026-07-24 00:00:00</t>
  </si>
  <si>
    <t>2026-07-25 00:00:00</t>
  </si>
  <si>
    <t>Planned_Value</t>
  </si>
  <si>
    <t>2026-09-21</t>
  </si>
  <si>
    <t>2026-10-05</t>
  </si>
  <si>
    <t>Actual_Cost</t>
  </si>
  <si>
    <t>Hours_Worked</t>
  </si>
  <si>
    <t>R01</t>
  </si>
  <si>
    <t>R02</t>
  </si>
  <si>
    <t>Physical_Progress_Pct</t>
  </si>
  <si>
    <t>EVM Reporting</t>
  </si>
  <si>
    <t>Weekly earned value reporting table using the guideline formulas: PV, AC, EV, SV, CV, SPI, CPI, BAC, EAC, ETC, and VAC.</t>
  </si>
  <si>
    <t>Formula</t>
  </si>
  <si>
    <t>Guideline meaning</t>
  </si>
  <si>
    <t>Current status-date value</t>
  </si>
  <si>
    <t>Check</t>
  </si>
  <si>
    <t>Status tie-out</t>
  </si>
  <si>
    <t>Dashboard value</t>
  </si>
  <si>
    <t>Task Plan value</t>
  </si>
  <si>
    <t>Check2</t>
  </si>
  <si>
    <t>Source3</t>
  </si>
  <si>
    <t>SV = EV - PV</t>
  </si>
  <si>
    <t>Schedule variance at status date</t>
  </si>
  <si>
    <t>Live</t>
  </si>
  <si>
    <t>PM-EVM.md lines 145-150</t>
  </si>
  <si>
    <t>OK</t>
  </si>
  <si>
    <t>Task Plan!I17</t>
  </si>
  <si>
    <t>CV = EV - AC</t>
  </si>
  <si>
    <t>Cost variance at status date</t>
  </si>
  <si>
    <t>Task Plan!J17</t>
  </si>
  <si>
    <t>SPI = EV / PV</t>
  </si>
  <si>
    <t>Schedule efficiency</t>
  </si>
  <si>
    <t>Task Plan!L17</t>
  </si>
  <si>
    <t>CPI = EV / AC</t>
  </si>
  <si>
    <t>Cost efficiency</t>
  </si>
  <si>
    <t>Task Plan!O17</t>
  </si>
  <si>
    <t>EAC = BAC / CPI</t>
  </si>
  <si>
    <t>Forecast final cost</t>
  </si>
  <si>
    <t>PM-EVM.md lines 203-214</t>
  </si>
  <si>
    <t>Task Plan!P17</t>
  </si>
  <si>
    <t>VAC = BAC - EAC</t>
  </si>
  <si>
    <t>Expected budget variance at completion</t>
  </si>
  <si>
    <t>Task Plan!S17</t>
  </si>
  <si>
    <t>Project Schedule &amp; EVM Curves</t>
  </si>
  <si>
    <t>Gantt schedule is derived from baseline PV dates by WBS; the S-curve uses cumulative PV, actual cost, and earned value as of each weekly status date.</t>
  </si>
  <si>
    <t>Project Finish</t>
  </si>
  <si>
    <t>Start</t>
  </si>
  <si>
    <t>Finish</t>
  </si>
  <si>
    <t>Start Offset</t>
  </si>
  <si>
    <t>Used in charts</t>
  </si>
  <si>
    <t>Good / baseline target</t>
  </si>
  <si>
    <t>Gantt good bars; PV line</t>
  </si>
  <si>
    <t>Watch / earned progress</t>
  </si>
  <si>
    <t>Gantt watch bars; EV line</t>
  </si>
  <si>
    <t>Action / cost exposure</t>
  </si>
  <si>
    <t>Gantt action bars; AC line</t>
  </si>
  <si>
    <t>White</t>
  </si>
  <si>
    <t>Hidden helper</t>
  </si>
  <si>
    <t>Gantt start-offset series</t>
  </si>
  <si>
    <t>Red dotted</t>
  </si>
  <si>
    <t>Status date</t>
  </si>
  <si>
    <t>Vertical marker at 2026-06-30</t>
  </si>
  <si>
    <t>Gantt Model — Office Fit-Out</t>
  </si>
  <si>
    <t>Adapted from the attached Garden Office Gantt template. This sheet is populated from the current workbook WBS, baseline PV, actual cost, actual hours, progress, CPI/RAG status, and status date.</t>
  </si>
  <si>
    <t>Project controls and model mapping</t>
  </si>
  <si>
    <t>Project</t>
  </si>
  <si>
    <t>268,650.00 NOK</t>
  </si>
  <si>
    <t>Current workbook</t>
  </si>
  <si>
    <t>Template element</t>
  </si>
  <si>
    <t>Implemented as</t>
  </si>
  <si>
    <t>Source table</t>
  </si>
  <si>
    <t>Classification</t>
  </si>
  <si>
    <t>My hours</t>
  </si>
  <si>
    <t>Weekly hours grid</t>
  </si>
  <si>
    <t>Fact_Actual_Costs[Hours_Worked]</t>
  </si>
  <si>
    <t>Actual hours by WBS and week; o = planned week with no actual hours yet.</t>
  </si>
  <si>
    <t>Total costs</t>
  </si>
  <si>
    <t>Weekly cost grid</t>
  </si>
  <si>
    <t>Fact_Actual_Costs[Actual_Cost]</t>
  </si>
  <si>
    <t>Actual cost by WBS and week; o = planned week with no actual cost yet.</t>
  </si>
  <si>
    <t>My hours — current project actual hours by WBS / week</t>
  </si>
  <si>
    <t>Role / Type</t>
  </si>
  <si>
    <t>o</t>
  </si>
  <si>
    <t>my total hours</t>
  </si>
  <si>
    <t>Total costs — current project actual costs by WBS / week</t>
  </si>
  <si>
    <t>Who / Type</t>
  </si>
  <si>
    <t>my total costs</t>
  </si>
  <si>
    <t>Status timeline: 2026-06-30</t>
  </si>
  <si>
    <t>Legend</t>
  </si>
  <si>
    <t>Applied to</t>
  </si>
  <si>
    <t>Red dotted vertical line</t>
  </si>
  <si>
    <t>Status date 2026-06-30</t>
  </si>
  <si>
    <t>My hours and Total costs grids</t>
  </si>
  <si>
    <t>Green row</t>
  </si>
  <si>
    <t>CPI/SPI &gt;= 1.00 and favorable variance</t>
  </si>
  <si>
    <t>Summary + task totals</t>
  </si>
  <si>
    <t>Amber row</t>
  </si>
  <si>
    <t>Red row</t>
  </si>
  <si>
    <t>Behind plan / cost overrun / low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</si>
</sst>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#,##0.00\ &quot;NOK&quot;"/>
    <numFmt numFmtId="167" formatCode="#,##0\ &quot;NOK&quot;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90000"/>
      <name val="Calibri"/>
      <family val="2"/>
      <scheme val="minor"/>
    </font>
    <font>
      <sz val="11"/>
      <color rgb="FF274E13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990000"/>
      <name val="Calibri"/>
      <family val="2"/>
      <scheme val="minor"/>
    </font>
    <font>
      <b/>
      <sz val="11"/>
      <color rgb="FF274E13"/>
      <name val="Calibri"/>
      <family val="2"/>
      <scheme val="minor"/>
    </font>
    <font>
      <b/>
      <sz val="11"/>
      <color rgb="FF7F6000"/>
      <name val="Calibri"/>
      <family val="2"/>
      <scheme val="minor"/>
    </font>
    <font>
      <i/>
      <sz val="10"/>
      <color rgb="FF7F8C8D"/>
      <name val="Aptos"/>
    </font>
    <font>
      <b/>
      <sz val="10"/>
      <color rgb="FF000000"/>
      <name val="Aptos"/>
    </font>
    <font>
      <sz val="10"/>
      <color rgb="FF000000"/>
      <name val="Aptos"/>
    </font>
    <font>
      <b/>
      <sz val="10"/>
      <color rgb="FF333333"/>
      <name val="Aptos"/>
    </font>
    <font>
      <b/>
      <sz val="10"/>
      <color rgb="FF2C3E50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0"/>
      <color rgb="FF274E13"/>
      <name val="Aptos"/>
    </font>
    <font>
      <b/>
      <sz val="10"/>
      <color theme="1"/>
      <name val="Aptos"/>
    </font>
    <font>
      <b/>
      <sz val="10"/>
      <color rgb="FF7F8C8D"/>
      <name val="Aptos"/>
    </font>
    <font>
      <b/>
      <sz val="10"/>
      <color rgb="FF7F6000"/>
      <name val="Aptos"/>
    </font>
    <font>
      <b/>
      <sz val="10"/>
      <color rgb="FF990000"/>
      <name val="Aptos"/>
    </font>
    <font>
      <sz val="10"/>
      <color rgb="FF333333"/>
      <name val="Aptos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4F6D7A"/>
      <name val="Calibri"/>
      <family val="2"/>
      <scheme val="minor"/>
    </font>
    <font>
      <sz val="11"/>
      <color rgb="FF4F6D7A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rgb="FFFFFFFF"/>
      <name val="Calibri"/>
      <scheme val="minor"/>
    </font>
    <font>
      <i/>
      <sz val="11"/>
      <color rgb="FF555555"/>
      <name val="Calibri"/>
      <scheme val="minor"/>
    </font>
    <font>
      <b/>
      <sz val="11"/>
      <color rgb="FFFFFFFF"/>
      <name val="Calibri"/>
      <scheme val="minor"/>
    </font>
    <font>
      <sz val="11"/>
      <color rgb="FF333333"/>
      <name val="Calibri"/>
      <scheme val="minor"/>
    </font>
    <font>
      <b/>
      <sz val="11"/>
      <color rgb="FF7F1D1D"/>
      <name val="Calibri"/>
      <scheme val="minor"/>
    </font>
    <font>
      <sz val="11"/>
      <color rgb="FF7F1D1D"/>
      <name val="Calibri"/>
      <scheme val="minor"/>
    </font>
    <font>
      <b/>
      <sz val="14"/>
      <color rgb="FF7F1D1D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2" fillId="4" borderId="0" xfId="0" applyFont="1" applyFill="1"/>
    <xf numFmtId="0" fontId="0" fillId="0" borderId="3" xfId="0" applyBorder="1"/>
    <xf numFmtId="0" fontId="3" fillId="4" borderId="3" xfId="0" applyFont="1" applyFill="1" applyBorder="1"/>
    <xf numFmtId="0" fontId="5" fillId="6" borderId="3" xfId="0" applyFont="1" applyFill="1" applyBorder="1"/>
    <xf numFmtId="0" fontId="0" fillId="7" borderId="3" xfId="0" applyFill="1" applyBorder="1"/>
    <xf numFmtId="0" fontId="8" fillId="6" borderId="3" xfId="0" applyFont="1" applyFill="1" applyBorder="1"/>
    <xf numFmtId="0" fontId="1" fillId="0" borderId="3" xfId="0" applyFont="1" applyBorder="1"/>
    <xf numFmtId="0" fontId="9" fillId="7" borderId="3" xfId="0" applyFont="1" applyFill="1" applyBorder="1"/>
    <xf numFmtId="0" fontId="7" fillId="5" borderId="3" xfId="0" applyFont="1" applyFill="1" applyBorder="1"/>
    <xf numFmtId="164" fontId="11" fillId="0" borderId="3" xfId="0" applyNumberFormat="1" applyFont="1" applyBorder="1" applyAlignment="1">
      <alignment horizontal="right"/>
    </xf>
    <xf numFmtId="4" fontId="11" fillId="0" borderId="3" xfId="0" applyNumberFormat="1" applyFont="1" applyBorder="1" applyAlignment="1">
      <alignment horizontal="right"/>
    </xf>
    <xf numFmtId="2" fontId="11" fillId="0" borderId="3" xfId="0" applyNumberFormat="1" applyFont="1" applyBorder="1" applyAlignment="1">
      <alignment horizontal="right"/>
    </xf>
    <xf numFmtId="164" fontId="11" fillId="3" borderId="3" xfId="0" applyNumberFormat="1" applyFont="1" applyFill="1" applyBorder="1" applyAlignment="1">
      <alignment horizontal="right"/>
    </xf>
    <xf numFmtId="4" fontId="11" fillId="3" borderId="3" xfId="0" applyNumberFormat="1" applyFont="1" applyFill="1" applyBorder="1" applyAlignment="1">
      <alignment horizontal="right"/>
    </xf>
    <xf numFmtId="2" fontId="11" fillId="3" borderId="3" xfId="0" applyNumberFormat="1" applyFont="1" applyFill="1" applyBorder="1" applyAlignment="1">
      <alignment horizontal="right"/>
    </xf>
    <xf numFmtId="0" fontId="11" fillId="3" borderId="3" xfId="0" applyFont="1" applyFill="1" applyBorder="1" applyAlignment="1">
      <alignment horizontal="center"/>
    </xf>
    <xf numFmtId="0" fontId="18" fillId="0" borderId="3" xfId="0" applyFont="1" applyBorder="1"/>
    <xf numFmtId="0" fontId="15" fillId="0" borderId="4" xfId="0" applyFont="1" applyBorder="1"/>
    <xf numFmtId="0" fontId="15" fillId="0" borderId="2" xfId="0" applyFont="1" applyBorder="1"/>
    <xf numFmtId="4" fontId="12" fillId="0" borderId="1" xfId="0" applyNumberFormat="1" applyFont="1" applyBorder="1" applyAlignment="1">
      <alignment horizontal="right"/>
    </xf>
    <xf numFmtId="4" fontId="11" fillId="3" borderId="1" xfId="0" applyNumberFormat="1" applyFont="1" applyFill="1" applyBorder="1" applyAlignment="1">
      <alignment horizontal="right"/>
    </xf>
    <xf numFmtId="0" fontId="14" fillId="0" borderId="3" xfId="0" applyFont="1" applyBorder="1"/>
    <xf numFmtId="0" fontId="15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165" fontId="12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" xfId="0" applyFont="1" applyBorder="1"/>
    <xf numFmtId="0" fontId="19" fillId="0" borderId="3" xfId="0" applyFont="1" applyBorder="1"/>
    <xf numFmtId="0" fontId="16" fillId="4" borderId="3" xfId="0" applyFont="1" applyFill="1" applyBorder="1" applyAlignment="1">
      <alignment horizontal="center"/>
    </xf>
    <xf numFmtId="4" fontId="12" fillId="0" borderId="3" xfId="0" applyNumberFormat="1" applyFont="1" applyBorder="1" applyAlignment="1">
      <alignment horizontal="right"/>
    </xf>
    <xf numFmtId="0" fontId="11" fillId="3" borderId="3" xfId="0" applyFont="1" applyFill="1" applyBorder="1" applyAlignment="1">
      <alignment horizontal="left"/>
    </xf>
    <xf numFmtId="0" fontId="11" fillId="3" borderId="3" xfId="0" applyFont="1" applyFill="1" applyBorder="1"/>
    <xf numFmtId="4" fontId="12" fillId="0" borderId="3" xfId="0" applyNumberFormat="1" applyFont="1" applyBorder="1"/>
    <xf numFmtId="2" fontId="12" fillId="0" borderId="3" xfId="0" applyNumberFormat="1" applyFont="1" applyBorder="1"/>
    <xf numFmtId="0" fontId="16" fillId="4" borderId="5" xfId="0" applyFont="1" applyFill="1" applyBorder="1" applyAlignment="1">
      <alignment horizontal="center"/>
    </xf>
    <xf numFmtId="0" fontId="15" fillId="0" borderId="6" xfId="0" applyFont="1" applyBorder="1"/>
    <xf numFmtId="4" fontId="12" fillId="0" borderId="2" xfId="0" applyNumberFormat="1" applyFont="1" applyBorder="1" applyAlignment="1">
      <alignment horizontal="right"/>
    </xf>
    <xf numFmtId="4" fontId="11" fillId="3" borderId="2" xfId="0" applyNumberFormat="1" applyFont="1" applyFill="1" applyBorder="1" applyAlignment="1">
      <alignment horizontal="right"/>
    </xf>
    <xf numFmtId="4" fontId="12" fillId="0" borderId="4" xfId="0" applyNumberFormat="1" applyFont="1" applyBorder="1" applyAlignment="1">
      <alignment horizontal="right"/>
    </xf>
    <xf numFmtId="4" fontId="11" fillId="3" borderId="4" xfId="0" applyNumberFormat="1" applyFont="1" applyFill="1" applyBorder="1" applyAlignment="1">
      <alignment horizontal="right"/>
    </xf>
    <xf numFmtId="0" fontId="15" fillId="0" borderId="5" xfId="0" applyFont="1" applyBorder="1"/>
    <xf numFmtId="0" fontId="23" fillId="4" borderId="0" xfId="0" applyFont="1" applyFill="1"/>
    <xf numFmtId="0" fontId="24" fillId="0" borderId="0" xfId="0" applyFont="1" applyAlignment="1">
      <alignment wrapText="1"/>
    </xf>
    <xf numFmtId="0" fontId="3" fillId="4" borderId="3" xfId="0" applyFont="1" applyFill="1" applyBorder="1" applyAlignment="1">
      <alignment horizontal="center"/>
    </xf>
    <xf numFmtId="165" fontId="0" fillId="0" borderId="3" xfId="0" applyNumberFormat="1" applyBorder="1"/>
    <xf numFmtId="1" fontId="0" fillId="0" borderId="3" xfId="0" applyNumberFormat="1" applyBorder="1"/>
    <xf numFmtId="164" fontId="0" fillId="0" borderId="3" xfId="0" applyNumberFormat="1" applyBorder="1"/>
    <xf numFmtId="4" fontId="0" fillId="0" borderId="3" xfId="0" applyNumberFormat="1" applyBorder="1"/>
    <xf numFmtId="2" fontId="0" fillId="0" borderId="3" xfId="0" applyNumberFormat="1" applyBorder="1"/>
    <xf numFmtId="0" fontId="1" fillId="0" borderId="0" xfId="0" applyFont="1"/>
    <xf numFmtId="0" fontId="7" fillId="5" borderId="0" xfId="0" applyFont="1" applyFill="1"/>
    <xf numFmtId="0" fontId="25" fillId="0" borderId="3" xfId="0" applyFont="1" applyBorder="1"/>
    <xf numFmtId="0" fontId="0" fillId="0" borderId="3" xfId="0" applyBorder="1" applyAlignment="1">
      <alignment wrapText="1"/>
    </xf>
    <xf numFmtId="0" fontId="1" fillId="9" borderId="3" xfId="0" applyFont="1" applyFill="1" applyBorder="1"/>
    <xf numFmtId="165" fontId="1" fillId="9" borderId="3" xfId="0" applyNumberFormat="1" applyFont="1" applyFill="1" applyBorder="1"/>
    <xf numFmtId="1" fontId="1" fillId="9" borderId="3" xfId="0" applyNumberFormat="1" applyFont="1" applyFill="1" applyBorder="1"/>
    <xf numFmtId="4" fontId="1" fillId="9" borderId="3" xfId="0" applyNumberFormat="1" applyFont="1" applyFill="1" applyBorder="1"/>
    <xf numFmtId="164" fontId="1" fillId="9" borderId="3" xfId="0" applyNumberFormat="1" applyFont="1" applyFill="1" applyBorder="1"/>
    <xf numFmtId="2" fontId="1" fillId="9" borderId="3" xfId="0" applyNumberFormat="1" applyFont="1" applyFill="1" applyBorder="1"/>
    <xf numFmtId="0" fontId="0" fillId="0" borderId="0" xfId="0" applyAlignment="1">
      <alignment wrapText="1"/>
    </xf>
    <xf numFmtId="0" fontId="0" fillId="8" borderId="3" xfId="0" applyFill="1" applyBorder="1"/>
    <xf numFmtId="0" fontId="26" fillId="0" borderId="3" xfId="0" applyFont="1" applyBorder="1" applyAlignment="1">
      <alignment wrapText="1"/>
    </xf>
    <xf numFmtId="0" fontId="25" fillId="0" borderId="0" xfId="0" applyFont="1"/>
    <xf numFmtId="0" fontId="3" fillId="10" borderId="3" xfId="0" applyFont="1" applyFill="1" applyBorder="1"/>
    <xf numFmtId="0" fontId="27" fillId="11" borderId="3" xfId="0" applyFont="1" applyFill="1" applyBorder="1"/>
    <xf numFmtId="0" fontId="3" fillId="12" borderId="3" xfId="0" applyFont="1" applyFill="1" applyBorder="1"/>
    <xf numFmtId="0" fontId="28" fillId="13" borderId="3" xfId="0" applyFont="1" applyFill="1" applyBorder="1"/>
    <xf numFmtId="0" fontId="1" fillId="0" borderId="3" xfId="0" applyFont="1" applyBorder="1" applyAlignment="1">
      <alignment wrapText="1"/>
    </xf>
    <xf numFmtId="0" fontId="3" fillId="14" borderId="0" xfId="0" applyFont="1" applyFill="1"/>
    <xf numFmtId="165" fontId="0" fillId="7" borderId="3" xfId="0" applyNumberFormat="1" applyFill="1" applyBorder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0" fontId="0" fillId="9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10" borderId="3" xfId="0" applyFill="1" applyBorder="1"/>
    <xf numFmtId="0" fontId="0" fillId="18" borderId="3" xfId="0" applyFill="1" applyBorder="1"/>
    <xf numFmtId="0" fontId="0" fillId="19" borderId="3" xfId="0" applyFill="1" applyBorder="1"/>
    <xf numFmtId="0" fontId="0" fillId="20" borderId="3" xfId="0" applyFill="1" applyBorder="1"/>
    <xf numFmtId="0" fontId="1" fillId="20" borderId="3" xfId="0" applyFont="1" applyFill="1" applyBorder="1"/>
    <xf numFmtId="0" fontId="1" fillId="10" borderId="3" xfId="0" applyFont="1" applyFill="1" applyBorder="1"/>
    <xf numFmtId="0" fontId="1" fillId="18" borderId="3" xfId="0" applyFont="1" applyFill="1" applyBorder="1"/>
    <xf numFmtId="165" fontId="3" fillId="4" borderId="3" xfId="0" applyNumberFormat="1" applyFont="1" applyFill="1" applyBorder="1" applyAlignment="1">
      <alignment horizontal="center"/>
    </xf>
    <xf numFmtId="2" fontId="7" fillId="5" borderId="3" xfId="0" applyNumberFormat="1" applyFont="1" applyFill="1" applyBorder="1"/>
    <xf numFmtId="4" fontId="7" fillId="5" borderId="3" xfId="0" applyNumberFormat="1" applyFont="1" applyFill="1" applyBorder="1"/>
    <xf numFmtId="2" fontId="8" fillId="6" borderId="3" xfId="0" applyNumberFormat="1" applyFont="1" applyFill="1" applyBorder="1"/>
    <xf numFmtId="4" fontId="8" fillId="6" borderId="3" xfId="0" applyNumberFormat="1" applyFont="1" applyFill="1" applyBorder="1"/>
    <xf numFmtId="2" fontId="0" fillId="15" borderId="3" xfId="0" applyNumberFormat="1" applyFill="1" applyBorder="1"/>
    <xf numFmtId="2" fontId="1" fillId="15" borderId="3" xfId="0" applyNumberFormat="1" applyFont="1" applyFill="1" applyBorder="1"/>
    <xf numFmtId="4" fontId="0" fillId="15" borderId="3" xfId="0" applyNumberFormat="1" applyFill="1" applyBorder="1"/>
    <xf numFmtId="4" fontId="1" fillId="15" borderId="3" xfId="0" applyNumberFormat="1" applyFont="1" applyFill="1" applyBorder="1"/>
    <xf numFmtId="165" fontId="29" fillId="15" borderId="3" xfId="0" applyNumberFormat="1" applyFont="1" applyFill="1" applyBorder="1" applyAlignment="1">
      <alignment horizontal="center"/>
    </xf>
    <xf numFmtId="0" fontId="29" fillId="15" borderId="3" xfId="0" applyFont="1" applyFill="1" applyBorder="1" applyAlignment="1">
      <alignment horizontal="center"/>
    </xf>
    <xf numFmtId="164" fontId="7" fillId="5" borderId="3" xfId="0" applyNumberFormat="1" applyFont="1" applyFill="1" applyBorder="1"/>
    <xf numFmtId="164" fontId="8" fillId="6" borderId="3" xfId="0" applyNumberFormat="1" applyFont="1" applyFill="1" applyBorder="1"/>
    <xf numFmtId="14" fontId="0" fillId="0" borderId="3" xfId="0" applyNumberFormat="1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0" fillId="0" borderId="0" xfId="0" applyFont="1" applyAlignment="1">
      <alignment wrapText="1"/>
    </xf>
    <xf numFmtId="0" fontId="3" fillId="4" borderId="6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3" fillId="4" borderId="2" xfId="0" applyFont="1" applyFill="1" applyBorder="1"/>
    <xf numFmtId="4" fontId="0" fillId="0" borderId="2" xfId="0" applyNumberFormat="1" applyBorder="1"/>
    <xf numFmtId="0" fontId="3" fillId="4" borderId="7" xfId="0" applyFont="1" applyFill="1" applyBorder="1"/>
    <xf numFmtId="0" fontId="3" fillId="4" borderId="6" xfId="0" applyFont="1" applyFill="1" applyBorder="1"/>
    <xf numFmtId="0" fontId="3" fillId="4" borderId="8" xfId="0" applyFont="1" applyFill="1" applyBorder="1"/>
    <xf numFmtId="4" fontId="0" fillId="0" borderId="5" xfId="0" applyNumberFormat="1" applyBorder="1"/>
    <xf numFmtId="4" fontId="0" fillId="0" borderId="10" xfId="0" applyNumberFormat="1" applyBorder="1"/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8" fillId="6" borderId="5" xfId="0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2" fontId="0" fillId="0" borderId="2" xfId="0" applyNumberFormat="1" applyBorder="1"/>
    <xf numFmtId="2" fontId="0" fillId="0" borderId="10" xfId="0" applyNumberFormat="1" applyBorder="1"/>
    <xf numFmtId="0" fontId="5" fillId="6" borderId="4" xfId="0" applyFont="1" applyFill="1" applyBorder="1"/>
    <xf numFmtId="0" fontId="6" fillId="7" borderId="4" xfId="0" applyFont="1" applyFill="1" applyBorder="1"/>
    <xf numFmtId="0" fontId="4" fillId="5" borderId="4" xfId="0" applyFont="1" applyFill="1" applyBorder="1"/>
    <xf numFmtId="0" fontId="4" fillId="5" borderId="9" xfId="0" applyFont="1" applyFill="1" applyBorder="1"/>
    <xf numFmtId="165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2" fontId="0" fillId="0" borderId="5" xfId="0" applyNumberFormat="1" applyBorder="1"/>
    <xf numFmtId="0" fontId="0" fillId="7" borderId="4" xfId="0" applyFill="1" applyBorder="1"/>
    <xf numFmtId="0" fontId="0" fillId="7" borderId="2" xfId="0" applyFill="1" applyBorder="1"/>
    <xf numFmtId="0" fontId="0" fillId="7" borderId="9" xfId="0" applyFill="1" applyBorder="1"/>
    <xf numFmtId="0" fontId="0" fillId="7" borderId="5" xfId="0" applyFill="1" applyBorder="1"/>
    <xf numFmtId="0" fontId="0" fillId="7" borderId="5" xfId="0" applyFill="1" applyBorder="1" applyAlignment="1">
      <alignment wrapText="1"/>
    </xf>
    <xf numFmtId="0" fontId="0" fillId="7" borderId="10" xfId="0" applyFill="1" applyBorder="1"/>
    <xf numFmtId="0" fontId="17" fillId="6" borderId="4" xfId="0" applyFont="1" applyFill="1" applyBorder="1"/>
    <xf numFmtId="0" fontId="20" fillId="7" borderId="4" xfId="0" applyFont="1" applyFill="1" applyBorder="1"/>
    <xf numFmtId="0" fontId="18" fillId="0" borderId="2" xfId="0" applyFont="1" applyBorder="1"/>
    <xf numFmtId="0" fontId="16" fillId="4" borderId="7" xfId="0" applyFont="1" applyFill="1" applyBorder="1"/>
    <xf numFmtId="0" fontId="16" fillId="4" borderId="6" xfId="0" applyFont="1" applyFill="1" applyBorder="1"/>
    <xf numFmtId="0" fontId="16" fillId="4" borderId="8" xfId="0" applyFont="1" applyFill="1" applyBorder="1"/>
    <xf numFmtId="0" fontId="21" fillId="5" borderId="9" xfId="0" applyFont="1" applyFill="1" applyBorder="1"/>
    <xf numFmtId="0" fontId="18" fillId="0" borderId="5" xfId="0" applyFont="1" applyBorder="1"/>
    <xf numFmtId="0" fontId="18" fillId="0" borderId="10" xfId="0" applyFont="1" applyBorder="1"/>
    <xf numFmtId="0" fontId="12" fillId="0" borderId="4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3" fillId="2" borderId="7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right"/>
    </xf>
    <xf numFmtId="0" fontId="13" fillId="2" borderId="11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4" fontId="12" fillId="0" borderId="5" xfId="0" applyNumberFormat="1" applyFont="1" applyBorder="1" applyAlignment="1">
      <alignment horizontal="right"/>
    </xf>
    <xf numFmtId="4" fontId="12" fillId="0" borderId="10" xfId="0" applyNumberFormat="1" applyFont="1" applyBorder="1" applyAlignment="1">
      <alignment horizontal="right"/>
    </xf>
    <xf numFmtId="164" fontId="11" fillId="0" borderId="5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/>
    </xf>
    <xf numFmtId="4" fontId="11" fillId="0" borderId="5" xfId="0" applyNumberFormat="1" applyFont="1" applyBorder="1" applyAlignment="1">
      <alignment horizontal="right"/>
    </xf>
    <xf numFmtId="2" fontId="11" fillId="0" borderId="5" xfId="0" applyNumberFormat="1" applyFont="1" applyBorder="1" applyAlignment="1">
      <alignment horizontal="right"/>
    </xf>
    <xf numFmtId="4" fontId="12" fillId="0" borderId="9" xfId="0" applyNumberFormat="1" applyFont="1" applyBorder="1" applyAlignment="1">
      <alignment horizontal="right"/>
    </xf>
    <xf numFmtId="0" fontId="11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right"/>
    </xf>
    <xf numFmtId="2" fontId="12" fillId="0" borderId="2" xfId="0" applyNumberFormat="1" applyFont="1" applyBorder="1"/>
    <xf numFmtId="0" fontId="13" fillId="2" borderId="7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165" fontId="12" fillId="0" borderId="5" xfId="0" applyNumberFormat="1" applyFont="1" applyBorder="1" applyAlignment="1">
      <alignment horizontal="left"/>
    </xf>
    <xf numFmtId="4" fontId="12" fillId="0" borderId="5" xfId="0" applyNumberFormat="1" applyFont="1" applyBorder="1"/>
    <xf numFmtId="2" fontId="12" fillId="0" borderId="5" xfId="0" applyNumberFormat="1" applyFont="1" applyBorder="1"/>
    <xf numFmtId="2" fontId="12" fillId="0" borderId="10" xfId="0" applyNumberFormat="1" applyFont="1" applyBorder="1"/>
    <xf numFmtId="17" fontId="3" fillId="4" borderId="6" xfId="0" applyNumberFormat="1" applyFont="1" applyFill="1" applyBorder="1" applyAlignment="1">
      <alignment horizontal="center"/>
    </xf>
    <xf numFmtId="0" fontId="12" fillId="0" borderId="4" xfId="0" applyFont="1" applyBorder="1"/>
    <xf numFmtId="0" fontId="16" fillId="4" borderId="7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2" fillId="0" borderId="9" xfId="0" applyFont="1" applyBorder="1"/>
    <xf numFmtId="0" fontId="12" fillId="0" borderId="5" xfId="0" applyFont="1" applyBorder="1"/>
    <xf numFmtId="165" fontId="12" fillId="0" borderId="5" xfId="0" applyNumberFormat="1" applyFont="1" applyBorder="1"/>
    <xf numFmtId="165" fontId="21" fillId="5" borderId="5" xfId="0" applyNumberFormat="1" applyFont="1" applyFill="1" applyBorder="1"/>
    <xf numFmtId="4" fontId="22" fillId="8" borderId="5" xfId="0" applyNumberFormat="1" applyFont="1" applyFill="1" applyBorder="1"/>
    <xf numFmtId="0" fontId="12" fillId="0" borderId="10" xfId="0" applyFont="1" applyBorder="1"/>
    <xf numFmtId="4" fontId="12" fillId="0" borderId="2" xfId="0" applyNumberFormat="1" applyFont="1" applyBorder="1"/>
    <xf numFmtId="4" fontId="12" fillId="0" borderId="10" xfId="0" applyNumberFormat="1" applyFont="1" applyBorder="1"/>
    <xf numFmtId="165" fontId="12" fillId="0" borderId="4" xfId="0" applyNumberFormat="1" applyFont="1" applyBorder="1"/>
    <xf numFmtId="1" fontId="12" fillId="0" borderId="2" xfId="0" applyNumberFormat="1" applyFont="1" applyBorder="1"/>
    <xf numFmtId="165" fontId="12" fillId="0" borderId="9" xfId="0" applyNumberFormat="1" applyFont="1" applyBorder="1"/>
    <xf numFmtId="1" fontId="12" fillId="0" borderId="10" xfId="0" applyNumberFormat="1" applyFont="1" applyBorder="1"/>
    <xf numFmtId="164" fontId="12" fillId="0" borderId="2" xfId="0" applyNumberFormat="1" applyFont="1" applyBorder="1"/>
    <xf numFmtId="164" fontId="12" fillId="0" borderId="10" xfId="0" applyNumberFormat="1" applyFont="1" applyBorder="1"/>
    <xf numFmtId="0" fontId="0" fillId="9" borderId="7" xfId="0" applyFill="1" applyBorder="1"/>
    <xf numFmtId="0" fontId="0" fillId="9" borderId="6" xfId="0" applyFill="1" applyBorder="1"/>
    <xf numFmtId="0" fontId="0" fillId="9" borderId="8" xfId="0" applyFill="1" applyBorder="1"/>
    <xf numFmtId="0" fontId="7" fillId="5" borderId="4" xfId="0" applyFont="1" applyFill="1" applyBorder="1"/>
    <xf numFmtId="0" fontId="8" fillId="6" borderId="4" xfId="0" applyFont="1" applyFill="1" applyBorder="1"/>
    <xf numFmtId="0" fontId="7" fillId="5" borderId="2" xfId="0" applyFont="1" applyFill="1" applyBorder="1"/>
    <xf numFmtId="0" fontId="8" fillId="6" borderId="2" xfId="0" applyFont="1" applyFill="1" applyBorder="1"/>
    <xf numFmtId="0" fontId="8" fillId="6" borderId="9" xfId="0" applyFont="1" applyFill="1" applyBorder="1"/>
    <xf numFmtId="4" fontId="8" fillId="6" borderId="5" xfId="0" applyNumberFormat="1" applyFont="1" applyFill="1" applyBorder="1"/>
    <xf numFmtId="164" fontId="8" fillId="6" borderId="5" xfId="0" applyNumberFormat="1" applyFont="1" applyFill="1" applyBorder="1"/>
    <xf numFmtId="2" fontId="8" fillId="6" borderId="5" xfId="0" applyNumberFormat="1" applyFont="1" applyFill="1" applyBorder="1"/>
    <xf numFmtId="0" fontId="8" fillId="6" borderId="10" xfId="0" applyFont="1" applyFill="1" applyBorder="1"/>
    <xf numFmtId="14" fontId="0" fillId="0" borderId="5" xfId="0" applyNumberFormat="1" applyBorder="1"/>
    <xf numFmtId="0" fontId="0" fillId="8" borderId="9" xfId="0" applyFill="1" applyBorder="1"/>
    <xf numFmtId="49" fontId="0" fillId="0" borderId="3" xfId="0" applyNumberFormat="1" applyBorder="1"/>
    <xf numFmtId="0" fontId="23" fillId="21" borderId="0" xfId="0" applyFont="1" applyFill="1"/>
    <xf numFmtId="0" fontId="31" fillId="22" borderId="0" xfId="0" applyFont="1" applyFill="1"/>
    <xf numFmtId="0" fontId="32" fillId="21" borderId="0" xfId="0" applyFont="1" applyFill="1"/>
    <xf numFmtId="0" fontId="33" fillId="0" borderId="0" xfId="0" applyFont="1"/>
    <xf numFmtId="0" fontId="25" fillId="0" borderId="5" xfId="0" applyFont="1" applyBorder="1"/>
    <xf numFmtId="0" fontId="35" fillId="0" borderId="0" xfId="0" applyFont="1" applyAlignment="1">
      <alignment wrapText="1"/>
    </xf>
    <xf numFmtId="0" fontId="36" fillId="24" borderId="0" xfId="0" applyFont="1" applyFill="1"/>
    <xf numFmtId="0" fontId="37" fillId="0" borderId="0" xfId="0" applyFont="1" applyAlignment="1">
      <alignment wrapText="1"/>
    </xf>
    <xf numFmtId="0" fontId="38" fillId="25" borderId="0" xfId="0" applyFont="1" applyFill="1" applyAlignment="1">
      <alignment horizontal="center" vertical="center"/>
    </xf>
    <xf numFmtId="0" fontId="39" fillId="25" borderId="0" xfId="0" applyFont="1" applyFill="1" applyAlignment="1">
      <alignment horizontal="center" vertical="center"/>
    </xf>
    <xf numFmtId="1" fontId="40" fillId="25" borderId="0" xfId="0" applyNumberFormat="1" applyFont="1" applyFill="1" applyAlignment="1">
      <alignment horizontal="center" vertical="center"/>
    </xf>
    <xf numFmtId="2" fontId="40" fillId="25" borderId="0" xfId="0" applyNumberFormat="1" applyFont="1" applyFill="1" applyAlignment="1">
      <alignment horizontal="center" vertical="center"/>
    </xf>
    <xf numFmtId="167" fontId="40" fillId="25" borderId="0" xfId="0" applyNumberFormat="1" applyFont="1" applyFill="1" applyAlignment="1">
      <alignment horizontal="center" vertical="center"/>
    </xf>
    <xf numFmtId="0" fontId="36" fillId="23" borderId="0" xfId="0" applyFont="1" applyFill="1" applyAlignment="1">
      <alignment wrapText="1"/>
    </xf>
    <xf numFmtId="0" fontId="41" fillId="0" borderId="0" xfId="0" applyFont="1" applyAlignment="1">
      <alignment horizontal="center" wrapText="1"/>
    </xf>
    <xf numFmtId="0" fontId="41" fillId="0" borderId="0" xfId="0" applyFont="1" applyAlignment="1">
      <alignment wrapText="1"/>
    </xf>
    <xf numFmtId="165" fontId="41" fillId="0" borderId="0" xfId="0" applyNumberFormat="1" applyFont="1" applyAlignment="1">
      <alignment horizontal="center" wrapText="1"/>
    </xf>
    <xf numFmtId="0" fontId="41" fillId="0" borderId="0" xfId="0" applyFont="1"/>
    <xf numFmtId="0" fontId="34" fillId="21" borderId="0" xfId="0" applyFont="1" applyFill="1"/>
    <xf numFmtId="0" fontId="36" fillId="22" borderId="0" xfId="0" applyFont="1" applyFill="1"/>
    <xf numFmtId="0" fontId="42" fillId="26" borderId="0" xfId="0" applyFont="1" applyFill="1" applyAlignment="1">
      <alignment horizontal="center"/>
    </xf>
    <xf numFmtId="1" fontId="43" fillId="26" borderId="0" xfId="0" applyNumberFormat="1" applyFont="1" applyFill="1" applyAlignment="1">
      <alignment horizontal="center"/>
    </xf>
    <xf numFmtId="167" fontId="43" fillId="26" borderId="0" xfId="0" applyNumberFormat="1" applyFont="1" applyFill="1" applyAlignment="1">
      <alignment horizontal="center"/>
    </xf>
    <xf numFmtId="2" fontId="43" fillId="26" borderId="0" xfId="0" applyNumberFormat="1" applyFont="1" applyFill="1" applyAlignment="1">
      <alignment horizontal="center"/>
    </xf>
    <xf numFmtId="0" fontId="41" fillId="0" borderId="0" xfId="0" pivotButton="1" applyFont="1"/>
    <xf numFmtId="1" fontId="41" fillId="0" borderId="0" xfId="0" applyNumberFormat="1" applyFont="1"/>
    <xf numFmtId="167" fontId="41" fillId="0" borderId="0" xfId="0" applyNumberFormat="1" applyFont="1"/>
    <xf numFmtId="0" fontId="41" fillId="0" borderId="0" xfId="0" applyFont="1" applyAlignment="1">
      <alignment horizontal="left"/>
    </xf>
    <xf numFmtId="4" fontId="41" fillId="0" borderId="0" xfId="0" applyNumberFormat="1" applyFont="1"/>
    <xf numFmtId="164" fontId="41" fillId="0" borderId="0" xfId="0" applyNumberFormat="1" applyFont="1"/>
    <xf numFmtId="2" fontId="41" fillId="0" borderId="0" xfId="0" applyNumberFormat="1" applyFont="1"/>
    <xf numFmtId="0" fontId="30" fillId="0" borderId="0" xfId="0" applyFont="1" applyAlignment="1">
      <alignment wrapText="1"/>
    </xf>
    <xf numFmtId="0" fontId="0" fillId="0" borderId="0" xfId="0"/>
    <xf numFmtId="0" fontId="24" fillId="0" borderId="0" xfId="0" applyFont="1" applyAlignment="1">
      <alignment wrapText="1"/>
    </xf>
    <xf numFmtId="0" fontId="23" fillId="4" borderId="0" xfId="0" applyFont="1" applyFill="1"/>
    <xf numFmtId="0" fontId="23" fillId="4" borderId="0" xfId="0" applyFont="1" applyFill="1" applyAlignment="1">
      <alignment horizontal="left"/>
    </xf>
    <xf numFmtId="0" fontId="0" fillId="0" borderId="3" xfId="0" applyBorder="1" applyAlignment="1">
      <alignment wrapText="1"/>
    </xf>
    <xf numFmtId="0" fontId="0" fillId="0" borderId="1" xfId="0" applyBorder="1"/>
    <xf numFmtId="0" fontId="0" fillId="0" borderId="4" xfId="0" applyBorder="1"/>
    <xf numFmtId="0" fontId="3" fillId="4" borderId="3" xfId="0" applyFont="1" applyFill="1" applyBorder="1"/>
    <xf numFmtId="0" fontId="0" fillId="0" borderId="13" xfId="0" applyBorder="1"/>
    <xf numFmtId="0" fontId="0" fillId="0" borderId="9" xfId="0" applyBorder="1"/>
    <xf numFmtId="0" fontId="0" fillId="0" borderId="12" xfId="0" applyBorder="1"/>
    <xf numFmtId="0" fontId="0" fillId="0" borderId="14" xfId="0" applyBorder="1"/>
    <xf numFmtId="0" fontId="0" fillId="0" borderId="8" xfId="0" applyBorder="1"/>
    <xf numFmtId="0" fontId="0" fillId="0" borderId="15" xfId="0" applyBorder="1"/>
    <xf numFmtId="0" fontId="0" fillId="0" borderId="7" xfId="0" applyBorder="1"/>
    <xf numFmtId="0" fontId="31" fillId="22" borderId="0" xfId="0" applyFont="1" applyFill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166" fontId="14" fillId="3" borderId="3" xfId="0" applyNumberFormat="1" applyFont="1" applyFill="1" applyBorder="1" applyAlignment="1">
      <alignment horizontal="left" vertical="center"/>
    </xf>
    <xf numFmtId="166" fontId="13" fillId="8" borderId="3" xfId="0" applyNumberFormat="1" applyFont="1" applyFill="1" applyBorder="1" applyAlignment="1">
      <alignment horizontal="left" vertical="center"/>
    </xf>
    <xf numFmtId="2" fontId="14" fillId="3" borderId="3" xfId="0" applyNumberFormat="1" applyFont="1" applyFill="1" applyBorder="1" applyAlignment="1">
      <alignment horizontal="left" vertical="center"/>
    </xf>
    <xf numFmtId="164" fontId="14" fillId="3" borderId="3" xfId="0" applyNumberFormat="1" applyFont="1" applyFill="1" applyBorder="1" applyAlignment="1">
      <alignment horizontal="left" vertical="center"/>
    </xf>
    <xf numFmtId="0" fontId="36" fillId="24" borderId="0" xfId="0" applyFont="1" applyFill="1"/>
    <xf numFmtId="0" fontId="41" fillId="0" borderId="0" xfId="0" applyFont="1"/>
    <xf numFmtId="0" fontId="35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4" fillId="23" borderId="0" xfId="0" applyFont="1" applyFill="1"/>
  </cellXfs>
  <cellStyles count="1">
    <cellStyle name="Normal" xfId="0" builtinId="0"/>
  </cellStyles>
  <dxfs count="519"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164" formatCode="0.0%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ill>
        <patternFill patternType="solid">
          <fgColor indexed="64"/>
          <bgColor rgb="FFE2F0D9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" formatCode="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/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333333"/>
        <name val="Aptos"/>
      </font>
      <numFmt numFmtId="4" formatCode="#,##0.00"/>
      <fill>
        <patternFill patternType="solid">
          <fgColor indexed="64"/>
          <bgColor rgb="FFF3F6F4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990000"/>
        <name val="Aptos"/>
      </font>
      <numFmt numFmtId="165" formatCode="yyyy\-mm\-dd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/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" formatCode="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65" formatCode="yyyy\-mm\-dd"/>
      <alignment horizontal="center"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horizontal="center" wrapText="1"/>
    </dxf>
    <dxf>
      <font>
        <name val="Calibri"/>
      </font>
      <alignment horizontal="center" wrapText="1"/>
    </dxf>
    <dxf>
      <font>
        <name val="Calibri"/>
      </font>
      <alignment wrapText="1"/>
    </dxf>
    <dxf>
      <font>
        <b/>
        <color rgb="FFFFFFFF"/>
        <name val="Calibri"/>
      </font>
      <fill>
        <patternFill patternType="solid">
          <fgColor indexed="64"/>
          <bgColor rgb="FF7F1D1D"/>
        </patternFill>
      </fill>
      <alignment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333333"/>
        <name val="Aptos"/>
      </font>
      <fill>
        <patternFill patternType="solid">
          <fgColor rgb="FFF2F4F4"/>
          <bgColor rgb="FFF2F4F4"/>
        </patternFill>
      </fill>
      <alignment horizontal="right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center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  <bottom style="thin">
          <color rgb="FFB7B7B7"/>
        </bottom>
      </border>
    </dxf>
    <dxf>
      <alignment horizontal="general" vertical="bottom" wrapText="1"/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4F6D7A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'EVM Charts'!$E$4</c:f>
              <c:strCache>
                <c:ptCount val="1"/>
                <c:pt idx="0">
                  <c:v>Start Offset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Charts'!$E$5:$E$16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7</c:v>
                </c:pt>
                <c:pt idx="5">
                  <c:v>21</c:v>
                </c:pt>
                <c:pt idx="6">
                  <c:v>28</c:v>
                </c:pt>
                <c:pt idx="7">
                  <c:v>35</c:v>
                </c:pt>
                <c:pt idx="8">
                  <c:v>49</c:v>
                </c:pt>
                <c:pt idx="9">
                  <c:v>56</c:v>
                </c:pt>
                <c:pt idx="10">
                  <c:v>70</c:v>
                </c:pt>
                <c:pt idx="1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B-471C-A6DE-50418876595E}"/>
            </c:ext>
          </c:extLst>
        </c:ser>
        <c:ser>
          <c:idx val="1"/>
          <c:order val="1"/>
          <c:tx>
            <c:strRef>
              <c:f>'EVM Charts'!$F$4</c:f>
              <c:strCache>
                <c:ptCount val="1"/>
                <c:pt idx="0">
                  <c:v>Duration Days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rgbClr val="66666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8EB-471C-A6DE-50418876595E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8EB-471C-A6DE-50418876595E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8EB-471C-A6DE-50418876595E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8EB-471C-A6DE-50418876595E}"/>
              </c:ext>
            </c:extLst>
          </c:dPt>
          <c:dPt>
            <c:idx val="4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8EB-471C-A6DE-50418876595E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8EB-471C-A6DE-50418876595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8EB-471C-A6DE-50418876595E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8EB-471C-A6DE-50418876595E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8EB-471C-A6DE-50418876595E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8EB-471C-A6DE-50418876595E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8EB-471C-A6DE-50418876595E}"/>
              </c:ext>
            </c:extLst>
          </c:dPt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8EB-471C-A6DE-50418876595E}"/>
              </c:ext>
            </c:extLst>
          </c:dPt>
          <c:dLbls>
            <c:delete val="1"/>
          </c:dLbls>
          <c:cat>
            <c:strRef>
              <c:f>'EVM Charts'!$B$5:$B$16</c:f>
              <c:strCache>
                <c:ptCount val="12"/>
                <c:pt idx="0">
                  <c:v>Project Management</c:v>
                </c:pt>
                <c:pt idx="1">
                  <c:v>Site Survey &amp; Mobilization</c:v>
                </c:pt>
                <c:pt idx="2">
                  <c:v>Design &amp; Engineering</c:v>
                </c:pt>
                <c:pt idx="3">
                  <c:v>Procurement - Materials</c:v>
                </c:pt>
                <c:pt idx="4">
                  <c:v>Demolition &amp; Prep</c:v>
                </c:pt>
                <c:pt idx="5">
                  <c:v>Electrical Rough-In</c:v>
                </c:pt>
                <c:pt idx="6">
                  <c:v>HVAC Installation</c:v>
                </c:pt>
                <c:pt idx="7">
                  <c:v>Partitions &amp; Drywall</c:v>
                </c:pt>
                <c:pt idx="8">
                  <c:v>Flooring</c:v>
                </c:pt>
                <c:pt idx="9">
                  <c:v>Fixtures &amp; Furniture</c:v>
                </c:pt>
                <c:pt idx="10">
                  <c:v>Testing / Commissioning</c:v>
                </c:pt>
                <c:pt idx="11">
                  <c:v>Handover &amp; Closeout</c:v>
                </c:pt>
              </c:strCache>
            </c:strRef>
          </c:cat>
          <c:val>
            <c:numRef>
              <c:f>'EVM Charts'!$F$5:$F$16</c:f>
              <c:numCache>
                <c:formatCode>0</c:formatCode>
                <c:ptCount val="12"/>
                <c:pt idx="0">
                  <c:v>84</c:v>
                </c:pt>
                <c:pt idx="1">
                  <c:v>7</c:v>
                </c:pt>
                <c:pt idx="2">
                  <c:v>21</c:v>
                </c:pt>
                <c:pt idx="3">
                  <c:v>28</c:v>
                </c:pt>
                <c:pt idx="4">
                  <c:v>21</c:v>
                </c:pt>
                <c:pt idx="5">
                  <c:v>21</c:v>
                </c:pt>
                <c:pt idx="6">
                  <c:v>28</c:v>
                </c:pt>
                <c:pt idx="7">
                  <c:v>28</c:v>
                </c:pt>
                <c:pt idx="8">
                  <c:v>21</c:v>
                </c:pt>
                <c:pt idx="9">
                  <c:v>21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8EB-471C-A6DE-5041887659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94832975"/>
        <c:axId val="1078821968"/>
      </c:barChart>
      <c:catAx>
        <c:axId val="169483297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c:rich>
          </c:tx>
          <c:layout>
            <c:manualLayout>
              <c:xMode val="edge"/>
              <c:yMode val="edge"/>
              <c:x val="1.1435833418626839E-2"/>
              <c:y val="0.2837863975056809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78821968"/>
        <c:crosses val="autoZero"/>
        <c:auto val="1"/>
        <c:lblAlgn val="ctr"/>
        <c:lblOffset val="100"/>
        <c:noMultiLvlLbl val="0"/>
      </c:catAx>
      <c:valAx>
        <c:axId val="10788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48329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RAG Lines + 2026-06-30 Status 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'EVM Charts'!$C$23</c:f>
              <c:strCache>
                <c:ptCount val="1"/>
                <c:pt idx="0">
                  <c:v>Cum PV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cat>
            <c:strRef>
              <c:f>'EVM Charts'!$B$24:$B$35</c:f>
              <c:strCache>
                <c:ptCount val="12"/>
                <c:pt idx="0">
                  <c:v>2026-05-08 00:00:00</c:v>
                </c:pt>
                <c:pt idx="1">
                  <c:v>2026-05-15 00:00:00</c:v>
                </c:pt>
                <c:pt idx="2">
                  <c:v>2026-05-22 00:00:00</c:v>
                </c:pt>
                <c:pt idx="3">
                  <c:v>2026-05-29 00:00:00</c:v>
                </c:pt>
                <c:pt idx="4">
                  <c:v>2026-06-05 00:00:00</c:v>
                </c:pt>
                <c:pt idx="5">
                  <c:v>2026-06-12 00:00:00</c:v>
                </c:pt>
                <c:pt idx="6">
                  <c:v>2026-06-19 00:00:00</c:v>
                </c:pt>
                <c:pt idx="7">
                  <c:v>2026-06-26 00:00:00</c:v>
                </c:pt>
                <c:pt idx="8">
                  <c:v>2026-07-03 00:00:00</c:v>
                </c:pt>
                <c:pt idx="9">
                  <c:v>2026-07-10 00:00:00</c:v>
                </c:pt>
                <c:pt idx="10">
                  <c:v>2026-07-17 00:00:00</c:v>
                </c:pt>
                <c:pt idx="11">
                  <c:v>2026-07-24 00:00:00</c:v>
                </c:pt>
              </c:strCache>
            </c:strRef>
          </c:cat>
          <c:val>
            <c:numRef>
              <c:f>'EVM Charts'!$C$24:$C$35</c:f>
              <c:numCache>
                <c:formatCode>#,##0.00</c:formatCode>
                <c:ptCount val="12"/>
                <c:pt idx="0">
                  <c:v>16400</c:v>
                </c:pt>
                <c:pt idx="1">
                  <c:v>39200</c:v>
                </c:pt>
                <c:pt idx="2">
                  <c:v>62000</c:v>
                </c:pt>
                <c:pt idx="3">
                  <c:v>87066.67</c:v>
                </c:pt>
                <c:pt idx="4">
                  <c:v>116733.34</c:v>
                </c:pt>
                <c:pt idx="5">
                  <c:v>142900</c:v>
                </c:pt>
                <c:pt idx="6">
                  <c:v>160400</c:v>
                </c:pt>
                <c:pt idx="7">
                  <c:v>189816.67</c:v>
                </c:pt>
                <c:pt idx="8">
                  <c:v>220233.34</c:v>
                </c:pt>
                <c:pt idx="9">
                  <c:v>243650</c:v>
                </c:pt>
                <c:pt idx="10">
                  <c:v>259350</c:v>
                </c:pt>
                <c:pt idx="11">
                  <c:v>268650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1-41CA-A0AF-1DA4526E081F}"/>
            </c:ext>
          </c:extLst>
        </c:ser>
        <c:ser>
          <c:idx val="1"/>
          <c:order val="1"/>
          <c:tx>
            <c:strRef>
              <c:f>'EVM Charts'!$D$23</c:f>
              <c:strCache>
                <c:ptCount val="1"/>
                <c:pt idx="0">
                  <c:v>Cum AC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'EVM Charts'!$B$24:$B$35</c:f>
              <c:strCache>
                <c:ptCount val="12"/>
                <c:pt idx="0">
                  <c:v>2026-05-08 00:00:00</c:v>
                </c:pt>
                <c:pt idx="1">
                  <c:v>2026-05-15 00:00:00</c:v>
                </c:pt>
                <c:pt idx="2">
                  <c:v>2026-05-22 00:00:00</c:v>
                </c:pt>
                <c:pt idx="3">
                  <c:v>2026-05-29 00:00:00</c:v>
                </c:pt>
                <c:pt idx="4">
                  <c:v>2026-06-05 00:00:00</c:v>
                </c:pt>
                <c:pt idx="5">
                  <c:v>2026-06-12 00:00:00</c:v>
                </c:pt>
                <c:pt idx="6">
                  <c:v>2026-06-19 00:00:00</c:v>
                </c:pt>
                <c:pt idx="7">
                  <c:v>2026-06-26 00:00:00</c:v>
                </c:pt>
                <c:pt idx="8">
                  <c:v>2026-07-03 00:00:00</c:v>
                </c:pt>
                <c:pt idx="9">
                  <c:v>2026-07-10 00:00:00</c:v>
                </c:pt>
                <c:pt idx="10">
                  <c:v>2026-07-17 00:00:00</c:v>
                </c:pt>
                <c:pt idx="11">
                  <c:v>2026-07-24 00:00:00</c:v>
                </c:pt>
              </c:strCache>
            </c:strRef>
          </c:cat>
          <c:val>
            <c:numRef>
              <c:f>'EVM Charts'!$D$24:$D$35</c:f>
              <c:numCache>
                <c:formatCode>#,##0.00</c:formatCode>
                <c:ptCount val="12"/>
                <c:pt idx="0">
                  <c:v>16295.04</c:v>
                </c:pt>
                <c:pt idx="1">
                  <c:v>38949.120000000003</c:v>
                </c:pt>
                <c:pt idx="2">
                  <c:v>61603.199999999997</c:v>
                </c:pt>
                <c:pt idx="3">
                  <c:v>86509.440000000017</c:v>
                </c:pt>
                <c:pt idx="4">
                  <c:v>115986.24000000001</c:v>
                </c:pt>
                <c:pt idx="5">
                  <c:v>141985.44</c:v>
                </c:pt>
                <c:pt idx="6">
                  <c:v>141985.44</c:v>
                </c:pt>
                <c:pt idx="7">
                  <c:v>141985.44</c:v>
                </c:pt>
                <c:pt idx="8">
                  <c:v>141985.44</c:v>
                </c:pt>
                <c:pt idx="9">
                  <c:v>141985.44</c:v>
                </c:pt>
                <c:pt idx="10">
                  <c:v>141985.44</c:v>
                </c:pt>
                <c:pt idx="11">
                  <c:v>141985.44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1-41CA-A0AF-1DA4526E081F}"/>
            </c:ext>
          </c:extLst>
        </c:ser>
        <c:ser>
          <c:idx val="2"/>
          <c:order val="2"/>
          <c:tx>
            <c:strRef>
              <c:f>'EVM Charts'!$E$23</c:f>
              <c:strCache>
                <c:ptCount val="1"/>
                <c:pt idx="0">
                  <c:v>Cum EV</c:v>
                </c:pt>
              </c:strCache>
            </c:strRef>
          </c:tx>
          <c:spPr>
            <a:ln w="31750" cap="rnd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cat>
            <c:strRef>
              <c:f>'EVM Charts'!$B$24:$B$35</c:f>
              <c:strCache>
                <c:ptCount val="12"/>
                <c:pt idx="0">
                  <c:v>2026-05-08 00:00:00</c:v>
                </c:pt>
                <c:pt idx="1">
                  <c:v>2026-05-15 00:00:00</c:v>
                </c:pt>
                <c:pt idx="2">
                  <c:v>2026-05-22 00:00:00</c:v>
                </c:pt>
                <c:pt idx="3">
                  <c:v>2026-05-29 00:00:00</c:v>
                </c:pt>
                <c:pt idx="4">
                  <c:v>2026-06-05 00:00:00</c:v>
                </c:pt>
                <c:pt idx="5">
                  <c:v>2026-06-12 00:00:00</c:v>
                </c:pt>
                <c:pt idx="6">
                  <c:v>2026-06-19 00:00:00</c:v>
                </c:pt>
                <c:pt idx="7">
                  <c:v>2026-06-26 00:00:00</c:v>
                </c:pt>
                <c:pt idx="8">
                  <c:v>2026-07-03 00:00:00</c:v>
                </c:pt>
                <c:pt idx="9">
                  <c:v>2026-07-10 00:00:00</c:v>
                </c:pt>
                <c:pt idx="10">
                  <c:v>2026-07-17 00:00:00</c:v>
                </c:pt>
                <c:pt idx="11">
                  <c:v>2026-07-24 00:00:00</c:v>
                </c:pt>
              </c:strCache>
            </c:strRef>
          </c:cat>
          <c:val>
            <c:numRef>
              <c:f>'EVM Charts'!$E$24:$E$35</c:f>
              <c:numCache>
                <c:formatCode>#,##0.00</c:formatCode>
                <c:ptCount val="12"/>
                <c:pt idx="0">
                  <c:v>15087.994000000001</c:v>
                </c:pt>
                <c:pt idx="1">
                  <c:v>36064.003599999996</c:v>
                </c:pt>
                <c:pt idx="2">
                  <c:v>57040</c:v>
                </c:pt>
                <c:pt idx="3">
                  <c:v>80101.327999999994</c:v>
                </c:pt>
                <c:pt idx="4">
                  <c:v>107394.674</c:v>
                </c:pt>
                <c:pt idx="5">
                  <c:v>131467.99600000001</c:v>
                </c:pt>
                <c:pt idx="6">
                  <c:v>131467.99600000001</c:v>
                </c:pt>
                <c:pt idx="7">
                  <c:v>131467.99600000001</c:v>
                </c:pt>
                <c:pt idx="8">
                  <c:v>131467.99600000001</c:v>
                </c:pt>
                <c:pt idx="9">
                  <c:v>131467.99600000001</c:v>
                </c:pt>
                <c:pt idx="10">
                  <c:v>131467.99600000001</c:v>
                </c:pt>
                <c:pt idx="11">
                  <c:v>131467.99600000001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1-41CA-A0AF-1DA4526E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690000"/>
        <c:axId val="1078743728"/>
      </c:lineChart>
      <c:catAx>
        <c:axId val="63969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dd\ 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8743728"/>
        <c:crosses val="autoZero"/>
        <c:auto val="1"/>
        <c:lblAlgn val="ctr"/>
        <c:lblOffset val="100"/>
        <c:noMultiLvlLbl val="1"/>
      </c:catAx>
      <c:valAx>
        <c:axId val="10787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NOK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9690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73025</xdr:rowOff>
    </xdr:from>
    <xdr:to>
      <xdr:col>12</xdr:col>
      <xdr:colOff>161924</xdr:colOff>
      <xdr:row>1</xdr:row>
      <xdr:rowOff>3854450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244475</xdr:colOff>
      <xdr:row>1</xdr:row>
      <xdr:rowOff>63500</xdr:rowOff>
    </xdr:from>
    <xdr:to>
      <xdr:col>20</xdr:col>
      <xdr:colOff>133350</xdr:colOff>
      <xdr:row>1</xdr:row>
      <xdr:rowOff>3648075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Ellingsen" refreshedDate="46238.837876851852" createdVersion="8" refreshedVersion="8" minRefreshableVersion="3" recordCount="12" xr:uid="{00000000-000A-0000-FFFF-FFFF17000000}">
  <cacheSource type="worksheet">
    <worksheetSource ref="A4:T16" sheet="Task Plan"/>
  </cacheSource>
  <cacheFields count="20">
    <cacheField name="WBS ID" numFmtId="0">
      <sharedItems/>
    </cacheField>
    <cacheField name="WBS Code" numFmtId="0">
      <sharedItems containsSemiMixedTypes="0" containsString="0" containsNumber="1" containsInteger="1" minValue="1" maxValue="12"/>
    </cacheField>
    <cacheField name="Task / Activity" numFmtId="0">
      <sharedItems/>
    </cacheField>
    <cacheField name="Type" numFmtId="0">
      <sharedItems count="3">
        <s v="Labor"/>
        <s v="Material"/>
        <s v="Subcontractor"/>
      </sharedItems>
    </cacheField>
    <cacheField name="Baseline Start" numFmtId="164">
      <sharedItems containsSemiMixedTypes="0" containsNonDate="0" containsDate="1" containsString="0" minDate="2026-05-04T00:00:00" maxDate="2026-07-21T00:00:00"/>
    </cacheField>
    <cacheField name="Baseline Finish" numFmtId="164">
      <sharedItems containsSemiMixedTypes="0" containsNonDate="0" containsDate="1" containsString="0" minDate="2026-05-10T00:00:00" maxDate="2026-07-27T00:00:00"/>
    </cacheField>
    <cacheField name="Duration Days" numFmtId="1">
      <sharedItems containsSemiMixedTypes="0" containsString="0" containsNumber="1" containsInteger="1" minValue="7" maxValue="84"/>
    </cacheField>
    <cacheField name="BAC (NOK)" numFmtId="4">
      <sharedItems containsSemiMixedTypes="0" containsString="0" containsNumber="1" containsInteger="1" minValue="3600" maxValue="42000"/>
    </cacheField>
    <cacheField name="PV @ Status" numFmtId="4">
      <sharedItems containsSemiMixedTypes="0" containsString="0" containsNumber="1" minValue="0" maxValue="42000"/>
    </cacheField>
    <cacheField name="AC @ Status" numFmtId="4">
      <sharedItems containsSemiMixedTypes="0" containsString="0" containsNumber="1" minValue="0" maxValue="41300"/>
    </cacheField>
    <cacheField name="Progress %" numFmtId="165">
      <sharedItems containsSemiMixedTypes="0" containsString="0" containsNumber="1" minValue="0" maxValue="1"/>
    </cacheField>
    <cacheField name="EV @ Status" numFmtId="4">
      <sharedItems containsSemiMixedTypes="0" containsString="0" containsNumber="1" minValue="0" maxValue="42000"/>
    </cacheField>
    <cacheField name="SV" numFmtId="4">
      <sharedItems containsSemiMixedTypes="0" containsString="0" containsNumber="1" minValue="-23833.34" maxValue="0"/>
    </cacheField>
    <cacheField name="CV" numFmtId="4">
      <sharedItems containsSemiMixedTypes="0" containsString="0" containsNumber="1" minValue="-8006.239999999998" maxValue="1004.959999999999"/>
    </cacheField>
    <cacheField name="SPI" numFmtId="2">
      <sharedItems containsSemiMixedTypes="0" containsString="0" containsNumber="1" minValue="0" maxValue="1"/>
    </cacheField>
    <cacheField name="CPI" numFmtId="2">
      <sharedItems containsSemiMixedTypes="0" containsString="0" containsNumber="1" minValue="0.69449108303976459" maxValue="1.055232634827953"/>
    </cacheField>
    <cacheField name="EAC" numFmtId="4">
      <sharedItems containsSemiMixedTypes="0" containsString="0" containsNumber="1" minValue="3600" maxValue="43692"/>
    </cacheField>
    <cacheField name="ETC" numFmtId="4">
      <sharedItems containsSemiMixedTypes="0" containsString="0" containsNumber="1" minValue="0" maxValue="35750"/>
    </cacheField>
    <cacheField name="VAC" numFmtId="4">
      <sharedItems containsSemiMixedTypes="0" containsString="0" containsNumber="1" minValue="-11437.485714285711" maxValue="1004.959999999999"/>
    </cacheField>
    <cacheField name="Status" numFmtId="0">
      <sharedItems count="2">
        <s v="Red"/>
        <s v="Gre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rank Ellingsen" refreshedDate="46238.837911226852" createdVersion="8" refreshedVersion="8" minRefreshableVersion="3" recordCount="99" xr:uid="{00000000-000A-0000-FFFF-FFFF1B000000}">
  <cacheSource type="worksheet">
    <worksheetSource ref="A1:E100" sheet="Fact_Actual_Costs"/>
  </cacheSource>
  <cacheFields count="5">
    <cacheField name="Date" numFmtId="164">
      <sharedItems containsSemiMixedTypes="0" containsNonDate="0" containsDate="1" containsString="0" minDate="2026-05-04T00:00:00" maxDate="2026-06-13T00:00:00"/>
    </cacheField>
    <cacheField name="WBS_ID" numFmtId="0">
      <sharedItems count="8">
        <s v="WBS-01"/>
        <s v="WBS-02"/>
        <s v="WBS-03"/>
        <s v="WBS-04"/>
        <s v="WBS-05"/>
        <s v="WBS-06"/>
        <s v="WBS-07"/>
        <s v="WBS-08"/>
      </sharedItems>
    </cacheField>
    <cacheField name="Resource_ID" numFmtId="0">
      <sharedItems/>
    </cacheField>
    <cacheField name="Actual_Cost" numFmtId="4">
      <sharedItems containsSemiMixedTypes="0" containsString="0" containsNumber="1" minValue="320" maxValue="10500"/>
    </cacheField>
    <cacheField name="Hours_Worked" numFmtId="2">
      <sharedItems containsSemiMixedTypes="0" containsString="0" containsNumber="1" minValue="0" maxValue="0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rank Ellingsen" refreshedDate="46238.837918865742" createdVersion="8" refreshedVersion="8" minRefreshableVersion="3" recordCount="12" xr:uid="{00000000-000A-0000-FFFF-FFFF1F000000}">
  <cacheSource type="worksheet">
    <worksheetSource ref="A4:N16" sheet="EVM"/>
  </cacheSource>
  <cacheFields count="14">
    <cacheField name="Week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 Date" numFmtId="164">
      <sharedItems containsSemiMixedTypes="0" containsNonDate="0" containsDate="1" containsString="0" minDate="2026-05-08T00:00:00" maxDate="2026-07-25T00:00:00"/>
    </cacheField>
    <cacheField name="Cum PV" numFmtId="4">
      <sharedItems containsSemiMixedTypes="0" containsString="0" containsNumber="1" minValue="16400" maxValue="268650"/>
    </cacheField>
    <cacheField name="Cum AC" numFmtId="4">
      <sharedItems containsSemiMixedTypes="0" containsString="0" containsNumber="1" minValue="16295.04" maxValue="141985.44"/>
    </cacheField>
    <cacheField name="Cum EV" numFmtId="4">
      <sharedItems containsSemiMixedTypes="0" containsString="0" containsNumber="1" minValue="15087.994000000001" maxValue="131467.99600000001"/>
    </cacheField>
    <cacheField name="SV" numFmtId="4">
      <sharedItems containsSemiMixedTypes="0" containsString="0" containsNumber="1" minValue="-137182.00399999999" maxValue="-1312.0059999999989"/>
    </cacheField>
    <cacheField name="CV" numFmtId="4">
      <sharedItems containsSemiMixedTypes="0" containsString="0" containsNumber="1" minValue="-10517.44399999999" maxValue="-1207.046"/>
    </cacheField>
    <cacheField name="SPI" numFmtId="2">
      <sharedItems containsSemiMixedTypes="0" containsString="0" containsNumber="1" minValue="0.48936533035548119" maxValue="0.92000009183673481"/>
    </cacheField>
    <cacheField name="CPI" numFmtId="2">
      <sharedItems containsSemiMixedTypes="0" containsString="0" containsNumber="1" minValue="0.92592555771572205" maxValue="0.92592601835420163"/>
    </cacheField>
    <cacheField name="BAC" numFmtId="4">
      <sharedItems containsSemiMixedTypes="0" containsString="0" containsNumber="1" containsInteger="1" minValue="268650" maxValue="268650"/>
    </cacheField>
    <cacheField name="EAC" numFmtId="4">
      <sharedItems containsSemiMixedTypes="0" containsString="0" containsNumber="1" minValue="290141.97103729221" maxValue="290142.11537995038"/>
    </cacheField>
    <cacheField name="ETC" numFmtId="4">
      <sharedItems containsSemiMixedTypes="0" containsString="0" containsNumber="1" minValue="148156.56882776061" maxValue="273847.07537995052"/>
    </cacheField>
    <cacheField name="VAC" numFmtId="4">
      <sharedItems containsSemiMixedTypes="0" containsString="0" containsNumber="1" minValue="-21492.115379950439" maxValue="-21491.971037292151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3000000}" name="pt_Status_Cost_Value" cacheId="3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6:H39" firstHeaderRow="0" firstDataRow="1" firstDataCol="1"/>
  <pivotFields count="20">
    <pivotField showAll="0"/>
    <pivotField showAll="0"/>
    <pivotField showAll="0"/>
    <pivotField showAll="0"/>
    <pivotField numFmtId="164" showAll="0"/>
    <pivotField numFmtId="164" showAll="0"/>
    <pivotField numFmtId="1" showAll="0"/>
    <pivotField dataField="1" numFmtId="4" showAll="0"/>
    <pivotField dataField="1" numFmtId="4" showAll="0"/>
    <pivotField dataField="1" numFmtId="4" showAll="0"/>
    <pivotField numFmtId="165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dataField="1" numFmtId="4" showAll="0"/>
    <pivotField axis="axisRow" showAll="0">
      <items count="3">
        <item x="1"/>
        <item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BAC (NOK)" fld="7" baseField="0" baseItem="0" numFmtId="4"/>
    <dataField name="Sum of PV @ Status" fld="8" baseField="0" baseItem="0" numFmtId="4"/>
    <dataField name="Sum of AC @ Status" fld="9" baseField="0" baseItem="0" numFmtId="4"/>
    <dataField name="Sum of EV @ Status" fld="11" baseField="0" baseItem="0" numFmtId="4"/>
    <dataField name="Sum of SV" fld="12" baseField="0" baseItem="0" numFmtId="4"/>
    <dataField name="Sum of CV" fld="13" baseField="0" baseItem="0" numFmtId="4"/>
    <dataField name="Sum of VAC" fld="18" baseField="0" baseItem="0" numFmtId="4"/>
  </dataFields>
  <formats count="6">
    <format dxfId="307">
      <pivotArea type="all" dataOnly="0" outline="0" fieldPosition="0"/>
    </format>
    <format dxfId="306">
      <pivotArea outline="0" collapsedLevelsAreSubtotals="1" fieldPosition="0"/>
    </format>
    <format dxfId="305">
      <pivotArea field="19" type="button" dataOnly="0" labelOnly="1" outline="0" axis="axisRow" fieldPosition="0"/>
    </format>
    <format dxfId="304">
      <pivotArea dataOnly="0" labelOnly="1" fieldPosition="0">
        <references count="1">
          <reference field="19" count="0"/>
        </references>
      </pivotArea>
    </format>
    <format dxfId="303">
      <pivotArea dataOnly="0" labelOnly="1" grandRow="1" outline="0" fieldPosition="0"/>
    </format>
    <format dxfId="30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pt_ActualCosts_By_WBS" cacheId="3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5:C54" firstHeaderRow="0" firstDataRow="1" firstDataCol="1"/>
  <pivotFields count="5">
    <pivotField numFmtId="16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4" showAll="0"/>
    <pivotField dataField="1" numFmtId="2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Cost" fld="3" baseField="0" baseItem="0" numFmtId="4"/>
    <dataField name="Sum of Hours_Worked" fld="4" baseField="0" baseItem="0" numFmtId="2"/>
  </dataFields>
  <formats count="6">
    <format dxfId="313">
      <pivotArea type="all" dataOnly="0" outline="0" fieldPosition="0"/>
    </format>
    <format dxfId="312">
      <pivotArea outline="0" collapsedLevelsAreSubtotals="1" fieldPosition="0"/>
    </format>
    <format dxfId="311">
      <pivotArea field="1" type="button" dataOnly="0" labelOnly="1" outline="0" axis="axisRow" fieldPosition="0"/>
    </format>
    <format dxfId="310">
      <pivotArea dataOnly="0" labelOnly="1" fieldPosition="0">
        <references count="1">
          <reference field="1" count="0"/>
        </references>
      </pivotArea>
    </format>
    <format dxfId="309">
      <pivotArea dataOnly="0" labelOnly="1" grandRow="1" outline="0" fieldPosition="0"/>
    </format>
    <format dxfId="3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pt_Weekly_EVM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G76" firstHeaderRow="0" firstDataRow="1" firstDataCol="1"/>
  <pivotFields count="1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numFmtId="4" showAll="0"/>
    <pivotField dataField="1" numFmtId="4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um PV" fld="2" baseField="0" baseItem="0" numFmtId="4"/>
    <dataField name="Sum of Cum AC" fld="3" baseField="0" baseItem="0" numFmtId="4"/>
    <dataField name="Sum of Cum EV" fld="4" baseField="0" baseItem="0" numFmtId="4"/>
    <dataField name="Sum of SV" fld="5" baseField="0" baseItem="0" numFmtId="4"/>
    <dataField name="Sum of CV" fld="6" baseField="0" baseItem="0" numFmtId="4"/>
    <dataField name="Sum of VAC" fld="12" baseField="0" baseItem="0" numFmtId="4"/>
  </dataFields>
  <formats count="6">
    <format dxfId="319">
      <pivotArea type="all" dataOnly="0" outline="0" fieldPosition="0"/>
    </format>
    <format dxfId="318">
      <pivotArea outline="0" collapsedLevelsAreSubtotals="1" fieldPosition="0"/>
    </format>
    <format dxfId="317">
      <pivotArea field="0" type="button" dataOnly="0" labelOnly="1" outline="0" axis="axisRow" fieldPosition="0"/>
    </format>
    <format dxfId="316">
      <pivotArea dataOnly="0" labelOnly="1" fieldPosition="0">
        <references count="1">
          <reference field="0" count="0"/>
        </references>
      </pivotArea>
    </format>
    <format dxfId="315">
      <pivotArea dataOnly="0" labelOnly="1" grandRow="1" outline="0" fieldPosition="0"/>
    </format>
    <format dxfId="3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t_Type_Cost_Value" cacheId="3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7:H31" firstHeaderRow="0" firstDataRow="1" firstDataCol="1"/>
  <pivotFields count="2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4" showAll="0"/>
    <pivotField numFmtId="1" showAll="0"/>
    <pivotField dataField="1" numFmtId="4" showAll="0"/>
    <pivotField dataField="1" numFmtId="4" showAll="0"/>
    <pivotField dataField="1" numFmtId="4" showAll="0"/>
    <pivotField numFmtId="165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dataField="1" numFmtId="4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BAC (NOK)" fld="7" baseField="0" baseItem="0" numFmtId="4"/>
    <dataField name="Sum of PV @ Status" fld="8" baseField="0" baseItem="0" numFmtId="4"/>
    <dataField name="Sum of AC @ Status" fld="9" baseField="0" baseItem="0" numFmtId="4"/>
    <dataField name="Sum of EV @ Status" fld="11" baseField="0" baseItem="0" numFmtId="4"/>
    <dataField name="Sum of SV" fld="12" baseField="0" baseItem="0" numFmtId="4"/>
    <dataField name="Sum of CV" fld="13" baseField="0" baseItem="0" numFmtId="4"/>
    <dataField name="Sum of VAC" fld="18" baseField="0" baseItem="0" numFmtId="4"/>
  </dataFields>
  <formats count="6">
    <format dxfId="325">
      <pivotArea type="all" dataOnly="0" outline="0" fieldPosition="0"/>
    </format>
    <format dxfId="324">
      <pivotArea outline="0" collapsedLevelsAreSubtotals="1" fieldPosition="0"/>
    </format>
    <format dxfId="323">
      <pivotArea field="3" type="button" dataOnly="0" labelOnly="1" outline="0" axis="axisRow" fieldPosition="0"/>
    </format>
    <format dxfId="322">
      <pivotArea dataOnly="0" labelOnly="1" fieldPosition="0">
        <references count="1">
          <reference field="3" count="0"/>
        </references>
      </pivotArea>
    </format>
    <format dxfId="321">
      <pivotArea dataOnly="0" labelOnly="1" grandRow="1" outline="0" fieldPosition="0"/>
    </format>
    <format dxfId="32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ver_Contents" displayName="tbl_Cover_Contents" ref="A4:B21" totalsRowShown="0" headerRowDxfId="498" headerRowBorderDxfId="497" tableBorderDxfId="496">
  <autoFilter ref="A4:B21" xr:uid="{00000000-0009-0000-0100-000001000000}"/>
  <tableColumns count="2">
    <tableColumn id="1" xr3:uid="{00000000-0010-0000-0000-000001000000}" name="Sheet" dataDxfId="495"/>
    <tableColumn id="2" xr3:uid="{00000000-0010-0000-0000-000002000000}" name="Purpose" dataDxfId="49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Glossary" displayName="tbl_Glossary" ref="A4:E38" totalsRowShown="0" headerRowDxfId="493" dataDxfId="491" headerRowBorderDxfId="492" tableBorderDxfId="490">
  <autoFilter ref="A4:E38" xr:uid="{00000000-0009-0000-0100-000002000000}"/>
  <tableColumns count="5">
    <tableColumn id="1" xr3:uid="{00000000-0010-0000-0100-000001000000}" name="Category" dataDxfId="489"/>
    <tableColumn id="2" xr3:uid="{00000000-0010-0000-0100-000002000000}" name="Term" dataDxfId="488"/>
    <tableColumn id="3" xr3:uid="{00000000-0010-0000-0100-000003000000}" name="Abbrev." dataDxfId="487"/>
    <tableColumn id="4" xr3:uid="{00000000-0010-0000-0100-000004000000}" name="Definition" dataDxfId="486"/>
    <tableColumn id="5" xr3:uid="{00000000-0010-0000-0100-000005000000}" name="Workbook reference" dataDxfId="48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view_ActionLog" displayName="tbl_Review_ActionLog" ref="A20:F21" totalsRowShown="0" headerRowDxfId="484" headerRowBorderDxfId="483" tableBorderDxfId="482" totalsRowBorderDxfId="481">
  <autoFilter ref="A20:F21" xr:uid="{00000000-0009-0000-0100-000003000000}"/>
  <tableColumns count="6">
    <tableColumn id="1" xr3:uid="{00000000-0010-0000-0200-000001000000}" name="BETTER / ACTION LOG" dataDxfId="480"/>
    <tableColumn id="2" xr3:uid="{00000000-0010-0000-0200-000002000000}" name="Owner" dataDxfId="479"/>
    <tableColumn id="3" xr3:uid="{00000000-0010-0000-0200-000003000000}" name="Due date" dataDxfId="478"/>
    <tableColumn id="4" xr3:uid="{00000000-0010-0000-0200-000004000000}" name="Decision required?" dataDxfId="477"/>
    <tableColumn id="5" xr3:uid="{00000000-0010-0000-0200-000005000000}" name="RAG" dataDxfId="476"/>
    <tableColumn id="6" xr3:uid="{00000000-0010-0000-0200-000006000000}" name="Linked workbook evidence" dataDxfId="47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ID_ProjectControls" displayName="tbl_PID_ProjectControls" ref="A53:E54" totalsRowShown="0" headerRowDxfId="474" headerRowBorderDxfId="473" tableBorderDxfId="472" totalsRowBorderDxfId="471">
  <autoFilter ref="A53:E54" xr:uid="{00000000-0009-0000-0100-000004000000}"/>
  <tableColumns count="5">
    <tableColumn id="1" xr3:uid="{00000000-0010-0000-0300-000001000000}" name="Frequency / timing" dataDxfId="470"/>
    <tableColumn id="2" xr3:uid="{00000000-0010-0000-0300-000002000000}" name="How control is reported" dataDxfId="469"/>
    <tableColumn id="3" xr3:uid="{00000000-0010-0000-0300-000003000000}" name="Responsibility" dataDxfId="468"/>
    <tableColumn id="4" xr3:uid="{00000000-0010-0000-0300-000004000000}" name="Next report date" dataDxfId="467"/>
    <tableColumn id="5" xr3:uid="{00000000-0010-0000-0300-000005000000}" name="Status" dataDxfId="466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ID_RiskControl" displayName="tbl_PID_RiskControl" ref="A63:E64" totalsRowShown="0" headerRowDxfId="465" headerRowBorderDxfId="464" tableBorderDxfId="463" totalsRowBorderDxfId="462">
  <autoFilter ref="A63:E64" xr:uid="{00000000-0009-0000-0100-000005000000}"/>
  <tableColumns count="5">
    <tableColumn id="1" xr3:uid="{00000000-0010-0000-0400-000001000000}" name="Project Risk" dataDxfId="461"/>
    <tableColumn id="2" xr3:uid="{00000000-0010-0000-0400-000002000000}" name="Containment Measures" dataDxfId="460"/>
    <tableColumn id="3" xr3:uid="{00000000-0010-0000-0400-000003000000}" name="Owner" dataDxfId="459"/>
    <tableColumn id="4" xr3:uid="{00000000-0010-0000-0400-000004000000}" name="Due Date" dataDxfId="458"/>
    <tableColumn id="5" xr3:uid="{00000000-0010-0000-0400-000005000000}" name="RAG" dataDxfId="45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ID_Financials" displayName="tbl_PID_Financials" ref="A74:F76" totalsRowShown="0" headerRowDxfId="456" headerRowBorderDxfId="455" tableBorderDxfId="454" totalsRowBorderDxfId="453">
  <autoFilter ref="A74:F76" xr:uid="{00000000-0009-0000-0100-000006000000}"/>
  <tableColumns count="6">
    <tableColumn id="1" xr3:uid="{00000000-0010-0000-0500-000001000000}" name="Financial Implications" dataDxfId="452"/>
    <tableColumn id="2" xr3:uid="{00000000-0010-0000-0500-000002000000}" name="Q1" dataDxfId="451"/>
    <tableColumn id="3" xr3:uid="{00000000-0010-0000-0500-000003000000}" name="Q2" dataDxfId="450"/>
    <tableColumn id="4" xr3:uid="{00000000-0010-0000-0500-000004000000}" name="Q3" dataDxfId="449"/>
    <tableColumn id="5" xr3:uid="{00000000-0010-0000-0500-000005000000}" name="Q4" dataDxfId="448"/>
    <tableColumn id="6" xr3:uid="{00000000-0010-0000-0500-000006000000}" name="Total" dataDxfId="447">
      <calculatedColumnFormula>SUM(B75:E75)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Method_Roadmap" displayName="tbl_Method_Roadmap" ref="A4:H16" totalsRowShown="0" headerRowDxfId="446" headerRowBorderDxfId="445" tableBorderDxfId="444" totalsRowBorderDxfId="443">
  <autoFilter ref="A4:H16" xr:uid="{00000000-0009-0000-0100-000007000000}"/>
  <tableColumns count="8">
    <tableColumn id="1" xr3:uid="{00000000-0010-0000-0600-000001000000}" name="Step" dataDxfId="442"/>
    <tableColumn id="2" xr3:uid="{00000000-0010-0000-0600-000002000000}" name="Method step" dataDxfId="441"/>
    <tableColumn id="3" xr3:uid="{00000000-0010-0000-0600-000003000000}" name="Purpose" dataDxfId="440"/>
    <tableColumn id="4" xr3:uid="{00000000-0010-0000-0600-000004000000}" name="Workbook implementation" dataDxfId="439"/>
    <tableColumn id="5" xr3:uid="{00000000-0010-0000-0600-000005000000}" name="Primary sheet / range" dataDxfId="438"/>
    <tableColumn id="6" xr3:uid="{00000000-0010-0000-0600-000006000000}" name="Owner" dataDxfId="437"/>
    <tableColumn id="7" xr3:uid="{00000000-0010-0000-0600-000007000000}" name="Status" dataDxfId="436"/>
    <tableColumn id="8" xr3:uid="{00000000-0010-0000-0600-000008000000}" name="Source" dataDxfId="435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MEVM_Compliance" displayName="tbl_PMEVM_Compliance" ref="A4:E13" totalsRowShown="0" headerRowDxfId="434" headerRowBorderDxfId="433" tableBorderDxfId="432" totalsRowBorderDxfId="431">
  <autoFilter ref="A4:E13" xr:uid="{00000000-0009-0000-0100-000008000000}"/>
  <tableColumns count="5">
    <tableColumn id="1" xr3:uid="{00000000-0010-0000-0700-000001000000}" name="Guideline requirement" dataDxfId="430"/>
    <tableColumn id="2" xr3:uid="{00000000-0010-0000-0700-000002000000}" name="Workbook implementation" dataDxfId="429"/>
    <tableColumn id="3" xr3:uid="{00000000-0010-0000-0700-000003000000}" name="Location" dataDxfId="428"/>
    <tableColumn id="4" xr3:uid="{00000000-0010-0000-0700-000004000000}" name="Status" dataDxfId="427"/>
    <tableColumn id="5" xr3:uid="{00000000-0010-0000-0700-000005000000}" name="Evidence" dataDxfId="426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etup_Controls" displayName="tbl_Setup_Controls" ref="A4:B15" totalsRowShown="0" headerRowDxfId="425" headerRowBorderDxfId="424" tableBorderDxfId="423" totalsRowBorderDxfId="422">
  <autoFilter ref="A4:B15" xr:uid="{00000000-0009-0000-0100-000009000000}"/>
  <tableColumns count="2">
    <tableColumn id="1" xr3:uid="{00000000-0010-0000-0800-000001000000}" name="Control" dataDxfId="421"/>
    <tableColumn id="2" xr3:uid="{00000000-0010-0000-0800-000002000000}" name="Value" dataDxfId="42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Setup_RAG" displayName="tbl_Setup_RAG" ref="A17:D20" totalsRowShown="0" headerRowDxfId="419" headerRowBorderDxfId="418" tableBorderDxfId="417" totalsRowBorderDxfId="416">
  <autoFilter ref="A17:D20" xr:uid="{00000000-0009-0000-0100-00000A000000}"/>
  <tableColumns count="4">
    <tableColumn id="1" xr3:uid="{00000000-0010-0000-0900-000001000000}" name="RAG"/>
    <tableColumn id="2" xr3:uid="{00000000-0010-0000-0900-000002000000}" name="Metric" dataDxfId="415"/>
    <tableColumn id="3" xr3:uid="{00000000-0010-0000-0900-000003000000}" name="Rule" dataDxfId="414"/>
    <tableColumn id="4" xr3:uid="{00000000-0010-0000-0900-000004000000}" name="Interpretation" dataDxfId="41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Task_Plan" displayName="tbl_Task_Plan" ref="A4:T7" totalsRowShown="0" headerRowDxfId="412" headerRowBorderDxfId="411" tableBorderDxfId="410" totalsRowBorderDxfId="409">
  <autoFilter ref="A4:T7" xr:uid="{00000000-0009-0000-0100-00000B000000}"/>
  <tableColumns count="20">
    <tableColumn id="1" xr3:uid="{00000000-0010-0000-0A00-000001000000}" name="WBS ID" dataDxfId="408">
      <calculatedColumnFormula>Dim_WBS!A2</calculatedColumnFormula>
    </tableColumn>
    <tableColumn id="2" xr3:uid="{00000000-0010-0000-0A00-000002000000}" name="WBS Code" dataDxfId="407">
      <calculatedColumnFormula>Dim_WBS!B2</calculatedColumnFormula>
    </tableColumn>
    <tableColumn id="3" xr3:uid="{00000000-0010-0000-0A00-000003000000}" name="Task / Activity" dataDxfId="406">
      <calculatedColumnFormula>Dim_WBS!C2</calculatedColumnFormula>
    </tableColumn>
    <tableColumn id="4" xr3:uid="{00000000-0010-0000-0A00-000004000000}" name="Type" dataDxfId="405">
      <calculatedColumnFormula>Dim_WBS!D2</calculatedColumnFormula>
    </tableColumn>
    <tableColumn id="5" xr3:uid="{00000000-0010-0000-0A00-000005000000}" name="Baseline Start" dataDxfId="404">
      <calculatedColumnFormula>_xlfn.MINIFS(Fact_Baseline_PV!$A:$A,Fact_Baseline_PV!$B:$B,A5)</calculatedColumnFormula>
    </tableColumn>
    <tableColumn id="6" xr3:uid="{00000000-0010-0000-0A00-000006000000}" name="Baseline Finish" dataDxfId="403">
      <calculatedColumnFormula>_xlfn.MAXIFS(Fact_Baseline_PV!$A:$A,Fact_Baseline_PV!$B:$B,A5)+6</calculatedColumnFormula>
    </tableColumn>
    <tableColumn id="7" xr3:uid="{00000000-0010-0000-0A00-000007000000}" name="Duration Days" dataDxfId="402">
      <calculatedColumnFormula>F5-E5+1</calculatedColumnFormula>
    </tableColumn>
    <tableColumn id="8" xr3:uid="{00000000-0010-0000-0A00-000008000000}" name="BAC (NOK)" dataDxfId="401">
      <calculatedColumnFormula>Dim_WBS!E2</calculatedColumnFormula>
    </tableColumn>
    <tableColumn id="9" xr3:uid="{00000000-0010-0000-0A00-000009000000}" name="PV @ Status" dataDxfId="400">
      <calculatedColumnFormula>SUMIFS(Fact_Baseline_PV!$C:$C,Fact_Baseline_PV!$B:$B,A5,Fact_Baseline_PV!$A:$A,"&lt;="&amp;Setup!$B$9)</calculatedColumnFormula>
    </tableColumn>
    <tableColumn id="10" xr3:uid="{00000000-0010-0000-0A00-00000A000000}" name="AC @ Status" dataDxfId="399">
      <calculatedColumnFormula>SUMIFS(Fact_Actual_Costs!$D:$D,Fact_Actual_Costs!$B:$B,A5,Fact_Actual_Costs!$A:$A,"&lt;="&amp;Setup!$B$9)</calculatedColumnFormula>
    </tableColumn>
    <tableColumn id="11" xr3:uid="{00000000-0010-0000-0A00-00000B000000}" name="Progress %" dataDxfId="398">
      <calculatedColumnFormula array="1">IFERROR(LOOKUP(2,1/(Fact_Physical_Progress!$B$2:$B$35=A5)/(Fact_Physical_Progress!$A$2:$A$35&lt;=Setup!$B$9),Fact_Physical_Progress!$C$2:$C$35),0)</calculatedColumnFormula>
    </tableColumn>
    <tableColumn id="12" xr3:uid="{00000000-0010-0000-0A00-00000C000000}" name="EV @ Status" dataDxfId="397">
      <calculatedColumnFormula>H5*K5</calculatedColumnFormula>
    </tableColumn>
    <tableColumn id="13" xr3:uid="{00000000-0010-0000-0A00-00000D000000}" name="SV" dataDxfId="396">
      <calculatedColumnFormula>L5-I5</calculatedColumnFormula>
    </tableColumn>
    <tableColumn id="14" xr3:uid="{00000000-0010-0000-0A00-00000E000000}" name="CV" dataDxfId="395">
      <calculatedColumnFormula>L5-J5</calculatedColumnFormula>
    </tableColumn>
    <tableColumn id="15" xr3:uid="{00000000-0010-0000-0A00-00000F000000}" name="SPI" dataDxfId="394">
      <calculatedColumnFormula>IFERROR(L5/I5,1)</calculatedColumnFormula>
    </tableColumn>
    <tableColumn id="16" xr3:uid="{00000000-0010-0000-0A00-000010000000}" name="CPI" dataDxfId="393">
      <calculatedColumnFormula>IFERROR(L5/J5,1)</calculatedColumnFormula>
    </tableColumn>
    <tableColumn id="17" xr3:uid="{00000000-0010-0000-0A00-000011000000}" name="EAC" dataDxfId="392">
      <calculatedColumnFormula>IF(P5&gt;0,H5/P5,H5)</calculatedColumnFormula>
    </tableColumn>
    <tableColumn id="18" xr3:uid="{00000000-0010-0000-0A00-000012000000}" name="ETC" dataDxfId="391">
      <calculatedColumnFormula>Q5-J5</calculatedColumnFormula>
    </tableColumn>
    <tableColumn id="19" xr3:uid="{00000000-0010-0000-0A00-000013000000}" name="VAC" dataDxfId="390">
      <calculatedColumnFormula>H5-Q5</calculatedColumnFormula>
    </tableColumn>
    <tableColumn id="20" xr3:uid="{00000000-0010-0000-0A00-000014000000}" name="Status" dataDxfId="389">
      <calculatedColumnFormula>IF(OR(N5&lt;0,P5&lt;Setup!$B$12,O5&lt;Setup!$B$12),"Red",IF(OR(P5&lt;Setup!$B$13,O5&lt;Setup!$B$13),"Amber","Green"))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Task_Capture" displayName="tbl_Task_Capture" ref="A4:J6" totalsRowShown="0" headerRowDxfId="388" headerRowBorderDxfId="387" tableBorderDxfId="386" totalsRowBorderDxfId="385">
  <autoFilter ref="A4:J6" xr:uid="{00000000-0009-0000-0100-00000C000000}"/>
  <tableColumns count="10">
    <tableColumn id="1" xr3:uid="{00000000-0010-0000-0B00-000001000000}" name="Phase / Area" dataDxfId="384"/>
    <tableColumn id="2" xr3:uid="{00000000-0010-0000-0B00-000002000000}" name="Task" dataDxfId="383"/>
    <tableColumn id="3" xr3:uid="{00000000-0010-0000-0B00-000003000000}" name="WBS ID" dataDxfId="382"/>
    <tableColumn id="4" xr3:uid="{00000000-0010-0000-0B00-000004000000}" name="Type" dataDxfId="381"/>
    <tableColumn id="5" xr3:uid="{00000000-0010-0000-0B00-000005000000}" name="Included?" dataDxfId="380"/>
    <tableColumn id="6" xr3:uid="{00000000-0010-0000-0B00-000006000000}" name="Event / Milestone?" dataDxfId="379"/>
    <tableColumn id="7" xr3:uid="{00000000-0010-0000-0B00-000007000000}" name="Owner" dataDxfId="378"/>
    <tableColumn id="8" xr3:uid="{00000000-0010-0000-0B00-000008000000}" name="Notes" dataDxfId="377"/>
    <tableColumn id="9" xr3:uid="{00000000-0010-0000-0B00-000009000000}" name="Source / next action" dataDxfId="376"/>
    <tableColumn id="10" xr3:uid="{00000000-0010-0000-0B00-00000A000000}" name="Mapped to Task Plan" dataDxfId="375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Dashboard_RAGLegend" displayName="tbl_Dashboard_RAGLegend" ref="N4:P7" totalsRowShown="0" headerRowDxfId="374" headerRowBorderDxfId="373" tableBorderDxfId="372" totalsRowBorderDxfId="371">
  <autoFilter ref="N4:P7" xr:uid="{00000000-0009-0000-0100-00000D000000}"/>
  <tableColumns count="3">
    <tableColumn id="1" xr3:uid="{00000000-0010-0000-0C00-000001000000}" name="RAG Legend"/>
    <tableColumn id="2" xr3:uid="{00000000-0010-0000-0C00-000002000000}" name="Rule" dataDxfId="370"/>
    <tableColumn id="3" xr3:uid="{00000000-0010-0000-0C00-000003000000}" name="Meaning" dataDxfId="36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Dashboard_WBSPerformance" displayName="tbl_Dashboard_WBSPerformance" ref="A17:P29" totalsRowShown="0" tableBorderDxfId="368">
  <autoFilter ref="A17:P29" xr:uid="{00000000-0009-0000-0100-00000E000000}"/>
  <tableColumns count="16">
    <tableColumn id="1" xr3:uid="{00000000-0010-0000-0D00-000001000000}" name="WBS ID" dataDxfId="367">
      <calculatedColumnFormula>'Task Plan'!A5</calculatedColumnFormula>
    </tableColumn>
    <tableColumn id="2" xr3:uid="{00000000-0010-0000-0D00-000002000000}" name="Activity Name" dataDxfId="366">
      <calculatedColumnFormula>'Task Plan'!C5</calculatedColumnFormula>
    </tableColumn>
    <tableColumn id="3" xr3:uid="{00000000-0010-0000-0D00-000003000000}" name="Type" dataDxfId="365">
      <calculatedColumnFormula>'Task Plan'!D5</calculatedColumnFormula>
    </tableColumn>
    <tableColumn id="4" xr3:uid="{00000000-0010-0000-0D00-000004000000}" name="Budget (BAC)" dataDxfId="364">
      <calculatedColumnFormula>'Task Plan'!H5</calculatedColumnFormula>
    </tableColumn>
    <tableColumn id="5" xr3:uid="{00000000-0010-0000-0D00-000005000000}" name="Planned Value (PV)" dataDxfId="363">
      <calculatedColumnFormula>'Task Plan'!I5</calculatedColumnFormula>
    </tableColumn>
    <tableColumn id="6" xr3:uid="{00000000-0010-0000-0D00-000006000000}" name="Actual Cost (AC)" dataDxfId="362">
      <calculatedColumnFormula>'Task Plan'!J5</calculatedColumnFormula>
    </tableColumn>
    <tableColumn id="7" xr3:uid="{00000000-0010-0000-0D00-000007000000}" name="Progress %" dataDxfId="361">
      <calculatedColumnFormula>'Task Plan'!K5</calculatedColumnFormula>
    </tableColumn>
    <tableColumn id="8" xr3:uid="{00000000-0010-0000-0D00-000008000000}" name="Earned Value (EV)" dataDxfId="360">
      <calculatedColumnFormula>'Task Plan'!L5</calculatedColumnFormula>
    </tableColumn>
    <tableColumn id="9" xr3:uid="{00000000-0010-0000-0D00-000009000000}" name="CV" dataDxfId="359">
      <calculatedColumnFormula>'Task Plan'!N5</calculatedColumnFormula>
    </tableColumn>
    <tableColumn id="10" xr3:uid="{00000000-0010-0000-0D00-00000A000000}" name="SV" dataDxfId="358">
      <calculatedColumnFormula>'Task Plan'!M5</calculatedColumnFormula>
    </tableColumn>
    <tableColumn id="11" xr3:uid="{00000000-0010-0000-0D00-00000B000000}" name="CPI" dataDxfId="357">
      <calculatedColumnFormula>'Task Plan'!P5</calculatedColumnFormula>
    </tableColumn>
    <tableColumn id="12" xr3:uid="{00000000-0010-0000-0D00-00000C000000}" name="SPI" dataDxfId="356">
      <calculatedColumnFormula>'Task Plan'!O5</calculatedColumnFormula>
    </tableColumn>
    <tableColumn id="13" xr3:uid="{00000000-0010-0000-0D00-00000D000000}" name="EAC" dataDxfId="355">
      <calculatedColumnFormula>'Task Plan'!Q5</calculatedColumnFormula>
    </tableColumn>
    <tableColumn id="14" xr3:uid="{00000000-0010-0000-0D00-00000E000000}" name="ETC" dataDxfId="354">
      <calculatedColumnFormula>'Task Plan'!R5</calculatedColumnFormula>
    </tableColumn>
    <tableColumn id="15" xr3:uid="{00000000-0010-0000-0D00-00000F000000}" name="VAC" dataDxfId="353">
      <calculatedColumnFormula>'Task Plan'!S5</calculatedColumnFormula>
    </tableColumn>
    <tableColumn id="16" xr3:uid="{00000000-0010-0000-0D00-000010000000}" name="Status" dataDxfId="352">
      <calculatedColumnFormula>IF('Task Plan'!T5="Red","🔴 Overrun",IF('Task Plan'!T5="Amber","🟡 Warning","On Track"))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Dashboard_WeeklyTrends" displayName="tbl_Dashboard_WeeklyTrends" ref="A35:K47" totalsRowShown="0" headerRowDxfId="351" dataDxfId="349" headerRowBorderDxfId="350" tableBorderDxfId="348" totalsRowBorderDxfId="347">
  <autoFilter ref="A35:K47" xr:uid="{00000000-0009-0000-0100-00000F000000}"/>
  <tableColumns count="11">
    <tableColumn id="1" xr3:uid="{00000000-0010-0000-0E00-000001000000}" name="Week" dataDxfId="346"/>
    <tableColumn id="2" xr3:uid="{00000000-0010-0000-0E00-000002000000}" name="Week Date" dataDxfId="345"/>
    <tableColumn id="3" xr3:uid="{00000000-0010-0000-0E00-000003000000}" name="Weekly PV" dataDxfId="344">
      <calculatedColumnFormula>SUMIFS(Fact_Baseline_PV!C:C, Fact_Baseline_PV!A:A, B36)</calculatedColumnFormula>
    </tableColumn>
    <tableColumn id="4" xr3:uid="{00000000-0010-0000-0E00-000004000000}" name="Cum PV" dataDxfId="343">
      <calculatedColumnFormula>SUM(C$36:C36)</calculatedColumnFormula>
    </tableColumn>
    <tableColumn id="5" xr3:uid="{00000000-0010-0000-0E00-000005000000}" name="Weekly AC" dataDxfId="342">
      <calculatedColumnFormula>SUMIFS(Fact_Actual_Costs!D:D, Fact_Actual_Costs!A:A, "&gt;="&amp;B36, Fact_Actual_Costs!A:A, "&lt;="&amp;B36+6)</calculatedColumnFormula>
    </tableColumn>
    <tableColumn id="6" xr3:uid="{00000000-0010-0000-0E00-000006000000}" name="Cum AC" dataDxfId="341">
      <calculatedColumnFormula>SUM(E$36:E36)</calculatedColumnFormula>
    </tableColumn>
    <tableColumn id="7" xr3:uid="{00000000-0010-0000-0E00-000007000000}" name="Cum EV" dataDxfId="340">
      <calculatedColumnFormula>SUMPRODUCT(Dim_WBS!$E$2:$E$13, SUMIFS(Fact_Physical_Progress!$C$2:$C$100, Fact_Physical_Progress!$B$2:$B$100, Dim_WBS!$A$2:$A$13, Fact_Physical_Progress!$A$2:$A$100, "&lt;="&amp;B36+4))</calculatedColumnFormula>
    </tableColumn>
    <tableColumn id="8" xr3:uid="{00000000-0010-0000-0E00-000008000000}" name="CV" dataDxfId="339">
      <calculatedColumnFormula>G36-F36</calculatedColumnFormula>
    </tableColumn>
    <tableColumn id="9" xr3:uid="{00000000-0010-0000-0E00-000009000000}" name="SV" dataDxfId="338">
      <calculatedColumnFormula>G36-D36</calculatedColumnFormula>
    </tableColumn>
    <tableColumn id="10" xr3:uid="{00000000-0010-0000-0E00-00000A000000}" name="CPI" dataDxfId="337">
      <calculatedColumnFormula>IF(F36&gt;0, G36/F36, 1)</calculatedColumnFormula>
    </tableColumn>
    <tableColumn id="11" xr3:uid="{00000000-0010-0000-0E00-00000B000000}" name="SPI" dataDxfId="336">
      <calculatedColumnFormula>IF(D36&gt;0, G36/D36, 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d_Action_Recommendations" displayName="tbl_Red_Action_Recommendations" ref="A13:H14" totalsRowShown="0" headerRowDxfId="335" dataDxfId="334">
  <autoFilter ref="A13:H14" xr:uid="{00000000-0009-0000-0100-000010000000}"/>
  <tableColumns count="8">
    <tableColumn id="1" xr3:uid="{00000000-0010-0000-0F00-000001000000}" name="Priority" dataDxfId="333"/>
    <tableColumn id="2" xr3:uid="{00000000-0010-0000-0F00-000002000000}" name="WBS ID" dataDxfId="332"/>
    <tableColumn id="3" xr3:uid="{00000000-0010-0000-0F00-000003000000}" name="Activity" dataDxfId="331">
      <calculatedColumnFormula>_xlfn.XLOOKUP(B14,tbl_Task_Plan[WBS ID],tbl_Task_Plan[Task / Activity],"")</calculatedColumnFormula>
    </tableColumn>
    <tableColumn id="4" xr3:uid="{00000000-0010-0000-0F00-000004000000}" name="Red driver" dataDxfId="330"/>
    <tableColumn id="5" xr3:uid="{00000000-0010-0000-0F00-000005000000}" name="Live evidence" dataDxfId="329">
      <calculatedColumnFormula>TEXT(_xlfn.XLOOKUP(B14,tbl_Task_Plan[WBS ID],tbl_Task_Plan[Progress %]),"0%")&amp;" complete; SPI "&amp;TEXT(_xlfn.XLOOKUP(B14,tbl_Task_Plan[WBS ID],tbl_Task_Plan[SPI]),"0.00")&amp;"; CPI "&amp;TEXT(_xlfn.XLOOKUP(B14,tbl_Task_Plan[WBS ID],tbl_Task_Plan[CPI]),"0.00")&amp;"; SV "&amp;TEXT(_xlfn.XLOOKUP(B14,tbl_Task_Plan[WBS ID],tbl_Task_Plan[SV]),"#,##0")&amp;" NOK"</calculatedColumnFormula>
    </tableColumn>
    <tableColumn id="6" xr3:uid="{00000000-0010-0000-0F00-000006000000}" name="Recommended action" dataDxfId="328"/>
    <tableColumn id="7" xr3:uid="{00000000-0010-0000-0F00-000007000000}" name="Owner" dataDxfId="327"/>
    <tableColumn id="8" xr3:uid="{00000000-0010-0000-0F00-000008000000}" name="Due date" dataDxfId="326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Pivot_DescriptiveStats" displayName="tbl_Pivot_DescriptiveStats" ref="A13:G23" totalsRowShown="0" headerRowDxfId="301" dataDxfId="300">
  <autoFilter ref="A13:G23" xr:uid="{00000000-0009-0000-0100-000011000000}"/>
  <tableColumns count="7">
    <tableColumn id="1" xr3:uid="{00000000-0010-0000-1000-000001000000}" name="Metric" dataDxfId="299"/>
    <tableColumn id="2" xr3:uid="{00000000-0010-0000-1000-000002000000}" name="Count" dataDxfId="298"/>
    <tableColumn id="3" xr3:uid="{00000000-0010-0000-1000-000003000000}" name="Mean" dataDxfId="297"/>
    <tableColumn id="4" xr3:uid="{00000000-0010-0000-1000-000004000000}" name="Median" dataDxfId="296"/>
    <tableColumn id="5" xr3:uid="{00000000-0010-0000-1000-000005000000}" name="Std Dev" dataDxfId="295"/>
    <tableColumn id="6" xr3:uid="{00000000-0010-0000-1000-000006000000}" name="Min" dataDxfId="294"/>
    <tableColumn id="7" xr3:uid="{00000000-0010-0000-1000-000007000000}" name="Max" dataDxfId="29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source_WeeklyGrid" displayName="tbl_Resource_WeeklyGrid" ref="A4:X28" totalsRowShown="0" headerRowDxfId="292" headerRowBorderDxfId="291" tableBorderDxfId="290" totalsRowBorderDxfId="289">
  <autoFilter ref="A4:X28" xr:uid="{00000000-0009-0000-0100-000012000000}"/>
  <tableColumns count="24">
    <tableColumn id="1" xr3:uid="{00000000-0010-0000-1100-000001000000}" name="WBS ID" dataDxfId="288"/>
    <tableColumn id="2" xr3:uid="{00000000-0010-0000-1100-000002000000}" name="Activity" dataDxfId="287"/>
    <tableColumn id="3" xr3:uid="{00000000-0010-0000-1100-000003000000}" name="Resource / Role" dataDxfId="286"/>
    <tableColumn id="4" xr3:uid="{00000000-0010-0000-1100-000004000000}" name="Measure" dataDxfId="285"/>
    <tableColumn id="5" xr3:uid="{00000000-0010-0000-1100-000005000000}" name="Wk1" dataDxfId="284"/>
    <tableColumn id="6" xr3:uid="{00000000-0010-0000-1100-000006000000}" name="Wk2" dataDxfId="283"/>
    <tableColumn id="7" xr3:uid="{00000000-0010-0000-1100-000007000000}" name="Wk3" dataDxfId="282"/>
    <tableColumn id="8" xr3:uid="{00000000-0010-0000-1100-000008000000}" name="Wk4" dataDxfId="281"/>
    <tableColumn id="9" xr3:uid="{00000000-0010-0000-1100-000009000000}" name="Wk5" dataDxfId="280"/>
    <tableColumn id="10" xr3:uid="{00000000-0010-0000-1100-00000A000000}" name="Wk6" dataDxfId="279"/>
    <tableColumn id="11" xr3:uid="{00000000-0010-0000-1100-00000B000000}" name="Wk7" dataDxfId="278"/>
    <tableColumn id="12" xr3:uid="{00000000-0010-0000-1100-00000C000000}" name="Wk8" dataDxfId="277"/>
    <tableColumn id="13" xr3:uid="{00000000-0010-0000-1100-00000D000000}" name="Wk9" dataDxfId="276"/>
    <tableColumn id="14" xr3:uid="{00000000-0010-0000-1100-00000E000000}" name="Wk10" dataDxfId="275"/>
    <tableColumn id="15" xr3:uid="{00000000-0010-0000-1100-00000F000000}" name="Wk11" dataDxfId="274"/>
    <tableColumn id="16" xr3:uid="{00000000-0010-0000-1100-000010000000}" name="Wk12" dataDxfId="273"/>
    <tableColumn id="17" xr3:uid="{00000000-0010-0000-1100-000011000000}" name="Total" dataDxfId="272">
      <calculatedColumnFormula>SUM(E5:P5)</calculatedColumnFormula>
    </tableColumn>
    <tableColumn id="18" xr3:uid="{00000000-0010-0000-1100-000012000000}" name="BAC" dataDxfId="271">
      <calculatedColumnFormula>VLOOKUP(A5,Dim_WBS!$A$2:$E$13,5,FALSE)</calculatedColumnFormula>
    </tableColumn>
    <tableColumn id="19" xr3:uid="{00000000-0010-0000-1100-000013000000}" name="Actual @ Status" dataDxfId="270">
      <calculatedColumnFormula>SUMIFS(Fact_Actual_Costs!$D$2:$D$100,Fact_Actual_Costs!$B$2:$B$100,A5,Fact_Actual_Costs!$A$2:$A$100,"&lt;="&amp;Setup!$B$9)</calculatedColumnFormula>
    </tableColumn>
    <tableColumn id="20" xr3:uid="{00000000-0010-0000-1100-000014000000}" name="Remaining BAC" dataDxfId="269">
      <calculatedColumnFormula>R5-S5</calculatedColumnFormula>
    </tableColumn>
    <tableColumn id="21" xr3:uid="{00000000-0010-0000-1100-000015000000}" name="CPI" dataDxfId="268">
      <calculatedColumnFormula>IFERROR((R5*VLOOKUP(A5,'Task Plan'!$A$5:$K$16,11,FALSE))/S5,1)</calculatedColumnFormula>
    </tableColumn>
    <tableColumn id="22" xr3:uid="{00000000-0010-0000-1100-000016000000}" name="RAG" dataDxfId="267">
      <calculatedColumnFormula>IF(U5&lt;Setup!$B$12,"Red",IF(U5&lt;Setup!$B$13,"Amber","Green"))</calculatedColumnFormula>
    </tableColumn>
    <tableColumn id="23" xr3:uid="{00000000-0010-0000-1100-000017000000}" name="Template source" dataDxfId="266"/>
    <tableColumn id="24" xr3:uid="{00000000-0010-0000-1100-000018000000}" name="Notes" dataDxfId="265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source_MonthlySummary" displayName="tbl_Resource_MonthlySummary" ref="A31:L34" totalsRowShown="0" headerRowDxfId="264" headerRowBorderDxfId="263" tableBorderDxfId="262" totalsRowBorderDxfId="261">
  <autoFilter ref="A31:L34" xr:uid="{00000000-0009-0000-0100-000013000000}"/>
  <tableColumns count="12">
    <tableColumn id="1" xr3:uid="{00000000-0010-0000-1200-000001000000}" name="Gantt of Gantts / monthly workload summary" dataDxfId="260"/>
    <tableColumn id="2" xr3:uid="{00000000-0010-0000-1200-000002000000}" name="May-26"/>
    <tableColumn id="3" xr3:uid="{00000000-0010-0000-1200-000003000000}" name="Jun-26"/>
    <tableColumn id="4" xr3:uid="{00000000-0010-0000-1200-000004000000}" name="Jul-26"/>
    <tableColumn id="5" xr3:uid="{00000000-0010-0000-1200-000005000000}" name="Aug-26"/>
    <tableColumn id="6" xr3:uid="{00000000-0010-0000-1200-000006000000}" name="Sep-26"/>
    <tableColumn id="7" xr3:uid="{00000000-0010-0000-1200-000007000000}" name="Oct-26"/>
    <tableColumn id="8" xr3:uid="{00000000-0010-0000-1200-000008000000}" name="Nov-26"/>
    <tableColumn id="9" xr3:uid="{00000000-0010-0000-1200-000009000000}" name="Dec-26"/>
    <tableColumn id="10" xr3:uid="{00000000-0010-0000-1200-00000A000000}" name="Total">
      <calculatedColumnFormula>SUM(B32:I32)</calculatedColumnFormula>
    </tableColumn>
    <tableColumn id="11" xr3:uid="{00000000-0010-0000-1200-00000B000000}" name="Source" dataDxfId="259"/>
    <tableColumn id="12" xr3:uid="{00000000-0010-0000-1200-00000C000000}" name="Interpretation" dataDxfId="258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Dim_Project" displayName="tbl_Dim_Project" ref="A1:F2" totalsRowShown="0" headerRowDxfId="257" headerRowBorderDxfId="256" tableBorderDxfId="255" totalsRowBorderDxfId="254">
  <autoFilter ref="A1:F2" xr:uid="{00000000-0009-0000-0100-000014000000}"/>
  <tableColumns count="6">
    <tableColumn id="1" xr3:uid="{00000000-0010-0000-1300-000001000000}" name="Project_ID" dataDxfId="253"/>
    <tableColumn id="2" xr3:uid="{00000000-0010-0000-1300-000002000000}" name="Project_Name" dataDxfId="252"/>
    <tableColumn id="3" xr3:uid="{00000000-0010-0000-1300-000003000000}" name="Start_Date" dataDxfId="251"/>
    <tableColumn id="4" xr3:uid="{00000000-0010-0000-1300-000004000000}" name="End_Date" dataDxfId="250"/>
    <tableColumn id="5" xr3:uid="{00000000-0010-0000-1300-000005000000}" name="BAC" dataDxfId="249"/>
    <tableColumn id="6" xr3:uid="{00000000-0010-0000-1300-000006000000}" name="Sector" dataDxfId="248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Dim_WBS" displayName="tbl_Dim_WBS" ref="A1:E4" totalsRowShown="0" headerRowDxfId="247" dataDxfId="245" headerRowBorderDxfId="246" tableBorderDxfId="244" totalsRowBorderDxfId="243">
  <autoFilter ref="A1:E4" xr:uid="{00000000-0009-0000-0100-000015000000}"/>
  <tableColumns count="5">
    <tableColumn id="1" xr3:uid="{00000000-0010-0000-1400-000001000000}" name="WBS_ID" dataDxfId="242"/>
    <tableColumn id="2" xr3:uid="{00000000-0010-0000-1400-000002000000}" name="WBS_Code" dataDxfId="241"/>
    <tableColumn id="3" xr3:uid="{00000000-0010-0000-1400-000003000000}" name="Activity_Name" dataDxfId="240"/>
    <tableColumn id="4" xr3:uid="{00000000-0010-0000-1400-000004000000}" name="Type" dataDxfId="239"/>
    <tableColumn id="5" xr3:uid="{00000000-0010-0000-1400-000005000000}" name="Total_Budget" dataDxfId="238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Dim_Resource" displayName="tbl_Dim_Resource" ref="A1:D3" totalsRowShown="0" headerRowDxfId="237" headerRowBorderDxfId="236" tableBorderDxfId="235" totalsRowBorderDxfId="234">
  <autoFilter ref="A1:D3" xr:uid="{00000000-0009-0000-0100-000016000000}"/>
  <tableColumns count="4">
    <tableColumn id="1" xr3:uid="{00000000-0010-0000-1500-000001000000}" name="Resource_ID" dataDxfId="233"/>
    <tableColumn id="2" xr3:uid="{00000000-0010-0000-1500-000002000000}" name="Resource_Name" dataDxfId="232"/>
    <tableColumn id="3" xr3:uid="{00000000-0010-0000-1500-000003000000}" name="Role" dataDxfId="231"/>
    <tableColumn id="4" xr3:uid="{00000000-0010-0000-1500-000004000000}" name="Hourly_Rate" dataDxfId="230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Dim_Calendar" displayName="tbl_Dim_Calendar" ref="A1:G85" totalsRowShown="0" headerRowDxfId="229" dataDxfId="227" headerRowBorderDxfId="228" tableBorderDxfId="226" totalsRowBorderDxfId="225">
  <autoFilter ref="A1:G85" xr:uid="{00000000-0009-0000-0100-000017000000}"/>
  <tableColumns count="7">
    <tableColumn id="1" xr3:uid="{00000000-0010-0000-1600-000001000000}" name="Date" dataDxfId="224"/>
    <tableColumn id="2" xr3:uid="{00000000-0010-0000-1600-000002000000}" name="Year" dataDxfId="223"/>
    <tableColumn id="3" xr3:uid="{00000000-0010-0000-1600-000003000000}" name="Month" dataDxfId="222"/>
    <tableColumn id="4" xr3:uid="{00000000-0010-0000-1600-000004000000}" name="Month_Name" dataDxfId="221"/>
    <tableColumn id="5" xr3:uid="{00000000-0010-0000-1600-000005000000}" name="Quarter" dataDxfId="220"/>
    <tableColumn id="6" xr3:uid="{00000000-0010-0000-1600-000006000000}" name="Week_Number" dataDxfId="219"/>
    <tableColumn id="7" xr3:uid="{00000000-0010-0000-1600-000007000000}" name="Is_Weekday" dataDxfId="218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Fact_Baseline_PV" displayName="tbl_Fact_Baseline_PV" ref="A1:C7" totalsRowShown="0" headerRowDxfId="217" headerRowBorderDxfId="216" tableBorderDxfId="215" totalsRowBorderDxfId="214">
  <autoFilter ref="A1:C7" xr:uid="{00000000-0009-0000-0100-000018000000}"/>
  <tableColumns count="3">
    <tableColumn id="1" xr3:uid="{00000000-0010-0000-1700-000001000000}" name="Date" dataDxfId="213"/>
    <tableColumn id="2" xr3:uid="{00000000-0010-0000-1700-000002000000}" name="WBS_ID" dataDxfId="212"/>
    <tableColumn id="3" xr3:uid="{00000000-0010-0000-1700-000003000000}" name="Planned_Value" dataDxfId="211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Fact_Actual_Costs" displayName="tbl_Fact_Actual_Costs" ref="A1:E5" totalsRowShown="0" headerRowDxfId="210" headerRowBorderDxfId="209" tableBorderDxfId="208" totalsRowBorderDxfId="207">
  <autoFilter ref="A1:E5" xr:uid="{00000000-0009-0000-0100-000019000000}"/>
  <tableColumns count="5">
    <tableColumn id="1" xr3:uid="{00000000-0010-0000-1800-000001000000}" name="Date" dataDxfId="206"/>
    <tableColumn id="2" xr3:uid="{00000000-0010-0000-1800-000002000000}" name="WBS_ID" dataDxfId="205"/>
    <tableColumn id="3" xr3:uid="{00000000-0010-0000-1800-000003000000}" name="Resource_ID" dataDxfId="204"/>
    <tableColumn id="4" xr3:uid="{00000000-0010-0000-1800-000004000000}" name="Actual_Cost" dataDxfId="203"/>
    <tableColumn id="5" xr3:uid="{00000000-0010-0000-1800-000005000000}" name="Hours_Worked" dataDxfId="202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Fact_Physical_Progress" displayName="tbl_Fact_Physical_Progress" ref="A1:C5" totalsRowShown="0" headerRowDxfId="201" headerRowBorderDxfId="200" tableBorderDxfId="199" totalsRowBorderDxfId="198">
  <autoFilter ref="A1:C5" xr:uid="{00000000-0009-0000-0100-00001A000000}"/>
  <tableColumns count="3">
    <tableColumn id="1" xr3:uid="{00000000-0010-0000-1900-000001000000}" name="Date" dataDxfId="197"/>
    <tableColumn id="2" xr3:uid="{00000000-0010-0000-1900-000002000000}" name="WBS_ID" dataDxfId="196"/>
    <tableColumn id="3" xr3:uid="{00000000-0010-0000-1900-000003000000}" name="Physical_Progress_Pct" dataDxfId="195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EVM_Weekly" displayName="tbl_EVM_Weekly" ref="A4:N16" totalsRowShown="0" headerRowDxfId="194" headerRowBorderDxfId="193" tableBorderDxfId="192" totalsRowBorderDxfId="191">
  <autoFilter ref="A4:N16" xr:uid="{00000000-0009-0000-0100-00001B000000}"/>
  <tableColumns count="14">
    <tableColumn id="1" xr3:uid="{00000000-0010-0000-1A00-000001000000}" name="Week" dataDxfId="190"/>
    <tableColumn id="2" xr3:uid="{00000000-0010-0000-1A00-000002000000}" name="Week Date" dataDxfId="189"/>
    <tableColumn id="3" xr3:uid="{00000000-0010-0000-1A00-000003000000}" name="Cum PV" dataDxfId="188">
      <calculatedColumnFormula>SUMIFS(Fact_Baseline_PV!$C:$C,Fact_Baseline_PV!$A:$A,"&lt;="&amp;B5)</calculatedColumnFormula>
    </tableColumn>
    <tableColumn id="4" xr3:uid="{00000000-0010-0000-1A00-000004000000}" name="Cum AC" dataDxfId="187">
      <calculatedColumnFormula>SUMIFS(Fact_Actual_Costs!$D:$D,Fact_Actual_Costs!$A:$A,"&lt;="&amp;B5)</calculatedColumnFormula>
    </tableColumn>
    <tableColumn id="5" xr3:uid="{00000000-0010-0000-1A00-000005000000}" name="Cum EV" dataDxfId="186">
      <calculatedColumnFormula array="1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calculatedColumnFormula>
    </tableColumn>
    <tableColumn id="6" xr3:uid="{00000000-0010-0000-1A00-000006000000}" name="SV" dataDxfId="185">
      <calculatedColumnFormula>E5-C5</calculatedColumnFormula>
    </tableColumn>
    <tableColumn id="7" xr3:uid="{00000000-0010-0000-1A00-000007000000}" name="CV" dataDxfId="184">
      <calculatedColumnFormula>E5-D5</calculatedColumnFormula>
    </tableColumn>
    <tableColumn id="8" xr3:uid="{00000000-0010-0000-1A00-000008000000}" name="SPI" dataDxfId="183">
      <calculatedColumnFormula>IFERROR(E5/C5,1)</calculatedColumnFormula>
    </tableColumn>
    <tableColumn id="9" xr3:uid="{00000000-0010-0000-1A00-000009000000}" name="CPI" dataDxfId="182">
      <calculatedColumnFormula>IFERROR(E5/D5,1)</calculatedColumnFormula>
    </tableColumn>
    <tableColumn id="10" xr3:uid="{00000000-0010-0000-1A00-00000A000000}" name="BAC" dataDxfId="181">
      <calculatedColumnFormula>Setup!$B$11</calculatedColumnFormula>
    </tableColumn>
    <tableColumn id="11" xr3:uid="{00000000-0010-0000-1A00-00000B000000}" name="EAC" dataDxfId="180">
      <calculatedColumnFormula>IF(I5&gt;0,J5/I5,J5)</calculatedColumnFormula>
    </tableColumn>
    <tableColumn id="12" xr3:uid="{00000000-0010-0000-1A00-00000C000000}" name="ETC" dataDxfId="179">
      <calculatedColumnFormula>K5-D5</calculatedColumnFormula>
    </tableColumn>
    <tableColumn id="13" xr3:uid="{00000000-0010-0000-1A00-00000D000000}" name="VAC" dataDxfId="178">
      <calculatedColumnFormula>J5-K5</calculatedColumnFormula>
    </tableColumn>
    <tableColumn id="14" xr3:uid="{00000000-0010-0000-1A00-00000E000000}" name="Status" dataDxfId="177">
      <calculatedColumnFormula>IF(OR(F5&lt;0,G5&lt;0,H5&lt;Setup!$B$12,I5&lt;Setup!$B$12),"Red",IF(OR(H5&lt;Setup!$B$13,I5&lt;Setup!$B$13),"Amber","Green"))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EVM_Validation" displayName="tbl_EVM_Validation" ref="A19:M25" totalsRowShown="0" headerRowDxfId="176" tableBorderDxfId="175">
  <autoFilter ref="A19:M25" xr:uid="{00000000-0009-0000-0100-00001C000000}"/>
  <tableColumns count="13">
    <tableColumn id="1" xr3:uid="{00000000-0010-0000-1B00-000001000000}" name="Formula" dataDxfId="174"/>
    <tableColumn id="2" xr3:uid="{00000000-0010-0000-1B00-000002000000}" name="Workbook implementation" dataDxfId="173"/>
    <tableColumn id="3" xr3:uid="{00000000-0010-0000-1B00-000003000000}" name="Guideline meaning" dataDxfId="172"/>
    <tableColumn id="4" xr3:uid="{00000000-0010-0000-1B00-000004000000}" name="Current status-date value" dataDxfId="171">
      <calculatedColumnFormula>B20</calculatedColumnFormula>
    </tableColumn>
    <tableColumn id="5" xr3:uid="{00000000-0010-0000-1B00-000005000000}" name="Check" dataDxfId="170"/>
    <tableColumn id="6" xr3:uid="{00000000-0010-0000-1B00-000006000000}" name="Source" dataDxfId="169"/>
    <tableColumn id="7" xr3:uid="{00000000-0010-0000-1B00-000007000000}" name="Column1"/>
    <tableColumn id="8" xr3:uid="{00000000-0010-0000-1B00-000008000000}" name="Status tie-out" dataDxfId="168"/>
    <tableColumn id="9" xr3:uid="{00000000-0010-0000-1B00-000009000000}" name="Dashboard value" dataDxfId="167"/>
    <tableColumn id="10" xr3:uid="{00000000-0010-0000-1B00-00000A000000}" name="Task Plan value" dataDxfId="166"/>
    <tableColumn id="11" xr3:uid="{00000000-0010-0000-1B00-00000B000000}" name="Variance" dataDxfId="165">
      <calculatedColumnFormula>J20-I20</calculatedColumnFormula>
    </tableColumn>
    <tableColumn id="12" xr3:uid="{00000000-0010-0000-1B00-00000C000000}" name="Check2" dataDxfId="164">
      <calculatedColumnFormula>IF(ABS(K20)&lt;0.01,"OK","Review")</calculatedColumnFormula>
    </tableColumn>
    <tableColumn id="13" xr3:uid="{00000000-0010-0000-1B00-00000D000000}" name="Source3" dataDxfId="16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Charts_GanttHelper" displayName="tbl_Charts_GanttHelper" ref="A4:H16" totalsRowShown="0" headerRowDxfId="162" headerRowBorderDxfId="161" tableBorderDxfId="160" totalsRowBorderDxfId="159">
  <autoFilter ref="A4:H16" xr:uid="{00000000-0009-0000-0100-00001D000000}"/>
  <tableColumns count="8">
    <tableColumn id="1" xr3:uid="{00000000-0010-0000-1C00-000001000000}" name="WBS ID" dataDxfId="158">
      <calculatedColumnFormula>Dim_WBS!A2</calculatedColumnFormula>
    </tableColumn>
    <tableColumn id="2" xr3:uid="{00000000-0010-0000-1C00-000002000000}" name="Activity" dataDxfId="157">
      <calculatedColumnFormula>Dim_WBS!C2</calculatedColumnFormula>
    </tableColumn>
    <tableColumn id="3" xr3:uid="{00000000-0010-0000-1C00-000003000000}" name="Start" dataDxfId="156">
      <calculatedColumnFormula>_xlfn.MINIFS(Fact_Baseline_PV!$A:$A,Fact_Baseline_PV!$B:$B,A5)</calculatedColumnFormula>
    </tableColumn>
    <tableColumn id="4" xr3:uid="{00000000-0010-0000-1C00-000004000000}" name="Finish" dataDxfId="155">
      <calculatedColumnFormula>_xlfn.MAXIFS(Fact_Baseline_PV!$A:$A,Fact_Baseline_PV!$B:$B,A5)+6</calculatedColumnFormula>
    </tableColumn>
    <tableColumn id="5" xr3:uid="{00000000-0010-0000-1C00-000005000000}" name="Start Offset" dataDxfId="154">
      <calculatedColumnFormula>C5-$O$1</calculatedColumnFormula>
    </tableColumn>
    <tableColumn id="6" xr3:uid="{00000000-0010-0000-1C00-000006000000}" name="Duration Days" dataDxfId="153">
      <calculatedColumnFormula>D5-C5+1</calculatedColumnFormula>
    </tableColumn>
    <tableColumn id="7" xr3:uid="{00000000-0010-0000-1C00-000007000000}" name="Progress %" dataDxfId="152">
      <calculatedColumnFormula array="1">IFERROR(LOOKUP(2,1/(Fact_Physical_Progress!$B$2:$B$35=A5)/(Fact_Physical_Progress!$A$2:$A$35&lt;=$O$3),Fact_Physical_Progress!$C$2:$C$35),0)</calculatedColumnFormula>
    </tableColumn>
    <tableColumn id="8" xr3:uid="{00000000-0010-0000-1C00-000008000000}" name="RAG" dataDxfId="151">
      <calculatedColumnFormula>IF(G5&lt;0.5,"Red",IF(G5&lt;0.8,"Amber","Green"))</calculatedColumnFormula>
    </tableColumn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_Charts_RAGLegend" displayName="tbl_Charts_RAGLegend" ref="N5:P10" totalsRowShown="0" headerRowDxfId="150" headerRowBorderDxfId="149" tableBorderDxfId="148">
  <autoFilter ref="N5:P10" xr:uid="{00000000-0009-0000-0100-00001E000000}"/>
  <tableColumns count="3">
    <tableColumn id="1" xr3:uid="{00000000-0010-0000-1D00-000001000000}" name="RAG Legend"/>
    <tableColumn id="2" xr3:uid="{00000000-0010-0000-1D00-000002000000}" name="Rule" dataDxfId="147"/>
    <tableColumn id="3" xr3:uid="{00000000-0010-0000-1D00-000003000000}" name="Used in charts" dataDxfId="146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bl_Charts_SCurveHelper" displayName="tbl_Charts_SCurveHelper" ref="A23:G35" totalsRowShown="0" headerRowDxfId="145" headerRowBorderDxfId="144" tableBorderDxfId="143" totalsRowBorderDxfId="142">
  <autoFilter ref="A23:G35" xr:uid="{00000000-0009-0000-0100-00001F000000}"/>
  <tableColumns count="7">
    <tableColumn id="1" xr3:uid="{00000000-0010-0000-1E00-000001000000}" name="Week" dataDxfId="141"/>
    <tableColumn id="2" xr3:uid="{00000000-0010-0000-1E00-000002000000}" name="Week Date" dataDxfId="140"/>
    <tableColumn id="3" xr3:uid="{00000000-0010-0000-1E00-000003000000}" name="Cum PV" dataDxfId="139">
      <calculatedColumnFormula>SUMIFS(Fact_Baseline_PV!$C:$C,Fact_Baseline_PV!$A:$A,"&lt;="&amp;B24)</calculatedColumnFormula>
    </tableColumn>
    <tableColumn id="4" xr3:uid="{00000000-0010-0000-1E00-000004000000}" name="Cum AC" dataDxfId="138">
      <calculatedColumnFormula>SUMIFS(Fact_Actual_Costs!$D:$D,Fact_Actual_Costs!$A:$A,"&lt;="&amp;B24)</calculatedColumnFormula>
    </tableColumn>
    <tableColumn id="5" xr3:uid="{00000000-0010-0000-1E00-000005000000}" name="Cum EV" dataDxfId="137">
      <calculatedColumnFormula array="1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calculatedColumnFormula>
    </tableColumn>
    <tableColumn id="6" xr3:uid="{00000000-0010-0000-1E00-000006000000}" name="CPI" dataDxfId="136">
      <calculatedColumnFormula>IFERROR(E24/D24,0)</calculatedColumnFormula>
    </tableColumn>
    <tableColumn id="7" xr3:uid="{00000000-0010-0000-1E00-000007000000}" name="SPI" dataDxfId="135">
      <calculatedColumnFormula>IFERROR(E24/C24,0)</calculatedColumnFormula>
    </tableColumn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bl_SimpleGantt_Mapping" displayName="tbl_SimpleGantt_Mapping" ref="A6:E8" totalsRowShown="0" headerRowDxfId="134" headerRowBorderDxfId="133" tableBorderDxfId="132" totalsRowBorderDxfId="131">
  <autoFilter ref="A6:E8" xr:uid="{00000000-0009-0000-0100-000020000000}"/>
  <tableColumns count="5">
    <tableColumn id="1" xr3:uid="{00000000-0010-0000-1F00-000001000000}" name="Template element" dataDxfId="130"/>
    <tableColumn id="2" xr3:uid="{00000000-0010-0000-1F00-000002000000}" name="Implemented as" dataDxfId="129"/>
    <tableColumn id="3" xr3:uid="{00000000-0010-0000-1F00-000003000000}" name="Source table" dataDxfId="128"/>
    <tableColumn id="4" xr3:uid="{00000000-0010-0000-1F00-000004000000}" name="Meaning" dataDxfId="127"/>
    <tableColumn id="5" xr3:uid="{00000000-0010-0000-1F00-000005000000}" name="Classification" dataDxfId="126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bl_SimpleGantt_TaskSummary" displayName="tbl_SimpleGantt_TaskSummary" ref="A46:K58" totalsRowShown="0" headerRowDxfId="125" dataDxfId="123" headerRowBorderDxfId="124" tableBorderDxfId="122" totalsRowBorderDxfId="121">
  <autoFilter ref="A46:K58" xr:uid="{00000000-0009-0000-0100-000021000000}"/>
  <tableColumns count="11">
    <tableColumn id="1" xr3:uid="{00000000-0010-0000-2000-000001000000}" name="Task" dataDxfId="120"/>
    <tableColumn id="2" xr3:uid="{00000000-0010-0000-2000-000002000000}" name="BAC" dataDxfId="119"/>
    <tableColumn id="3" xr3:uid="{00000000-0010-0000-2000-000003000000}" name="PV @ Status" dataDxfId="118"/>
    <tableColumn id="4" xr3:uid="{00000000-0010-0000-2000-000004000000}" name="AC @ Status" dataDxfId="117"/>
    <tableColumn id="5" xr3:uid="{00000000-0010-0000-2000-000005000000}" name="Progress %" dataDxfId="116"/>
    <tableColumn id="6" xr3:uid="{00000000-0010-0000-2000-000006000000}" name="EV @ Status" dataDxfId="115"/>
    <tableColumn id="7" xr3:uid="{00000000-0010-0000-2000-000007000000}" name="SV" dataDxfId="114"/>
    <tableColumn id="8" xr3:uid="{00000000-0010-0000-2000-000008000000}" name="CV" dataDxfId="113"/>
    <tableColumn id="9" xr3:uid="{00000000-0010-0000-2000-000009000000}" name="SPI" dataDxfId="112"/>
    <tableColumn id="10" xr3:uid="{00000000-0010-0000-2000-00000A000000}" name="CPI" dataDxfId="111"/>
    <tableColumn id="11" xr3:uid="{00000000-0010-0000-2000-00000B000000}" name="RAG" dataDxfId="110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bl_SimpleGantt_Legend" displayName="tbl_SimpleGantt_Legend" ref="A62:C66" totalsRowShown="0" headerRowDxfId="109" headerRowBorderDxfId="108" tableBorderDxfId="107" totalsRowBorderDxfId="106">
  <autoFilter ref="A62:C66" xr:uid="{00000000-0009-0000-0100-000022000000}"/>
  <tableColumns count="3">
    <tableColumn id="1" xr3:uid="{00000000-0010-0000-2100-000001000000}" name="Legend"/>
    <tableColumn id="2" xr3:uid="{00000000-0010-0000-2100-000002000000}" name="Meaning" dataDxfId="105"/>
    <tableColumn id="3" xr3:uid="{00000000-0010-0000-2100-000003000000}" name="Applied to" dataDxfId="104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bl_PERT_Data" displayName="tbl_PERT_Data" ref="A4:J6" totalsRowShown="0" headerRowDxfId="518" headerRowBorderDxfId="517" tableBorderDxfId="516" totalsRowBorderDxfId="515">
  <autoFilter ref="A4:J6" xr:uid="{00000000-0009-0000-0100-000023000000}"/>
  <tableColumns count="10">
    <tableColumn id="1" xr3:uid="{00000000-0010-0000-2200-000001000000}" name="WBS ID" dataDxfId="514"/>
    <tableColumn id="2" xr3:uid="{00000000-0010-0000-2200-000002000000}" name="Activity" dataDxfId="513"/>
    <tableColumn id="3" xr3:uid="{00000000-0010-0000-2200-000003000000}" name="Baseline Start" dataDxfId="512"/>
    <tableColumn id="4" xr3:uid="{00000000-0010-0000-2200-000004000000}" name="Baseline Finish" dataDxfId="511"/>
    <tableColumn id="5" xr3:uid="{00000000-0010-0000-2200-000005000000}" name="Duration" dataDxfId="510"/>
    <tableColumn id="6" xr3:uid="{00000000-0010-0000-2200-000006000000}" name="Progress" dataDxfId="509"/>
    <tableColumn id="7" xr3:uid="{00000000-0010-0000-2200-000007000000}" name="SPI" dataDxfId="508"/>
    <tableColumn id="8" xr3:uid="{00000000-0010-0000-2200-000008000000}" name="CPI" dataDxfId="507"/>
    <tableColumn id="9" xr3:uid="{00000000-0010-0000-2200-000009000000}" name="RAG" dataDxfId="506"/>
    <tableColumn id="10" xr3:uid="{00000000-0010-0000-2200-00000A000000}" name="Inferred predecessor(s)" dataDxfId="505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bl_PERT_Legend" displayName="tbl_PERT_Legend" ref="L4:N8" totalsRowShown="0" headerRowDxfId="504" headerRowBorderDxfId="503" tableBorderDxfId="502" totalsRowBorderDxfId="501">
  <autoFilter ref="L4:N8" xr:uid="{00000000-0009-0000-0100-000024000000}"/>
  <tableColumns count="3">
    <tableColumn id="1" xr3:uid="{00000000-0010-0000-2300-000001000000}" name="Visio-style PERT Legend"/>
    <tableColumn id="2" xr3:uid="{00000000-0010-0000-2300-000002000000}" name="Column1" dataDxfId="500"/>
    <tableColumn id="3" xr3:uid="{00000000-0010-0000-2300-000003000000}" name="Column2" dataDxfId="49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7.xml"/><Relationship Id="rId4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1.xml"/><Relationship Id="rId4" Type="http://schemas.openxmlformats.org/officeDocument/2006/relationships/table" Target="../tables/table3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9"/>
  <sheetViews>
    <sheetView showGridLines="0" topLeftCell="B1" workbookViewId="0">
      <selection activeCell="D8" sqref="D8"/>
    </sheetView>
  </sheetViews>
  <sheetFormatPr defaultRowHeight="14.5" x14ac:dyDescent="0.35"/>
  <cols>
    <col min="1" max="1" width="36.36328125" customWidth="1"/>
    <col min="2" max="2" width="63.6328125" customWidth="1"/>
    <col min="4" max="4" width="23.6328125" customWidth="1"/>
    <col min="5" max="5" width="17.26953125" customWidth="1"/>
    <col min="6" max="8" width="24.54296875" customWidth="1"/>
  </cols>
  <sheetData>
    <row r="1" spans="1:8" ht="30" customHeight="1" x14ac:dyDescent="0.55000000000000004">
      <c r="A1" s="249" t="s">
        <v>58</v>
      </c>
      <c r="B1" s="246"/>
      <c r="C1" s="246"/>
      <c r="D1" s="246"/>
      <c r="E1" s="246"/>
      <c r="F1" s="246"/>
      <c r="G1" s="246"/>
      <c r="H1" s="246"/>
    </row>
    <row r="2" spans="1:8" ht="32" customHeight="1" x14ac:dyDescent="0.35">
      <c r="A2" s="247" t="s">
        <v>59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04" t="s">
        <v>60</v>
      </c>
      <c r="B4" s="104" t="s">
        <v>61</v>
      </c>
      <c r="D4" s="253" t="s">
        <v>62</v>
      </c>
      <c r="E4" s="251"/>
      <c r="F4" s="251"/>
      <c r="G4" s="251"/>
      <c r="H4" s="252"/>
    </row>
    <row r="5" spans="1:8" ht="29" customHeight="1" x14ac:dyDescent="0.35">
      <c r="A5" s="53" t="s">
        <v>63</v>
      </c>
      <c r="B5" s="54" t="s">
        <v>64</v>
      </c>
      <c r="D5" s="3" t="s">
        <v>65</v>
      </c>
      <c r="E5" s="3" t="s">
        <v>66</v>
      </c>
      <c r="F5" s="3" t="s">
        <v>67</v>
      </c>
      <c r="G5" s="3"/>
      <c r="H5" s="3"/>
    </row>
    <row r="6" spans="1:8" ht="29" customHeight="1" x14ac:dyDescent="0.35">
      <c r="A6" s="53" t="s">
        <v>68</v>
      </c>
      <c r="B6" s="54" t="s">
        <v>69</v>
      </c>
      <c r="D6" s="76"/>
      <c r="E6" s="7" t="s">
        <v>70</v>
      </c>
      <c r="F6" s="250" t="s">
        <v>71</v>
      </c>
      <c r="G6" s="251"/>
      <c r="H6" s="252"/>
    </row>
    <row r="7" spans="1:8" ht="29" customHeight="1" x14ac:dyDescent="0.35">
      <c r="A7" s="53" t="s">
        <v>72</v>
      </c>
      <c r="B7" s="54" t="s">
        <v>73</v>
      </c>
      <c r="D7" s="77"/>
      <c r="E7" s="7" t="s">
        <v>74</v>
      </c>
      <c r="F7" s="250" t="s">
        <v>75</v>
      </c>
      <c r="G7" s="251"/>
      <c r="H7" s="252"/>
    </row>
    <row r="8" spans="1:8" ht="29" customHeight="1" x14ac:dyDescent="0.35">
      <c r="A8" s="53" t="s">
        <v>76</v>
      </c>
      <c r="B8" s="54" t="s">
        <v>77</v>
      </c>
      <c r="D8" s="78" t="s">
        <v>78</v>
      </c>
      <c r="E8" s="7" t="s">
        <v>79</v>
      </c>
      <c r="F8" s="250" t="s">
        <v>80</v>
      </c>
      <c r="G8" s="251"/>
      <c r="H8" s="252"/>
    </row>
    <row r="9" spans="1:8" ht="29" customHeight="1" x14ac:dyDescent="0.35">
      <c r="A9" s="53" t="s">
        <v>81</v>
      </c>
      <c r="B9" s="54" t="s">
        <v>82</v>
      </c>
      <c r="D9" s="79"/>
      <c r="E9" s="7" t="s">
        <v>83</v>
      </c>
      <c r="F9" s="250" t="s">
        <v>84</v>
      </c>
      <c r="G9" s="251"/>
      <c r="H9" s="252"/>
    </row>
    <row r="10" spans="1:8" x14ac:dyDescent="0.35">
      <c r="A10" s="53" t="s">
        <v>85</v>
      </c>
      <c r="B10" s="54" t="s">
        <v>86</v>
      </c>
      <c r="D10" s="80"/>
      <c r="E10" s="7" t="s">
        <v>87</v>
      </c>
      <c r="F10" s="250" t="s">
        <v>88</v>
      </c>
      <c r="G10" s="251"/>
      <c r="H10" s="252"/>
    </row>
    <row r="11" spans="1:8" x14ac:dyDescent="0.35">
      <c r="A11" s="53" t="s">
        <v>89</v>
      </c>
      <c r="B11" s="54" t="s">
        <v>90</v>
      </c>
      <c r="D11" s="81"/>
      <c r="E11" s="7" t="s">
        <v>91</v>
      </c>
      <c r="F11" s="250" t="s">
        <v>92</v>
      </c>
      <c r="G11" s="251"/>
      <c r="H11" s="252"/>
    </row>
    <row r="12" spans="1:8" ht="29" customHeight="1" x14ac:dyDescent="0.35">
      <c r="A12" s="53" t="s">
        <v>93</v>
      </c>
      <c r="B12" s="54" t="s">
        <v>94</v>
      </c>
    </row>
    <row r="13" spans="1:8" ht="29" customHeight="1" x14ac:dyDescent="0.35">
      <c r="A13" s="53" t="s">
        <v>95</v>
      </c>
      <c r="B13" s="54" t="s">
        <v>96</v>
      </c>
      <c r="D13" s="253" t="s">
        <v>97</v>
      </c>
      <c r="E13" s="251"/>
      <c r="F13" s="251"/>
      <c r="G13" s="251"/>
      <c r="H13" s="252"/>
    </row>
    <row r="14" spans="1:8" ht="29" customHeight="1" x14ac:dyDescent="0.35">
      <c r="A14" s="53" t="s">
        <v>98</v>
      </c>
      <c r="B14" s="54" t="s">
        <v>99</v>
      </c>
      <c r="D14" s="3" t="s">
        <v>100</v>
      </c>
      <c r="E14" s="3" t="s">
        <v>101</v>
      </c>
      <c r="F14" s="3" t="s">
        <v>67</v>
      </c>
      <c r="G14" s="3"/>
      <c r="H14" s="3"/>
    </row>
    <row r="15" spans="1:8" ht="58" customHeight="1" x14ac:dyDescent="0.35">
      <c r="A15" s="53" t="s">
        <v>102</v>
      </c>
      <c r="B15" s="54" t="s">
        <v>103</v>
      </c>
      <c r="D15" s="82" t="s">
        <v>104</v>
      </c>
      <c r="E15" s="54" t="s">
        <v>105</v>
      </c>
      <c r="F15" s="250" t="s">
        <v>106</v>
      </c>
      <c r="G15" s="251"/>
      <c r="H15" s="252"/>
    </row>
    <row r="16" spans="1:8" ht="116" customHeight="1" x14ac:dyDescent="0.35">
      <c r="A16" s="53" t="s">
        <v>107</v>
      </c>
      <c r="B16" s="54" t="s">
        <v>108</v>
      </c>
      <c r="D16" s="83" t="s">
        <v>109</v>
      </c>
      <c r="E16" s="54" t="s">
        <v>110</v>
      </c>
      <c r="F16" s="250" t="s">
        <v>111</v>
      </c>
      <c r="G16" s="251"/>
      <c r="H16" s="252"/>
    </row>
    <row r="17" spans="1:8" ht="101.5" customHeight="1" x14ac:dyDescent="0.35">
      <c r="A17" s="53" t="s">
        <v>112</v>
      </c>
      <c r="B17" s="54" t="s">
        <v>113</v>
      </c>
      <c r="D17" s="84" t="s">
        <v>114</v>
      </c>
      <c r="E17" s="54" t="s">
        <v>115</v>
      </c>
      <c r="F17" s="250" t="s">
        <v>116</v>
      </c>
      <c r="G17" s="251"/>
      <c r="H17" s="252"/>
    </row>
    <row r="18" spans="1:8" ht="29" customHeight="1" x14ac:dyDescent="0.35">
      <c r="A18" s="64" t="s">
        <v>117</v>
      </c>
      <c r="B18" s="61" t="s">
        <v>118</v>
      </c>
    </row>
    <row r="19" spans="1:8" ht="29" customHeight="1" x14ac:dyDescent="0.35">
      <c r="A19" s="64" t="s">
        <v>119</v>
      </c>
      <c r="B19" s="61" t="s">
        <v>120</v>
      </c>
      <c r="D19" s="3" t="s">
        <v>60</v>
      </c>
      <c r="E19" s="3" t="s">
        <v>100</v>
      </c>
      <c r="F19" s="3" t="s">
        <v>121</v>
      </c>
      <c r="G19" s="3"/>
      <c r="H19" s="3"/>
    </row>
    <row r="20" spans="1:8" ht="29" customHeight="1" x14ac:dyDescent="0.35">
      <c r="A20" s="218" t="s">
        <v>122</v>
      </c>
      <c r="B20" s="105" t="s">
        <v>123</v>
      </c>
      <c r="D20" s="7" t="s">
        <v>124</v>
      </c>
      <c r="E20" s="84" t="s">
        <v>114</v>
      </c>
      <c r="F20" s="250" t="s">
        <v>125</v>
      </c>
      <c r="G20" s="254"/>
      <c r="H20" s="255"/>
    </row>
    <row r="21" spans="1:8" ht="29" customHeight="1" x14ac:dyDescent="0.35">
      <c r="A21" s="218" t="s">
        <v>126</v>
      </c>
      <c r="B21" s="105" t="s">
        <v>127</v>
      </c>
      <c r="D21" s="7" t="s">
        <v>93</v>
      </c>
      <c r="E21" s="84" t="s">
        <v>114</v>
      </c>
      <c r="F21" s="256"/>
      <c r="G21" s="246"/>
      <c r="H21" s="257"/>
    </row>
    <row r="22" spans="1:8" x14ac:dyDescent="0.35">
      <c r="D22" s="7" t="s">
        <v>112</v>
      </c>
      <c r="E22" s="82" t="s">
        <v>104</v>
      </c>
      <c r="F22" s="256"/>
      <c r="G22" s="246"/>
      <c r="H22" s="257"/>
    </row>
    <row r="23" spans="1:8" x14ac:dyDescent="0.35">
      <c r="D23" s="7" t="s">
        <v>63</v>
      </c>
      <c r="E23" s="83" t="s">
        <v>109</v>
      </c>
      <c r="F23" s="256"/>
      <c r="G23" s="246"/>
      <c r="H23" s="257"/>
    </row>
    <row r="24" spans="1:8" x14ac:dyDescent="0.35">
      <c r="D24" s="7" t="s">
        <v>98</v>
      </c>
      <c r="E24" s="82" t="s">
        <v>104</v>
      </c>
      <c r="F24" s="256"/>
      <c r="G24" s="246"/>
      <c r="H24" s="257"/>
    </row>
    <row r="25" spans="1:8" x14ac:dyDescent="0.35">
      <c r="D25" s="7" t="s">
        <v>95</v>
      </c>
      <c r="E25" s="83" t="s">
        <v>109</v>
      </c>
      <c r="F25" s="256"/>
      <c r="G25" s="246"/>
      <c r="H25" s="257"/>
    </row>
    <row r="26" spans="1:8" x14ac:dyDescent="0.35">
      <c r="D26" s="7" t="s">
        <v>85</v>
      </c>
      <c r="E26" s="83" t="s">
        <v>109</v>
      </c>
      <c r="F26" s="256"/>
      <c r="G26" s="246"/>
      <c r="H26" s="257"/>
    </row>
    <row r="27" spans="1:8" x14ac:dyDescent="0.35">
      <c r="D27" s="7" t="s">
        <v>68</v>
      </c>
      <c r="E27" s="83" t="s">
        <v>109</v>
      </c>
      <c r="F27" s="256"/>
      <c r="G27" s="246"/>
      <c r="H27" s="257"/>
    </row>
    <row r="28" spans="1:8" x14ac:dyDescent="0.35">
      <c r="D28" s="7" t="s">
        <v>102</v>
      </c>
      <c r="E28" s="82" t="s">
        <v>104</v>
      </c>
      <c r="F28" s="256"/>
      <c r="G28" s="246"/>
      <c r="H28" s="257"/>
    </row>
    <row r="29" spans="1:8" x14ac:dyDescent="0.35">
      <c r="D29" s="7" t="s">
        <v>81</v>
      </c>
      <c r="E29" s="84" t="s">
        <v>114</v>
      </c>
      <c r="F29" s="256"/>
      <c r="G29" s="246"/>
      <c r="H29" s="257"/>
    </row>
    <row r="30" spans="1:8" x14ac:dyDescent="0.35">
      <c r="D30" s="7" t="s">
        <v>107</v>
      </c>
      <c r="E30" s="83" t="s">
        <v>109</v>
      </c>
      <c r="F30" s="256"/>
      <c r="G30" s="246"/>
      <c r="H30" s="257"/>
    </row>
    <row r="31" spans="1:8" x14ac:dyDescent="0.35">
      <c r="D31" s="7" t="s">
        <v>128</v>
      </c>
      <c r="E31" s="82" t="s">
        <v>104</v>
      </c>
      <c r="F31" s="256"/>
      <c r="G31" s="246"/>
      <c r="H31" s="257"/>
    </row>
    <row r="32" spans="1:8" x14ac:dyDescent="0.35">
      <c r="D32" s="7" t="s">
        <v>129</v>
      </c>
      <c r="E32" s="82" t="s">
        <v>104</v>
      </c>
      <c r="F32" s="256"/>
      <c r="G32" s="246"/>
      <c r="H32" s="257"/>
    </row>
    <row r="33" spans="4:8" x14ac:dyDescent="0.35">
      <c r="D33" s="7" t="s">
        <v>130</v>
      </c>
      <c r="E33" s="82" t="s">
        <v>104</v>
      </c>
      <c r="F33" s="256"/>
      <c r="G33" s="246"/>
      <c r="H33" s="257"/>
    </row>
    <row r="34" spans="4:8" x14ac:dyDescent="0.35">
      <c r="D34" s="7" t="s">
        <v>131</v>
      </c>
      <c r="E34" s="82" t="s">
        <v>104</v>
      </c>
      <c r="F34" s="256"/>
      <c r="G34" s="246"/>
      <c r="H34" s="257"/>
    </row>
    <row r="35" spans="4:8" x14ac:dyDescent="0.35">
      <c r="D35" s="7" t="s">
        <v>132</v>
      </c>
      <c r="E35" s="82" t="s">
        <v>104</v>
      </c>
      <c r="F35" s="256"/>
      <c r="G35" s="246"/>
      <c r="H35" s="257"/>
    </row>
    <row r="36" spans="4:8" x14ac:dyDescent="0.35">
      <c r="D36" s="7" t="s">
        <v>133</v>
      </c>
      <c r="E36" s="82" t="s">
        <v>104</v>
      </c>
      <c r="F36" s="256"/>
      <c r="G36" s="246"/>
      <c r="H36" s="257"/>
    </row>
    <row r="37" spans="4:8" x14ac:dyDescent="0.35">
      <c r="D37" s="7" t="s">
        <v>134</v>
      </c>
      <c r="E37" s="82" t="s">
        <v>104</v>
      </c>
      <c r="F37" s="256"/>
      <c r="G37" s="246"/>
      <c r="H37" s="257"/>
    </row>
    <row r="38" spans="4:8" x14ac:dyDescent="0.35">
      <c r="D38" s="7" t="s">
        <v>72</v>
      </c>
      <c r="E38" s="84" t="s">
        <v>114</v>
      </c>
      <c r="F38" s="256"/>
      <c r="G38" s="246"/>
      <c r="H38" s="257"/>
    </row>
    <row r="39" spans="4:8" x14ac:dyDescent="0.35">
      <c r="D39" s="7" t="s">
        <v>76</v>
      </c>
      <c r="E39" s="84" t="s">
        <v>114</v>
      </c>
      <c r="F39" s="258"/>
      <c r="G39" s="259"/>
      <c r="H39" s="260"/>
    </row>
  </sheetData>
  <mergeCells count="14">
    <mergeCell ref="F17:H17"/>
    <mergeCell ref="F9:H9"/>
    <mergeCell ref="F7:H7"/>
    <mergeCell ref="D4:H4"/>
    <mergeCell ref="F20:H39"/>
    <mergeCell ref="F15:H15"/>
    <mergeCell ref="F11:H11"/>
    <mergeCell ref="A1:H1"/>
    <mergeCell ref="F10:H10"/>
    <mergeCell ref="F16:H16"/>
    <mergeCell ref="F6:H6"/>
    <mergeCell ref="A2:H2"/>
    <mergeCell ref="D13:H13"/>
    <mergeCell ref="F8:H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topLeftCell="H1" workbookViewId="0">
      <selection activeCell="Q1" sqref="Q1"/>
    </sheetView>
  </sheetViews>
  <sheetFormatPr defaultRowHeight="14.5" x14ac:dyDescent="0.35"/>
  <cols>
    <col min="1" max="1" width="27.26953125" customWidth="1"/>
    <col min="2" max="3" width="21.81640625" customWidth="1"/>
    <col min="4" max="4" width="34.54296875" customWidth="1"/>
    <col min="5" max="11" width="13.6328125" customWidth="1"/>
  </cols>
  <sheetData>
    <row r="1" spans="1:11" ht="23.5" customHeight="1" x14ac:dyDescent="0.55000000000000004">
      <c r="A1" s="214" t="s">
        <v>135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1" ht="87" customHeight="1" x14ac:dyDescent="0.35">
      <c r="A2" s="103" t="s">
        <v>136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4" spans="1:11" ht="15.5" customHeight="1" x14ac:dyDescent="0.35">
      <c r="A4" s="261" t="s">
        <v>137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</row>
    <row r="30" spans="1:11" ht="15.5" customHeight="1" x14ac:dyDescent="0.35">
      <c r="A30" s="215" t="s">
        <v>138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215"/>
    </row>
    <row r="56" spans="1:11" ht="15.5" customHeight="1" x14ac:dyDescent="0.35">
      <c r="A56" s="215" t="s">
        <v>139</v>
      </c>
      <c r="B56" s="215"/>
      <c r="C56" s="215"/>
      <c r="D56" s="215"/>
      <c r="E56" s="215"/>
      <c r="F56" s="215"/>
      <c r="G56" s="215"/>
      <c r="H56" s="215"/>
      <c r="I56" s="215"/>
      <c r="J56" s="215"/>
      <c r="K56" s="215"/>
    </row>
    <row r="105" spans="1:4" x14ac:dyDescent="0.35">
      <c r="A105" s="216" t="s">
        <v>140</v>
      </c>
      <c r="B105" s="216" t="s">
        <v>141</v>
      </c>
      <c r="C105" s="216" t="s">
        <v>142</v>
      </c>
      <c r="D105" s="216" t="s">
        <v>143</v>
      </c>
    </row>
    <row r="106" spans="1:4" x14ac:dyDescent="0.35">
      <c r="A106" s="217" t="s">
        <v>144</v>
      </c>
      <c r="B106" s="217" t="s">
        <v>145</v>
      </c>
      <c r="C106" s="217" t="s">
        <v>146</v>
      </c>
      <c r="D106" s="217" t="s">
        <v>147</v>
      </c>
    </row>
    <row r="107" spans="1:4" x14ac:dyDescent="0.35">
      <c r="A107" s="217" t="s">
        <v>148</v>
      </c>
      <c r="B107" s="217" t="s">
        <v>145</v>
      </c>
      <c r="C107" s="217" t="s">
        <v>149</v>
      </c>
      <c r="D107" s="217" t="s">
        <v>150</v>
      </c>
    </row>
    <row r="108" spans="1:4" x14ac:dyDescent="0.35">
      <c r="A108" s="217" t="s">
        <v>151</v>
      </c>
      <c r="B108" s="217" t="s">
        <v>68</v>
      </c>
      <c r="C108" s="217" t="s">
        <v>146</v>
      </c>
      <c r="D108" s="217" t="s">
        <v>152</v>
      </c>
    </row>
    <row r="109" spans="1:4" x14ac:dyDescent="0.35">
      <c r="A109" s="217" t="s">
        <v>153</v>
      </c>
      <c r="B109" s="217" t="s">
        <v>68</v>
      </c>
      <c r="C109" s="217" t="s">
        <v>149</v>
      </c>
      <c r="D109" s="217" t="s">
        <v>154</v>
      </c>
    </row>
    <row r="110" spans="1:4" x14ac:dyDescent="0.35">
      <c r="A110" s="217" t="s">
        <v>155</v>
      </c>
      <c r="B110" s="217" t="s">
        <v>68</v>
      </c>
      <c r="C110" s="217" t="s">
        <v>2</v>
      </c>
      <c r="D110" s="217" t="s">
        <v>156</v>
      </c>
    </row>
    <row r="111" spans="1:4" x14ac:dyDescent="0.35">
      <c r="A111" s="217" t="s">
        <v>157</v>
      </c>
      <c r="B111" s="217" t="s">
        <v>72</v>
      </c>
      <c r="C111" s="217" t="s">
        <v>146</v>
      </c>
      <c r="D111" s="217" t="s">
        <v>158</v>
      </c>
    </row>
    <row r="112" spans="1:4" x14ac:dyDescent="0.35">
      <c r="A112" s="217" t="s">
        <v>159</v>
      </c>
      <c r="B112" s="217" t="s">
        <v>72</v>
      </c>
      <c r="C112" s="217" t="s">
        <v>160</v>
      </c>
      <c r="D112" s="217" t="s">
        <v>161</v>
      </c>
    </row>
    <row r="113" spans="1:4" x14ac:dyDescent="0.35">
      <c r="A113" s="217" t="s">
        <v>162</v>
      </c>
      <c r="B113" s="217" t="s">
        <v>163</v>
      </c>
      <c r="C113" s="217" t="s">
        <v>10</v>
      </c>
      <c r="D113" s="217" t="s">
        <v>164</v>
      </c>
    </row>
    <row r="114" spans="1:4" x14ac:dyDescent="0.35">
      <c r="A114" s="217" t="s">
        <v>165</v>
      </c>
      <c r="B114" s="217" t="s">
        <v>107</v>
      </c>
      <c r="C114" s="217" t="s">
        <v>166</v>
      </c>
      <c r="D114" s="217" t="s">
        <v>167</v>
      </c>
    </row>
    <row r="115" spans="1:4" x14ac:dyDescent="0.35">
      <c r="A115" s="217" t="s">
        <v>168</v>
      </c>
      <c r="B115" s="217" t="s">
        <v>107</v>
      </c>
      <c r="C115" s="217" t="s">
        <v>10</v>
      </c>
      <c r="D115" s="217" t="s">
        <v>169</v>
      </c>
    </row>
    <row r="116" spans="1:4" x14ac:dyDescent="0.35">
      <c r="A116" s="217" t="s">
        <v>170</v>
      </c>
      <c r="B116" s="217" t="s">
        <v>171</v>
      </c>
      <c r="C116" s="217" t="s">
        <v>172</v>
      </c>
      <c r="D116" s="217" t="s">
        <v>173</v>
      </c>
    </row>
    <row r="117" spans="1:4" x14ac:dyDescent="0.35">
      <c r="A117" s="217" t="s">
        <v>174</v>
      </c>
      <c r="B117" s="217" t="s">
        <v>171</v>
      </c>
      <c r="C117" s="217" t="s">
        <v>160</v>
      </c>
      <c r="D117" s="217" t="s">
        <v>175</v>
      </c>
    </row>
    <row r="118" spans="1:4" x14ac:dyDescent="0.35">
      <c r="A118" s="217" t="s">
        <v>176</v>
      </c>
      <c r="B118" s="217" t="s">
        <v>177</v>
      </c>
      <c r="C118" s="217" t="s">
        <v>178</v>
      </c>
      <c r="D118" s="217" t="s">
        <v>179</v>
      </c>
    </row>
    <row r="119" spans="1:4" x14ac:dyDescent="0.35">
      <c r="A119" s="217" t="s">
        <v>180</v>
      </c>
      <c r="B119" s="217" t="s">
        <v>181</v>
      </c>
      <c r="C119" s="217" t="s">
        <v>149</v>
      </c>
      <c r="D119" s="217" t="s">
        <v>182</v>
      </c>
    </row>
    <row r="120" spans="1:4" x14ac:dyDescent="0.35">
      <c r="A120" s="217" t="s">
        <v>183</v>
      </c>
      <c r="B120" s="217" t="s">
        <v>181</v>
      </c>
      <c r="C120" s="217" t="s">
        <v>2</v>
      </c>
      <c r="D120" s="217" t="s">
        <v>184</v>
      </c>
    </row>
    <row r="121" spans="1:4" x14ac:dyDescent="0.35">
      <c r="A121" s="217" t="s">
        <v>185</v>
      </c>
      <c r="B121" s="217" t="s">
        <v>186</v>
      </c>
      <c r="C121" s="217" t="s">
        <v>187</v>
      </c>
      <c r="D121" s="217" t="s">
        <v>188</v>
      </c>
    </row>
    <row r="122" spans="1:4" x14ac:dyDescent="0.35">
      <c r="A122" s="217" t="s">
        <v>189</v>
      </c>
      <c r="B122" s="217" t="s">
        <v>186</v>
      </c>
      <c r="C122" s="217" t="s">
        <v>2</v>
      </c>
      <c r="D122" s="217" t="s">
        <v>190</v>
      </c>
    </row>
    <row r="123" spans="1:4" x14ac:dyDescent="0.35">
      <c r="A123" s="217" t="s">
        <v>191</v>
      </c>
      <c r="B123" s="217" t="s">
        <v>192</v>
      </c>
      <c r="C123" s="217" t="s">
        <v>2</v>
      </c>
      <c r="D123" s="217" t="s">
        <v>193</v>
      </c>
    </row>
    <row r="124" spans="1:4" x14ac:dyDescent="0.35">
      <c r="A124" s="217" t="s">
        <v>194</v>
      </c>
      <c r="B124" s="217" t="s">
        <v>7</v>
      </c>
      <c r="C124" s="217" t="s">
        <v>2</v>
      </c>
      <c r="D124" s="217" t="s">
        <v>195</v>
      </c>
    </row>
    <row r="125" spans="1:4" x14ac:dyDescent="0.35">
      <c r="A125" s="217" t="s">
        <v>196</v>
      </c>
      <c r="B125" s="217" t="s">
        <v>102</v>
      </c>
      <c r="C125" s="217" t="s">
        <v>149</v>
      </c>
      <c r="D125" s="217" t="s">
        <v>197</v>
      </c>
    </row>
    <row r="126" spans="1:4" x14ac:dyDescent="0.35">
      <c r="A126" s="217" t="s">
        <v>198</v>
      </c>
      <c r="B126" s="217" t="s">
        <v>95</v>
      </c>
      <c r="C126" s="217" t="s">
        <v>146</v>
      </c>
      <c r="D126" s="217" t="s">
        <v>199</v>
      </c>
    </row>
    <row r="127" spans="1:4" x14ac:dyDescent="0.35">
      <c r="A127" s="217" t="s">
        <v>200</v>
      </c>
      <c r="B127" s="217" t="s">
        <v>201</v>
      </c>
      <c r="C127" s="217" t="s">
        <v>202</v>
      </c>
      <c r="D127" s="217" t="s">
        <v>203</v>
      </c>
    </row>
    <row r="128" spans="1:4" x14ac:dyDescent="0.35">
      <c r="A128" s="217" t="s">
        <v>204</v>
      </c>
      <c r="B128" s="217" t="s">
        <v>201</v>
      </c>
      <c r="C128" s="217" t="s">
        <v>10</v>
      </c>
      <c r="D128" s="217" t="s">
        <v>205</v>
      </c>
    </row>
    <row r="129" spans="1:4" x14ac:dyDescent="0.35">
      <c r="A129" s="217" t="s">
        <v>206</v>
      </c>
      <c r="B129" s="217" t="s">
        <v>207</v>
      </c>
      <c r="C129" s="217" t="s">
        <v>202</v>
      </c>
      <c r="D129" s="217" t="s">
        <v>208</v>
      </c>
    </row>
    <row r="130" spans="1:4" x14ac:dyDescent="0.35">
      <c r="A130" s="217" t="s">
        <v>209</v>
      </c>
      <c r="B130" s="217" t="s">
        <v>207</v>
      </c>
      <c r="C130" s="217" t="s">
        <v>10</v>
      </c>
      <c r="D130" s="217" t="s">
        <v>210</v>
      </c>
    </row>
    <row r="131" spans="1:4" x14ac:dyDescent="0.35">
      <c r="A131" s="217" t="s">
        <v>211</v>
      </c>
      <c r="B131" s="217" t="s">
        <v>212</v>
      </c>
      <c r="C131" s="217" t="s">
        <v>146</v>
      </c>
      <c r="D131" s="217" t="s">
        <v>213</v>
      </c>
    </row>
    <row r="132" spans="1:4" x14ac:dyDescent="0.35">
      <c r="A132" s="217" t="s">
        <v>214</v>
      </c>
      <c r="B132" s="217" t="s">
        <v>93</v>
      </c>
      <c r="C132" s="217" t="s">
        <v>66</v>
      </c>
      <c r="D132" s="217" t="s">
        <v>215</v>
      </c>
    </row>
    <row r="133" spans="1:4" x14ac:dyDescent="0.35">
      <c r="A133" s="217" t="s">
        <v>216</v>
      </c>
      <c r="B133" s="217" t="s">
        <v>95</v>
      </c>
      <c r="C133" s="217" t="s">
        <v>202</v>
      </c>
      <c r="D133" s="217" t="s">
        <v>217</v>
      </c>
    </row>
  </sheetData>
  <mergeCells count="1">
    <mergeCell ref="A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E38"/>
  <sheetViews>
    <sheetView showGridLines="0" topLeftCell="A19" workbookViewId="0">
      <selection activeCell="Q1" sqref="Q1"/>
    </sheetView>
  </sheetViews>
  <sheetFormatPr defaultRowHeight="14.5" x14ac:dyDescent="0.35"/>
  <cols>
    <col min="1" max="1" width="20.90625" customWidth="1"/>
    <col min="2" max="2" width="27.26953125" customWidth="1"/>
    <col min="3" max="3" width="13.6328125" customWidth="1"/>
    <col min="4" max="4" width="47.26953125" customWidth="1"/>
    <col min="5" max="5" width="30.90625" customWidth="1"/>
  </cols>
  <sheetData>
    <row r="1" spans="1:5" ht="23.5" customHeight="1" x14ac:dyDescent="0.55000000000000004">
      <c r="A1" s="248" t="s">
        <v>218</v>
      </c>
      <c r="B1" s="246"/>
      <c r="C1" s="246"/>
      <c r="D1" s="246"/>
      <c r="E1" s="246"/>
    </row>
    <row r="2" spans="1:5" x14ac:dyDescent="0.35">
      <c r="A2" s="247" t="s">
        <v>219</v>
      </c>
      <c r="B2" s="246"/>
      <c r="C2" s="246"/>
      <c r="D2" s="246"/>
      <c r="E2" s="246"/>
    </row>
    <row r="4" spans="1:5" x14ac:dyDescent="0.35">
      <c r="A4" s="104" t="s">
        <v>66</v>
      </c>
      <c r="B4" s="104" t="s">
        <v>220</v>
      </c>
      <c r="C4" s="104" t="s">
        <v>221</v>
      </c>
      <c r="D4" s="104" t="s">
        <v>222</v>
      </c>
      <c r="E4" s="104" t="s">
        <v>223</v>
      </c>
    </row>
    <row r="5" spans="1:5" x14ac:dyDescent="0.35">
      <c r="A5" s="62" t="s">
        <v>224</v>
      </c>
      <c r="B5" s="7" t="s">
        <v>225</v>
      </c>
      <c r="C5" s="7"/>
      <c r="D5" s="54" t="s">
        <v>226</v>
      </c>
      <c r="E5" s="63" t="s">
        <v>227</v>
      </c>
    </row>
    <row r="6" spans="1:5" x14ac:dyDescent="0.35">
      <c r="A6" s="62" t="s">
        <v>224</v>
      </c>
      <c r="B6" s="7" t="s">
        <v>228</v>
      </c>
      <c r="C6" s="7"/>
      <c r="D6" s="54" t="s">
        <v>229</v>
      </c>
      <c r="E6" s="63" t="s">
        <v>230</v>
      </c>
    </row>
    <row r="7" spans="1:5" ht="29" customHeight="1" x14ac:dyDescent="0.35">
      <c r="A7" s="62" t="s">
        <v>224</v>
      </c>
      <c r="B7" s="7" t="s">
        <v>231</v>
      </c>
      <c r="C7" s="7"/>
      <c r="D7" s="54" t="s">
        <v>232</v>
      </c>
      <c r="E7" s="63" t="s">
        <v>233</v>
      </c>
    </row>
    <row r="8" spans="1:5" ht="29" customHeight="1" x14ac:dyDescent="0.35">
      <c r="A8" s="62" t="s">
        <v>234</v>
      </c>
      <c r="B8" s="7" t="s">
        <v>235</v>
      </c>
      <c r="C8" s="7" t="s">
        <v>236</v>
      </c>
      <c r="D8" s="54" t="s">
        <v>237</v>
      </c>
      <c r="E8" s="63" t="s">
        <v>238</v>
      </c>
    </row>
    <row r="9" spans="1:5" ht="29" customHeight="1" x14ac:dyDescent="0.35">
      <c r="A9" s="62" t="s">
        <v>234</v>
      </c>
      <c r="B9" s="7" t="s">
        <v>2</v>
      </c>
      <c r="C9" s="7"/>
      <c r="D9" s="54" t="s">
        <v>239</v>
      </c>
      <c r="E9" s="63" t="s">
        <v>240</v>
      </c>
    </row>
    <row r="10" spans="1:5" ht="29" customHeight="1" x14ac:dyDescent="0.35">
      <c r="A10" s="62" t="s">
        <v>234</v>
      </c>
      <c r="B10" s="7" t="s">
        <v>241</v>
      </c>
      <c r="C10" s="7"/>
      <c r="D10" s="54" t="s">
        <v>242</v>
      </c>
      <c r="E10" s="63" t="s">
        <v>243</v>
      </c>
    </row>
    <row r="11" spans="1:5" ht="29" customHeight="1" x14ac:dyDescent="0.35">
      <c r="A11" s="62" t="s">
        <v>244</v>
      </c>
      <c r="B11" s="7" t="s">
        <v>4</v>
      </c>
      <c r="C11" s="7"/>
      <c r="D11" s="54" t="s">
        <v>245</v>
      </c>
      <c r="E11" s="63" t="s">
        <v>246</v>
      </c>
    </row>
    <row r="12" spans="1:5" ht="29" customHeight="1" x14ac:dyDescent="0.35">
      <c r="A12" s="62" t="s">
        <v>244</v>
      </c>
      <c r="B12" s="7" t="s">
        <v>5</v>
      </c>
      <c r="C12" s="7"/>
      <c r="D12" s="54" t="s">
        <v>247</v>
      </c>
      <c r="E12" s="63" t="s">
        <v>248</v>
      </c>
    </row>
    <row r="13" spans="1:5" ht="29" customHeight="1" x14ac:dyDescent="0.35">
      <c r="A13" s="62" t="s">
        <v>244</v>
      </c>
      <c r="B13" s="7" t="s">
        <v>249</v>
      </c>
      <c r="C13" s="7"/>
      <c r="D13" s="54" t="s">
        <v>250</v>
      </c>
      <c r="E13" s="63" t="s">
        <v>251</v>
      </c>
    </row>
    <row r="14" spans="1:5" ht="29" customHeight="1" x14ac:dyDescent="0.35">
      <c r="A14" s="62" t="s">
        <v>244</v>
      </c>
      <c r="B14" s="7" t="s">
        <v>252</v>
      </c>
      <c r="C14" s="7"/>
      <c r="D14" s="54" t="s">
        <v>253</v>
      </c>
      <c r="E14" s="63" t="s">
        <v>254</v>
      </c>
    </row>
    <row r="15" spans="1:5" x14ac:dyDescent="0.35">
      <c r="A15" s="62" t="s">
        <v>255</v>
      </c>
      <c r="B15" s="7" t="s">
        <v>256</v>
      </c>
      <c r="C15" s="7" t="s">
        <v>257</v>
      </c>
      <c r="D15" s="54" t="s">
        <v>258</v>
      </c>
      <c r="E15" s="63" t="s">
        <v>259</v>
      </c>
    </row>
    <row r="16" spans="1:5" ht="29" customHeight="1" x14ac:dyDescent="0.35">
      <c r="A16" s="62" t="s">
        <v>255</v>
      </c>
      <c r="B16" s="7" t="s">
        <v>260</v>
      </c>
      <c r="C16" s="7" t="s">
        <v>261</v>
      </c>
      <c r="D16" s="54" t="s">
        <v>262</v>
      </c>
      <c r="E16" s="63" t="s">
        <v>263</v>
      </c>
    </row>
    <row r="17" spans="1:5" x14ac:dyDescent="0.35">
      <c r="A17" s="62" t="s">
        <v>255</v>
      </c>
      <c r="B17" s="7" t="s">
        <v>264</v>
      </c>
      <c r="C17" s="7" t="s">
        <v>265</v>
      </c>
      <c r="D17" s="54" t="s">
        <v>266</v>
      </c>
      <c r="E17" s="63" t="s">
        <v>267</v>
      </c>
    </row>
    <row r="18" spans="1:5" ht="29" customHeight="1" x14ac:dyDescent="0.35">
      <c r="A18" s="62" t="s">
        <v>255</v>
      </c>
      <c r="B18" s="7" t="s">
        <v>268</v>
      </c>
      <c r="C18" s="7" t="s">
        <v>269</v>
      </c>
      <c r="D18" s="54" t="s">
        <v>270</v>
      </c>
      <c r="E18" s="63" t="s">
        <v>271</v>
      </c>
    </row>
    <row r="19" spans="1:5" ht="29" customHeight="1" x14ac:dyDescent="0.35">
      <c r="A19" s="62" t="s">
        <v>255</v>
      </c>
      <c r="B19" s="7" t="s">
        <v>272</v>
      </c>
      <c r="C19" s="7" t="s">
        <v>273</v>
      </c>
      <c r="D19" s="54" t="s">
        <v>274</v>
      </c>
      <c r="E19" s="63" t="s">
        <v>275</v>
      </c>
    </row>
    <row r="20" spans="1:5" ht="29" customHeight="1" x14ac:dyDescent="0.35">
      <c r="A20" s="62" t="s">
        <v>276</v>
      </c>
      <c r="B20" s="7" t="s">
        <v>277</v>
      </c>
      <c r="C20" s="7" t="s">
        <v>278</v>
      </c>
      <c r="D20" s="54" t="s">
        <v>279</v>
      </c>
      <c r="E20" s="63" t="s">
        <v>280</v>
      </c>
    </row>
    <row r="21" spans="1:5" ht="29" customHeight="1" x14ac:dyDescent="0.35">
      <c r="A21" s="62" t="s">
        <v>276</v>
      </c>
      <c r="B21" s="7" t="s">
        <v>281</v>
      </c>
      <c r="C21" s="7" t="s">
        <v>282</v>
      </c>
      <c r="D21" s="54" t="s">
        <v>283</v>
      </c>
      <c r="E21" s="63" t="s">
        <v>284</v>
      </c>
    </row>
    <row r="22" spans="1:5" ht="29" customHeight="1" x14ac:dyDescent="0.35">
      <c r="A22" s="62" t="s">
        <v>285</v>
      </c>
      <c r="B22" s="7" t="s">
        <v>286</v>
      </c>
      <c r="C22" s="7" t="s">
        <v>8</v>
      </c>
      <c r="D22" s="54" t="s">
        <v>287</v>
      </c>
      <c r="E22" s="63" t="s">
        <v>288</v>
      </c>
    </row>
    <row r="23" spans="1:5" ht="29" customHeight="1" x14ac:dyDescent="0.35">
      <c r="A23" s="62" t="s">
        <v>285</v>
      </c>
      <c r="B23" s="7" t="s">
        <v>289</v>
      </c>
      <c r="C23" s="7" t="s">
        <v>9</v>
      </c>
      <c r="D23" s="54" t="s">
        <v>290</v>
      </c>
      <c r="E23" s="63" t="s">
        <v>291</v>
      </c>
    </row>
    <row r="24" spans="1:5" ht="29" customHeight="1" x14ac:dyDescent="0.35">
      <c r="A24" s="62" t="s">
        <v>292</v>
      </c>
      <c r="B24" s="7" t="s">
        <v>293</v>
      </c>
      <c r="C24" s="7" t="s">
        <v>294</v>
      </c>
      <c r="D24" s="54" t="s">
        <v>295</v>
      </c>
      <c r="E24" s="63" t="s">
        <v>296</v>
      </c>
    </row>
    <row r="25" spans="1:5" ht="29" customHeight="1" x14ac:dyDescent="0.35">
      <c r="A25" s="62" t="s">
        <v>292</v>
      </c>
      <c r="B25" s="7" t="s">
        <v>297</v>
      </c>
      <c r="C25" s="7" t="s">
        <v>298</v>
      </c>
      <c r="D25" s="54" t="s">
        <v>299</v>
      </c>
      <c r="E25" s="63" t="s">
        <v>300</v>
      </c>
    </row>
    <row r="26" spans="1:5" ht="29" customHeight="1" x14ac:dyDescent="0.35">
      <c r="A26" s="62" t="s">
        <v>292</v>
      </c>
      <c r="B26" s="7" t="s">
        <v>301</v>
      </c>
      <c r="C26" s="7" t="s">
        <v>302</v>
      </c>
      <c r="D26" s="54" t="s">
        <v>303</v>
      </c>
      <c r="E26" s="63" t="s">
        <v>304</v>
      </c>
    </row>
    <row r="27" spans="1:5" ht="29" customHeight="1" x14ac:dyDescent="0.35">
      <c r="A27" s="62" t="s">
        <v>305</v>
      </c>
      <c r="B27" s="7" t="s">
        <v>306</v>
      </c>
      <c r="C27" s="7"/>
      <c r="D27" s="54" t="s">
        <v>307</v>
      </c>
      <c r="E27" s="63" t="s">
        <v>308</v>
      </c>
    </row>
    <row r="28" spans="1:5" ht="29" customHeight="1" x14ac:dyDescent="0.35">
      <c r="A28" s="62" t="s">
        <v>10</v>
      </c>
      <c r="B28" s="7" t="s">
        <v>18</v>
      </c>
      <c r="C28" s="7"/>
      <c r="D28" s="54" t="s">
        <v>309</v>
      </c>
      <c r="E28" s="63" t="s">
        <v>310</v>
      </c>
    </row>
    <row r="29" spans="1:5" ht="29" customHeight="1" x14ac:dyDescent="0.35">
      <c r="A29" s="62" t="s">
        <v>10</v>
      </c>
      <c r="B29" s="6" t="s">
        <v>23</v>
      </c>
      <c r="C29" s="6"/>
      <c r="D29" s="54" t="s">
        <v>311</v>
      </c>
      <c r="E29" s="63" t="s">
        <v>312</v>
      </c>
    </row>
    <row r="30" spans="1:5" ht="29" customHeight="1" x14ac:dyDescent="0.35">
      <c r="A30" s="62" t="s">
        <v>10</v>
      </c>
      <c r="B30" s="8" t="s">
        <v>29</v>
      </c>
      <c r="C30" s="8"/>
      <c r="D30" s="54" t="s">
        <v>313</v>
      </c>
      <c r="E30" s="63" t="s">
        <v>314</v>
      </c>
    </row>
    <row r="31" spans="1:5" ht="29" customHeight="1" x14ac:dyDescent="0.35">
      <c r="A31" s="62" t="s">
        <v>315</v>
      </c>
      <c r="B31" s="9" t="s">
        <v>145</v>
      </c>
      <c r="C31" s="9"/>
      <c r="D31" s="54" t="s">
        <v>316</v>
      </c>
      <c r="E31" s="63" t="s">
        <v>317</v>
      </c>
    </row>
    <row r="32" spans="1:5" ht="29" customHeight="1" x14ac:dyDescent="0.35">
      <c r="A32" s="62" t="s">
        <v>315</v>
      </c>
      <c r="B32" s="7" t="s">
        <v>318</v>
      </c>
      <c r="C32" s="7"/>
      <c r="D32" s="54" t="s">
        <v>319</v>
      </c>
      <c r="E32" s="63" t="s">
        <v>320</v>
      </c>
    </row>
    <row r="33" spans="1:5" ht="29" customHeight="1" x14ac:dyDescent="0.35">
      <c r="A33" s="62" t="s">
        <v>321</v>
      </c>
      <c r="B33" s="7" t="s">
        <v>322</v>
      </c>
      <c r="C33" s="7" t="s">
        <v>323</v>
      </c>
      <c r="D33" s="54" t="s">
        <v>324</v>
      </c>
      <c r="E33" s="63" t="s">
        <v>325</v>
      </c>
    </row>
    <row r="34" spans="1:5" ht="43.5" customHeight="1" x14ac:dyDescent="0.35">
      <c r="A34" s="62" t="s">
        <v>321</v>
      </c>
      <c r="B34" s="7" t="s">
        <v>326</v>
      </c>
      <c r="C34" s="7" t="s">
        <v>327</v>
      </c>
      <c r="D34" s="54" t="s">
        <v>328</v>
      </c>
      <c r="E34" s="63" t="s">
        <v>329</v>
      </c>
    </row>
    <row r="36" spans="1:5" ht="29" customHeight="1" x14ac:dyDescent="0.35">
      <c r="A36" s="54" t="s">
        <v>330</v>
      </c>
      <c r="B36" s="69" t="s">
        <v>104</v>
      </c>
      <c r="C36" s="54"/>
      <c r="D36" s="54" t="s">
        <v>331</v>
      </c>
      <c r="E36" s="54" t="s">
        <v>332</v>
      </c>
    </row>
    <row r="37" spans="1:5" ht="29" customHeight="1" x14ac:dyDescent="0.35">
      <c r="A37" s="54" t="s">
        <v>330</v>
      </c>
      <c r="B37" s="69" t="s">
        <v>109</v>
      </c>
      <c r="C37" s="54"/>
      <c r="D37" s="54" t="s">
        <v>333</v>
      </c>
      <c r="E37" s="54" t="s">
        <v>332</v>
      </c>
    </row>
    <row r="38" spans="1:5" ht="29" customHeight="1" x14ac:dyDescent="0.35">
      <c r="A38" s="105" t="s">
        <v>330</v>
      </c>
      <c r="B38" s="106" t="s">
        <v>114</v>
      </c>
      <c r="C38" s="105"/>
      <c r="D38" s="105" t="s">
        <v>334</v>
      </c>
      <c r="E38" s="105" t="s">
        <v>332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F30"/>
  <sheetViews>
    <sheetView showGridLines="0" workbookViewId="0">
      <selection activeCell="Q1" sqref="Q1"/>
    </sheetView>
  </sheetViews>
  <sheetFormatPr defaultRowHeight="14.5" x14ac:dyDescent="0.35"/>
  <cols>
    <col min="1" max="1" width="43.6328125" customWidth="1"/>
    <col min="2" max="2" width="20.90625" customWidth="1"/>
    <col min="3" max="3" width="16.36328125" customWidth="1"/>
    <col min="4" max="4" width="18.36328125" customWidth="1"/>
    <col min="5" max="5" width="11.81640625" customWidth="1"/>
    <col min="6" max="6" width="34.54296875" customWidth="1"/>
  </cols>
  <sheetData>
    <row r="1" spans="1:6" ht="23.5" customHeight="1" x14ac:dyDescent="0.55000000000000004">
      <c r="A1" s="248" t="s">
        <v>335</v>
      </c>
      <c r="B1" s="246"/>
      <c r="C1" s="246"/>
      <c r="D1" s="246"/>
      <c r="E1" s="246"/>
      <c r="F1" s="246"/>
    </row>
    <row r="2" spans="1:6" x14ac:dyDescent="0.35">
      <c r="A2" s="247" t="s">
        <v>336</v>
      </c>
      <c r="B2" s="246"/>
      <c r="C2" s="246"/>
      <c r="D2" s="246"/>
      <c r="E2" s="246"/>
      <c r="F2" s="246"/>
    </row>
    <row r="4" spans="1:6" x14ac:dyDescent="0.35">
      <c r="A4" s="2" t="s">
        <v>337</v>
      </c>
      <c r="B4" s="2" t="str">
        <f>Control_Project_Name</f>
        <v>Shipyard Assembly Beta</v>
      </c>
    </row>
    <row r="5" spans="1:6" x14ac:dyDescent="0.35">
      <c r="A5" s="2" t="s">
        <v>338</v>
      </c>
      <c r="B5" s="2" t="str">
        <f>TEXT(Control_Project_Start,"yyyy-mm-dd")&amp;" to "&amp;TEXT(Control_Project_End,"yyyy-mm-dd")</f>
        <v>2026-09-01 to 2026-10-31</v>
      </c>
    </row>
    <row r="6" spans="1:6" x14ac:dyDescent="0.35">
      <c r="A6" s="2" t="s">
        <v>231</v>
      </c>
      <c r="B6" s="46" t="str">
        <f>Control_Status_Date</f>
        <v>2026-06-30 00:00:00</v>
      </c>
    </row>
    <row r="7" spans="1:6" x14ac:dyDescent="0.35">
      <c r="A7" s="2" t="s">
        <v>339</v>
      </c>
      <c r="B7" s="46" t="s">
        <v>340</v>
      </c>
    </row>
    <row r="8" spans="1:6" x14ac:dyDescent="0.35">
      <c r="A8" s="2" t="s">
        <v>341</v>
      </c>
      <c r="B8" s="46">
        <f ca="1">TODAY()</f>
        <v>46238</v>
      </c>
    </row>
    <row r="10" spans="1:6" x14ac:dyDescent="0.35">
      <c r="A10" s="72" t="s">
        <v>342</v>
      </c>
      <c r="B10" s="72"/>
      <c r="C10" s="72"/>
      <c r="D10" s="72"/>
      <c r="E10" s="72"/>
      <c r="F10" s="72"/>
    </row>
    <row r="11" spans="1:6" x14ac:dyDescent="0.35">
      <c r="A11" s="74"/>
      <c r="B11" s="74"/>
      <c r="C11" s="74"/>
      <c r="D11" s="74"/>
      <c r="E11" s="74"/>
      <c r="F11" s="74"/>
    </row>
    <row r="12" spans="1:6" x14ac:dyDescent="0.35">
      <c r="A12" s="74"/>
      <c r="B12" s="74"/>
      <c r="C12" s="74"/>
      <c r="D12" s="74"/>
      <c r="E12" s="74"/>
      <c r="F12" s="74"/>
    </row>
    <row r="13" spans="1:6" x14ac:dyDescent="0.35">
      <c r="A13" s="74"/>
      <c r="B13" s="74"/>
      <c r="C13" s="74"/>
      <c r="D13" s="74"/>
      <c r="E13" s="74"/>
      <c r="F13" s="74"/>
    </row>
    <row r="15" spans="1:6" x14ac:dyDescent="0.35">
      <c r="A15" s="72" t="s">
        <v>343</v>
      </c>
      <c r="B15" s="72"/>
      <c r="C15" s="72"/>
      <c r="D15" s="72"/>
      <c r="E15" s="72"/>
      <c r="F15" s="72"/>
    </row>
    <row r="16" spans="1:6" x14ac:dyDescent="0.35">
      <c r="A16" s="75"/>
      <c r="B16" s="75"/>
      <c r="C16" s="75"/>
      <c r="D16" s="75"/>
      <c r="E16" s="75"/>
      <c r="F16" s="75"/>
    </row>
    <row r="17" spans="1:6" x14ac:dyDescent="0.35">
      <c r="A17" s="75"/>
      <c r="B17" s="75"/>
      <c r="C17" s="75"/>
      <c r="D17" s="75"/>
      <c r="E17" s="75"/>
      <c r="F17" s="75"/>
    </row>
    <row r="18" spans="1:6" x14ac:dyDescent="0.35">
      <c r="A18" s="75"/>
      <c r="B18" s="75"/>
      <c r="C18" s="75"/>
      <c r="D18" s="75"/>
      <c r="E18" s="75"/>
      <c r="F18" s="75"/>
    </row>
    <row r="20" spans="1:6" x14ac:dyDescent="0.35">
      <c r="A20" s="110" t="s">
        <v>344</v>
      </c>
      <c r="B20" s="104" t="s">
        <v>202</v>
      </c>
      <c r="C20" s="104" t="s">
        <v>345</v>
      </c>
      <c r="D20" s="104" t="s">
        <v>346</v>
      </c>
      <c r="E20" s="104" t="s">
        <v>10</v>
      </c>
      <c r="F20" s="111" t="s">
        <v>347</v>
      </c>
    </row>
    <row r="21" spans="1:6" x14ac:dyDescent="0.35">
      <c r="A21" s="108" t="s">
        <v>348</v>
      </c>
      <c r="B21" s="2" t="s">
        <v>349</v>
      </c>
      <c r="C21" s="2" t="s">
        <v>350</v>
      </c>
      <c r="D21" s="2" t="s">
        <v>351</v>
      </c>
      <c r="E21" s="2" t="s">
        <v>352</v>
      </c>
      <c r="F21" s="109" t="s">
        <v>353</v>
      </c>
    </row>
    <row r="22" spans="1:6" x14ac:dyDescent="0.35">
      <c r="A22" s="108" t="s">
        <v>354</v>
      </c>
      <c r="B22" s="2" t="s">
        <v>355</v>
      </c>
      <c r="C22" s="2"/>
      <c r="D22" s="2" t="s">
        <v>356</v>
      </c>
      <c r="E22" s="2" t="s">
        <v>29</v>
      </c>
      <c r="F22" s="109" t="s">
        <v>357</v>
      </c>
    </row>
    <row r="23" spans="1:6" x14ac:dyDescent="0.35">
      <c r="A23" s="108" t="s">
        <v>358</v>
      </c>
      <c r="B23" s="2" t="s">
        <v>359</v>
      </c>
      <c r="C23" s="2"/>
      <c r="D23" s="2" t="s">
        <v>356</v>
      </c>
      <c r="E23" s="2" t="s">
        <v>29</v>
      </c>
      <c r="F23" s="109" t="s">
        <v>254</v>
      </c>
    </row>
    <row r="24" spans="1:6" x14ac:dyDescent="0.35">
      <c r="A24" s="108" t="s">
        <v>360</v>
      </c>
      <c r="B24" s="2" t="s">
        <v>361</v>
      </c>
      <c r="C24" s="2"/>
      <c r="D24" s="2" t="s">
        <v>362</v>
      </c>
      <c r="E24" s="2" t="s">
        <v>23</v>
      </c>
      <c r="F24" s="109" t="s">
        <v>363</v>
      </c>
    </row>
    <row r="25" spans="1:6" x14ac:dyDescent="0.35">
      <c r="A25" s="112" t="s">
        <v>364</v>
      </c>
      <c r="B25" s="113" t="s">
        <v>365</v>
      </c>
      <c r="C25" s="113"/>
      <c r="D25" s="113" t="s">
        <v>362</v>
      </c>
      <c r="E25" s="113" t="s">
        <v>23</v>
      </c>
      <c r="F25" s="114" t="s">
        <v>366</v>
      </c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30" spans="1:6" x14ac:dyDescent="0.35">
      <c r="A30" s="2" t="s">
        <v>367</v>
      </c>
      <c r="B30" s="2" t="s">
        <v>368</v>
      </c>
      <c r="C30" s="2"/>
      <c r="D30" s="2"/>
      <c r="E30" s="2"/>
      <c r="F30" s="2"/>
    </row>
  </sheetData>
  <mergeCells count="2">
    <mergeCell ref="A2:F2"/>
    <mergeCell ref="A1:F1"/>
  </mergeCells>
  <conditionalFormatting sqref="E21:E25">
    <cfRule type="expression" dxfId="103" priority="1">
      <formula>ISNUMBER(SEARCH("Red",E21))</formula>
    </cfRule>
    <cfRule type="expression" dxfId="102" priority="2">
      <formula>ISNUMBER(SEARCH("Amber",E21))</formula>
    </cfRule>
    <cfRule type="expression" dxfId="101" priority="3">
      <formula>ISNUMBER(SEARCH("Green",E21))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H79"/>
  <sheetViews>
    <sheetView showGridLines="0" topLeftCell="A51" zoomScale="85" zoomScaleNormal="85" workbookViewId="0">
      <selection activeCell="Q1" sqref="Q1"/>
    </sheetView>
  </sheetViews>
  <sheetFormatPr defaultRowHeight="14.5" x14ac:dyDescent="0.35"/>
  <cols>
    <col min="1" max="1" width="30" customWidth="1"/>
    <col min="2" max="2" width="27.26953125" customWidth="1"/>
    <col min="3" max="8" width="17.26953125" customWidth="1"/>
  </cols>
  <sheetData>
    <row r="1" spans="1:8" ht="23.5" customHeight="1" x14ac:dyDescent="0.55000000000000004">
      <c r="A1" s="248" t="s">
        <v>369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370</v>
      </c>
      <c r="B2" s="246"/>
      <c r="C2" s="246"/>
      <c r="D2" s="246"/>
      <c r="E2" s="246"/>
      <c r="F2" s="246"/>
      <c r="G2" s="246"/>
      <c r="H2" s="246"/>
    </row>
    <row r="4" spans="1:8" x14ac:dyDescent="0.35">
      <c r="A4" s="70" t="s">
        <v>371</v>
      </c>
      <c r="B4" s="70"/>
      <c r="C4" s="70"/>
      <c r="D4" s="70"/>
      <c r="E4" s="70"/>
      <c r="F4" s="70"/>
      <c r="G4" s="70"/>
      <c r="H4" s="70"/>
    </row>
    <row r="5" spans="1:8" x14ac:dyDescent="0.35">
      <c r="A5" s="2" t="s">
        <v>372</v>
      </c>
      <c r="B5" s="213" t="str">
        <f>Control_Project_Name</f>
        <v>Shipyard Assembly Beta</v>
      </c>
    </row>
    <row r="6" spans="1:8" x14ac:dyDescent="0.35">
      <c r="A6" s="2" t="s">
        <v>373</v>
      </c>
      <c r="B6" s="213" t="str">
        <f>Control_Project_ID</f>
        <v>PRJ999</v>
      </c>
    </row>
    <row r="7" spans="1:8" x14ac:dyDescent="0.35">
      <c r="A7" s="2" t="s">
        <v>374</v>
      </c>
      <c r="B7" s="5" t="s">
        <v>375</v>
      </c>
    </row>
    <row r="8" spans="1:8" x14ac:dyDescent="0.35">
      <c r="A8" s="2" t="s">
        <v>376</v>
      </c>
      <c r="B8" s="5" t="s">
        <v>340</v>
      </c>
    </row>
    <row r="9" spans="1:8" x14ac:dyDescent="0.35">
      <c r="A9" s="2" t="s">
        <v>377</v>
      </c>
      <c r="B9" s="71">
        <f ca="1">TODAY()</f>
        <v>46238</v>
      </c>
    </row>
    <row r="10" spans="1:8" x14ac:dyDescent="0.35">
      <c r="A10" s="2" t="s">
        <v>378</v>
      </c>
      <c r="B10" s="5"/>
    </row>
    <row r="11" spans="1:8" x14ac:dyDescent="0.35">
      <c r="A11" s="2" t="s">
        <v>379</v>
      </c>
      <c r="B11" s="5" t="s">
        <v>380</v>
      </c>
    </row>
    <row r="13" spans="1:8" x14ac:dyDescent="0.35">
      <c r="A13" s="262" t="s">
        <v>381</v>
      </c>
      <c r="B13" s="251"/>
      <c r="C13" s="251"/>
      <c r="D13" s="251"/>
      <c r="E13" s="251"/>
      <c r="F13" s="251"/>
      <c r="G13" s="251"/>
      <c r="H13" s="252"/>
    </row>
    <row r="14" spans="1:8" x14ac:dyDescent="0.35">
      <c r="A14" s="263" t="s">
        <v>382</v>
      </c>
      <c r="B14" s="254"/>
      <c r="C14" s="254"/>
      <c r="D14" s="254"/>
      <c r="E14" s="254"/>
      <c r="F14" s="254"/>
      <c r="G14" s="254"/>
      <c r="H14" s="255"/>
    </row>
    <row r="15" spans="1:8" x14ac:dyDescent="0.35">
      <c r="A15" s="256"/>
      <c r="B15" s="246"/>
      <c r="C15" s="246"/>
      <c r="D15" s="246"/>
      <c r="E15" s="246"/>
      <c r="F15" s="246"/>
      <c r="G15" s="246"/>
      <c r="H15" s="257"/>
    </row>
    <row r="16" spans="1:8" x14ac:dyDescent="0.35">
      <c r="A16" s="258"/>
      <c r="B16" s="259"/>
      <c r="C16" s="259"/>
      <c r="D16" s="259"/>
      <c r="E16" s="259"/>
      <c r="F16" s="259"/>
      <c r="G16" s="259"/>
      <c r="H16" s="260"/>
    </row>
    <row r="18" spans="1:8" x14ac:dyDescent="0.35">
      <c r="A18" s="262" t="s">
        <v>383</v>
      </c>
      <c r="B18" s="251"/>
      <c r="C18" s="251"/>
      <c r="D18" s="251"/>
      <c r="E18" s="251"/>
      <c r="F18" s="251"/>
      <c r="G18" s="251"/>
      <c r="H18" s="252"/>
    </row>
    <row r="19" spans="1:8" x14ac:dyDescent="0.35">
      <c r="A19" s="263" t="s">
        <v>384</v>
      </c>
      <c r="B19" s="254"/>
      <c r="C19" s="254"/>
      <c r="D19" s="254"/>
      <c r="E19" s="254"/>
      <c r="F19" s="254"/>
      <c r="G19" s="254"/>
      <c r="H19" s="255"/>
    </row>
    <row r="20" spans="1:8" x14ac:dyDescent="0.35">
      <c r="A20" s="256"/>
      <c r="B20" s="246"/>
      <c r="C20" s="246"/>
      <c r="D20" s="246"/>
      <c r="E20" s="246"/>
      <c r="F20" s="246"/>
      <c r="G20" s="246"/>
      <c r="H20" s="257"/>
    </row>
    <row r="21" spans="1:8" x14ac:dyDescent="0.35">
      <c r="A21" s="258"/>
      <c r="B21" s="259"/>
      <c r="C21" s="259"/>
      <c r="D21" s="259"/>
      <c r="E21" s="259"/>
      <c r="F21" s="259"/>
      <c r="G21" s="259"/>
      <c r="H21" s="260"/>
    </row>
    <row r="23" spans="1:8" x14ac:dyDescent="0.35">
      <c r="A23" s="262" t="s">
        <v>385</v>
      </c>
      <c r="B23" s="251"/>
      <c r="C23" s="251"/>
      <c r="D23" s="251"/>
      <c r="E23" s="251"/>
      <c r="F23" s="251"/>
      <c r="G23" s="251"/>
      <c r="H23" s="252"/>
    </row>
    <row r="24" spans="1:8" x14ac:dyDescent="0.35">
      <c r="A24" s="263" t="s">
        <v>386</v>
      </c>
      <c r="B24" s="254"/>
      <c r="C24" s="254"/>
      <c r="D24" s="254"/>
      <c r="E24" s="254"/>
      <c r="F24" s="254"/>
      <c r="G24" s="254"/>
      <c r="H24" s="255"/>
    </row>
    <row r="25" spans="1:8" x14ac:dyDescent="0.35">
      <c r="A25" s="256"/>
      <c r="B25" s="246"/>
      <c r="C25" s="246"/>
      <c r="D25" s="246"/>
      <c r="E25" s="246"/>
      <c r="F25" s="246"/>
      <c r="G25" s="246"/>
      <c r="H25" s="257"/>
    </row>
    <row r="26" spans="1:8" x14ac:dyDescent="0.35">
      <c r="A26" s="258"/>
      <c r="B26" s="259"/>
      <c r="C26" s="259"/>
      <c r="D26" s="259"/>
      <c r="E26" s="259"/>
      <c r="F26" s="259"/>
      <c r="G26" s="259"/>
      <c r="H26" s="260"/>
    </row>
    <row r="28" spans="1:8" x14ac:dyDescent="0.35">
      <c r="A28" s="262" t="s">
        <v>387</v>
      </c>
      <c r="B28" s="251"/>
      <c r="C28" s="251"/>
      <c r="D28" s="251"/>
      <c r="E28" s="251"/>
      <c r="F28" s="251"/>
      <c r="G28" s="251"/>
      <c r="H28" s="252"/>
    </row>
    <row r="29" spans="1:8" x14ac:dyDescent="0.35">
      <c r="A29" s="263" t="s">
        <v>388</v>
      </c>
      <c r="B29" s="254"/>
      <c r="C29" s="254"/>
      <c r="D29" s="254"/>
      <c r="E29" s="254"/>
      <c r="F29" s="254"/>
      <c r="G29" s="254"/>
      <c r="H29" s="255"/>
    </row>
    <row r="30" spans="1:8" x14ac:dyDescent="0.35">
      <c r="A30" s="256"/>
      <c r="B30" s="246"/>
      <c r="C30" s="246"/>
      <c r="D30" s="246"/>
      <c r="E30" s="246"/>
      <c r="F30" s="246"/>
      <c r="G30" s="246"/>
      <c r="H30" s="257"/>
    </row>
    <row r="31" spans="1:8" x14ac:dyDescent="0.35">
      <c r="A31" s="258"/>
      <c r="B31" s="259"/>
      <c r="C31" s="259"/>
      <c r="D31" s="259"/>
      <c r="E31" s="259"/>
      <c r="F31" s="259"/>
      <c r="G31" s="259"/>
      <c r="H31" s="260"/>
    </row>
    <row r="33" spans="1:8" x14ac:dyDescent="0.35">
      <c r="A33" s="262" t="s">
        <v>389</v>
      </c>
      <c r="B33" s="251"/>
      <c r="C33" s="251"/>
      <c r="D33" s="251"/>
      <c r="E33" s="251"/>
      <c r="F33" s="251"/>
      <c r="G33" s="251"/>
      <c r="H33" s="252"/>
    </row>
    <row r="34" spans="1:8" x14ac:dyDescent="0.35">
      <c r="A34" s="263" t="s">
        <v>390</v>
      </c>
      <c r="B34" s="254"/>
      <c r="C34" s="254"/>
      <c r="D34" s="254"/>
      <c r="E34" s="254"/>
      <c r="F34" s="254"/>
      <c r="G34" s="254"/>
      <c r="H34" s="255"/>
    </row>
    <row r="35" spans="1:8" x14ac:dyDescent="0.35">
      <c r="A35" s="256"/>
      <c r="B35" s="246"/>
      <c r="C35" s="246"/>
      <c r="D35" s="246"/>
      <c r="E35" s="246"/>
      <c r="F35" s="246"/>
      <c r="G35" s="246"/>
      <c r="H35" s="257"/>
    </row>
    <row r="36" spans="1:8" x14ac:dyDescent="0.35">
      <c r="A36" s="258"/>
      <c r="B36" s="259"/>
      <c r="C36" s="259"/>
      <c r="D36" s="259"/>
      <c r="E36" s="259"/>
      <c r="F36" s="259"/>
      <c r="G36" s="259"/>
      <c r="H36" s="260"/>
    </row>
    <row r="38" spans="1:8" x14ac:dyDescent="0.35">
      <c r="A38" s="262" t="s">
        <v>391</v>
      </c>
      <c r="B38" s="251"/>
      <c r="C38" s="251"/>
      <c r="D38" s="251"/>
      <c r="E38" s="251"/>
      <c r="F38" s="251"/>
      <c r="G38" s="251"/>
      <c r="H38" s="252"/>
    </row>
    <row r="39" spans="1:8" x14ac:dyDescent="0.35">
      <c r="A39" s="263" t="s">
        <v>392</v>
      </c>
      <c r="B39" s="254"/>
      <c r="C39" s="254"/>
      <c r="D39" s="254"/>
      <c r="E39" s="254"/>
      <c r="F39" s="254"/>
      <c r="G39" s="254"/>
      <c r="H39" s="255"/>
    </row>
    <row r="40" spans="1:8" x14ac:dyDescent="0.35">
      <c r="A40" s="256"/>
      <c r="B40" s="246"/>
      <c r="C40" s="246"/>
      <c r="D40" s="246"/>
      <c r="E40" s="246"/>
      <c r="F40" s="246"/>
      <c r="G40" s="246"/>
      <c r="H40" s="257"/>
    </row>
    <row r="41" spans="1:8" x14ac:dyDescent="0.35">
      <c r="A41" s="258"/>
      <c r="B41" s="259"/>
      <c r="C41" s="259"/>
      <c r="D41" s="259"/>
      <c r="E41" s="259"/>
      <c r="F41" s="259"/>
      <c r="G41" s="259"/>
      <c r="H41" s="260"/>
    </row>
    <row r="43" spans="1:8" x14ac:dyDescent="0.35">
      <c r="A43" s="262" t="s">
        <v>393</v>
      </c>
      <c r="B43" s="251"/>
      <c r="C43" s="251"/>
      <c r="D43" s="251"/>
      <c r="E43" s="251"/>
      <c r="F43" s="251"/>
      <c r="G43" s="251"/>
      <c r="H43" s="252"/>
    </row>
    <row r="44" spans="1:8" x14ac:dyDescent="0.35">
      <c r="A44" s="263" t="s">
        <v>394</v>
      </c>
      <c r="B44" s="254"/>
      <c r="C44" s="254"/>
      <c r="D44" s="254"/>
      <c r="E44" s="254"/>
      <c r="F44" s="254"/>
      <c r="G44" s="254"/>
      <c r="H44" s="255"/>
    </row>
    <row r="45" spans="1:8" x14ac:dyDescent="0.35">
      <c r="A45" s="256"/>
      <c r="B45" s="246"/>
      <c r="C45" s="246"/>
      <c r="D45" s="246"/>
      <c r="E45" s="246"/>
      <c r="F45" s="246"/>
      <c r="G45" s="246"/>
      <c r="H45" s="257"/>
    </row>
    <row r="46" spans="1:8" x14ac:dyDescent="0.35">
      <c r="A46" s="258"/>
      <c r="B46" s="259"/>
      <c r="C46" s="259"/>
      <c r="D46" s="259"/>
      <c r="E46" s="259"/>
      <c r="F46" s="259"/>
      <c r="G46" s="259"/>
      <c r="H46" s="260"/>
    </row>
    <row r="48" spans="1:8" x14ac:dyDescent="0.35">
      <c r="A48" s="262" t="s">
        <v>395</v>
      </c>
      <c r="B48" s="251"/>
      <c r="C48" s="251"/>
      <c r="D48" s="251"/>
      <c r="E48" s="251"/>
      <c r="F48" s="251"/>
      <c r="G48" s="251"/>
      <c r="H48" s="252"/>
    </row>
    <row r="49" spans="1:8" x14ac:dyDescent="0.35">
      <c r="A49" s="263" t="s">
        <v>396</v>
      </c>
      <c r="B49" s="254"/>
      <c r="C49" s="254"/>
      <c r="D49" s="254"/>
      <c r="E49" s="254"/>
      <c r="F49" s="254"/>
      <c r="G49" s="254"/>
      <c r="H49" s="255"/>
    </row>
    <row r="50" spans="1:8" x14ac:dyDescent="0.35">
      <c r="A50" s="256"/>
      <c r="B50" s="246"/>
      <c r="C50" s="246"/>
      <c r="D50" s="246"/>
      <c r="E50" s="246"/>
      <c r="F50" s="246"/>
      <c r="G50" s="246"/>
      <c r="H50" s="257"/>
    </row>
    <row r="51" spans="1:8" x14ac:dyDescent="0.35">
      <c r="A51" s="258"/>
      <c r="B51" s="259"/>
      <c r="C51" s="259"/>
      <c r="D51" s="259"/>
      <c r="E51" s="259"/>
      <c r="F51" s="259"/>
      <c r="G51" s="259"/>
      <c r="H51" s="260"/>
    </row>
    <row r="53" spans="1:8" x14ac:dyDescent="0.35">
      <c r="A53" s="110" t="s">
        <v>397</v>
      </c>
      <c r="B53" s="104" t="s">
        <v>398</v>
      </c>
      <c r="C53" s="104" t="s">
        <v>399</v>
      </c>
      <c r="D53" s="104" t="s">
        <v>400</v>
      </c>
      <c r="E53" s="111" t="s">
        <v>146</v>
      </c>
    </row>
    <row r="54" spans="1:8" x14ac:dyDescent="0.35">
      <c r="A54" s="108" t="s">
        <v>401</v>
      </c>
      <c r="B54" s="2" t="s">
        <v>402</v>
      </c>
      <c r="C54" s="2" t="s">
        <v>340</v>
      </c>
      <c r="D54" s="2" t="s">
        <v>403</v>
      </c>
      <c r="E54" s="109" t="s">
        <v>404</v>
      </c>
    </row>
    <row r="55" spans="1:8" x14ac:dyDescent="0.35">
      <c r="A55" s="108" t="s">
        <v>405</v>
      </c>
      <c r="B55" s="2" t="s">
        <v>406</v>
      </c>
      <c r="C55" s="2" t="s">
        <v>359</v>
      </c>
      <c r="D55" s="2"/>
      <c r="E55" s="109" t="s">
        <v>407</v>
      </c>
    </row>
    <row r="56" spans="1:8" x14ac:dyDescent="0.35">
      <c r="A56" s="112" t="s">
        <v>408</v>
      </c>
      <c r="B56" s="113" t="s">
        <v>409</v>
      </c>
      <c r="C56" s="113" t="s">
        <v>359</v>
      </c>
      <c r="D56" s="113"/>
      <c r="E56" s="114" t="s">
        <v>407</v>
      </c>
    </row>
    <row r="58" spans="1:8" x14ac:dyDescent="0.35">
      <c r="A58" s="262" t="s">
        <v>410</v>
      </c>
      <c r="B58" s="251"/>
      <c r="C58" s="251"/>
      <c r="D58" s="251"/>
      <c r="E58" s="251"/>
      <c r="F58" s="251"/>
      <c r="G58" s="251"/>
      <c r="H58" s="252"/>
    </row>
    <row r="59" spans="1:8" x14ac:dyDescent="0.35">
      <c r="A59" s="263" t="s">
        <v>411</v>
      </c>
      <c r="B59" s="254"/>
      <c r="C59" s="254"/>
      <c r="D59" s="254"/>
      <c r="E59" s="254"/>
      <c r="F59" s="254"/>
      <c r="G59" s="254"/>
      <c r="H59" s="255"/>
    </row>
    <row r="60" spans="1:8" x14ac:dyDescent="0.35">
      <c r="A60" s="256"/>
      <c r="B60" s="246"/>
      <c r="C60" s="246"/>
      <c r="D60" s="246"/>
      <c r="E60" s="246"/>
      <c r="F60" s="246"/>
      <c r="G60" s="246"/>
      <c r="H60" s="257"/>
    </row>
    <row r="61" spans="1:8" x14ac:dyDescent="0.35">
      <c r="A61" s="258"/>
      <c r="B61" s="259"/>
      <c r="C61" s="259"/>
      <c r="D61" s="259"/>
      <c r="E61" s="259"/>
      <c r="F61" s="259"/>
      <c r="G61" s="259"/>
      <c r="H61" s="260"/>
    </row>
    <row r="63" spans="1:8" x14ac:dyDescent="0.35">
      <c r="A63" s="110" t="s">
        <v>412</v>
      </c>
      <c r="B63" s="104" t="s">
        <v>413</v>
      </c>
      <c r="C63" s="104" t="s">
        <v>202</v>
      </c>
      <c r="D63" s="104" t="s">
        <v>414</v>
      </c>
      <c r="E63" s="111" t="s">
        <v>10</v>
      </c>
    </row>
    <row r="64" spans="1:8" x14ac:dyDescent="0.35">
      <c r="A64" s="108" t="s">
        <v>415</v>
      </c>
      <c r="B64" s="2" t="s">
        <v>416</v>
      </c>
      <c r="C64" s="2" t="s">
        <v>417</v>
      </c>
      <c r="D64" s="2" t="s">
        <v>352</v>
      </c>
      <c r="E64" s="109" t="s">
        <v>418</v>
      </c>
    </row>
    <row r="65" spans="1:8" x14ac:dyDescent="0.35">
      <c r="A65" s="108" t="s">
        <v>419</v>
      </c>
      <c r="B65" s="2" t="s">
        <v>420</v>
      </c>
      <c r="C65" s="2" t="s">
        <v>355</v>
      </c>
      <c r="D65" s="2"/>
      <c r="E65" s="109" t="s">
        <v>29</v>
      </c>
    </row>
    <row r="66" spans="1:8" x14ac:dyDescent="0.35">
      <c r="A66" s="108" t="s">
        <v>421</v>
      </c>
      <c r="B66" s="2" t="s">
        <v>422</v>
      </c>
      <c r="C66" s="2" t="s">
        <v>423</v>
      </c>
      <c r="D66" s="2"/>
      <c r="E66" s="109" t="s">
        <v>23</v>
      </c>
    </row>
    <row r="67" spans="1:8" x14ac:dyDescent="0.35">
      <c r="A67" s="108" t="s">
        <v>424</v>
      </c>
      <c r="B67" s="2" t="s">
        <v>425</v>
      </c>
      <c r="C67" s="2" t="s">
        <v>359</v>
      </c>
      <c r="D67" s="2"/>
      <c r="E67" s="109" t="s">
        <v>23</v>
      </c>
    </row>
    <row r="68" spans="1:8" x14ac:dyDescent="0.35">
      <c r="A68" s="108" t="s">
        <v>426</v>
      </c>
      <c r="B68" s="2" t="s">
        <v>427</v>
      </c>
      <c r="C68" s="2" t="s">
        <v>359</v>
      </c>
      <c r="D68" s="2"/>
      <c r="E68" s="109" t="s">
        <v>23</v>
      </c>
    </row>
    <row r="69" spans="1:8" x14ac:dyDescent="0.35">
      <c r="A69" s="112" t="s">
        <v>428</v>
      </c>
      <c r="B69" s="113" t="s">
        <v>429</v>
      </c>
      <c r="C69" s="113" t="s">
        <v>359</v>
      </c>
      <c r="D69" s="113"/>
      <c r="E69" s="114" t="s">
        <v>23</v>
      </c>
    </row>
    <row r="70" spans="1:8" x14ac:dyDescent="0.35">
      <c r="A70" s="2"/>
      <c r="B70" s="2"/>
      <c r="C70" s="2"/>
      <c r="D70" s="2"/>
      <c r="E70" s="2"/>
    </row>
    <row r="72" spans="1:8" x14ac:dyDescent="0.35">
      <c r="A72" s="262" t="s">
        <v>430</v>
      </c>
      <c r="B72" s="251"/>
      <c r="C72" s="251"/>
      <c r="D72" s="251"/>
      <c r="E72" s="251"/>
      <c r="F72" s="251"/>
      <c r="G72" s="251"/>
      <c r="H72" s="252"/>
    </row>
    <row r="73" spans="1:8" ht="14.5" customHeight="1" x14ac:dyDescent="0.35">
      <c r="A73" s="250" t="s">
        <v>431</v>
      </c>
      <c r="B73" s="251"/>
      <c r="C73" s="251"/>
      <c r="D73" s="251"/>
      <c r="E73" s="251"/>
      <c r="F73" s="251"/>
      <c r="G73" s="251"/>
      <c r="H73" s="252"/>
    </row>
    <row r="74" spans="1:8" x14ac:dyDescent="0.35">
      <c r="A74" s="117" t="s">
        <v>432</v>
      </c>
      <c r="B74" s="118" t="s">
        <v>433</v>
      </c>
      <c r="C74" s="118" t="s">
        <v>434</v>
      </c>
      <c r="D74" s="118" t="s">
        <v>435</v>
      </c>
      <c r="E74" s="118" t="s">
        <v>436</v>
      </c>
      <c r="F74" s="119" t="s">
        <v>437</v>
      </c>
    </row>
    <row r="75" spans="1:8" x14ac:dyDescent="0.35">
      <c r="A75" s="108" t="s">
        <v>438</v>
      </c>
      <c r="B75" s="49">
        <v>35000</v>
      </c>
      <c r="C75" s="49">
        <v>33500</v>
      </c>
      <c r="D75" s="49">
        <v>1500</v>
      </c>
      <c r="E75" s="49" t="s">
        <v>19</v>
      </c>
      <c r="F75" s="116" t="s">
        <v>18</v>
      </c>
    </row>
    <row r="76" spans="1:8" x14ac:dyDescent="0.35">
      <c r="A76" s="108" t="s">
        <v>439</v>
      </c>
      <c r="B76" s="49">
        <v>25000</v>
      </c>
      <c r="C76" s="49">
        <v>25000</v>
      </c>
      <c r="D76" s="49">
        <v>0</v>
      </c>
      <c r="E76" s="49" t="s">
        <v>440</v>
      </c>
      <c r="F76" s="116" t="s">
        <v>18</v>
      </c>
    </row>
    <row r="77" spans="1:8" x14ac:dyDescent="0.35">
      <c r="A77" s="108" t="s">
        <v>441</v>
      </c>
      <c r="B77" s="49">
        <v>0</v>
      </c>
      <c r="C77" s="49">
        <v>0</v>
      </c>
      <c r="D77" s="49">
        <v>0</v>
      </c>
      <c r="E77" s="49">
        <v>0</v>
      </c>
      <c r="F77" s="116">
        <f>SUM(B77:E77)</f>
        <v>0</v>
      </c>
    </row>
    <row r="78" spans="1:8" x14ac:dyDescent="0.35">
      <c r="A78" s="108" t="s">
        <v>442</v>
      </c>
      <c r="B78" s="49">
        <v>0</v>
      </c>
      <c r="C78" s="49">
        <v>0</v>
      </c>
      <c r="D78" s="49">
        <v>0</v>
      </c>
      <c r="E78" s="49">
        <v>0</v>
      </c>
      <c r="F78" s="116">
        <f>SUM(B78:E78)</f>
        <v>0</v>
      </c>
    </row>
    <row r="79" spans="1:8" x14ac:dyDescent="0.35">
      <c r="A79" s="112" t="s">
        <v>443</v>
      </c>
      <c r="B79" s="120">
        <v>0</v>
      </c>
      <c r="C79" s="120">
        <v>0</v>
      </c>
      <c r="D79" s="120">
        <v>0</v>
      </c>
      <c r="E79" s="120">
        <v>0</v>
      </c>
      <c r="F79" s="121">
        <f>SUM(B79:E79)</f>
        <v>0</v>
      </c>
    </row>
  </sheetData>
  <mergeCells count="22">
    <mergeCell ref="A1:H1"/>
    <mergeCell ref="A39:H41"/>
    <mergeCell ref="A18:H18"/>
    <mergeCell ref="A2:H2"/>
    <mergeCell ref="A33:H33"/>
    <mergeCell ref="A23:H23"/>
    <mergeCell ref="A38:H38"/>
    <mergeCell ref="A29:H31"/>
    <mergeCell ref="A28:H28"/>
    <mergeCell ref="A14:H16"/>
    <mergeCell ref="A13:H13"/>
    <mergeCell ref="A48:H48"/>
    <mergeCell ref="A34:H36"/>
    <mergeCell ref="A19:H21"/>
    <mergeCell ref="A73:H73"/>
    <mergeCell ref="A24:H26"/>
    <mergeCell ref="A49:H51"/>
    <mergeCell ref="A43:H43"/>
    <mergeCell ref="A72:H72"/>
    <mergeCell ref="A44:H46"/>
    <mergeCell ref="A59:H61"/>
    <mergeCell ref="A58:H58"/>
  </mergeCells>
  <conditionalFormatting sqref="E64:E69">
    <cfRule type="expression" dxfId="100" priority="1">
      <formula>ISNUMBER(SEARCH("Red",E64))</formula>
    </cfRule>
    <cfRule type="expression" dxfId="99" priority="2">
      <formula>ISNUMBER(SEARCH("Amber",E64))</formula>
    </cfRule>
    <cfRule type="expression" dxfId="98" priority="3">
      <formula>ISNUMBER(SEARCH("Green",E64))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H16"/>
  <sheetViews>
    <sheetView showGridLines="0" workbookViewId="0">
      <selection activeCell="Q1" sqref="Q1"/>
    </sheetView>
  </sheetViews>
  <sheetFormatPr defaultRowHeight="14.5" x14ac:dyDescent="0.35"/>
  <cols>
    <col min="1" max="1" width="8.1796875" customWidth="1"/>
    <col min="2" max="2" width="27.26953125" customWidth="1"/>
    <col min="3" max="3" width="40" customWidth="1"/>
    <col min="4" max="4" width="41.81640625" customWidth="1"/>
    <col min="5" max="5" width="26.36328125" customWidth="1"/>
    <col min="6" max="6" width="20" customWidth="1"/>
    <col min="7" max="7" width="16.36328125" customWidth="1"/>
    <col min="8" max="8" width="32.7265625" customWidth="1"/>
  </cols>
  <sheetData>
    <row r="1" spans="1:8" ht="23.5" customHeight="1" x14ac:dyDescent="0.55000000000000004">
      <c r="A1" s="248" t="s">
        <v>444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445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10" t="s">
        <v>446</v>
      </c>
      <c r="B4" s="104" t="s">
        <v>447</v>
      </c>
      <c r="C4" s="104" t="s">
        <v>61</v>
      </c>
      <c r="D4" s="104" t="s">
        <v>448</v>
      </c>
      <c r="E4" s="104" t="s">
        <v>449</v>
      </c>
      <c r="F4" s="104" t="s">
        <v>202</v>
      </c>
      <c r="G4" s="104" t="s">
        <v>146</v>
      </c>
      <c r="H4" s="111" t="s">
        <v>450</v>
      </c>
    </row>
    <row r="5" spans="1:8" ht="29" customHeight="1" x14ac:dyDescent="0.35">
      <c r="A5" s="108">
        <v>1</v>
      </c>
      <c r="B5" s="2" t="s">
        <v>451</v>
      </c>
      <c r="C5" s="54" t="s">
        <v>452</v>
      </c>
      <c r="D5" s="54" t="s">
        <v>453</v>
      </c>
      <c r="E5" s="2" t="s">
        <v>454</v>
      </c>
      <c r="F5" s="2" t="s">
        <v>359</v>
      </c>
      <c r="G5" s="2" t="s">
        <v>455</v>
      </c>
      <c r="H5" s="122" t="s">
        <v>456</v>
      </c>
    </row>
    <row r="6" spans="1:8" ht="29" customHeight="1" x14ac:dyDescent="0.35">
      <c r="A6" s="108">
        <v>2</v>
      </c>
      <c r="B6" s="2" t="s">
        <v>457</v>
      </c>
      <c r="C6" s="54" t="s">
        <v>458</v>
      </c>
      <c r="D6" s="54" t="s">
        <v>459</v>
      </c>
      <c r="E6" s="2" t="s">
        <v>460</v>
      </c>
      <c r="F6" s="2" t="s">
        <v>365</v>
      </c>
      <c r="G6" s="2" t="s">
        <v>455</v>
      </c>
      <c r="H6" s="122" t="s">
        <v>461</v>
      </c>
    </row>
    <row r="7" spans="1:8" ht="29" customHeight="1" x14ac:dyDescent="0.35">
      <c r="A7" s="108">
        <v>3</v>
      </c>
      <c r="B7" s="2" t="s">
        <v>462</v>
      </c>
      <c r="C7" s="54" t="s">
        <v>463</v>
      </c>
      <c r="D7" s="54" t="s">
        <v>464</v>
      </c>
      <c r="E7" s="2" t="s">
        <v>465</v>
      </c>
      <c r="F7" s="2" t="s">
        <v>361</v>
      </c>
      <c r="G7" s="2" t="s">
        <v>455</v>
      </c>
      <c r="H7" s="122" t="s">
        <v>466</v>
      </c>
    </row>
    <row r="8" spans="1:8" ht="29" customHeight="1" x14ac:dyDescent="0.35">
      <c r="A8" s="108">
        <v>4</v>
      </c>
      <c r="B8" s="2" t="s">
        <v>467</v>
      </c>
      <c r="C8" s="54" t="s">
        <v>468</v>
      </c>
      <c r="D8" s="54" t="s">
        <v>469</v>
      </c>
      <c r="E8" s="2" t="s">
        <v>470</v>
      </c>
      <c r="F8" s="2" t="s">
        <v>361</v>
      </c>
      <c r="G8" s="2" t="s">
        <v>455</v>
      </c>
      <c r="H8" s="122" t="s">
        <v>466</v>
      </c>
    </row>
    <row r="9" spans="1:8" ht="29" customHeight="1" x14ac:dyDescent="0.35">
      <c r="A9" s="108">
        <v>5</v>
      </c>
      <c r="B9" s="2" t="s">
        <v>471</v>
      </c>
      <c r="C9" s="54" t="s">
        <v>472</v>
      </c>
      <c r="D9" s="54" t="s">
        <v>473</v>
      </c>
      <c r="E9" s="2" t="s">
        <v>320</v>
      </c>
      <c r="F9" s="2" t="s">
        <v>355</v>
      </c>
      <c r="G9" s="2" t="s">
        <v>455</v>
      </c>
      <c r="H9" s="122" t="s">
        <v>466</v>
      </c>
    </row>
    <row r="10" spans="1:8" ht="29" customHeight="1" x14ac:dyDescent="0.35">
      <c r="A10" s="108">
        <v>6</v>
      </c>
      <c r="B10" s="2" t="s">
        <v>252</v>
      </c>
      <c r="C10" s="54" t="s">
        <v>474</v>
      </c>
      <c r="D10" s="54" t="s">
        <v>475</v>
      </c>
      <c r="E10" s="2" t="s">
        <v>254</v>
      </c>
      <c r="F10" s="2" t="s">
        <v>355</v>
      </c>
      <c r="G10" s="2" t="s">
        <v>455</v>
      </c>
      <c r="H10" s="122" t="s">
        <v>476</v>
      </c>
    </row>
    <row r="11" spans="1:8" ht="29" customHeight="1" x14ac:dyDescent="0.35">
      <c r="A11" s="108">
        <v>7</v>
      </c>
      <c r="B11" s="2" t="s">
        <v>477</v>
      </c>
      <c r="C11" s="54" t="s">
        <v>478</v>
      </c>
      <c r="D11" s="54" t="s">
        <v>479</v>
      </c>
      <c r="E11" s="2" t="s">
        <v>480</v>
      </c>
      <c r="F11" s="2" t="s">
        <v>423</v>
      </c>
      <c r="G11" s="2" t="s">
        <v>455</v>
      </c>
      <c r="H11" s="122" t="s">
        <v>481</v>
      </c>
    </row>
    <row r="12" spans="1:8" ht="29" customHeight="1" x14ac:dyDescent="0.35">
      <c r="A12" s="108">
        <v>8</v>
      </c>
      <c r="B12" s="2" t="s">
        <v>482</v>
      </c>
      <c r="C12" s="54" t="s">
        <v>483</v>
      </c>
      <c r="D12" s="54" t="s">
        <v>484</v>
      </c>
      <c r="E12" s="2" t="s">
        <v>485</v>
      </c>
      <c r="F12" s="2" t="s">
        <v>359</v>
      </c>
      <c r="G12" s="2" t="s">
        <v>486</v>
      </c>
      <c r="H12" s="122" t="s">
        <v>487</v>
      </c>
    </row>
    <row r="13" spans="1:8" ht="29" customHeight="1" x14ac:dyDescent="0.35">
      <c r="A13" s="108">
        <v>9</v>
      </c>
      <c r="B13" s="2" t="s">
        <v>488</v>
      </c>
      <c r="C13" s="54" t="s">
        <v>489</v>
      </c>
      <c r="D13" s="54" t="s">
        <v>490</v>
      </c>
      <c r="E13" s="2" t="s">
        <v>491</v>
      </c>
      <c r="F13" s="2" t="s">
        <v>355</v>
      </c>
      <c r="G13" s="2" t="s">
        <v>455</v>
      </c>
      <c r="H13" s="122" t="s">
        <v>466</v>
      </c>
    </row>
    <row r="14" spans="1:8" ht="29" customHeight="1" x14ac:dyDescent="0.35">
      <c r="A14" s="108">
        <v>10</v>
      </c>
      <c r="B14" s="2" t="s">
        <v>492</v>
      </c>
      <c r="C14" s="54" t="s">
        <v>493</v>
      </c>
      <c r="D14" s="54" t="s">
        <v>494</v>
      </c>
      <c r="E14" s="2" t="s">
        <v>495</v>
      </c>
      <c r="F14" s="2" t="s">
        <v>355</v>
      </c>
      <c r="G14" s="2" t="s">
        <v>455</v>
      </c>
      <c r="H14" s="122" t="s">
        <v>466</v>
      </c>
    </row>
    <row r="15" spans="1:8" ht="29" customHeight="1" x14ac:dyDescent="0.35">
      <c r="A15" s="108">
        <v>11</v>
      </c>
      <c r="B15" s="2" t="s">
        <v>496</v>
      </c>
      <c r="C15" s="54" t="s">
        <v>497</v>
      </c>
      <c r="D15" s="54" t="s">
        <v>498</v>
      </c>
      <c r="E15" s="2" t="s">
        <v>499</v>
      </c>
      <c r="F15" s="2" t="s">
        <v>500</v>
      </c>
      <c r="G15" s="2" t="s">
        <v>486</v>
      </c>
      <c r="H15" s="122" t="s">
        <v>466</v>
      </c>
    </row>
    <row r="16" spans="1:8" ht="29" customHeight="1" x14ac:dyDescent="0.35">
      <c r="A16" s="112">
        <v>12</v>
      </c>
      <c r="B16" s="113" t="s">
        <v>501</v>
      </c>
      <c r="C16" s="105" t="s">
        <v>502</v>
      </c>
      <c r="D16" s="105" t="s">
        <v>503</v>
      </c>
      <c r="E16" s="113" t="s">
        <v>504</v>
      </c>
      <c r="F16" s="113" t="s">
        <v>365</v>
      </c>
      <c r="G16" s="113" t="s">
        <v>486</v>
      </c>
      <c r="H16" s="123" t="s">
        <v>505</v>
      </c>
    </row>
  </sheetData>
  <mergeCells count="2">
    <mergeCell ref="A2:H2"/>
    <mergeCell ref="A1:H1"/>
  </mergeCells>
  <conditionalFormatting sqref="G5:G16">
    <cfRule type="containsText" dxfId="97" priority="1" operator="containsText" text="Active">
      <formula>NOT(ISERROR(SEARCH("Active",G5)))</formula>
    </cfRule>
    <cfRule type="containsText" dxfId="96" priority="2" operator="containsText" text="Template ready">
      <formula>NOT(ISERROR(SEARCH("Template ready",G5)))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H13"/>
  <sheetViews>
    <sheetView showGridLines="0" workbookViewId="0">
      <selection activeCell="Q1" sqref="Q1"/>
    </sheetView>
  </sheetViews>
  <sheetFormatPr defaultRowHeight="14.5" x14ac:dyDescent="0.35"/>
  <cols>
    <col min="1" max="1" width="38.1796875" customWidth="1"/>
    <col min="2" max="2" width="45.453125" customWidth="1"/>
    <col min="3" max="3" width="25.453125" customWidth="1"/>
    <col min="4" max="4" width="15.453125" customWidth="1"/>
    <col min="5" max="5" width="26.36328125" customWidth="1"/>
  </cols>
  <sheetData>
    <row r="1" spans="1:8" ht="23.5" customHeight="1" x14ac:dyDescent="0.55000000000000004">
      <c r="A1" s="249" t="s">
        <v>506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507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10" t="s">
        <v>508</v>
      </c>
      <c r="B4" s="104" t="s">
        <v>448</v>
      </c>
      <c r="C4" s="104" t="s">
        <v>509</v>
      </c>
      <c r="D4" s="104" t="s">
        <v>146</v>
      </c>
      <c r="E4" s="111" t="s">
        <v>510</v>
      </c>
    </row>
    <row r="5" spans="1:8" ht="29" customHeight="1" x14ac:dyDescent="0.35">
      <c r="A5" s="124" t="s">
        <v>511</v>
      </c>
      <c r="B5" s="54" t="s">
        <v>512</v>
      </c>
      <c r="C5" s="2" t="s">
        <v>513</v>
      </c>
      <c r="D5" s="6" t="s">
        <v>514</v>
      </c>
      <c r="E5" s="109" t="s">
        <v>515</v>
      </c>
    </row>
    <row r="6" spans="1:8" ht="29" customHeight="1" x14ac:dyDescent="0.35">
      <c r="A6" s="124" t="s">
        <v>516</v>
      </c>
      <c r="B6" s="54" t="s">
        <v>517</v>
      </c>
      <c r="C6" s="2" t="s">
        <v>465</v>
      </c>
      <c r="D6" s="6" t="s">
        <v>514</v>
      </c>
      <c r="E6" s="109" t="s">
        <v>518</v>
      </c>
    </row>
    <row r="7" spans="1:8" ht="29" customHeight="1" x14ac:dyDescent="0.35">
      <c r="A7" s="124" t="s">
        <v>519</v>
      </c>
      <c r="B7" s="54" t="s">
        <v>520</v>
      </c>
      <c r="C7" s="2" t="s">
        <v>254</v>
      </c>
      <c r="D7" s="6" t="s">
        <v>514</v>
      </c>
      <c r="E7" s="109" t="s">
        <v>521</v>
      </c>
    </row>
    <row r="8" spans="1:8" ht="29" customHeight="1" x14ac:dyDescent="0.35">
      <c r="A8" s="124" t="s">
        <v>522</v>
      </c>
      <c r="B8" s="54" t="s">
        <v>523</v>
      </c>
      <c r="C8" s="2" t="s">
        <v>495</v>
      </c>
      <c r="D8" s="6" t="s">
        <v>514</v>
      </c>
      <c r="E8" s="109" t="s">
        <v>524</v>
      </c>
    </row>
    <row r="9" spans="1:8" ht="29" customHeight="1" x14ac:dyDescent="0.35">
      <c r="A9" s="124" t="s">
        <v>525</v>
      </c>
      <c r="B9" s="54" t="s">
        <v>526</v>
      </c>
      <c r="C9" s="2" t="s">
        <v>308</v>
      </c>
      <c r="D9" s="6" t="s">
        <v>514</v>
      </c>
      <c r="E9" s="109" t="s">
        <v>527</v>
      </c>
    </row>
    <row r="10" spans="1:8" ht="29" customHeight="1" x14ac:dyDescent="0.35">
      <c r="A10" s="124" t="s">
        <v>528</v>
      </c>
      <c r="B10" s="54" t="s">
        <v>529</v>
      </c>
      <c r="C10" s="2" t="s">
        <v>317</v>
      </c>
      <c r="D10" s="6" t="s">
        <v>514</v>
      </c>
      <c r="E10" s="109" t="s">
        <v>530</v>
      </c>
    </row>
    <row r="11" spans="1:8" ht="29" customHeight="1" x14ac:dyDescent="0.35">
      <c r="A11" s="124" t="s">
        <v>531</v>
      </c>
      <c r="B11" s="54" t="s">
        <v>532</v>
      </c>
      <c r="C11" s="2" t="s">
        <v>533</v>
      </c>
      <c r="D11" s="6" t="s">
        <v>514</v>
      </c>
      <c r="E11" s="109" t="s">
        <v>530</v>
      </c>
    </row>
    <row r="12" spans="1:8" ht="29" customHeight="1" x14ac:dyDescent="0.35">
      <c r="A12" s="124" t="s">
        <v>534</v>
      </c>
      <c r="B12" s="54" t="s">
        <v>535</v>
      </c>
      <c r="C12" s="2" t="s">
        <v>536</v>
      </c>
      <c r="D12" s="6" t="s">
        <v>514</v>
      </c>
      <c r="E12" s="109" t="s">
        <v>537</v>
      </c>
    </row>
    <row r="13" spans="1:8" ht="29" customHeight="1" x14ac:dyDescent="0.35">
      <c r="A13" s="125" t="s">
        <v>538</v>
      </c>
      <c r="B13" s="105" t="s">
        <v>539</v>
      </c>
      <c r="C13" s="113" t="s">
        <v>320</v>
      </c>
      <c r="D13" s="126" t="s">
        <v>514</v>
      </c>
      <c r="E13" s="114" t="s">
        <v>540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H20"/>
  <sheetViews>
    <sheetView showGridLines="0" topLeftCell="E1" workbookViewId="0">
      <selection activeCell="Q1" sqref="Q1"/>
    </sheetView>
  </sheetViews>
  <sheetFormatPr defaultRowHeight="14.5" x14ac:dyDescent="0.35"/>
  <cols>
    <col min="1" max="1" width="34.54296875" customWidth="1"/>
    <col min="2" max="2" width="25.453125" customWidth="1"/>
    <col min="3" max="3" width="19.08984375" customWidth="1"/>
    <col min="4" max="4" width="41.81640625" customWidth="1"/>
  </cols>
  <sheetData>
    <row r="1" spans="1:8" ht="23.5" customHeight="1" x14ac:dyDescent="0.55000000000000004">
      <c r="A1" s="249" t="s">
        <v>541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542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10" t="s">
        <v>109</v>
      </c>
      <c r="B4" s="111" t="s">
        <v>543</v>
      </c>
    </row>
    <row r="5" spans="1:8" x14ac:dyDescent="0.35">
      <c r="A5" s="108" t="s">
        <v>544</v>
      </c>
      <c r="B5" s="109" t="s">
        <v>545</v>
      </c>
    </row>
    <row r="6" spans="1:8" x14ac:dyDescent="0.35">
      <c r="A6" s="108" t="s">
        <v>372</v>
      </c>
      <c r="B6" s="109" t="s">
        <v>546</v>
      </c>
    </row>
    <row r="7" spans="1:8" x14ac:dyDescent="0.35">
      <c r="A7" s="108" t="s">
        <v>225</v>
      </c>
      <c r="B7" s="127" t="s">
        <v>547</v>
      </c>
    </row>
    <row r="8" spans="1:8" x14ac:dyDescent="0.35">
      <c r="A8" s="108" t="s">
        <v>228</v>
      </c>
      <c r="B8" s="127" t="s">
        <v>548</v>
      </c>
    </row>
    <row r="9" spans="1:8" x14ac:dyDescent="0.35">
      <c r="A9" s="108" t="s">
        <v>231</v>
      </c>
      <c r="B9" s="127" t="s">
        <v>549</v>
      </c>
    </row>
    <row r="10" spans="1:8" x14ac:dyDescent="0.35">
      <c r="A10" s="108" t="s">
        <v>550</v>
      </c>
      <c r="B10" s="109" t="s">
        <v>551</v>
      </c>
    </row>
    <row r="11" spans="1:8" x14ac:dyDescent="0.35">
      <c r="A11" s="108" t="s">
        <v>552</v>
      </c>
      <c r="B11" s="128">
        <v>268650</v>
      </c>
    </row>
    <row r="12" spans="1:8" x14ac:dyDescent="0.35">
      <c r="A12" s="108" t="s">
        <v>553</v>
      </c>
      <c r="B12" s="129">
        <v>0.95</v>
      </c>
    </row>
    <row r="13" spans="1:8" x14ac:dyDescent="0.35">
      <c r="A13" s="108" t="s">
        <v>554</v>
      </c>
      <c r="B13" s="129">
        <v>1</v>
      </c>
    </row>
    <row r="14" spans="1:8" x14ac:dyDescent="0.35">
      <c r="A14" s="108" t="s">
        <v>555</v>
      </c>
      <c r="B14" s="129">
        <v>0.5</v>
      </c>
    </row>
    <row r="15" spans="1:8" x14ac:dyDescent="0.35">
      <c r="A15" s="112" t="s">
        <v>556</v>
      </c>
      <c r="B15" s="130">
        <v>0.8</v>
      </c>
    </row>
    <row r="17" spans="1:4" x14ac:dyDescent="0.35">
      <c r="A17" s="110" t="s">
        <v>10</v>
      </c>
      <c r="B17" s="104" t="s">
        <v>557</v>
      </c>
      <c r="C17" s="104" t="s">
        <v>558</v>
      </c>
      <c r="D17" s="111" t="s">
        <v>559</v>
      </c>
    </row>
    <row r="18" spans="1:4" x14ac:dyDescent="0.35">
      <c r="A18" s="131" t="s">
        <v>18</v>
      </c>
      <c r="B18" s="2" t="s">
        <v>560</v>
      </c>
      <c r="C18" s="2" t="s">
        <v>561</v>
      </c>
      <c r="D18" s="109" t="s">
        <v>562</v>
      </c>
    </row>
    <row r="19" spans="1:4" x14ac:dyDescent="0.35">
      <c r="A19" s="132" t="s">
        <v>23</v>
      </c>
      <c r="B19" s="2" t="s">
        <v>560</v>
      </c>
      <c r="C19" s="2" t="s">
        <v>563</v>
      </c>
      <c r="D19" s="109" t="s">
        <v>564</v>
      </c>
    </row>
    <row r="20" spans="1:4" x14ac:dyDescent="0.35">
      <c r="A20" s="134" t="s">
        <v>29</v>
      </c>
      <c r="B20" s="113" t="s">
        <v>560</v>
      </c>
      <c r="C20" s="113" t="s">
        <v>565</v>
      </c>
      <c r="D20" s="114" t="s">
        <v>566</v>
      </c>
    </row>
  </sheetData>
  <mergeCells count="2">
    <mergeCell ref="A2:H2"/>
    <mergeCell ref="A1:H1"/>
  </mergeCells>
  <conditionalFormatting sqref="A18:A20">
    <cfRule type="expression" dxfId="95" priority="1">
      <formula>ISNUMBER(SEARCH("Red",A18))</formula>
    </cfRule>
    <cfRule type="expression" dxfId="94" priority="2">
      <formula>ISNUMBER(SEARCH("Amber",A18))</formula>
    </cfRule>
    <cfRule type="expression" dxfId="93" priority="3">
      <formula>ISNUMBER(SEARCH("Green",A18))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T17"/>
  <sheetViews>
    <sheetView showGridLines="0" workbookViewId="0">
      <selection activeCell="Q1" sqref="Q1"/>
    </sheetView>
  </sheetViews>
  <sheetFormatPr defaultRowHeight="14.5" x14ac:dyDescent="0.35"/>
  <cols>
    <col min="1" max="1" width="12.7265625" customWidth="1"/>
    <col min="2" max="2" width="11.36328125" customWidth="1"/>
    <col min="3" max="3" width="30.90625" customWidth="1"/>
    <col min="4" max="4" width="17.26953125" customWidth="1"/>
    <col min="5" max="6" width="15.453125" customWidth="1"/>
    <col min="7" max="7" width="14.7265625" customWidth="1"/>
    <col min="8" max="19" width="15.453125" customWidth="1"/>
    <col min="20" max="20" width="13.6328125" customWidth="1"/>
  </cols>
  <sheetData>
    <row r="1" spans="1:20" ht="23.5" customHeight="1" x14ac:dyDescent="0.55000000000000004">
      <c r="A1" s="249" t="s">
        <v>68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20" x14ac:dyDescent="0.35">
      <c r="A2" s="247" t="s">
        <v>567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</row>
    <row r="4" spans="1:20" x14ac:dyDescent="0.35">
      <c r="A4" s="110" t="s">
        <v>2</v>
      </c>
      <c r="B4" s="104" t="s">
        <v>568</v>
      </c>
      <c r="C4" s="104" t="s">
        <v>569</v>
      </c>
      <c r="D4" s="104" t="s">
        <v>149</v>
      </c>
      <c r="E4" s="104" t="s">
        <v>4</v>
      </c>
      <c r="F4" s="104" t="s">
        <v>5</v>
      </c>
      <c r="G4" s="104" t="s">
        <v>249</v>
      </c>
      <c r="H4" s="104" t="s">
        <v>570</v>
      </c>
      <c r="I4" s="104" t="s">
        <v>571</v>
      </c>
      <c r="J4" s="104" t="s">
        <v>572</v>
      </c>
      <c r="K4" s="104" t="s">
        <v>269</v>
      </c>
      <c r="L4" s="104" t="s">
        <v>573</v>
      </c>
      <c r="M4" s="104" t="s">
        <v>278</v>
      </c>
      <c r="N4" s="104" t="s">
        <v>282</v>
      </c>
      <c r="O4" s="104" t="s">
        <v>8</v>
      </c>
      <c r="P4" s="104" t="s">
        <v>9</v>
      </c>
      <c r="Q4" s="104" t="s">
        <v>294</v>
      </c>
      <c r="R4" s="104" t="s">
        <v>298</v>
      </c>
      <c r="S4" s="104" t="s">
        <v>302</v>
      </c>
      <c r="T4" s="111" t="s">
        <v>146</v>
      </c>
    </row>
    <row r="5" spans="1:20" x14ac:dyDescent="0.35">
      <c r="A5" s="108" t="s">
        <v>574</v>
      </c>
      <c r="B5" s="2" t="s">
        <v>575</v>
      </c>
      <c r="C5" s="2" t="s">
        <v>576</v>
      </c>
      <c r="D5" s="2" t="s">
        <v>577</v>
      </c>
      <c r="E5" s="46">
        <v>14</v>
      </c>
      <c r="F5" s="46" t="s">
        <v>17</v>
      </c>
      <c r="G5" s="47" t="s">
        <v>578</v>
      </c>
      <c r="H5" s="49" t="s">
        <v>579</v>
      </c>
      <c r="I5" s="49">
        <f>SUMIFS(Fact_Baseline_PV!$C:$C,Fact_Baseline_PV!$B:$B,A5,Fact_Baseline_PV!$A:$A,"&lt;="&amp;Setup!$B$9)</f>
        <v>0</v>
      </c>
      <c r="J5" s="49">
        <f>SUMIFS(Fact_Actual_Costs!$D:$D,Fact_Actual_Costs!$B:$B,A5,Fact_Actual_Costs!$A:$A,"&lt;="&amp;Setup!$B$9)</f>
        <v>0</v>
      </c>
      <c r="K5" s="48">
        <f t="array" ref="K5">IFERROR(LOOKUP(2,1/(Fact_Physical_Progress!$B$2:$B$35=A5)/(Fact_Physical_Progress!$A$2:$A$35&lt;=Setup!$B$9),Fact_Physical_Progress!$C$2:$C$35),0)</f>
        <v>0</v>
      </c>
      <c r="L5" s="49" t="e">
        <f t="shared" ref="L5:L16" si="0">H5*K5</f>
        <v>#VALUE!</v>
      </c>
      <c r="M5" s="49" t="e">
        <f t="shared" ref="M5:M16" si="1">L5-I5</f>
        <v>#VALUE!</v>
      </c>
      <c r="N5" s="49" t="e">
        <f t="shared" ref="N5:N16" si="2">L5-J5</f>
        <v>#VALUE!</v>
      </c>
      <c r="O5" s="50">
        <f t="shared" ref="O5:O17" si="3">IFERROR(L5/I5,1)</f>
        <v>1</v>
      </c>
      <c r="P5" s="50">
        <f t="shared" ref="P5:P17" si="4">IFERROR(L5/J5,1)</f>
        <v>1</v>
      </c>
      <c r="Q5" s="49" t="e">
        <f t="shared" ref="Q5:Q17" si="5">IF(P5&gt;0,H5/P5,H5)</f>
        <v>#VALUE!</v>
      </c>
      <c r="R5" s="49" t="e">
        <f t="shared" ref="R5:R17" si="6">Q5-J5</f>
        <v>#VALUE!</v>
      </c>
      <c r="S5" s="49" t="e">
        <f t="shared" ref="S5:S17" si="7">H5-Q5</f>
        <v>#VALUE!</v>
      </c>
      <c r="T5" s="109" t="e">
        <f>IF(OR(N5&lt;0,P5&lt;Setup!$B$12,O5&lt;Setup!$B$12),"Red",IF(OR(P5&lt;Setup!$B$13,O5&lt;Setup!$B$13),"Amber","Green"))</f>
        <v>#VALUE!</v>
      </c>
    </row>
    <row r="6" spans="1:20" x14ac:dyDescent="0.35">
      <c r="A6" s="108" t="s">
        <v>580</v>
      </c>
      <c r="B6" s="2" t="s">
        <v>581</v>
      </c>
      <c r="C6" s="2" t="s">
        <v>582</v>
      </c>
      <c r="D6" s="2" t="s">
        <v>583</v>
      </c>
      <c r="E6" s="46">
        <v>14</v>
      </c>
      <c r="F6" s="46" t="s">
        <v>574</v>
      </c>
      <c r="G6" s="47" t="s">
        <v>578</v>
      </c>
      <c r="H6" s="49" t="s">
        <v>584</v>
      </c>
      <c r="I6" s="49">
        <f>SUMIFS(Fact_Baseline_PV!$C:$C,Fact_Baseline_PV!$B:$B,A6,Fact_Baseline_PV!$A:$A,"&lt;="&amp;Setup!$B$9)</f>
        <v>0</v>
      </c>
      <c r="J6" s="49">
        <f>SUMIFS(Fact_Actual_Costs!$D:$D,Fact_Actual_Costs!$B:$B,A6,Fact_Actual_Costs!$A:$A,"&lt;="&amp;Setup!$B$9)</f>
        <v>0</v>
      </c>
      <c r="K6" s="48">
        <f t="array" ref="K6">IFERROR(LOOKUP(2,1/(Fact_Physical_Progress!$B$2:$B$35=A6)/(Fact_Physical_Progress!$A$2:$A$35&lt;=Setup!$B$9),Fact_Physical_Progress!$C$2:$C$35),0)</f>
        <v>0</v>
      </c>
      <c r="L6" s="49" t="e">
        <f t="shared" si="0"/>
        <v>#VALUE!</v>
      </c>
      <c r="M6" s="49" t="e">
        <f t="shared" si="1"/>
        <v>#VALUE!</v>
      </c>
      <c r="N6" s="49" t="e">
        <f t="shared" si="2"/>
        <v>#VALUE!</v>
      </c>
      <c r="O6" s="50">
        <f t="shared" si="3"/>
        <v>1</v>
      </c>
      <c r="P6" s="50">
        <f t="shared" si="4"/>
        <v>1</v>
      </c>
      <c r="Q6" s="49" t="e">
        <f t="shared" si="5"/>
        <v>#VALUE!</v>
      </c>
      <c r="R6" s="49" t="e">
        <f t="shared" si="6"/>
        <v>#VALUE!</v>
      </c>
      <c r="S6" s="49" t="e">
        <f t="shared" si="7"/>
        <v>#VALUE!</v>
      </c>
      <c r="T6" s="109" t="e">
        <f>IF(OR(N6&lt;0,P6&lt;Setup!$B$12,O6&lt;Setup!$B$12),"Red",IF(OR(P6&lt;Setup!$B$13,O6&lt;Setup!$B$13),"Amber","Green"))</f>
        <v>#VALUE!</v>
      </c>
    </row>
    <row r="7" spans="1:20" x14ac:dyDescent="0.35">
      <c r="A7" s="108" t="s">
        <v>585</v>
      </c>
      <c r="B7" s="2" t="s">
        <v>586</v>
      </c>
      <c r="C7" s="2" t="s">
        <v>587</v>
      </c>
      <c r="D7" s="2" t="s">
        <v>588</v>
      </c>
      <c r="E7" s="46">
        <v>14</v>
      </c>
      <c r="F7" s="46" t="s">
        <v>580</v>
      </c>
      <c r="G7" s="47" t="s">
        <v>589</v>
      </c>
      <c r="H7" s="49" t="s">
        <v>590</v>
      </c>
      <c r="I7" s="49">
        <f>SUMIFS(Fact_Baseline_PV!$C:$C,Fact_Baseline_PV!$B:$B,A7,Fact_Baseline_PV!$A:$A,"&lt;="&amp;Setup!$B$9)</f>
        <v>0</v>
      </c>
      <c r="J7" s="49">
        <f>SUMIFS(Fact_Actual_Costs!$D:$D,Fact_Actual_Costs!$B:$B,A7,Fact_Actual_Costs!$A:$A,"&lt;="&amp;Setup!$B$9)</f>
        <v>0</v>
      </c>
      <c r="K7" s="48">
        <f t="array" ref="K7">IFERROR(LOOKUP(2,1/(Fact_Physical_Progress!$B$2:$B$35=A7)/(Fact_Physical_Progress!$A$2:$A$35&lt;=Setup!$B$9),Fact_Physical_Progress!$C$2:$C$35),0)</f>
        <v>0</v>
      </c>
      <c r="L7" s="49" t="e">
        <f t="shared" si="0"/>
        <v>#VALUE!</v>
      </c>
      <c r="M7" s="49" t="e">
        <f t="shared" si="1"/>
        <v>#VALUE!</v>
      </c>
      <c r="N7" s="49" t="e">
        <f t="shared" si="2"/>
        <v>#VALUE!</v>
      </c>
      <c r="O7" s="50">
        <f t="shared" si="3"/>
        <v>1</v>
      </c>
      <c r="P7" s="50">
        <f t="shared" si="4"/>
        <v>1</v>
      </c>
      <c r="Q7" s="49" t="e">
        <f t="shared" si="5"/>
        <v>#VALUE!</v>
      </c>
      <c r="R7" s="49" t="e">
        <f t="shared" si="6"/>
        <v>#VALUE!</v>
      </c>
      <c r="S7" s="49" t="e">
        <f t="shared" si="7"/>
        <v>#VALUE!</v>
      </c>
      <c r="T7" s="109" t="e">
        <f>IF(OR(N7&lt;0,P7&lt;Setup!$B$12,O7&lt;Setup!$B$12),"Red",IF(OR(P7&lt;Setup!$B$13,O7&lt;Setup!$B$13),"Amber","Green"))</f>
        <v>#VALUE!</v>
      </c>
    </row>
    <row r="8" spans="1:20" x14ac:dyDescent="0.35">
      <c r="A8" s="108" t="str">
        <f>Dim_WBS!A5</f>
        <v>WBS-04</v>
      </c>
      <c r="B8" s="2">
        <f>Dim_WBS!B5</f>
        <v>4</v>
      </c>
      <c r="C8" s="2" t="str">
        <f>Dim_WBS!C5</f>
        <v>Procurement - Materials</v>
      </c>
      <c r="D8" s="2" t="str">
        <f>Dim_WBS!D5</f>
        <v>Material</v>
      </c>
      <c r="E8" s="46">
        <f>_xlfn.MINIFS(Fact_Baseline_PV!$A:$A,Fact_Baseline_PV!$B:$B,A8)</f>
        <v>46153</v>
      </c>
      <c r="F8" s="46">
        <f>_xlfn.MAXIFS(Fact_Baseline_PV!$A:$A,Fact_Baseline_PV!$B:$B,A8)+6</f>
        <v>46180</v>
      </c>
      <c r="G8" s="47">
        <f t="shared" ref="G8:G16" si="8">F8-E8+1</f>
        <v>28</v>
      </c>
      <c r="H8" s="49">
        <f>Dim_WBS!E5</f>
        <v>42000</v>
      </c>
      <c r="I8" s="49">
        <f>SUMIFS(Fact_Baseline_PV!$C:$C,Fact_Baseline_PV!$B:$B,A8,Fact_Baseline_PV!$A:$A,"&lt;="&amp;Setup!$B$9)</f>
        <v>42000</v>
      </c>
      <c r="J8" s="49">
        <f>SUMIFS(Fact_Actual_Costs!$D:$D,Fact_Actual_Costs!$B:$B,A8,Fact_Actual_Costs!$A:$A,"&lt;="&amp;Setup!$B$9)</f>
        <v>41300</v>
      </c>
      <c r="K8" s="48">
        <f t="array" ref="K8">IFERROR(LOOKUP(2,1/(Fact_Physical_Progress!$B$2:$B$35=A8)/(Fact_Physical_Progress!$A$2:$A$35&lt;=Setup!$B$9),Fact_Physical_Progress!$C$2:$C$35),0)</f>
        <v>1</v>
      </c>
      <c r="L8" s="49">
        <f t="shared" si="0"/>
        <v>42000</v>
      </c>
      <c r="M8" s="49">
        <f t="shared" si="1"/>
        <v>0</v>
      </c>
      <c r="N8" s="49">
        <f t="shared" si="2"/>
        <v>700</v>
      </c>
      <c r="O8" s="50">
        <f t="shared" si="3"/>
        <v>1</v>
      </c>
      <c r="P8" s="50">
        <f t="shared" si="4"/>
        <v>1.0169491525423728</v>
      </c>
      <c r="Q8" s="49">
        <f t="shared" si="5"/>
        <v>41300</v>
      </c>
      <c r="R8" s="49">
        <f t="shared" si="6"/>
        <v>0</v>
      </c>
      <c r="S8" s="49">
        <f t="shared" si="7"/>
        <v>700</v>
      </c>
      <c r="T8" s="109" t="str">
        <f>IF(OR(N8&lt;0,P8&lt;Setup!$B$12,O8&lt;Setup!$B$12),"Red",IF(OR(P8&lt;Setup!$B$13,O8&lt;Setup!$B$13),"Amber","Green"))</f>
        <v>Green</v>
      </c>
    </row>
    <row r="9" spans="1:20" x14ac:dyDescent="0.35">
      <c r="A9" s="108" t="str">
        <f>Dim_WBS!A6</f>
        <v>WBS-05</v>
      </c>
      <c r="B9" s="2">
        <f>Dim_WBS!B6</f>
        <v>5</v>
      </c>
      <c r="C9" s="2" t="str">
        <f>Dim_WBS!C6</f>
        <v>Demolition &amp; Prep</v>
      </c>
      <c r="D9" s="2" t="str">
        <f>Dim_WBS!D6</f>
        <v>Labor</v>
      </c>
      <c r="E9" s="46">
        <f>_xlfn.MINIFS(Fact_Baseline_PV!$A:$A,Fact_Baseline_PV!$B:$B,A9)</f>
        <v>46153</v>
      </c>
      <c r="F9" s="46">
        <f>_xlfn.MAXIFS(Fact_Baseline_PV!$A:$A,Fact_Baseline_PV!$B:$B,A9)+6</f>
        <v>46173</v>
      </c>
      <c r="G9" s="47">
        <f t="shared" si="8"/>
        <v>21</v>
      </c>
      <c r="H9" s="49">
        <f>Dim_WBS!E6</f>
        <v>13200</v>
      </c>
      <c r="I9" s="49">
        <f>SUMIFS(Fact_Baseline_PV!$C:$C,Fact_Baseline_PV!$B:$B,A9,Fact_Baseline_PV!$A:$A,"&lt;="&amp;Setup!$B$9)</f>
        <v>13200</v>
      </c>
      <c r="J9" s="49">
        <f>SUMIFS(Fact_Actual_Costs!$D:$D,Fact_Actual_Costs!$B:$B,A9,Fact_Actual_Costs!$A:$A,"&lt;="&amp;Setup!$B$9)</f>
        <v>13408.159999999998</v>
      </c>
      <c r="K9" s="48">
        <f t="array" ref="K9">IFERROR(LOOKUP(2,1/(Fact_Physical_Progress!$B$2:$B$35=A9)/(Fact_Physical_Progress!$A$2:$A$35&lt;=Setup!$B$9),Fact_Physical_Progress!$C$2:$C$35),0)</f>
        <v>1</v>
      </c>
      <c r="L9" s="49">
        <f t="shared" si="0"/>
        <v>13200</v>
      </c>
      <c r="M9" s="49">
        <f t="shared" si="1"/>
        <v>0</v>
      </c>
      <c r="N9" s="49">
        <f t="shared" si="2"/>
        <v>-208.15999999999804</v>
      </c>
      <c r="O9" s="50">
        <f t="shared" si="3"/>
        <v>1</v>
      </c>
      <c r="P9" s="50">
        <f t="shared" si="4"/>
        <v>0.98447512559516015</v>
      </c>
      <c r="Q9" s="49">
        <f t="shared" si="5"/>
        <v>13408.159999999998</v>
      </c>
      <c r="R9" s="49">
        <f t="shared" si="6"/>
        <v>0</v>
      </c>
      <c r="S9" s="49">
        <f t="shared" si="7"/>
        <v>-208.15999999999804</v>
      </c>
      <c r="T9" s="109" t="str">
        <f>IF(OR(N9&lt;0,P9&lt;Setup!$B$12,O9&lt;Setup!$B$12),"Red",IF(OR(P9&lt;Setup!$B$13,O9&lt;Setup!$B$13),"Amber","Green"))</f>
        <v>Red</v>
      </c>
    </row>
    <row r="10" spans="1:20" x14ac:dyDescent="0.35">
      <c r="A10" s="108" t="str">
        <f>Dim_WBS!A7</f>
        <v>WBS-06</v>
      </c>
      <c r="B10" s="2">
        <f>Dim_WBS!B7</f>
        <v>6</v>
      </c>
      <c r="C10" s="2" t="str">
        <f>Dim_WBS!C7</f>
        <v>Electrical Rough-In</v>
      </c>
      <c r="D10" s="2" t="str">
        <f>Dim_WBS!D7</f>
        <v>Labor</v>
      </c>
      <c r="E10" s="46">
        <f>_xlfn.MINIFS(Fact_Baseline_PV!$A:$A,Fact_Baseline_PV!$B:$B,A10)</f>
        <v>46167</v>
      </c>
      <c r="F10" s="46">
        <f>_xlfn.MAXIFS(Fact_Baseline_PV!$A:$A,Fact_Baseline_PV!$B:$B,A10)+6</f>
        <v>46187</v>
      </c>
      <c r="G10" s="47">
        <f t="shared" si="8"/>
        <v>21</v>
      </c>
      <c r="H10" s="49">
        <f>Dim_WBS!E7</f>
        <v>26000</v>
      </c>
      <c r="I10" s="49">
        <f>SUMIFS(Fact_Baseline_PV!$C:$C,Fact_Baseline_PV!$B:$B,A10,Fact_Baseline_PV!$A:$A,"&lt;="&amp;Setup!$B$9)</f>
        <v>26000</v>
      </c>
      <c r="J10" s="49">
        <f>SUMIFS(Fact_Actual_Costs!$D:$D,Fact_Actual_Costs!$B:$B,A10,Fact_Actual_Costs!$A:$A,"&lt;="&amp;Setup!$B$9)</f>
        <v>26206.239999999998</v>
      </c>
      <c r="K10" s="48">
        <f t="array" ref="K10">IFERROR(LOOKUP(2,1/(Fact_Physical_Progress!$B$2:$B$35=A10)/(Fact_Physical_Progress!$A$2:$A$35&lt;=Setup!$B$9),Fact_Physical_Progress!$C$2:$C$35),0)</f>
        <v>0.7</v>
      </c>
      <c r="L10" s="49">
        <f t="shared" si="0"/>
        <v>18200</v>
      </c>
      <c r="M10" s="49">
        <f t="shared" si="1"/>
        <v>-7800</v>
      </c>
      <c r="N10" s="49">
        <f t="shared" si="2"/>
        <v>-8006.239999999998</v>
      </c>
      <c r="O10" s="50">
        <f t="shared" si="3"/>
        <v>0.7</v>
      </c>
      <c r="P10" s="50">
        <f t="shared" si="4"/>
        <v>0.69449108303976459</v>
      </c>
      <c r="Q10" s="49">
        <f t="shared" si="5"/>
        <v>37437.485714285714</v>
      </c>
      <c r="R10" s="49">
        <f t="shared" si="6"/>
        <v>11231.245714285717</v>
      </c>
      <c r="S10" s="49">
        <f t="shared" si="7"/>
        <v>-11437.485714285714</v>
      </c>
      <c r="T10" s="109" t="str">
        <f>IF(OR(N10&lt;0,P10&lt;Setup!$B$12,O10&lt;Setup!$B$12),"Red",IF(OR(P10&lt;Setup!$B$13,O10&lt;Setup!$B$13),"Amber","Green"))</f>
        <v>Red</v>
      </c>
    </row>
    <row r="11" spans="1:20" x14ac:dyDescent="0.35">
      <c r="A11" s="108" t="str">
        <f>Dim_WBS!A8</f>
        <v>WBS-07</v>
      </c>
      <c r="B11" s="2">
        <f>Dim_WBS!B8</f>
        <v>7</v>
      </c>
      <c r="C11" s="2" t="str">
        <f>Dim_WBS!C8</f>
        <v>HVAC Installation</v>
      </c>
      <c r="D11" s="2" t="str">
        <f>Dim_WBS!D8</f>
        <v>Subcontractor</v>
      </c>
      <c r="E11" s="46">
        <f>_xlfn.MINIFS(Fact_Baseline_PV!$A:$A,Fact_Baseline_PV!$B:$B,A11)</f>
        <v>46174</v>
      </c>
      <c r="F11" s="46">
        <f>_xlfn.MAXIFS(Fact_Baseline_PV!$A:$A,Fact_Baseline_PV!$B:$B,A11)+6</f>
        <v>46201</v>
      </c>
      <c r="G11" s="47">
        <f t="shared" si="8"/>
        <v>28</v>
      </c>
      <c r="H11" s="49">
        <f>Dim_WBS!E8</f>
        <v>36000</v>
      </c>
      <c r="I11" s="49">
        <f>SUMIFS(Fact_Baseline_PV!$C:$C,Fact_Baseline_PV!$B:$B,A11,Fact_Baseline_PV!$A:$A,"&lt;="&amp;Setup!$B$9)</f>
        <v>36000</v>
      </c>
      <c r="J11" s="49">
        <f>SUMIFS(Fact_Actual_Costs!$D:$D,Fact_Actual_Costs!$B:$B,A11,Fact_Actual_Costs!$A:$A,"&lt;="&amp;Setup!$B$9)</f>
        <v>17476.8</v>
      </c>
      <c r="K11" s="48">
        <f t="array" ref="K11">IFERROR(LOOKUP(2,1/(Fact_Physical_Progress!$B$2:$B$35=A11)/(Fact_Physical_Progress!$A$2:$A$35&lt;=Setup!$B$9),Fact_Physical_Progress!$C$2:$C$35),0)</f>
        <v>0.4</v>
      </c>
      <c r="L11" s="49">
        <f t="shared" si="0"/>
        <v>14400</v>
      </c>
      <c r="M11" s="49">
        <f t="shared" si="1"/>
        <v>-21600</v>
      </c>
      <c r="N11" s="49">
        <f t="shared" si="2"/>
        <v>-3076.7999999999993</v>
      </c>
      <c r="O11" s="50">
        <f t="shared" si="3"/>
        <v>0.4</v>
      </c>
      <c r="P11" s="50">
        <f t="shared" si="4"/>
        <v>0.82394946443284811</v>
      </c>
      <c r="Q11" s="49">
        <f t="shared" si="5"/>
        <v>43692</v>
      </c>
      <c r="R11" s="49">
        <f t="shared" si="6"/>
        <v>26215.200000000001</v>
      </c>
      <c r="S11" s="49">
        <f t="shared" si="7"/>
        <v>-7692</v>
      </c>
      <c r="T11" s="109" t="str">
        <f>IF(OR(N11&lt;0,P11&lt;Setup!$B$12,O11&lt;Setup!$B$12),"Red",IF(OR(P11&lt;Setup!$B$13,O11&lt;Setup!$B$13),"Amber","Green"))</f>
        <v>Red</v>
      </c>
    </row>
    <row r="12" spans="1:20" x14ac:dyDescent="0.35">
      <c r="A12" s="108" t="str">
        <f>Dim_WBS!A9</f>
        <v>WBS-08</v>
      </c>
      <c r="B12" s="2">
        <f>Dim_WBS!B9</f>
        <v>8</v>
      </c>
      <c r="C12" s="2" t="str">
        <f>Dim_WBS!C9</f>
        <v>Partitions &amp; Drywall</v>
      </c>
      <c r="D12" s="2" t="str">
        <f>Dim_WBS!D9</f>
        <v>Subcontractor</v>
      </c>
      <c r="E12" s="46">
        <f>_xlfn.MINIFS(Fact_Baseline_PV!$A:$A,Fact_Baseline_PV!$B:$B,A12)</f>
        <v>46181</v>
      </c>
      <c r="F12" s="46">
        <f>_xlfn.MAXIFS(Fact_Baseline_PV!$A:$A,Fact_Baseline_PV!$B:$B,A12)+6</f>
        <v>46208</v>
      </c>
      <c r="G12" s="47">
        <f t="shared" si="8"/>
        <v>28</v>
      </c>
      <c r="H12" s="49">
        <f>Dim_WBS!E9</f>
        <v>28000</v>
      </c>
      <c r="I12" s="49">
        <f>SUMIFS(Fact_Baseline_PV!$C:$C,Fact_Baseline_PV!$B:$B,A12,Fact_Baseline_PV!$A:$A,"&lt;="&amp;Setup!$B$9)</f>
        <v>28000</v>
      </c>
      <c r="J12" s="49">
        <f>SUMIFS(Fact_Actual_Costs!$D:$D,Fact_Actual_Costs!$B:$B,A12,Fact_Actual_Costs!$A:$A,"&lt;="&amp;Setup!$B$9)</f>
        <v>7099.2</v>
      </c>
      <c r="K12" s="48">
        <f t="array" ref="K12">IFERROR(LOOKUP(2,1/(Fact_Physical_Progress!$B$2:$B$35=A12)/(Fact_Physical_Progress!$A$2:$A$35&lt;=Setup!$B$9),Fact_Physical_Progress!$C$2:$C$35),0)</f>
        <v>0.24885699999999999</v>
      </c>
      <c r="L12" s="49">
        <f t="shared" si="0"/>
        <v>6967.9960000000001</v>
      </c>
      <c r="M12" s="49">
        <f t="shared" si="1"/>
        <v>-21032.004000000001</v>
      </c>
      <c r="N12" s="49">
        <f t="shared" si="2"/>
        <v>-131.20399999999972</v>
      </c>
      <c r="O12" s="50">
        <f t="shared" si="3"/>
        <v>0.24885699999999999</v>
      </c>
      <c r="P12" s="50">
        <f t="shared" si="4"/>
        <v>0.98151848095560068</v>
      </c>
      <c r="Q12" s="49">
        <f t="shared" si="5"/>
        <v>28527.226479464109</v>
      </c>
      <c r="R12" s="49">
        <f t="shared" si="6"/>
        <v>21428.026479464108</v>
      </c>
      <c r="S12" s="49">
        <f t="shared" si="7"/>
        <v>-527.22647946410871</v>
      </c>
      <c r="T12" s="109" t="str">
        <f>IF(OR(N12&lt;0,P12&lt;Setup!$B$12,O12&lt;Setup!$B$12),"Red",IF(OR(P12&lt;Setup!$B$13,O12&lt;Setup!$B$13),"Amber","Green"))</f>
        <v>Red</v>
      </c>
    </row>
    <row r="13" spans="1:20" x14ac:dyDescent="0.35">
      <c r="A13" s="108" t="str">
        <f>Dim_WBS!A10</f>
        <v>WBS-09</v>
      </c>
      <c r="B13" s="2">
        <f>Dim_WBS!B10</f>
        <v>9</v>
      </c>
      <c r="C13" s="2" t="str">
        <f>Dim_WBS!C10</f>
        <v>Flooring</v>
      </c>
      <c r="D13" s="2" t="str">
        <f>Dim_WBS!D10</f>
        <v>Material</v>
      </c>
      <c r="E13" s="46">
        <f>_xlfn.MINIFS(Fact_Baseline_PV!$A:$A,Fact_Baseline_PV!$B:$B,A13)</f>
        <v>46195</v>
      </c>
      <c r="F13" s="46">
        <f>_xlfn.MAXIFS(Fact_Baseline_PV!$A:$A,Fact_Baseline_PV!$B:$B,A13)+6</f>
        <v>46215</v>
      </c>
      <c r="G13" s="47">
        <f t="shared" si="8"/>
        <v>21</v>
      </c>
      <c r="H13" s="49">
        <f>Dim_WBS!E10</f>
        <v>35750</v>
      </c>
      <c r="I13" s="49">
        <f>SUMIFS(Fact_Baseline_PV!$C:$C,Fact_Baseline_PV!$B:$B,A13,Fact_Baseline_PV!$A:$A,"&lt;="&amp;Setup!$B$9)</f>
        <v>23833.34</v>
      </c>
      <c r="J13" s="49">
        <f>SUMIFS(Fact_Actual_Costs!$D:$D,Fact_Actual_Costs!$B:$B,A13,Fact_Actual_Costs!$A:$A,"&lt;="&amp;Setup!$B$9)</f>
        <v>0</v>
      </c>
      <c r="K13" s="48">
        <f t="array" ref="K13">IFERROR(LOOKUP(2,1/(Fact_Physical_Progress!$B$2:$B$35=A13)/(Fact_Physical_Progress!$A$2:$A$35&lt;=Setup!$B$9),Fact_Physical_Progress!$C$2:$C$35),0)</f>
        <v>0</v>
      </c>
      <c r="L13" s="49">
        <f t="shared" si="0"/>
        <v>0</v>
      </c>
      <c r="M13" s="49">
        <f t="shared" si="1"/>
        <v>-23833.34</v>
      </c>
      <c r="N13" s="49">
        <f t="shared" si="2"/>
        <v>0</v>
      </c>
      <c r="O13" s="50">
        <f t="shared" si="3"/>
        <v>0</v>
      </c>
      <c r="P13" s="50">
        <f t="shared" si="4"/>
        <v>1</v>
      </c>
      <c r="Q13" s="49">
        <f t="shared" si="5"/>
        <v>35750</v>
      </c>
      <c r="R13" s="49">
        <f t="shared" si="6"/>
        <v>35750</v>
      </c>
      <c r="S13" s="49">
        <f t="shared" si="7"/>
        <v>0</v>
      </c>
      <c r="T13" s="109" t="str">
        <f>IF(OR(N13&lt;0,P13&lt;Setup!$B$12,O13&lt;Setup!$B$12),"Red",IF(OR(P13&lt;Setup!$B$13,O13&lt;Setup!$B$13),"Amber","Green"))</f>
        <v>Red</v>
      </c>
    </row>
    <row r="14" spans="1:20" x14ac:dyDescent="0.35">
      <c r="A14" s="108" t="str">
        <f>Dim_WBS!A11</f>
        <v>WBS-10</v>
      </c>
      <c r="B14" s="2">
        <f>Dim_WBS!B11</f>
        <v>10</v>
      </c>
      <c r="C14" s="2" t="str">
        <f>Dim_WBS!C11</f>
        <v>Fixtures &amp; Furniture</v>
      </c>
      <c r="D14" s="2" t="str">
        <f>Dim_WBS!D11</f>
        <v>Material</v>
      </c>
      <c r="E14" s="46">
        <f>_xlfn.MINIFS(Fact_Baseline_PV!$A:$A,Fact_Baseline_PV!$B:$B,A14)</f>
        <v>46202</v>
      </c>
      <c r="F14" s="46">
        <f>_xlfn.MAXIFS(Fact_Baseline_PV!$A:$A,Fact_Baseline_PV!$B:$B,A14)+6</f>
        <v>46222</v>
      </c>
      <c r="G14" s="47">
        <f t="shared" si="8"/>
        <v>21</v>
      </c>
      <c r="H14" s="49">
        <f>Dim_WBS!E11</f>
        <v>30000</v>
      </c>
      <c r="I14" s="49">
        <f>SUMIFS(Fact_Baseline_PV!$C:$C,Fact_Baseline_PV!$B:$B,A14,Fact_Baseline_PV!$A:$A,"&lt;="&amp;Setup!$B$9)</f>
        <v>10000</v>
      </c>
      <c r="J14" s="49">
        <f>SUMIFS(Fact_Actual_Costs!$D:$D,Fact_Actual_Costs!$B:$B,A14,Fact_Actual_Costs!$A:$A,"&lt;="&amp;Setup!$B$9)</f>
        <v>0</v>
      </c>
      <c r="K14" s="48">
        <f t="array" ref="K14">IFERROR(LOOKUP(2,1/(Fact_Physical_Progress!$B$2:$B$35=A14)/(Fact_Physical_Progress!$A$2:$A$35&lt;=Setup!$B$9),Fact_Physical_Progress!$C$2:$C$35),0)</f>
        <v>0</v>
      </c>
      <c r="L14" s="49">
        <f t="shared" si="0"/>
        <v>0</v>
      </c>
      <c r="M14" s="49">
        <f t="shared" si="1"/>
        <v>-10000</v>
      </c>
      <c r="N14" s="49">
        <f t="shared" si="2"/>
        <v>0</v>
      </c>
      <c r="O14" s="50">
        <f t="shared" si="3"/>
        <v>0</v>
      </c>
      <c r="P14" s="50">
        <f t="shared" si="4"/>
        <v>1</v>
      </c>
      <c r="Q14" s="49">
        <f t="shared" si="5"/>
        <v>30000</v>
      </c>
      <c r="R14" s="49">
        <f t="shared" si="6"/>
        <v>30000</v>
      </c>
      <c r="S14" s="49">
        <f t="shared" si="7"/>
        <v>0</v>
      </c>
      <c r="T14" s="109" t="str">
        <f>IF(OR(N14&lt;0,P14&lt;Setup!$B$12,O14&lt;Setup!$B$12),"Red",IF(OR(P14&lt;Setup!$B$13,O14&lt;Setup!$B$13),"Amber","Green"))</f>
        <v>Red</v>
      </c>
    </row>
    <row r="15" spans="1:20" x14ac:dyDescent="0.35">
      <c r="A15" s="108" t="str">
        <f>Dim_WBS!A12</f>
        <v>WBS-11</v>
      </c>
      <c r="B15" s="2">
        <f>Dim_WBS!B12</f>
        <v>11</v>
      </c>
      <c r="C15" s="2" t="str">
        <f>Dim_WBS!C12</f>
        <v>Testing / Commissioning</v>
      </c>
      <c r="D15" s="2" t="str">
        <f>Dim_WBS!D12</f>
        <v>Labor</v>
      </c>
      <c r="E15" s="46">
        <f>_xlfn.MINIFS(Fact_Baseline_PV!$A:$A,Fact_Baseline_PV!$B:$B,A15)</f>
        <v>46216</v>
      </c>
      <c r="F15" s="46">
        <f>_xlfn.MAXIFS(Fact_Baseline_PV!$A:$A,Fact_Baseline_PV!$B:$B,A15)+6</f>
        <v>46229</v>
      </c>
      <c r="G15" s="47">
        <f t="shared" si="8"/>
        <v>14</v>
      </c>
      <c r="H15" s="49">
        <f>Dim_WBS!E12</f>
        <v>8400</v>
      </c>
      <c r="I15" s="49">
        <f>SUMIFS(Fact_Baseline_PV!$C:$C,Fact_Baseline_PV!$B:$B,A15,Fact_Baseline_PV!$A:$A,"&lt;="&amp;Setup!$B$9)</f>
        <v>0</v>
      </c>
      <c r="J15" s="49">
        <f>SUMIFS(Fact_Actual_Costs!$D:$D,Fact_Actual_Costs!$B:$B,A15,Fact_Actual_Costs!$A:$A,"&lt;="&amp;Setup!$B$9)</f>
        <v>0</v>
      </c>
      <c r="K15" s="48">
        <f t="array" ref="K15">IFERROR(LOOKUP(2,1/(Fact_Physical_Progress!$B$2:$B$35=A15)/(Fact_Physical_Progress!$A$2:$A$35&lt;=Setup!$B$9),Fact_Physical_Progress!$C$2:$C$35),0)</f>
        <v>0</v>
      </c>
      <c r="L15" s="49">
        <f t="shared" si="0"/>
        <v>0</v>
      </c>
      <c r="M15" s="49">
        <f t="shared" si="1"/>
        <v>0</v>
      </c>
      <c r="N15" s="49">
        <f t="shared" si="2"/>
        <v>0</v>
      </c>
      <c r="O15" s="50">
        <f t="shared" si="3"/>
        <v>1</v>
      </c>
      <c r="P15" s="50">
        <f t="shared" si="4"/>
        <v>1</v>
      </c>
      <c r="Q15" s="49">
        <f t="shared" si="5"/>
        <v>8400</v>
      </c>
      <c r="R15" s="49">
        <f t="shared" si="6"/>
        <v>8400</v>
      </c>
      <c r="S15" s="49">
        <f t="shared" si="7"/>
        <v>0</v>
      </c>
      <c r="T15" s="109" t="str">
        <f>IF(OR(N15&lt;0,P15&lt;Setup!$B$12,O15&lt;Setup!$B$12),"Red",IF(OR(P15&lt;Setup!$B$13,O15&lt;Setup!$B$13),"Amber","Green"))</f>
        <v>Green</v>
      </c>
    </row>
    <row r="16" spans="1:20" x14ac:dyDescent="0.35">
      <c r="A16" s="112" t="str">
        <f>Dim_WBS!A13</f>
        <v>WBS-12</v>
      </c>
      <c r="B16" s="113">
        <f>Dim_WBS!B13</f>
        <v>12</v>
      </c>
      <c r="C16" s="113" t="str">
        <f>Dim_WBS!C13</f>
        <v>Handover &amp; Closeout</v>
      </c>
      <c r="D16" s="113" t="str">
        <f>Dim_WBS!D13</f>
        <v>Labor</v>
      </c>
      <c r="E16" s="135">
        <f>_xlfn.MINIFS(Fact_Baseline_PV!$A:$A,Fact_Baseline_PV!$B:$B,A16)</f>
        <v>46223</v>
      </c>
      <c r="F16" s="135">
        <f>_xlfn.MAXIFS(Fact_Baseline_PV!$A:$A,Fact_Baseline_PV!$B:$B,A16)+6</f>
        <v>46229</v>
      </c>
      <c r="G16" s="136">
        <f t="shared" si="8"/>
        <v>7</v>
      </c>
      <c r="H16" s="120">
        <f>Dim_WBS!E13</f>
        <v>3600</v>
      </c>
      <c r="I16" s="120">
        <f>SUMIFS(Fact_Baseline_PV!$C:$C,Fact_Baseline_PV!$B:$B,A16,Fact_Baseline_PV!$A:$A,"&lt;="&amp;Setup!$B$9)</f>
        <v>0</v>
      </c>
      <c r="J16" s="120">
        <f>SUMIFS(Fact_Actual_Costs!$D:$D,Fact_Actual_Costs!$B:$B,A16,Fact_Actual_Costs!$A:$A,"&lt;="&amp;Setup!$B$9)</f>
        <v>0</v>
      </c>
      <c r="K16" s="137">
        <f t="array" ref="K16">IFERROR(LOOKUP(2,1/(Fact_Physical_Progress!$B$2:$B$35=A16)/(Fact_Physical_Progress!$A$2:$A$35&lt;=Setup!$B$9),Fact_Physical_Progress!$C$2:$C$35),0)</f>
        <v>0</v>
      </c>
      <c r="L16" s="120">
        <f t="shared" si="0"/>
        <v>0</v>
      </c>
      <c r="M16" s="120">
        <f t="shared" si="1"/>
        <v>0</v>
      </c>
      <c r="N16" s="120">
        <f t="shared" si="2"/>
        <v>0</v>
      </c>
      <c r="O16" s="138">
        <f t="shared" si="3"/>
        <v>1</v>
      </c>
      <c r="P16" s="138">
        <f t="shared" si="4"/>
        <v>1</v>
      </c>
      <c r="Q16" s="120">
        <f t="shared" si="5"/>
        <v>3600</v>
      </c>
      <c r="R16" s="120">
        <f t="shared" si="6"/>
        <v>3600</v>
      </c>
      <c r="S16" s="120">
        <f t="shared" si="7"/>
        <v>0</v>
      </c>
      <c r="T16" s="114" t="str">
        <f>IF(OR(N16&lt;0,P16&lt;Setup!$B$12,O16&lt;Setup!$B$12),"Red",IF(OR(P16&lt;Setup!$B$13,O16&lt;Setup!$B$13),"Amber","Green"))</f>
        <v>Green</v>
      </c>
    </row>
    <row r="17" spans="1:20" x14ac:dyDescent="0.35">
      <c r="A17" s="55" t="s">
        <v>591</v>
      </c>
      <c r="B17" s="55"/>
      <c r="C17" s="55"/>
      <c r="D17" s="55"/>
      <c r="E17" s="56"/>
      <c r="F17" s="56"/>
      <c r="G17" s="57">
        <f>MAX(F5:F16)-MIN(E5:E16)+1</f>
        <v>46216</v>
      </c>
      <c r="H17" s="58">
        <f>SUM(H5:H16)</f>
        <v>222950</v>
      </c>
      <c r="I17" s="58">
        <f>SUM(I5:I16)</f>
        <v>179033.34</v>
      </c>
      <c r="J17" s="58">
        <f>SUM(J5:J16)</f>
        <v>105490.4</v>
      </c>
      <c r="K17" s="59">
        <f>SUMPRODUCT(H5:H16,K5:K16)/SUM(H5:H16)</f>
        <v>0.42506389773491815</v>
      </c>
      <c r="L17" s="58" t="e">
        <f>SUM(L5:L16)</f>
        <v>#VALUE!</v>
      </c>
      <c r="M17" s="58" t="e">
        <f>SUM(M5:M16)</f>
        <v>#VALUE!</v>
      </c>
      <c r="N17" s="58" t="e">
        <f>SUM(N5:N16)</f>
        <v>#VALUE!</v>
      </c>
      <c r="O17" s="60">
        <f t="shared" si="3"/>
        <v>1</v>
      </c>
      <c r="P17" s="60">
        <f t="shared" si="4"/>
        <v>1</v>
      </c>
      <c r="Q17" s="58">
        <f t="shared" si="5"/>
        <v>222950</v>
      </c>
      <c r="R17" s="58">
        <f t="shared" si="6"/>
        <v>117459.6</v>
      </c>
      <c r="S17" s="58">
        <f t="shared" si="7"/>
        <v>0</v>
      </c>
      <c r="T17" s="55" t="e">
        <f>IF(OR(N17&lt;0,P17&lt;Setup!$B$12,O17&lt;Setup!$B$12),"Red",IF(OR(P17&lt;Setup!$B$13,O17&lt;Setup!$B$13),"Amber","Green"))</f>
        <v>#VALUE!</v>
      </c>
    </row>
  </sheetData>
  <mergeCells count="2">
    <mergeCell ref="A1:P1"/>
    <mergeCell ref="A2:P2"/>
  </mergeCells>
  <conditionalFormatting sqref="M5:N17">
    <cfRule type="cellIs" dxfId="92" priority="7" operator="lessThan">
      <formula>0</formula>
    </cfRule>
    <cfRule type="cellIs" dxfId="91" priority="8" operator="greaterThanOrEqual">
      <formula>0</formula>
    </cfRule>
  </conditionalFormatting>
  <conditionalFormatting sqref="O5:P17">
    <cfRule type="cellIs" dxfId="90" priority="4" operator="lessThan">
      <formula>0.95</formula>
    </cfRule>
    <cfRule type="cellIs" dxfId="89" priority="5" operator="between">
      <formula>0.95</formula>
      <formula>0.999999</formula>
    </cfRule>
    <cfRule type="cellIs" dxfId="88" priority="6" operator="greaterThanOrEqual">
      <formula>1</formula>
    </cfRule>
  </conditionalFormatting>
  <conditionalFormatting sqref="T5:T16">
    <cfRule type="expression" dxfId="87" priority="9">
      <formula>ISNUMBER(SEARCH("Red",T5))</formula>
    </cfRule>
    <cfRule type="expression" dxfId="86" priority="10">
      <formula>ISNUMBER(SEARCH("Amber",T5))</formula>
    </cfRule>
    <cfRule type="expression" dxfId="85" priority="11">
      <formula>ISNUMBER(SEARCH("Green",T5))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J21"/>
  <sheetViews>
    <sheetView showGridLines="0" workbookViewId="0">
      <selection activeCell="Q1" sqref="Q1"/>
    </sheetView>
  </sheetViews>
  <sheetFormatPr defaultRowHeight="14.5" x14ac:dyDescent="0.35"/>
  <cols>
    <col min="1" max="1" width="21.81640625" customWidth="1"/>
    <col min="2" max="2" width="34.54296875" customWidth="1"/>
    <col min="3" max="4" width="13.6328125" customWidth="1"/>
    <col min="5" max="5" width="15.453125" customWidth="1"/>
    <col min="6" max="6" width="18.54296875" customWidth="1"/>
    <col min="7" max="7" width="15.453125" customWidth="1"/>
    <col min="8" max="9" width="38.1796875" customWidth="1"/>
    <col min="10" max="10" width="20.453125" customWidth="1"/>
  </cols>
  <sheetData>
    <row r="1" spans="1:10" ht="23.5" customHeight="1" x14ac:dyDescent="0.55000000000000004">
      <c r="A1" s="248" t="s">
        <v>592</v>
      </c>
      <c r="B1" s="246"/>
      <c r="C1" s="246"/>
      <c r="D1" s="246"/>
      <c r="E1" s="246"/>
      <c r="F1" s="246"/>
      <c r="G1" s="246"/>
      <c r="H1" s="246"/>
      <c r="I1" s="246"/>
      <c r="J1" s="246"/>
    </row>
    <row r="2" spans="1:10" x14ac:dyDescent="0.35">
      <c r="A2" s="247" t="s">
        <v>593</v>
      </c>
      <c r="B2" s="246"/>
      <c r="C2" s="246"/>
      <c r="D2" s="246"/>
      <c r="E2" s="246"/>
      <c r="F2" s="246"/>
      <c r="G2" s="246"/>
      <c r="H2" s="246"/>
      <c r="I2" s="246"/>
      <c r="J2" s="246"/>
    </row>
    <row r="4" spans="1:10" x14ac:dyDescent="0.35">
      <c r="A4" s="110" t="s">
        <v>594</v>
      </c>
      <c r="B4" s="104" t="s">
        <v>595</v>
      </c>
      <c r="C4" s="104" t="s">
        <v>2</v>
      </c>
      <c r="D4" s="104" t="s">
        <v>149</v>
      </c>
      <c r="E4" s="104" t="s">
        <v>596</v>
      </c>
      <c r="F4" s="104" t="s">
        <v>597</v>
      </c>
      <c r="G4" s="104" t="s">
        <v>202</v>
      </c>
      <c r="H4" s="104" t="s">
        <v>598</v>
      </c>
      <c r="I4" s="104" t="s">
        <v>599</v>
      </c>
      <c r="J4" s="111" t="s">
        <v>600</v>
      </c>
    </row>
    <row r="5" spans="1:10" x14ac:dyDescent="0.35">
      <c r="A5" s="108" t="s">
        <v>574</v>
      </c>
      <c r="B5" s="2" t="s">
        <v>601</v>
      </c>
      <c r="C5" s="2" t="s">
        <v>578</v>
      </c>
      <c r="D5" s="2">
        <v>22.5</v>
      </c>
      <c r="E5" s="4">
        <v>4500</v>
      </c>
      <c r="F5" s="2">
        <v>0.25</v>
      </c>
      <c r="G5" s="2" t="s">
        <v>584</v>
      </c>
      <c r="H5" s="54" t="s">
        <v>602</v>
      </c>
      <c r="I5" s="54" t="s">
        <v>603</v>
      </c>
      <c r="J5" s="109" t="str">
        <f>IFERROR(MATCH(C5,'Task Plan'!A:A,0),"")</f>
        <v/>
      </c>
    </row>
    <row r="6" spans="1:10" x14ac:dyDescent="0.35">
      <c r="A6" s="108" t="s">
        <v>574</v>
      </c>
      <c r="B6" s="2" t="s">
        <v>577</v>
      </c>
      <c r="C6" s="2" t="s">
        <v>578</v>
      </c>
      <c r="D6" s="2">
        <v>80</v>
      </c>
      <c r="E6" s="4">
        <v>16000</v>
      </c>
      <c r="F6" s="2">
        <v>1</v>
      </c>
      <c r="G6" s="2" t="s">
        <v>579</v>
      </c>
      <c r="H6" s="54" t="s">
        <v>604</v>
      </c>
      <c r="I6" s="54" t="s">
        <v>603</v>
      </c>
      <c r="J6" s="109" t="str">
        <f>IFERROR(MATCH(C6,'Task Plan'!A:A,0),"")</f>
        <v/>
      </c>
    </row>
    <row r="7" spans="1:10" x14ac:dyDescent="0.35">
      <c r="A7" s="108" t="str">
        <f>Dim_WBS!D4</f>
        <v>Activity</v>
      </c>
      <c r="B7" s="2" t="str">
        <f>Dim_WBS!C4</f>
        <v>Electrical &amp; Outfitting</v>
      </c>
      <c r="C7" s="2" t="str">
        <f>Dim_WBS!A4</f>
        <v>WBS003</v>
      </c>
      <c r="D7" s="2" t="str">
        <f>Dim_WBS!D4</f>
        <v>Activity</v>
      </c>
      <c r="E7" s="4" t="s">
        <v>356</v>
      </c>
      <c r="F7" s="2"/>
      <c r="G7" s="2"/>
      <c r="H7" s="54"/>
      <c r="I7" s="54" t="s">
        <v>603</v>
      </c>
      <c r="J7" s="109">
        <f>IFERROR(MATCH(C7,'Task Plan'!A:A,0),"")</f>
        <v>7</v>
      </c>
    </row>
    <row r="8" spans="1:10" x14ac:dyDescent="0.35">
      <c r="A8" s="108" t="str">
        <f>Dim_WBS!D5</f>
        <v>Material</v>
      </c>
      <c r="B8" s="2" t="str">
        <f>Dim_WBS!C5</f>
        <v>Procurement - Materials</v>
      </c>
      <c r="C8" s="2" t="str">
        <f>Dim_WBS!A5</f>
        <v>WBS-04</v>
      </c>
      <c r="D8" s="2" t="str">
        <f>Dim_WBS!D5</f>
        <v>Material</v>
      </c>
      <c r="E8" s="4" t="s">
        <v>356</v>
      </c>
      <c r="F8" s="2"/>
      <c r="G8" s="2"/>
      <c r="H8" s="54"/>
      <c r="I8" s="54" t="s">
        <v>603</v>
      </c>
      <c r="J8" s="109">
        <f>IFERROR(MATCH(C8,'Task Plan'!A:A,0),"")</f>
        <v>8</v>
      </c>
    </row>
    <row r="9" spans="1:10" x14ac:dyDescent="0.35">
      <c r="A9" s="108" t="str">
        <f>Dim_WBS!D6</f>
        <v>Labor</v>
      </c>
      <c r="B9" s="2" t="str">
        <f>Dim_WBS!C6</f>
        <v>Demolition &amp; Prep</v>
      </c>
      <c r="C9" s="2" t="str">
        <f>Dim_WBS!A6</f>
        <v>WBS-05</v>
      </c>
      <c r="D9" s="2" t="str">
        <f>Dim_WBS!D6</f>
        <v>Labor</v>
      </c>
      <c r="E9" s="4" t="s">
        <v>356</v>
      </c>
      <c r="F9" s="2"/>
      <c r="G9" s="2"/>
      <c r="H9" s="54"/>
      <c r="I9" s="54" t="s">
        <v>603</v>
      </c>
      <c r="J9" s="109">
        <f>IFERROR(MATCH(C9,'Task Plan'!A:A,0),"")</f>
        <v>9</v>
      </c>
    </row>
    <row r="10" spans="1:10" x14ac:dyDescent="0.35">
      <c r="A10" s="108" t="str">
        <f>Dim_WBS!D7</f>
        <v>Labor</v>
      </c>
      <c r="B10" s="2" t="str">
        <f>Dim_WBS!C7</f>
        <v>Electrical Rough-In</v>
      </c>
      <c r="C10" s="2" t="str">
        <f>Dim_WBS!A7</f>
        <v>WBS-06</v>
      </c>
      <c r="D10" s="2" t="str">
        <f>Dim_WBS!D7</f>
        <v>Labor</v>
      </c>
      <c r="E10" s="4" t="s">
        <v>356</v>
      </c>
      <c r="F10" s="2"/>
      <c r="G10" s="2"/>
      <c r="H10" s="54"/>
      <c r="I10" s="54" t="s">
        <v>603</v>
      </c>
      <c r="J10" s="109">
        <f>IFERROR(MATCH(C10,'Task Plan'!A:A,0),"")</f>
        <v>10</v>
      </c>
    </row>
    <row r="11" spans="1:10" x14ac:dyDescent="0.35">
      <c r="A11" s="108" t="str">
        <f>Dim_WBS!D8</f>
        <v>Subcontractor</v>
      </c>
      <c r="B11" s="2" t="str">
        <f>Dim_WBS!C8</f>
        <v>HVAC Installation</v>
      </c>
      <c r="C11" s="2" t="str">
        <f>Dim_WBS!A8</f>
        <v>WBS-07</v>
      </c>
      <c r="D11" s="2" t="str">
        <f>Dim_WBS!D8</f>
        <v>Subcontractor</v>
      </c>
      <c r="E11" s="4" t="s">
        <v>356</v>
      </c>
      <c r="F11" s="2"/>
      <c r="G11" s="2"/>
      <c r="H11" s="54"/>
      <c r="I11" s="54" t="s">
        <v>603</v>
      </c>
      <c r="J11" s="109">
        <f>IFERROR(MATCH(C11,'Task Plan'!A:A,0),"")</f>
        <v>11</v>
      </c>
    </row>
    <row r="12" spans="1:10" x14ac:dyDescent="0.35">
      <c r="A12" s="108" t="str">
        <f>Dim_WBS!D9</f>
        <v>Subcontractor</v>
      </c>
      <c r="B12" s="2" t="str">
        <f>Dim_WBS!C9</f>
        <v>Partitions &amp; Drywall</v>
      </c>
      <c r="C12" s="2" t="str">
        <f>Dim_WBS!A9</f>
        <v>WBS-08</v>
      </c>
      <c r="D12" s="2" t="str">
        <f>Dim_WBS!D9</f>
        <v>Subcontractor</v>
      </c>
      <c r="E12" s="4" t="s">
        <v>356</v>
      </c>
      <c r="F12" s="2"/>
      <c r="G12" s="2"/>
      <c r="H12" s="54"/>
      <c r="I12" s="54" t="s">
        <v>603</v>
      </c>
      <c r="J12" s="109">
        <f>IFERROR(MATCH(C12,'Task Plan'!A:A,0),"")</f>
        <v>12</v>
      </c>
    </row>
    <row r="13" spans="1:10" x14ac:dyDescent="0.35">
      <c r="A13" s="108" t="str">
        <f>Dim_WBS!D10</f>
        <v>Material</v>
      </c>
      <c r="B13" s="2" t="str">
        <f>Dim_WBS!C10</f>
        <v>Flooring</v>
      </c>
      <c r="C13" s="2" t="str">
        <f>Dim_WBS!A10</f>
        <v>WBS-09</v>
      </c>
      <c r="D13" s="2" t="str">
        <f>Dim_WBS!D10</f>
        <v>Material</v>
      </c>
      <c r="E13" s="4" t="s">
        <v>356</v>
      </c>
      <c r="F13" s="2"/>
      <c r="G13" s="2"/>
      <c r="H13" s="54"/>
      <c r="I13" s="54" t="s">
        <v>603</v>
      </c>
      <c r="J13" s="109">
        <f>IFERROR(MATCH(C13,'Task Plan'!A:A,0),"")</f>
        <v>13</v>
      </c>
    </row>
    <row r="14" spans="1:10" x14ac:dyDescent="0.35">
      <c r="A14" s="108" t="str">
        <f>Dim_WBS!D11</f>
        <v>Material</v>
      </c>
      <c r="B14" s="2" t="str">
        <f>Dim_WBS!C11</f>
        <v>Fixtures &amp; Furniture</v>
      </c>
      <c r="C14" s="2" t="str">
        <f>Dim_WBS!A11</f>
        <v>WBS-10</v>
      </c>
      <c r="D14" s="2" t="str">
        <f>Dim_WBS!D11</f>
        <v>Material</v>
      </c>
      <c r="E14" s="4" t="s">
        <v>356</v>
      </c>
      <c r="F14" s="2"/>
      <c r="G14" s="2"/>
      <c r="H14" s="54"/>
      <c r="I14" s="54" t="s">
        <v>603</v>
      </c>
      <c r="J14" s="109">
        <f>IFERROR(MATCH(C14,'Task Plan'!A:A,0),"")</f>
        <v>14</v>
      </c>
    </row>
    <row r="15" spans="1:10" x14ac:dyDescent="0.35">
      <c r="A15" s="108" t="str">
        <f>Dim_WBS!D12</f>
        <v>Labor</v>
      </c>
      <c r="B15" s="2" t="str">
        <f>Dim_WBS!C12</f>
        <v>Testing / Commissioning</v>
      </c>
      <c r="C15" s="2" t="str">
        <f>Dim_WBS!A12</f>
        <v>WBS-11</v>
      </c>
      <c r="D15" s="2" t="str">
        <f>Dim_WBS!D12</f>
        <v>Labor</v>
      </c>
      <c r="E15" s="4" t="s">
        <v>356</v>
      </c>
      <c r="F15" s="2"/>
      <c r="G15" s="2"/>
      <c r="H15" s="54"/>
      <c r="I15" s="54" t="s">
        <v>603</v>
      </c>
      <c r="J15" s="109">
        <f>IFERROR(MATCH(C15,'Task Plan'!A:A,0),"")</f>
        <v>15</v>
      </c>
    </row>
    <row r="16" spans="1:10" x14ac:dyDescent="0.35">
      <c r="A16" s="108" t="str">
        <f>Dim_WBS!D13</f>
        <v>Labor</v>
      </c>
      <c r="B16" s="2" t="str">
        <f>Dim_WBS!C13</f>
        <v>Handover &amp; Closeout</v>
      </c>
      <c r="C16" s="2" t="str">
        <f>Dim_WBS!A13</f>
        <v>WBS-12</v>
      </c>
      <c r="D16" s="2" t="str">
        <f>Dim_WBS!D13</f>
        <v>Labor</v>
      </c>
      <c r="E16" s="4" t="s">
        <v>356</v>
      </c>
      <c r="F16" s="2"/>
      <c r="G16" s="2"/>
      <c r="H16" s="54"/>
      <c r="I16" s="54" t="s">
        <v>603</v>
      </c>
      <c r="J16" s="109">
        <f>IFERROR(MATCH(C16,'Task Plan'!A:A,0),"")</f>
        <v>16</v>
      </c>
    </row>
    <row r="17" spans="1:10" x14ac:dyDescent="0.35">
      <c r="A17" s="139" t="s">
        <v>605</v>
      </c>
      <c r="B17" s="5"/>
      <c r="C17" s="5"/>
      <c r="D17" s="5"/>
      <c r="E17" s="5"/>
      <c r="F17" s="5"/>
      <c r="G17" s="5"/>
      <c r="H17" s="73"/>
      <c r="I17" s="73" t="s">
        <v>606</v>
      </c>
      <c r="J17" s="140"/>
    </row>
    <row r="18" spans="1:10" x14ac:dyDescent="0.35">
      <c r="A18" s="141" t="s">
        <v>605</v>
      </c>
      <c r="B18" s="142"/>
      <c r="C18" s="142"/>
      <c r="D18" s="142"/>
      <c r="E18" s="142"/>
      <c r="F18" s="142"/>
      <c r="G18" s="142"/>
      <c r="H18" s="143"/>
      <c r="I18" s="143" t="s">
        <v>606</v>
      </c>
      <c r="J18" s="144"/>
    </row>
    <row r="21" spans="1:10" ht="72.5" customHeight="1" x14ac:dyDescent="0.35">
      <c r="A21" s="2" t="s">
        <v>607</v>
      </c>
      <c r="B21" s="54" t="s">
        <v>608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P47"/>
  <sheetViews>
    <sheetView showGridLines="0" zoomScaleNormal="100" workbookViewId="0">
      <selection activeCell="Q1" sqref="Q1"/>
    </sheetView>
  </sheetViews>
  <sheetFormatPr defaultRowHeight="14.5" x14ac:dyDescent="0.35"/>
  <cols>
    <col min="1" max="1" width="39.6328125" customWidth="1"/>
    <col min="2" max="2" width="21.26953125" bestFit="1" customWidth="1"/>
    <col min="3" max="3" width="12" bestFit="1" customWidth="1"/>
    <col min="4" max="4" width="26.26953125" bestFit="1" customWidth="1"/>
    <col min="5" max="5" width="18.453125" customWidth="1"/>
    <col min="6" max="6" width="16.1796875" customWidth="1"/>
    <col min="7" max="7" width="28.90625" bestFit="1" customWidth="1"/>
    <col min="8" max="8" width="18.36328125" bestFit="1" customWidth="1"/>
    <col min="9" max="9" width="9.90625" bestFit="1" customWidth="1"/>
    <col min="10" max="10" width="20" bestFit="1" customWidth="1"/>
    <col min="11" max="11" width="5.7265625" customWidth="1"/>
    <col min="12" max="12" width="5.54296875" customWidth="1"/>
    <col min="13" max="13" width="9.90625" bestFit="1" customWidth="1"/>
    <col min="14" max="14" width="12.7265625" customWidth="1"/>
    <col min="15" max="15" width="9.54296875" bestFit="1" customWidth="1"/>
    <col min="16" max="16" width="33.26953125" bestFit="1" customWidth="1"/>
  </cols>
  <sheetData>
    <row r="1" spans="1:16" x14ac:dyDescent="0.35">
      <c r="A1" s="30" t="s">
        <v>609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x14ac:dyDescent="0.35">
      <c r="A2" s="24" t="s">
        <v>610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42"/>
      <c r="O3" s="42"/>
      <c r="P3" s="42"/>
    </row>
    <row r="4" spans="1:16" x14ac:dyDescent="0.35">
      <c r="A4" s="25" t="s">
        <v>611</v>
      </c>
      <c r="B4" s="26" t="str">
        <f>Control_Status_Date</f>
        <v>2026-06-30 00:00:00</v>
      </c>
      <c r="C4" s="23"/>
      <c r="D4" s="25" t="s">
        <v>612</v>
      </c>
      <c r="E4" s="27">
        <f>MATCH(B4,EVM!B5:B16,1)</f>
        <v>8</v>
      </c>
      <c r="F4" s="23"/>
      <c r="G4" s="25" t="s">
        <v>613</v>
      </c>
      <c r="H4" s="28" t="str">
        <f>Control_Sector</f>
        <v>Maritime</v>
      </c>
      <c r="I4" s="23"/>
      <c r="J4" s="23"/>
      <c r="K4" s="23"/>
      <c r="L4" s="23"/>
      <c r="M4" s="19"/>
      <c r="N4" s="148" t="s">
        <v>614</v>
      </c>
      <c r="O4" s="149" t="s">
        <v>558</v>
      </c>
      <c r="P4" s="150" t="s">
        <v>101</v>
      </c>
    </row>
    <row r="5" spans="1:16" x14ac:dyDescent="0.3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19"/>
      <c r="N5" s="145" t="s">
        <v>18</v>
      </c>
      <c r="O5" s="17" t="s">
        <v>615</v>
      </c>
      <c r="P5" s="147" t="s">
        <v>616</v>
      </c>
    </row>
    <row r="6" spans="1:16" x14ac:dyDescent="0.35">
      <c r="A6" s="29" t="s">
        <v>617</v>
      </c>
      <c r="B6" s="23"/>
      <c r="C6" s="23"/>
      <c r="D6" s="29" t="s">
        <v>618</v>
      </c>
      <c r="E6" s="23"/>
      <c r="F6" s="23"/>
      <c r="G6" s="29" t="s">
        <v>619</v>
      </c>
      <c r="H6" s="23"/>
      <c r="I6" s="23"/>
      <c r="J6" s="29" t="s">
        <v>620</v>
      </c>
      <c r="K6" s="23"/>
      <c r="L6" s="23"/>
      <c r="M6" s="19"/>
      <c r="N6" s="146" t="s">
        <v>23</v>
      </c>
      <c r="O6" s="17" t="s">
        <v>24</v>
      </c>
      <c r="P6" s="147" t="s">
        <v>621</v>
      </c>
    </row>
    <row r="7" spans="1:16" x14ac:dyDescent="0.35">
      <c r="A7" s="264">
        <f>Setup!B11</f>
        <v>268650</v>
      </c>
      <c r="B7" s="251"/>
      <c r="C7" s="252"/>
      <c r="D7" s="264">
        <f>'Task Plan'!I17</f>
        <v>179033.34</v>
      </c>
      <c r="E7" s="251"/>
      <c r="F7" s="252"/>
      <c r="G7" s="264">
        <f>'Task Plan'!J17</f>
        <v>105490.4</v>
      </c>
      <c r="H7" s="251"/>
      <c r="I7" s="252"/>
      <c r="J7" s="264" t="e">
        <f>'Task Plan'!L17</f>
        <v>#VALUE!</v>
      </c>
      <c r="K7" s="251"/>
      <c r="L7" s="252"/>
      <c r="M7" s="19"/>
      <c r="N7" s="151" t="s">
        <v>29</v>
      </c>
      <c r="O7" s="152" t="s">
        <v>30</v>
      </c>
      <c r="P7" s="153" t="s">
        <v>622</v>
      </c>
    </row>
    <row r="8" spans="1:16" x14ac:dyDescent="0.3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37"/>
      <c r="O8" s="37"/>
      <c r="P8" s="37"/>
    </row>
    <row r="9" spans="1:16" x14ac:dyDescent="0.35">
      <c r="A9" s="36" t="s">
        <v>623</v>
      </c>
      <c r="B9" s="36"/>
      <c r="C9" s="36"/>
      <c r="D9" s="36" t="s">
        <v>624</v>
      </c>
      <c r="E9" s="36"/>
      <c r="F9" s="36"/>
      <c r="G9" s="36" t="s">
        <v>625</v>
      </c>
      <c r="H9" s="36"/>
      <c r="I9" s="36"/>
      <c r="J9" s="36" t="s">
        <v>626</v>
      </c>
      <c r="K9" s="36"/>
      <c r="L9" s="36"/>
      <c r="M9" s="23"/>
      <c r="N9" s="23"/>
      <c r="O9" s="23"/>
      <c r="P9" s="23"/>
    </row>
    <row r="10" spans="1:16" x14ac:dyDescent="0.35">
      <c r="A10" s="264" t="e">
        <f>'Task Plan'!N17</f>
        <v>#VALUE!</v>
      </c>
      <c r="B10" s="251"/>
      <c r="C10" s="252"/>
      <c r="D10" s="264" t="e">
        <f>'Task Plan'!M17</f>
        <v>#VALUE!</v>
      </c>
      <c r="E10" s="251"/>
      <c r="F10" s="252"/>
      <c r="G10" s="266">
        <f>'Task Plan'!P17</f>
        <v>1</v>
      </c>
      <c r="H10" s="251"/>
      <c r="I10" s="252"/>
      <c r="J10" s="266">
        <f>'Task Plan'!O17</f>
        <v>1</v>
      </c>
      <c r="K10" s="251"/>
      <c r="L10" s="252"/>
      <c r="M10" s="18"/>
      <c r="N10" s="23"/>
      <c r="O10" s="23"/>
      <c r="P10" s="23"/>
    </row>
    <row r="11" spans="1:16" x14ac:dyDescent="0.3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23"/>
      <c r="N11" s="23"/>
      <c r="O11" s="23"/>
      <c r="P11" s="23"/>
    </row>
    <row r="12" spans="1:16" x14ac:dyDescent="0.35">
      <c r="A12" s="36" t="s">
        <v>627</v>
      </c>
      <c r="B12" s="36"/>
      <c r="C12" s="36"/>
      <c r="D12" s="36" t="s">
        <v>628</v>
      </c>
      <c r="E12" s="36"/>
      <c r="F12" s="36"/>
      <c r="G12" s="36" t="s">
        <v>629</v>
      </c>
      <c r="H12" s="36"/>
      <c r="I12" s="36"/>
      <c r="J12" s="36" t="s">
        <v>630</v>
      </c>
      <c r="K12" s="36"/>
      <c r="L12" s="36"/>
      <c r="M12" s="23"/>
      <c r="N12" s="23"/>
      <c r="O12" s="23"/>
      <c r="P12" s="23"/>
    </row>
    <row r="13" spans="1:16" x14ac:dyDescent="0.35">
      <c r="A13" s="265">
        <f>'Task Plan'!Q17</f>
        <v>222950</v>
      </c>
      <c r="B13" s="251"/>
      <c r="C13" s="252"/>
      <c r="D13" s="265">
        <f>'Task Plan'!R17</f>
        <v>117459.6</v>
      </c>
      <c r="E13" s="251"/>
      <c r="F13" s="252"/>
      <c r="G13" s="264">
        <f>'Task Plan'!S17</f>
        <v>0</v>
      </c>
      <c r="H13" s="251"/>
      <c r="I13" s="252"/>
      <c r="J13" s="267">
        <f>'Task Plan'!K17</f>
        <v>0.42506389773491815</v>
      </c>
      <c r="K13" s="251"/>
      <c r="L13" s="252"/>
      <c r="M13" s="18"/>
      <c r="N13" s="23"/>
      <c r="O13" s="23"/>
      <c r="P13" s="23"/>
    </row>
    <row r="14" spans="1:16" x14ac:dyDescent="0.3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23"/>
      <c r="N14" s="23"/>
      <c r="O14" s="23"/>
      <c r="P14" s="23"/>
    </row>
    <row r="15" spans="1:16" x14ac:dyDescent="0.35">
      <c r="A15" s="22" t="s">
        <v>631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x14ac:dyDescent="0.35">
      <c r="A17" s="156" t="s">
        <v>2</v>
      </c>
      <c r="B17" s="157" t="s">
        <v>632</v>
      </c>
      <c r="C17" s="157" t="s">
        <v>149</v>
      </c>
      <c r="D17" s="158" t="s">
        <v>633</v>
      </c>
      <c r="E17" s="158" t="s">
        <v>634</v>
      </c>
      <c r="F17" s="158" t="s">
        <v>635</v>
      </c>
      <c r="G17" s="159" t="s">
        <v>269</v>
      </c>
      <c r="H17" s="158" t="s">
        <v>636</v>
      </c>
      <c r="I17" s="159" t="s">
        <v>282</v>
      </c>
      <c r="J17" s="159" t="s">
        <v>278</v>
      </c>
      <c r="K17" s="159" t="s">
        <v>9</v>
      </c>
      <c r="L17" s="159" t="s">
        <v>8</v>
      </c>
      <c r="M17" s="158" t="s">
        <v>294</v>
      </c>
      <c r="N17" s="158" t="s">
        <v>298</v>
      </c>
      <c r="O17" s="159" t="s">
        <v>302</v>
      </c>
      <c r="P17" s="160" t="s">
        <v>146</v>
      </c>
    </row>
    <row r="18" spans="1:16" x14ac:dyDescent="0.35">
      <c r="A18" s="154" t="s">
        <v>637</v>
      </c>
      <c r="B18" s="27" t="s">
        <v>638</v>
      </c>
      <c r="C18" s="27" t="s">
        <v>438</v>
      </c>
      <c r="D18" s="31">
        <v>18000</v>
      </c>
      <c r="E18" s="31">
        <v>13500</v>
      </c>
      <c r="F18" s="38">
        <v>9600</v>
      </c>
      <c r="G18" s="10">
        <v>0.5</v>
      </c>
      <c r="H18" s="20">
        <v>9000</v>
      </c>
      <c r="I18" s="11">
        <v>-600</v>
      </c>
      <c r="J18" s="11">
        <v>-4500</v>
      </c>
      <c r="K18" s="12">
        <v>0.9375</v>
      </c>
      <c r="L18" s="12">
        <v>0.66666666666666663</v>
      </c>
      <c r="M18" s="40">
        <v>19200</v>
      </c>
      <c r="N18" s="38">
        <v>9600</v>
      </c>
      <c r="O18" s="11">
        <v>-1200</v>
      </c>
      <c r="P18" s="155" t="s">
        <v>639</v>
      </c>
    </row>
    <row r="19" spans="1:16" x14ac:dyDescent="0.35">
      <c r="A19" s="154" t="s">
        <v>640</v>
      </c>
      <c r="B19" s="27" t="s">
        <v>641</v>
      </c>
      <c r="C19" s="27" t="s">
        <v>438</v>
      </c>
      <c r="D19" s="31">
        <v>8500</v>
      </c>
      <c r="E19" s="31">
        <v>8500</v>
      </c>
      <c r="F19" s="38">
        <v>8700</v>
      </c>
      <c r="G19" s="10">
        <v>1</v>
      </c>
      <c r="H19" s="20">
        <v>8500</v>
      </c>
      <c r="I19" s="11">
        <v>-200</v>
      </c>
      <c r="J19" s="11">
        <v>0</v>
      </c>
      <c r="K19" s="12">
        <v>0.97701149425287359</v>
      </c>
      <c r="L19" s="12">
        <v>1</v>
      </c>
      <c r="M19" s="40">
        <v>8700</v>
      </c>
      <c r="N19" s="38">
        <v>0</v>
      </c>
      <c r="O19" s="11">
        <v>-200</v>
      </c>
      <c r="P19" s="155" t="s">
        <v>639</v>
      </c>
    </row>
    <row r="20" spans="1:16" x14ac:dyDescent="0.35">
      <c r="A20" s="154" t="s">
        <v>26</v>
      </c>
      <c r="B20" s="27" t="s">
        <v>27</v>
      </c>
      <c r="C20" s="27" t="s">
        <v>438</v>
      </c>
      <c r="D20" s="31">
        <v>19200</v>
      </c>
      <c r="E20" s="31">
        <v>19200</v>
      </c>
      <c r="F20" s="38">
        <v>18195.04</v>
      </c>
      <c r="G20" s="10">
        <v>1</v>
      </c>
      <c r="H20" s="20">
        <v>19200</v>
      </c>
      <c r="I20" s="11">
        <v>1004.959999999999</v>
      </c>
      <c r="J20" s="11">
        <v>0</v>
      </c>
      <c r="K20" s="12">
        <v>1.055232634827953</v>
      </c>
      <c r="L20" s="12">
        <v>1</v>
      </c>
      <c r="M20" s="40">
        <v>18195.04</v>
      </c>
      <c r="N20" s="38">
        <v>0</v>
      </c>
      <c r="O20" s="11">
        <v>1004.959999999999</v>
      </c>
      <c r="P20" s="155" t="s">
        <v>642</v>
      </c>
    </row>
    <row r="21" spans="1:16" x14ac:dyDescent="0.35">
      <c r="A21" s="154" t="s">
        <v>32</v>
      </c>
      <c r="B21" s="27" t="s">
        <v>33</v>
      </c>
      <c r="C21" s="27" t="s">
        <v>643</v>
      </c>
      <c r="D21" s="31">
        <v>42000</v>
      </c>
      <c r="E21" s="31">
        <v>42000</v>
      </c>
      <c r="F21" s="38">
        <v>41300</v>
      </c>
      <c r="G21" s="10">
        <v>1</v>
      </c>
      <c r="H21" s="20">
        <v>42000</v>
      </c>
      <c r="I21" s="11">
        <v>700</v>
      </c>
      <c r="J21" s="11">
        <v>0</v>
      </c>
      <c r="K21" s="12">
        <v>1.0169491525423731</v>
      </c>
      <c r="L21" s="12">
        <v>1</v>
      </c>
      <c r="M21" s="40">
        <v>41300</v>
      </c>
      <c r="N21" s="38">
        <v>0</v>
      </c>
      <c r="O21" s="11">
        <v>700</v>
      </c>
      <c r="P21" s="155" t="s">
        <v>642</v>
      </c>
    </row>
    <row r="22" spans="1:16" x14ac:dyDescent="0.35">
      <c r="A22" s="154" t="s">
        <v>38</v>
      </c>
      <c r="B22" s="27" t="s">
        <v>39</v>
      </c>
      <c r="C22" s="27" t="s">
        <v>438</v>
      </c>
      <c r="D22" s="31">
        <v>13200</v>
      </c>
      <c r="E22" s="31">
        <v>13200</v>
      </c>
      <c r="F22" s="38">
        <v>13408.16</v>
      </c>
      <c r="G22" s="10">
        <v>1</v>
      </c>
      <c r="H22" s="20">
        <v>13200</v>
      </c>
      <c r="I22" s="11">
        <v>-208.15999999999801</v>
      </c>
      <c r="J22" s="11">
        <v>0</v>
      </c>
      <c r="K22" s="12">
        <v>0.98447512559516015</v>
      </c>
      <c r="L22" s="12">
        <v>1</v>
      </c>
      <c r="M22" s="40">
        <v>13408.16</v>
      </c>
      <c r="N22" s="38">
        <v>0</v>
      </c>
      <c r="O22" s="11">
        <v>-208.15999999999801</v>
      </c>
      <c r="P22" s="155" t="s">
        <v>639</v>
      </c>
    </row>
    <row r="23" spans="1:16" x14ac:dyDescent="0.35">
      <c r="A23" s="154" t="s">
        <v>40</v>
      </c>
      <c r="B23" s="27" t="s">
        <v>41</v>
      </c>
      <c r="C23" s="27" t="s">
        <v>438</v>
      </c>
      <c r="D23" s="31">
        <v>26000</v>
      </c>
      <c r="E23" s="31">
        <v>26000</v>
      </c>
      <c r="F23" s="38">
        <v>26206.240000000002</v>
      </c>
      <c r="G23" s="10">
        <v>0.7</v>
      </c>
      <c r="H23" s="20">
        <v>18200</v>
      </c>
      <c r="I23" s="11">
        <v>-8006.239999999998</v>
      </c>
      <c r="J23" s="11">
        <v>-7800</v>
      </c>
      <c r="K23" s="12">
        <v>0.69449108303976459</v>
      </c>
      <c r="L23" s="12">
        <v>0.7</v>
      </c>
      <c r="M23" s="40">
        <v>37437.485714285707</v>
      </c>
      <c r="N23" s="38">
        <v>11231.24571428572</v>
      </c>
      <c r="O23" s="11">
        <v>-11437.485714285711</v>
      </c>
      <c r="P23" s="155" t="s">
        <v>639</v>
      </c>
    </row>
    <row r="24" spans="1:16" x14ac:dyDescent="0.35">
      <c r="A24" s="154" t="s">
        <v>43</v>
      </c>
      <c r="B24" s="27" t="s">
        <v>44</v>
      </c>
      <c r="C24" s="27" t="s">
        <v>644</v>
      </c>
      <c r="D24" s="31">
        <v>36000</v>
      </c>
      <c r="E24" s="31">
        <v>36000</v>
      </c>
      <c r="F24" s="38">
        <v>17476.8</v>
      </c>
      <c r="G24" s="10">
        <v>0.4</v>
      </c>
      <c r="H24" s="20">
        <v>14400</v>
      </c>
      <c r="I24" s="11">
        <v>-3076.7999999999988</v>
      </c>
      <c r="J24" s="11">
        <v>-21600</v>
      </c>
      <c r="K24" s="12">
        <v>0.82394946443284811</v>
      </c>
      <c r="L24" s="12">
        <v>0.4</v>
      </c>
      <c r="M24" s="40">
        <v>43692</v>
      </c>
      <c r="N24" s="38">
        <v>26215.200000000001</v>
      </c>
      <c r="O24" s="11">
        <v>-7692</v>
      </c>
      <c r="P24" s="155" t="s">
        <v>639</v>
      </c>
    </row>
    <row r="25" spans="1:16" x14ac:dyDescent="0.35">
      <c r="A25" s="154" t="s">
        <v>45</v>
      </c>
      <c r="B25" s="27" t="s">
        <v>46</v>
      </c>
      <c r="C25" s="27" t="s">
        <v>644</v>
      </c>
      <c r="D25" s="31">
        <v>28000</v>
      </c>
      <c r="E25" s="31">
        <v>28000</v>
      </c>
      <c r="F25" s="38">
        <v>7099.2</v>
      </c>
      <c r="G25" s="10">
        <v>0.24885699999999999</v>
      </c>
      <c r="H25" s="20">
        <v>6967.9960000000001</v>
      </c>
      <c r="I25" s="11">
        <v>-131.2039999999997</v>
      </c>
      <c r="J25" s="11">
        <v>-21032.004000000001</v>
      </c>
      <c r="K25" s="12">
        <v>0.98151848095560068</v>
      </c>
      <c r="L25" s="12">
        <v>0.24885699999999999</v>
      </c>
      <c r="M25" s="40">
        <v>28527.226479464109</v>
      </c>
      <c r="N25" s="38">
        <v>21428.026479464112</v>
      </c>
      <c r="O25" s="11">
        <v>-527.22647946410871</v>
      </c>
      <c r="P25" s="155" t="s">
        <v>639</v>
      </c>
    </row>
    <row r="26" spans="1:16" x14ac:dyDescent="0.35">
      <c r="A26" s="154" t="s">
        <v>47</v>
      </c>
      <c r="B26" s="27" t="s">
        <v>48</v>
      </c>
      <c r="C26" s="27" t="s">
        <v>643</v>
      </c>
      <c r="D26" s="31">
        <v>35750</v>
      </c>
      <c r="E26" s="31">
        <v>23833.34</v>
      </c>
      <c r="F26" s="38">
        <v>0</v>
      </c>
      <c r="G26" s="10">
        <v>0</v>
      </c>
      <c r="H26" s="20">
        <v>0</v>
      </c>
      <c r="I26" s="11">
        <v>0</v>
      </c>
      <c r="J26" s="11">
        <v>-23833.34</v>
      </c>
      <c r="K26" s="12">
        <v>1</v>
      </c>
      <c r="L26" s="12">
        <v>0</v>
      </c>
      <c r="M26" s="40">
        <v>35750</v>
      </c>
      <c r="N26" s="38">
        <v>35750</v>
      </c>
      <c r="O26" s="11">
        <v>0</v>
      </c>
      <c r="P26" s="155" t="s">
        <v>639</v>
      </c>
    </row>
    <row r="27" spans="1:16" x14ac:dyDescent="0.35">
      <c r="A27" s="154" t="s">
        <v>50</v>
      </c>
      <c r="B27" s="27" t="s">
        <v>51</v>
      </c>
      <c r="C27" s="27" t="s">
        <v>643</v>
      </c>
      <c r="D27" s="31">
        <v>30000</v>
      </c>
      <c r="E27" s="31">
        <v>10000</v>
      </c>
      <c r="F27" s="38">
        <v>0</v>
      </c>
      <c r="G27" s="10">
        <v>0</v>
      </c>
      <c r="H27" s="20">
        <v>0</v>
      </c>
      <c r="I27" s="11">
        <v>0</v>
      </c>
      <c r="J27" s="11">
        <v>-10000</v>
      </c>
      <c r="K27" s="12">
        <v>1</v>
      </c>
      <c r="L27" s="12">
        <v>0</v>
      </c>
      <c r="M27" s="40">
        <v>30000</v>
      </c>
      <c r="N27" s="38">
        <v>30000</v>
      </c>
      <c r="O27" s="11">
        <v>0</v>
      </c>
      <c r="P27" s="155" t="s">
        <v>639</v>
      </c>
    </row>
    <row r="28" spans="1:16" x14ac:dyDescent="0.35">
      <c r="A28" s="154" t="s">
        <v>52</v>
      </c>
      <c r="B28" s="27" t="s">
        <v>53</v>
      </c>
      <c r="C28" s="27" t="s">
        <v>438</v>
      </c>
      <c r="D28" s="31">
        <v>8400</v>
      </c>
      <c r="E28" s="31">
        <v>0</v>
      </c>
      <c r="F28" s="38">
        <v>0</v>
      </c>
      <c r="G28" s="10">
        <v>0</v>
      </c>
      <c r="H28" s="20">
        <v>0</v>
      </c>
      <c r="I28" s="11">
        <v>0</v>
      </c>
      <c r="J28" s="11">
        <v>0</v>
      </c>
      <c r="K28" s="12">
        <v>1</v>
      </c>
      <c r="L28" s="12">
        <v>1</v>
      </c>
      <c r="M28" s="40">
        <v>8400</v>
      </c>
      <c r="N28" s="38">
        <v>8400</v>
      </c>
      <c r="O28" s="11">
        <v>0</v>
      </c>
      <c r="P28" s="155" t="s">
        <v>642</v>
      </c>
    </row>
    <row r="29" spans="1:16" x14ac:dyDescent="0.35">
      <c r="A29" s="161" t="s">
        <v>55</v>
      </c>
      <c r="B29" s="162" t="s">
        <v>56</v>
      </c>
      <c r="C29" s="162" t="s">
        <v>438</v>
      </c>
      <c r="D29" s="163">
        <v>3600</v>
      </c>
      <c r="E29" s="163">
        <v>0</v>
      </c>
      <c r="F29" s="164">
        <v>0</v>
      </c>
      <c r="G29" s="165">
        <v>0</v>
      </c>
      <c r="H29" s="166">
        <v>0</v>
      </c>
      <c r="I29" s="167">
        <v>0</v>
      </c>
      <c r="J29" s="167">
        <v>0</v>
      </c>
      <c r="K29" s="168">
        <v>1</v>
      </c>
      <c r="L29" s="168">
        <v>1</v>
      </c>
      <c r="M29" s="169">
        <v>3600</v>
      </c>
      <c r="N29" s="164">
        <v>3600</v>
      </c>
      <c r="O29" s="167">
        <v>0</v>
      </c>
      <c r="P29" s="170" t="s">
        <v>642</v>
      </c>
    </row>
    <row r="30" spans="1:16" x14ac:dyDescent="0.35">
      <c r="A30" s="32" t="s">
        <v>591</v>
      </c>
      <c r="B30" s="33"/>
      <c r="C30" s="33"/>
      <c r="D30" s="14">
        <f>'Task Plan'!H17</f>
        <v>222950</v>
      </c>
      <c r="E30" s="14">
        <f>'Task Plan'!I17</f>
        <v>179033.34</v>
      </c>
      <c r="F30" s="39">
        <f>'Task Plan'!J17</f>
        <v>105490.4</v>
      </c>
      <c r="G30" s="13">
        <f>'Task Plan'!K17</f>
        <v>0.42506389773491815</v>
      </c>
      <c r="H30" s="21" t="e">
        <f>'Task Plan'!L17</f>
        <v>#VALUE!</v>
      </c>
      <c r="I30" s="14" t="e">
        <f>'Task Plan'!N17</f>
        <v>#VALUE!</v>
      </c>
      <c r="J30" s="14" t="e">
        <f>'Task Plan'!M17</f>
        <v>#VALUE!</v>
      </c>
      <c r="K30" s="15">
        <f>'Task Plan'!P17</f>
        <v>1</v>
      </c>
      <c r="L30" s="15">
        <f>'Task Plan'!O17</f>
        <v>1</v>
      </c>
      <c r="M30" s="41">
        <f>'Task Plan'!Q17</f>
        <v>222950</v>
      </c>
      <c r="N30" s="39">
        <f>'Task Plan'!R17</f>
        <v>117459.6</v>
      </c>
      <c r="O30" s="14">
        <f>'Task Plan'!S17</f>
        <v>0</v>
      </c>
      <c r="P30" s="16" t="e">
        <f>IF('Task Plan'!T17="Red","🔴 Overrun",IF('Task Plan'!T17="Amber","🟡 Warning","On Track"))</f>
        <v>#VALUE!</v>
      </c>
    </row>
    <row r="31" spans="1:16" x14ac:dyDescent="0.35">
      <c r="A31" s="23"/>
      <c r="B31" s="23"/>
      <c r="C31" s="23"/>
      <c r="D31" s="23"/>
      <c r="E31" s="23"/>
      <c r="F31" s="23"/>
      <c r="G31" s="37"/>
      <c r="H31" s="23"/>
      <c r="I31" s="37"/>
      <c r="J31" s="37"/>
      <c r="K31" s="37"/>
      <c r="L31" s="37"/>
      <c r="M31" s="23"/>
      <c r="N31" s="23"/>
      <c r="O31" s="37"/>
      <c r="P31" s="37"/>
    </row>
    <row r="32" spans="1:16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35">
      <c r="A33" s="22" t="s">
        <v>645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x14ac:dyDescent="0.35">
      <c r="A35" s="173" t="s">
        <v>160</v>
      </c>
      <c r="B35" s="157" t="s">
        <v>646</v>
      </c>
      <c r="C35" s="158" t="s">
        <v>647</v>
      </c>
      <c r="D35" s="158" t="s">
        <v>648</v>
      </c>
      <c r="E35" s="158" t="s">
        <v>649</v>
      </c>
      <c r="F35" s="158" t="s">
        <v>650</v>
      </c>
      <c r="G35" s="158" t="s">
        <v>651</v>
      </c>
      <c r="H35" s="158" t="s">
        <v>282</v>
      </c>
      <c r="I35" s="158" t="s">
        <v>278</v>
      </c>
      <c r="J35" s="158" t="s">
        <v>9</v>
      </c>
      <c r="K35" s="174" t="s">
        <v>8</v>
      </c>
      <c r="L35" s="23"/>
      <c r="M35" s="23"/>
      <c r="N35" s="23"/>
      <c r="O35" s="23"/>
      <c r="P35" s="23"/>
    </row>
    <row r="36" spans="1:16" x14ac:dyDescent="0.35">
      <c r="A36" s="171">
        <v>1</v>
      </c>
      <c r="B36" s="26" t="s">
        <v>547</v>
      </c>
      <c r="C36" s="34">
        <v>16400</v>
      </c>
      <c r="D36" s="34">
        <v>16400</v>
      </c>
      <c r="E36" s="34">
        <v>16295.04</v>
      </c>
      <c r="F36" s="34">
        <v>16295.04</v>
      </c>
      <c r="G36" s="34">
        <v>15087.994000000001</v>
      </c>
      <c r="H36" s="34">
        <v>-1207.046</v>
      </c>
      <c r="I36" s="34">
        <v>-1312.0059999999989</v>
      </c>
      <c r="J36" s="35">
        <v>0.92592555771572205</v>
      </c>
      <c r="K36" s="172">
        <v>0.91999963414634145</v>
      </c>
      <c r="L36" s="23"/>
      <c r="M36" s="23"/>
      <c r="N36" s="23"/>
      <c r="O36" s="23"/>
      <c r="P36" s="23"/>
    </row>
    <row r="37" spans="1:16" x14ac:dyDescent="0.35">
      <c r="A37" s="171">
        <v>2</v>
      </c>
      <c r="B37" s="26" t="s">
        <v>652</v>
      </c>
      <c r="C37" s="34">
        <v>22800</v>
      </c>
      <c r="D37" s="34">
        <v>39200</v>
      </c>
      <c r="E37" s="34">
        <v>22654.080000000002</v>
      </c>
      <c r="F37" s="34">
        <v>38949.120000000003</v>
      </c>
      <c r="G37" s="34">
        <v>51151.997600000002</v>
      </c>
      <c r="H37" s="34">
        <v>12202.877600000011</v>
      </c>
      <c r="I37" s="34">
        <v>11951.997600000001</v>
      </c>
      <c r="J37" s="35">
        <v>1.313303037398535</v>
      </c>
      <c r="K37" s="172">
        <v>1.3048978979591841</v>
      </c>
      <c r="L37" s="23"/>
      <c r="M37" s="23"/>
      <c r="N37" s="23"/>
      <c r="O37" s="23"/>
      <c r="P37" s="23"/>
    </row>
    <row r="38" spans="1:16" x14ac:dyDescent="0.35">
      <c r="A38" s="171">
        <v>3</v>
      </c>
      <c r="B38" s="26" t="s">
        <v>653</v>
      </c>
      <c r="C38" s="34">
        <v>22800</v>
      </c>
      <c r="D38" s="34">
        <v>62000</v>
      </c>
      <c r="E38" s="34">
        <v>22654.080000000002</v>
      </c>
      <c r="F38" s="34">
        <v>61603.199999999997</v>
      </c>
      <c r="G38" s="34">
        <v>108191.9976</v>
      </c>
      <c r="H38" s="34">
        <v>46588.797600000013</v>
      </c>
      <c r="I38" s="34">
        <v>46191.997600000002</v>
      </c>
      <c r="J38" s="35">
        <v>1.756272362474677</v>
      </c>
      <c r="K38" s="172">
        <v>1.7450322193548391</v>
      </c>
      <c r="L38" s="23"/>
      <c r="M38" s="23"/>
      <c r="N38" s="23"/>
      <c r="O38" s="23"/>
      <c r="P38" s="23"/>
    </row>
    <row r="39" spans="1:16" x14ac:dyDescent="0.35">
      <c r="A39" s="171">
        <v>4</v>
      </c>
      <c r="B39" s="26" t="s">
        <v>654</v>
      </c>
      <c r="C39" s="34">
        <v>25066.67</v>
      </c>
      <c r="D39" s="34">
        <v>87066.67</v>
      </c>
      <c r="E39" s="34">
        <v>24906.240000000002</v>
      </c>
      <c r="F39" s="34">
        <v>86509.440000000002</v>
      </c>
      <c r="G39" s="34">
        <v>188293.32560000001</v>
      </c>
      <c r="H39" s="34">
        <v>101783.88559999999</v>
      </c>
      <c r="I39" s="34">
        <v>101226.6556</v>
      </c>
      <c r="J39" s="35">
        <v>2.1765639171863791</v>
      </c>
      <c r="K39" s="172">
        <v>2.1626338253202979</v>
      </c>
      <c r="L39" s="23"/>
      <c r="M39" s="23"/>
      <c r="N39" s="23"/>
      <c r="O39" s="23"/>
      <c r="P39" s="23"/>
    </row>
    <row r="40" spans="1:16" x14ac:dyDescent="0.35">
      <c r="A40" s="171">
        <v>5</v>
      </c>
      <c r="B40" s="26" t="s">
        <v>655</v>
      </c>
      <c r="C40" s="34">
        <v>29666.67</v>
      </c>
      <c r="D40" s="34">
        <v>116733.34</v>
      </c>
      <c r="E40" s="34">
        <v>29476.799999999999</v>
      </c>
      <c r="F40" s="34">
        <v>115986.24000000001</v>
      </c>
      <c r="G40" s="34">
        <v>295687.99959999998</v>
      </c>
      <c r="H40" s="34">
        <v>179701.75959999999</v>
      </c>
      <c r="I40" s="34">
        <v>178954.65960000001</v>
      </c>
      <c r="J40" s="35">
        <v>2.5493368834096182</v>
      </c>
      <c r="K40" s="172">
        <v>2.5330209826944041</v>
      </c>
      <c r="L40" s="23"/>
      <c r="M40" s="23"/>
      <c r="N40" s="23"/>
      <c r="O40" s="23"/>
      <c r="P40" s="23"/>
    </row>
    <row r="41" spans="1:16" x14ac:dyDescent="0.35">
      <c r="A41" s="171">
        <v>6</v>
      </c>
      <c r="B41" s="26" t="s">
        <v>656</v>
      </c>
      <c r="C41" s="34">
        <v>26166.66</v>
      </c>
      <c r="D41" s="34">
        <v>142900</v>
      </c>
      <c r="E41" s="34">
        <v>25999.200000000001</v>
      </c>
      <c r="F41" s="34">
        <v>141985.44</v>
      </c>
      <c r="G41" s="34">
        <v>427155.99560000002</v>
      </c>
      <c r="H41" s="34">
        <v>285170.55560000002</v>
      </c>
      <c r="I41" s="34">
        <v>284255.99560000002</v>
      </c>
      <c r="J41" s="35">
        <v>3.0084492860676422</v>
      </c>
      <c r="K41" s="172">
        <v>2.9891952106368089</v>
      </c>
      <c r="L41" s="23"/>
      <c r="M41" s="23"/>
      <c r="N41" s="23"/>
      <c r="O41" s="23"/>
      <c r="P41" s="23"/>
    </row>
    <row r="42" spans="1:16" x14ac:dyDescent="0.35">
      <c r="A42" s="171">
        <v>7</v>
      </c>
      <c r="B42" s="26" t="s">
        <v>657</v>
      </c>
      <c r="C42" s="34">
        <v>17500</v>
      </c>
      <c r="D42" s="34">
        <v>160400</v>
      </c>
      <c r="E42" s="34">
        <v>0</v>
      </c>
      <c r="F42" s="34">
        <v>141985.44</v>
      </c>
      <c r="G42" s="34">
        <v>427155.99560000002</v>
      </c>
      <c r="H42" s="34">
        <v>285170.55560000002</v>
      </c>
      <c r="I42" s="34">
        <v>266755.99560000002</v>
      </c>
      <c r="J42" s="35">
        <v>3.0084492860676422</v>
      </c>
      <c r="K42" s="172">
        <v>2.6630673042394011</v>
      </c>
      <c r="L42" s="23"/>
      <c r="M42" s="23"/>
      <c r="N42" s="23"/>
      <c r="O42" s="23"/>
      <c r="P42" s="23"/>
    </row>
    <row r="43" spans="1:16" x14ac:dyDescent="0.35">
      <c r="A43" s="171">
        <v>8</v>
      </c>
      <c r="B43" s="26" t="s">
        <v>658</v>
      </c>
      <c r="C43" s="34">
        <v>29416.67</v>
      </c>
      <c r="D43" s="34">
        <v>189816.67</v>
      </c>
      <c r="E43" s="34">
        <v>0</v>
      </c>
      <c r="F43" s="34">
        <v>141985.44</v>
      </c>
      <c r="G43" s="34">
        <v>427155.99560000002</v>
      </c>
      <c r="H43" s="34">
        <v>285170.55560000002</v>
      </c>
      <c r="I43" s="34">
        <v>237339.32560000001</v>
      </c>
      <c r="J43" s="35">
        <v>3.0084492860676422</v>
      </c>
      <c r="K43" s="172">
        <v>2.2503608118296459</v>
      </c>
      <c r="L43" s="23"/>
      <c r="M43" s="23"/>
      <c r="N43" s="23"/>
      <c r="O43" s="23"/>
      <c r="P43" s="23"/>
    </row>
    <row r="44" spans="1:16" x14ac:dyDescent="0.35">
      <c r="A44" s="171">
        <v>9</v>
      </c>
      <c r="B44" s="26" t="s">
        <v>659</v>
      </c>
      <c r="C44" s="34">
        <v>30416.67</v>
      </c>
      <c r="D44" s="34">
        <v>220233.34</v>
      </c>
      <c r="E44" s="34">
        <v>0</v>
      </c>
      <c r="F44" s="34">
        <v>141985.44</v>
      </c>
      <c r="G44" s="34">
        <v>427155.99560000002</v>
      </c>
      <c r="H44" s="34">
        <v>285170.55560000002</v>
      </c>
      <c r="I44" s="34">
        <v>206922.6556</v>
      </c>
      <c r="J44" s="35">
        <v>3.0084492860676422</v>
      </c>
      <c r="K44" s="172">
        <v>1.939560992899622</v>
      </c>
      <c r="L44" s="23"/>
      <c r="M44" s="23"/>
      <c r="N44" s="23"/>
      <c r="O44" s="23"/>
      <c r="P44" s="23"/>
    </row>
    <row r="45" spans="1:16" x14ac:dyDescent="0.35">
      <c r="A45" s="171">
        <v>10</v>
      </c>
      <c r="B45" s="26" t="s">
        <v>660</v>
      </c>
      <c r="C45" s="34">
        <v>23416.66</v>
      </c>
      <c r="D45" s="34">
        <v>243650</v>
      </c>
      <c r="E45" s="34">
        <v>0</v>
      </c>
      <c r="F45" s="34">
        <v>141985.44</v>
      </c>
      <c r="G45" s="34">
        <v>427155.99560000002</v>
      </c>
      <c r="H45" s="34">
        <v>285170.55560000002</v>
      </c>
      <c r="I45" s="34">
        <v>183505.99559999999</v>
      </c>
      <c r="J45" s="35">
        <v>3.0084492860676422</v>
      </c>
      <c r="K45" s="172">
        <v>1.753154096449826</v>
      </c>
      <c r="L45" s="23"/>
      <c r="M45" s="23"/>
      <c r="N45" s="23"/>
      <c r="O45" s="23"/>
      <c r="P45" s="23"/>
    </row>
    <row r="46" spans="1:16" x14ac:dyDescent="0.35">
      <c r="A46" s="171">
        <v>11</v>
      </c>
      <c r="B46" s="26" t="s">
        <v>661</v>
      </c>
      <c r="C46" s="34">
        <v>15700</v>
      </c>
      <c r="D46" s="34">
        <v>259350</v>
      </c>
      <c r="E46" s="34">
        <v>0</v>
      </c>
      <c r="F46" s="34">
        <v>141985.44</v>
      </c>
      <c r="G46" s="34">
        <v>427155.99560000002</v>
      </c>
      <c r="H46" s="34">
        <v>285170.55560000002</v>
      </c>
      <c r="I46" s="34">
        <v>167805.99559999999</v>
      </c>
      <c r="J46" s="35">
        <v>3.0084492860676422</v>
      </c>
      <c r="K46" s="172">
        <v>1.6470252384808171</v>
      </c>
      <c r="L46" s="23"/>
      <c r="M46" s="23"/>
      <c r="N46" s="23"/>
      <c r="O46" s="23"/>
      <c r="P46" s="23"/>
    </row>
    <row r="47" spans="1:16" x14ac:dyDescent="0.35">
      <c r="A47" s="175">
        <v>12</v>
      </c>
      <c r="B47" s="176" t="s">
        <v>662</v>
      </c>
      <c r="C47" s="177">
        <v>9300</v>
      </c>
      <c r="D47" s="177">
        <v>268650</v>
      </c>
      <c r="E47" s="177">
        <v>0</v>
      </c>
      <c r="F47" s="177">
        <v>141985.44</v>
      </c>
      <c r="G47" s="177">
        <v>427155.99560000002</v>
      </c>
      <c r="H47" s="177">
        <v>285170.55560000002</v>
      </c>
      <c r="I47" s="177">
        <v>158505.99559999999</v>
      </c>
      <c r="J47" s="178">
        <v>3.0084492860676422</v>
      </c>
      <c r="K47" s="179">
        <v>1.5900092894100131</v>
      </c>
      <c r="L47" s="23"/>
      <c r="M47" s="23"/>
      <c r="N47" s="23"/>
      <c r="O47" s="23"/>
      <c r="P47" s="23"/>
    </row>
  </sheetData>
  <mergeCells count="12">
    <mergeCell ref="J7:L7"/>
    <mergeCell ref="A10:C10"/>
    <mergeCell ref="A13:C13"/>
    <mergeCell ref="D13:F13"/>
    <mergeCell ref="G10:I10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dxfId="84" priority="1" operator="lessThan">
      <formula>0</formula>
    </cfRule>
    <cfRule type="cellIs" dxfId="83" priority="2" operator="greaterThanOrEqual">
      <formula>0</formula>
    </cfRule>
  </conditionalFormatting>
  <conditionalFormatting sqref="G18:G30">
    <cfRule type="cellIs" dxfId="82" priority="23" operator="lessThan">
      <formula>0.5</formula>
    </cfRule>
    <cfRule type="cellIs" dxfId="81" priority="24" operator="between">
      <formula>0.5</formula>
      <formula>0.799999</formula>
    </cfRule>
    <cfRule type="cellIs" dxfId="80" priority="25" operator="greaterThanOrEqual">
      <formula>0.8</formula>
    </cfRule>
  </conditionalFormatting>
  <conditionalFormatting sqref="G13:I13">
    <cfRule type="cellIs" dxfId="79" priority="5" operator="lessThan">
      <formula>0</formula>
    </cfRule>
    <cfRule type="cellIs" dxfId="78" priority="6" operator="greaterThanOrEqual">
      <formula>0</formula>
    </cfRule>
  </conditionalFormatting>
  <conditionalFormatting sqref="G10:L10">
    <cfRule type="cellIs" dxfId="77" priority="11" operator="lessThan">
      <formula>0.95</formula>
    </cfRule>
    <cfRule type="cellIs" dxfId="76" priority="12" operator="between">
      <formula>0.95</formula>
      <formula>0.999999</formula>
    </cfRule>
    <cfRule type="cellIs" dxfId="75" priority="13" operator="greaterThanOrEqual">
      <formula>1</formula>
    </cfRule>
  </conditionalFormatting>
  <conditionalFormatting sqref="I18:J30">
    <cfRule type="cellIs" dxfId="74" priority="7" operator="lessThan">
      <formula>0</formula>
    </cfRule>
    <cfRule type="cellIs" dxfId="73" priority="8" operator="greaterThanOrEqual">
      <formula>0</formula>
    </cfRule>
  </conditionalFormatting>
  <conditionalFormatting sqref="J13:L13">
    <cfRule type="cellIs" dxfId="72" priority="20" operator="lessThan">
      <formula>0.5</formula>
    </cfRule>
    <cfRule type="cellIs" dxfId="71" priority="21" operator="between">
      <formula>0.5</formula>
      <formula>0.799999</formula>
    </cfRule>
    <cfRule type="cellIs" dxfId="70" priority="22" operator="greaterThanOrEqual">
      <formula>0.8</formula>
    </cfRule>
  </conditionalFormatting>
  <conditionalFormatting sqref="K18:L30">
    <cfRule type="cellIs" dxfId="69" priority="17" operator="lessThan">
      <formula>0.95</formula>
    </cfRule>
    <cfRule type="cellIs" dxfId="68" priority="18" operator="between">
      <formula>0.95</formula>
      <formula>0.999999</formula>
    </cfRule>
    <cfRule type="cellIs" dxfId="67" priority="19" operator="greaterThanOrEqual">
      <formula>1</formula>
    </cfRule>
  </conditionalFormatting>
  <conditionalFormatting sqref="N5:N7">
    <cfRule type="expression" dxfId="66" priority="35">
      <formula>ISNUMBER(SEARCH("Red",N5))</formula>
    </cfRule>
    <cfRule type="expression" dxfId="65" priority="36">
      <formula>ISNUMBER(SEARCH("Amber",N5))</formula>
    </cfRule>
    <cfRule type="expression" dxfId="64" priority="37">
      <formula>ISNUMBER(SEARCH("Green",N5))</formula>
    </cfRule>
  </conditionalFormatting>
  <conditionalFormatting sqref="O18:O30">
    <cfRule type="cellIs" dxfId="63" priority="9" operator="lessThan">
      <formula>0</formula>
    </cfRule>
    <cfRule type="cellIs" dxfId="62" priority="10" operator="greaterThanOrEqual">
      <formula>0</formula>
    </cfRule>
  </conditionalFormatting>
  <conditionalFormatting sqref="P18:P30">
    <cfRule type="expression" dxfId="61" priority="38">
      <formula>OR(ISNUMBER(SEARCH("Red",P18)),ISNUMBER(SEARCH("Overrun",P18)))</formula>
    </cfRule>
    <cfRule type="expression" dxfId="60" priority="39">
      <formula>OR(ISNUMBER(SEARCH("Amber",P18)),ISNUMBER(SEARCH("Warning",P18)))</formula>
    </cfRule>
    <cfRule type="expression" dxfId="59" priority="40">
      <formula>OR(ISNUMBER(SEARCH("Green",P18)),ISNUMBER(SEARCH("On Track",P18)))</formula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activeCell="Q1" sqref="Q1"/>
    </sheetView>
  </sheetViews>
  <sheetFormatPr defaultRowHeight="14.5" x14ac:dyDescent="0.35"/>
  <cols>
    <col min="1" max="1" width="10" style="231" customWidth="1"/>
    <col min="2" max="2" width="11.81640625" style="231" customWidth="1"/>
    <col min="3" max="3" width="22.7265625" style="231" customWidth="1"/>
    <col min="4" max="4" width="19.08984375" style="231" customWidth="1"/>
    <col min="5" max="5" width="26.36328125" style="231" customWidth="1"/>
    <col min="6" max="6" width="33.6328125" style="231" customWidth="1"/>
    <col min="7" max="7" width="18.1796875" style="231" customWidth="1"/>
    <col min="8" max="8" width="14.54296875" style="231" customWidth="1"/>
  </cols>
  <sheetData>
    <row r="1" spans="1:8" ht="23.5" customHeight="1" x14ac:dyDescent="0.55000000000000004">
      <c r="A1" s="272" t="s">
        <v>663</v>
      </c>
      <c r="B1" s="269"/>
      <c r="C1" s="269"/>
      <c r="D1" s="269"/>
      <c r="E1" s="269"/>
      <c r="F1" s="269"/>
      <c r="G1" s="269"/>
      <c r="H1" s="269"/>
    </row>
    <row r="2" spans="1:8" x14ac:dyDescent="0.35">
      <c r="A2" s="270" t="s">
        <v>664</v>
      </c>
      <c r="B2" s="269"/>
      <c r="C2" s="269"/>
      <c r="D2" s="269"/>
      <c r="E2" s="269"/>
      <c r="F2" s="269"/>
      <c r="G2" s="269"/>
      <c r="H2" s="269"/>
    </row>
    <row r="4" spans="1:8" x14ac:dyDescent="0.35">
      <c r="A4" s="268" t="s">
        <v>665</v>
      </c>
      <c r="B4" s="269"/>
      <c r="C4" s="269"/>
      <c r="D4" s="269"/>
      <c r="E4" s="269"/>
      <c r="F4" s="269"/>
      <c r="G4" s="269"/>
      <c r="H4" s="269"/>
    </row>
    <row r="5" spans="1:8" x14ac:dyDescent="0.35">
      <c r="A5" s="271" t="s">
        <v>666</v>
      </c>
      <c r="B5" s="269"/>
      <c r="C5" s="269"/>
      <c r="D5" s="269"/>
      <c r="E5" s="269"/>
      <c r="F5" s="269"/>
      <c r="G5" s="269"/>
      <c r="H5" s="269"/>
    </row>
    <row r="6" spans="1:8" x14ac:dyDescent="0.35">
      <c r="A6" s="269"/>
      <c r="B6" s="269"/>
      <c r="C6" s="269"/>
      <c r="D6" s="269"/>
      <c r="E6" s="269"/>
      <c r="F6" s="269"/>
      <c r="G6" s="269"/>
      <c r="H6" s="269"/>
    </row>
    <row r="7" spans="1:8" x14ac:dyDescent="0.35">
      <c r="A7" s="269"/>
      <c r="B7" s="269"/>
      <c r="C7" s="269"/>
      <c r="D7" s="269"/>
      <c r="E7" s="269"/>
      <c r="F7" s="269"/>
      <c r="G7" s="269"/>
      <c r="H7" s="269"/>
    </row>
    <row r="9" spans="1:8" x14ac:dyDescent="0.35">
      <c r="A9" s="222" t="s">
        <v>667</v>
      </c>
      <c r="B9" s="223"/>
      <c r="C9" s="222" t="s">
        <v>668</v>
      </c>
      <c r="D9" s="223"/>
      <c r="E9" s="222" t="s">
        <v>669</v>
      </c>
      <c r="F9" s="223"/>
      <c r="G9" s="222" t="s">
        <v>670</v>
      </c>
      <c r="H9" s="223"/>
    </row>
    <row r="10" spans="1:8" ht="18.5" customHeight="1" x14ac:dyDescent="0.35">
      <c r="A10" s="224">
        <f>COUNTIF(tbl_Task_Plan[Status],"Red")</f>
        <v>0</v>
      </c>
      <c r="B10" s="223"/>
      <c r="C10" s="225">
        <f>_xlfn.MINIFS(tbl_Task_Plan[SPI],tbl_Task_Plan[Status],"Red")</f>
        <v>0</v>
      </c>
      <c r="D10" s="223"/>
      <c r="E10" s="226">
        <f>_xlfn.MINIFS(tbl_Task_Plan[SV],tbl_Task_Plan[Status],"Red")</f>
        <v>0</v>
      </c>
      <c r="F10" s="223"/>
      <c r="G10" s="226">
        <f>-SUMIFS(tbl_Task_Plan[VAC],tbl_Task_Plan[Status],"Red")</f>
        <v>0</v>
      </c>
      <c r="H10" s="223"/>
    </row>
    <row r="13" spans="1:8" x14ac:dyDescent="0.35">
      <c r="A13" s="227" t="s">
        <v>671</v>
      </c>
      <c r="B13" s="227" t="s">
        <v>2</v>
      </c>
      <c r="C13" s="227" t="s">
        <v>3</v>
      </c>
      <c r="D13" s="227" t="s">
        <v>672</v>
      </c>
      <c r="E13" s="227" t="s">
        <v>673</v>
      </c>
      <c r="F13" s="227" t="s">
        <v>674</v>
      </c>
      <c r="G13" s="227" t="s">
        <v>202</v>
      </c>
      <c r="H13" s="227" t="s">
        <v>345</v>
      </c>
    </row>
    <row r="14" spans="1:8" ht="72.5" customHeight="1" x14ac:dyDescent="0.35">
      <c r="A14" s="228" t="s">
        <v>675</v>
      </c>
      <c r="B14" s="228" t="s">
        <v>676</v>
      </c>
      <c r="C14" s="229" t="s">
        <v>677</v>
      </c>
      <c r="D14" s="229" t="s">
        <v>678</v>
      </c>
      <c r="E14" s="229" t="s">
        <v>679</v>
      </c>
      <c r="F14" s="229" t="s">
        <v>340</v>
      </c>
      <c r="G14" s="229" t="s">
        <v>582</v>
      </c>
      <c r="H14" s="230" t="s">
        <v>680</v>
      </c>
    </row>
    <row r="15" spans="1:8" ht="58" customHeight="1" x14ac:dyDescent="0.35">
      <c r="A15" s="228">
        <v>2</v>
      </c>
      <c r="B15" s="228" t="s">
        <v>45</v>
      </c>
      <c r="C15" s="229" t="str">
        <f>_xlfn.XLOOKUP(B15,tbl_Task_Plan[WBS ID],tbl_Task_Plan[Task / Activity],"")</f>
        <v/>
      </c>
      <c r="D15" s="229" t="s">
        <v>681</v>
      </c>
      <c r="E15" s="229" t="e">
        <f>TEXT(_xlfn.XLOOKUP(B15,tbl_Task_Plan[WBS ID],tbl_Task_Plan[Progress %]),"0%")&amp;" complete; SPI "&amp;TEXT(_xlfn.XLOOKUP(B15,tbl_Task_Plan[WBS ID],tbl_Task_Plan[SPI]),"0.00")&amp;"; CPI "&amp;TEXT(_xlfn.XLOOKUP(B15,tbl_Task_Plan[WBS ID],tbl_Task_Plan[CPI]),"0.00")&amp;"; SV "&amp;TEXT(_xlfn.XLOOKUP(B15,tbl_Task_Plan[WBS ID],tbl_Task_Plan[SV]),"#,##0")&amp;" NOK"</f>
        <v>#N/A</v>
      </c>
      <c r="F15" s="229" t="s">
        <v>682</v>
      </c>
      <c r="G15" s="229" t="s">
        <v>359</v>
      </c>
      <c r="H15" s="230">
        <f>Control_Status_Date+2</f>
        <v>46205</v>
      </c>
    </row>
    <row r="16" spans="1:8" ht="58" customHeight="1" x14ac:dyDescent="0.35">
      <c r="A16" s="228">
        <v>3</v>
      </c>
      <c r="B16" s="228" t="s">
        <v>43</v>
      </c>
      <c r="C16" s="229" t="str">
        <f>_xlfn.XLOOKUP(B16,tbl_Task_Plan[WBS ID],tbl_Task_Plan[Task / Activity],"")</f>
        <v/>
      </c>
      <c r="D16" s="229" t="s">
        <v>683</v>
      </c>
      <c r="E16" s="229" t="e">
        <f>TEXT(_xlfn.XLOOKUP(B16,tbl_Task_Plan[WBS ID],tbl_Task_Plan[Progress %]),"0%")&amp;" complete; SPI "&amp;TEXT(_xlfn.XLOOKUP(B16,tbl_Task_Plan[WBS ID],tbl_Task_Plan[SPI]),"0.00")&amp;"; CPI "&amp;TEXT(_xlfn.XLOOKUP(B16,tbl_Task_Plan[WBS ID],tbl_Task_Plan[CPI]),"0.00")&amp;"; SV "&amp;TEXT(_xlfn.XLOOKUP(B16,tbl_Task_Plan[WBS ID],tbl_Task_Plan[SV]),"#,##0")&amp;" NOK"</f>
        <v>#N/A</v>
      </c>
      <c r="F16" s="229" t="s">
        <v>684</v>
      </c>
      <c r="G16" s="229" t="s">
        <v>359</v>
      </c>
      <c r="H16" s="230">
        <f>Control_Status_Date+2</f>
        <v>46205</v>
      </c>
    </row>
    <row r="17" spans="1:8" ht="58" customHeight="1" x14ac:dyDescent="0.35">
      <c r="A17" s="228">
        <v>4</v>
      </c>
      <c r="B17" s="228" t="s">
        <v>40</v>
      </c>
      <c r="C17" s="229" t="str">
        <f>_xlfn.XLOOKUP(B17,tbl_Task_Plan[WBS ID],tbl_Task_Plan[Task / Activity],"")</f>
        <v/>
      </c>
      <c r="D17" s="229" t="s">
        <v>685</v>
      </c>
      <c r="E17" s="229" t="e">
        <f>TEXT(_xlfn.XLOOKUP(B17,tbl_Task_Plan[WBS ID],tbl_Task_Plan[Progress %]),"0%")&amp;" complete; SPI "&amp;TEXT(_xlfn.XLOOKUP(B17,tbl_Task_Plan[WBS ID],tbl_Task_Plan[SPI]),"0.00")&amp;"; CPI "&amp;TEXT(_xlfn.XLOOKUP(B17,tbl_Task_Plan[WBS ID],tbl_Task_Plan[CPI]),"0.00")&amp;"; SV "&amp;TEXT(_xlfn.XLOOKUP(B17,tbl_Task_Plan[WBS ID],tbl_Task_Plan[SV]),"#,##0")&amp;" NOK"</f>
        <v>#N/A</v>
      </c>
      <c r="F17" s="229" t="s">
        <v>686</v>
      </c>
      <c r="G17" s="229" t="s">
        <v>355</v>
      </c>
      <c r="H17" s="230">
        <f>Control_Status_Date+2</f>
        <v>46205</v>
      </c>
    </row>
    <row r="18" spans="1:8" ht="58" customHeight="1" x14ac:dyDescent="0.35">
      <c r="A18" s="228">
        <v>5</v>
      </c>
      <c r="B18" s="228" t="s">
        <v>50</v>
      </c>
      <c r="C18" s="229" t="str">
        <f>_xlfn.XLOOKUP(B18,tbl_Task_Plan[WBS ID],tbl_Task_Plan[Task / Activity],"")</f>
        <v/>
      </c>
      <c r="D18" s="229" t="s">
        <v>687</v>
      </c>
      <c r="E18" s="229" t="e">
        <f>TEXT(_xlfn.XLOOKUP(B18,tbl_Task_Plan[WBS ID],tbl_Task_Plan[Progress %]),"0%")&amp;" complete; SPI "&amp;TEXT(_xlfn.XLOOKUP(B18,tbl_Task_Plan[WBS ID],tbl_Task_Plan[SPI]),"0.00")&amp;"; CPI "&amp;TEXT(_xlfn.XLOOKUP(B18,tbl_Task_Plan[WBS ID],tbl_Task_Plan[CPI]),"0.00")&amp;"; SV "&amp;TEXT(_xlfn.XLOOKUP(B18,tbl_Task_Plan[WBS ID],tbl_Task_Plan[SV]),"#,##0")&amp;" NOK"</f>
        <v>#N/A</v>
      </c>
      <c r="F18" s="229" t="s">
        <v>688</v>
      </c>
      <c r="G18" s="229" t="s">
        <v>689</v>
      </c>
      <c r="H18" s="230">
        <f>Control_Status_Date+5</f>
        <v>46208</v>
      </c>
    </row>
    <row r="19" spans="1:8" ht="43.5" customHeight="1" x14ac:dyDescent="0.35">
      <c r="A19" s="228">
        <v>6</v>
      </c>
      <c r="B19" s="228" t="s">
        <v>637</v>
      </c>
      <c r="C19" s="229" t="str">
        <f>_xlfn.XLOOKUP(B19,tbl_Task_Plan[WBS ID],tbl_Task_Plan[Task / Activity],"")</f>
        <v/>
      </c>
      <c r="D19" s="229" t="s">
        <v>690</v>
      </c>
      <c r="E19" s="229" t="e">
        <f>TEXT(_xlfn.XLOOKUP(B19,tbl_Task_Plan[WBS ID],tbl_Task_Plan[Progress %]),"0%")&amp;" complete; SPI "&amp;TEXT(_xlfn.XLOOKUP(B19,tbl_Task_Plan[WBS ID],tbl_Task_Plan[SPI]),"0.00")&amp;"; CPI "&amp;TEXT(_xlfn.XLOOKUP(B19,tbl_Task_Plan[WBS ID],tbl_Task_Plan[CPI]),"0.00")&amp;"; SV "&amp;TEXT(_xlfn.XLOOKUP(B19,tbl_Task_Plan[WBS ID],tbl_Task_Plan[SV]),"#,##0")&amp;" NOK"</f>
        <v>#N/A</v>
      </c>
      <c r="F19" s="229" t="s">
        <v>691</v>
      </c>
      <c r="G19" s="229" t="s">
        <v>359</v>
      </c>
      <c r="H19" s="230">
        <f>Control_Status_Date+2</f>
        <v>46205</v>
      </c>
    </row>
    <row r="20" spans="1:8" ht="58" customHeight="1" x14ac:dyDescent="0.35">
      <c r="A20" s="228">
        <v>7</v>
      </c>
      <c r="B20" s="228" t="s">
        <v>640</v>
      </c>
      <c r="C20" s="229" t="str">
        <f>_xlfn.XLOOKUP(B20,tbl_Task_Plan[WBS ID],tbl_Task_Plan[Task / Activity],"")</f>
        <v/>
      </c>
      <c r="D20" s="229" t="s">
        <v>692</v>
      </c>
      <c r="E20" s="229" t="e">
        <f>TEXT(_xlfn.XLOOKUP(B20,tbl_Task_Plan[WBS ID],tbl_Task_Plan[Progress %]),"0%")&amp;" complete; SPI "&amp;TEXT(_xlfn.XLOOKUP(B20,tbl_Task_Plan[WBS ID],tbl_Task_Plan[SPI]),"0.00")&amp;"; CPI "&amp;TEXT(_xlfn.XLOOKUP(B20,tbl_Task_Plan[WBS ID],tbl_Task_Plan[CPI]),"0.00")&amp;"; SV "&amp;TEXT(_xlfn.XLOOKUP(B20,tbl_Task_Plan[WBS ID],tbl_Task_Plan[SV]),"#,##0")&amp;" NOK"</f>
        <v>#N/A</v>
      </c>
      <c r="F20" s="229" t="s">
        <v>693</v>
      </c>
      <c r="G20" s="229" t="s">
        <v>355</v>
      </c>
      <c r="H20" s="230">
        <f>Control_Status_Date+7</f>
        <v>46210</v>
      </c>
    </row>
    <row r="21" spans="1:8" ht="58" customHeight="1" x14ac:dyDescent="0.35">
      <c r="A21" s="228">
        <v>8</v>
      </c>
      <c r="B21" s="228" t="s">
        <v>38</v>
      </c>
      <c r="C21" s="229" t="str">
        <f>_xlfn.XLOOKUP(B21,tbl_Task_Plan[WBS ID],tbl_Task_Plan[Task / Activity],"")</f>
        <v/>
      </c>
      <c r="D21" s="229" t="s">
        <v>692</v>
      </c>
      <c r="E21" s="229" t="e">
        <f>TEXT(_xlfn.XLOOKUP(B21,tbl_Task_Plan[WBS ID],tbl_Task_Plan[Progress %]),"0%")&amp;" complete; SPI "&amp;TEXT(_xlfn.XLOOKUP(B21,tbl_Task_Plan[WBS ID],tbl_Task_Plan[SPI]),"0.00")&amp;"; CPI "&amp;TEXT(_xlfn.XLOOKUP(B21,tbl_Task_Plan[WBS ID],tbl_Task_Plan[CPI]),"0.00")&amp;"; SV "&amp;TEXT(_xlfn.XLOOKUP(B21,tbl_Task_Plan[WBS ID],tbl_Task_Plan[SV]),"#,##0")&amp;" NOK"</f>
        <v>#N/A</v>
      </c>
      <c r="F21" s="229" t="s">
        <v>694</v>
      </c>
      <c r="G21" s="229" t="s">
        <v>355</v>
      </c>
      <c r="H21" s="230">
        <f>Control_Status_Date+7</f>
        <v>46210</v>
      </c>
    </row>
    <row r="24" spans="1:8" x14ac:dyDescent="0.35">
      <c r="A24" s="220" t="s">
        <v>695</v>
      </c>
      <c r="B24" s="220"/>
      <c r="C24" s="220"/>
      <c r="D24" s="220"/>
      <c r="E24" s="220"/>
      <c r="F24" s="220"/>
      <c r="G24" s="220"/>
      <c r="H24" s="220"/>
    </row>
    <row r="25" spans="1:8" ht="409.5" customHeight="1" x14ac:dyDescent="0.35">
      <c r="A25" s="221" t="s">
        <v>696</v>
      </c>
      <c r="B25" s="221"/>
      <c r="C25" s="221"/>
      <c r="D25" s="221"/>
      <c r="E25" s="221"/>
      <c r="F25" s="221"/>
      <c r="G25" s="221"/>
      <c r="H25" s="221"/>
    </row>
    <row r="26" spans="1:8" x14ac:dyDescent="0.35">
      <c r="A26" s="221"/>
      <c r="B26" s="221"/>
      <c r="C26" s="221"/>
      <c r="D26" s="221"/>
      <c r="E26" s="221"/>
      <c r="F26" s="221"/>
      <c r="G26" s="221"/>
      <c r="H26" s="221"/>
    </row>
    <row r="27" spans="1:8" x14ac:dyDescent="0.35">
      <c r="A27" s="221"/>
      <c r="B27" s="221"/>
      <c r="C27" s="221"/>
      <c r="D27" s="221"/>
      <c r="E27" s="221"/>
      <c r="F27" s="221"/>
      <c r="G27" s="221"/>
      <c r="H27" s="221"/>
    </row>
  </sheetData>
  <mergeCells count="4">
    <mergeCell ref="A4:H4"/>
    <mergeCell ref="A2:H2"/>
    <mergeCell ref="A5:H7"/>
    <mergeCell ref="A1:H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6"/>
  <sheetViews>
    <sheetView topLeftCell="A29" workbookViewId="0"/>
  </sheetViews>
  <sheetFormatPr defaultRowHeight="14.5" x14ac:dyDescent="0.35"/>
  <cols>
    <col min="1" max="1" width="16" style="231" customWidth="1"/>
    <col min="2" max="2" width="15.6328125" style="231" customWidth="1"/>
    <col min="3" max="7" width="16" style="231" customWidth="1"/>
    <col min="8" max="8" width="12.7265625" style="231" customWidth="1"/>
    <col min="9" max="14" width="16.36328125" style="231" customWidth="1"/>
  </cols>
  <sheetData>
    <row r="1" spans="1:8" ht="23.5" customHeight="1" x14ac:dyDescent="0.55000000000000004">
      <c r="A1" s="232" t="s">
        <v>697</v>
      </c>
      <c r="B1" s="232"/>
      <c r="C1" s="232"/>
      <c r="D1" s="232"/>
      <c r="E1" s="232"/>
      <c r="F1" s="232"/>
      <c r="G1" s="232"/>
      <c r="H1" s="232"/>
    </row>
    <row r="2" spans="1:8" ht="130.5" customHeight="1" x14ac:dyDescent="0.35">
      <c r="A2" s="219" t="s">
        <v>698</v>
      </c>
      <c r="B2" s="219"/>
      <c r="C2" s="219"/>
      <c r="D2" s="219"/>
      <c r="E2" s="219"/>
      <c r="F2" s="219"/>
      <c r="G2" s="219"/>
      <c r="H2" s="219"/>
    </row>
    <row r="4" spans="1:8" x14ac:dyDescent="0.35">
      <c r="A4" s="233" t="s">
        <v>665</v>
      </c>
      <c r="B4" s="233"/>
      <c r="C4" s="233"/>
      <c r="D4" s="233"/>
      <c r="E4" s="233"/>
      <c r="F4" s="233"/>
      <c r="G4" s="233"/>
      <c r="H4" s="233"/>
    </row>
    <row r="5" spans="1:8" ht="304.5" customHeight="1" x14ac:dyDescent="0.35">
      <c r="A5" s="229" t="s">
        <v>699</v>
      </c>
      <c r="B5" s="229"/>
      <c r="C5" s="229"/>
      <c r="D5" s="229"/>
      <c r="E5" s="229"/>
      <c r="F5" s="229"/>
      <c r="G5" s="229"/>
      <c r="H5" s="229"/>
    </row>
    <row r="6" spans="1:8" x14ac:dyDescent="0.35">
      <c r="A6" s="229"/>
      <c r="B6" s="229"/>
      <c r="C6" s="229"/>
      <c r="D6" s="229"/>
      <c r="E6" s="229"/>
      <c r="F6" s="229"/>
      <c r="G6" s="229"/>
      <c r="H6" s="229"/>
    </row>
    <row r="8" spans="1:8" x14ac:dyDescent="0.35">
      <c r="A8" s="234" t="s">
        <v>700</v>
      </c>
      <c r="B8" s="234" t="s">
        <v>701</v>
      </c>
      <c r="C8" s="234" t="s">
        <v>264</v>
      </c>
      <c r="D8" s="234" t="s">
        <v>272</v>
      </c>
      <c r="E8" s="234" t="s">
        <v>702</v>
      </c>
      <c r="F8" s="234" t="s">
        <v>703</v>
      </c>
      <c r="G8" s="234" t="s">
        <v>704</v>
      </c>
    </row>
    <row r="9" spans="1:8" ht="15.5" customHeight="1" x14ac:dyDescent="0.35">
      <c r="A9" s="235">
        <f>COUNTIF('Task Plan'!T5:T16,"Red")</f>
        <v>6</v>
      </c>
      <c r="B9" s="236">
        <f>SUM('Task Plan'!H5:H16)</f>
        <v>222950</v>
      </c>
      <c r="C9" s="236">
        <f>SUM('Task Plan'!J5:J16)</f>
        <v>105490.4</v>
      </c>
      <c r="D9" s="236" t="e">
        <f>SUM('Task Plan'!L5:L16)</f>
        <v>#VALUE!</v>
      </c>
      <c r="E9" s="237">
        <f>AVERAGE('Task Plan'!O5:O16)</f>
        <v>0.69573808333333342</v>
      </c>
      <c r="F9" s="237">
        <f>AVERAGE('Task Plan'!P5:P16)</f>
        <v>0.95844860888047878</v>
      </c>
      <c r="G9" s="236" t="e">
        <f>-SUM('Task Plan'!S5:S16)</f>
        <v>#VALUE!</v>
      </c>
    </row>
    <row r="12" spans="1:8" x14ac:dyDescent="0.35">
      <c r="A12" s="233" t="s">
        <v>705</v>
      </c>
      <c r="B12" s="233"/>
      <c r="C12" s="233"/>
      <c r="D12" s="233"/>
      <c r="E12" s="233"/>
      <c r="F12" s="233"/>
      <c r="G12" s="233"/>
    </row>
    <row r="13" spans="1:8" x14ac:dyDescent="0.35">
      <c r="A13" s="231" t="s">
        <v>557</v>
      </c>
      <c r="B13" s="231" t="s">
        <v>706</v>
      </c>
      <c r="C13" s="231" t="s">
        <v>707</v>
      </c>
      <c r="D13" s="231" t="s">
        <v>708</v>
      </c>
      <c r="E13" s="231" t="s">
        <v>709</v>
      </c>
      <c r="F13" s="231" t="s">
        <v>710</v>
      </c>
      <c r="G13" s="231" t="s">
        <v>711</v>
      </c>
    </row>
    <row r="14" spans="1:8" x14ac:dyDescent="0.35">
      <c r="A14" s="231" t="s">
        <v>570</v>
      </c>
      <c r="B14" s="239">
        <v>0</v>
      </c>
      <c r="C14" s="240">
        <v>0</v>
      </c>
      <c r="D14" s="240">
        <v>0</v>
      </c>
      <c r="E14" s="240">
        <v>0</v>
      </c>
      <c r="F14" s="240">
        <v>0</v>
      </c>
      <c r="G14" s="240">
        <v>0</v>
      </c>
    </row>
    <row r="15" spans="1:8" x14ac:dyDescent="0.35">
      <c r="A15" s="231" t="s">
        <v>571</v>
      </c>
      <c r="B15" s="239">
        <v>0</v>
      </c>
      <c r="C15" s="240">
        <v>0</v>
      </c>
      <c r="D15" s="240">
        <v>0</v>
      </c>
      <c r="E15" s="240">
        <v>0</v>
      </c>
      <c r="F15" s="240">
        <v>0</v>
      </c>
      <c r="G15" s="240">
        <v>0</v>
      </c>
    </row>
    <row r="16" spans="1:8" x14ac:dyDescent="0.35">
      <c r="A16" s="231" t="s">
        <v>572</v>
      </c>
      <c r="B16" s="239">
        <v>0</v>
      </c>
      <c r="C16" s="240">
        <v>0</v>
      </c>
      <c r="D16" s="240">
        <v>0</v>
      </c>
      <c r="E16" s="240">
        <v>0</v>
      </c>
      <c r="F16" s="240">
        <v>0</v>
      </c>
      <c r="G16" s="240">
        <v>0</v>
      </c>
    </row>
    <row r="17" spans="1:8" x14ac:dyDescent="0.35">
      <c r="A17" s="231" t="s">
        <v>573</v>
      </c>
      <c r="B17" s="239">
        <v>0</v>
      </c>
      <c r="C17" s="240">
        <v>0</v>
      </c>
      <c r="D17" s="240">
        <v>0</v>
      </c>
      <c r="E17" s="240">
        <v>0</v>
      </c>
      <c r="F17" s="240">
        <v>0</v>
      </c>
      <c r="G17" s="240">
        <v>0</v>
      </c>
    </row>
    <row r="18" spans="1:8" x14ac:dyDescent="0.35">
      <c r="A18" s="231" t="s">
        <v>269</v>
      </c>
      <c r="B18" s="239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</row>
    <row r="19" spans="1:8" x14ac:dyDescent="0.35">
      <c r="A19" s="231" t="s">
        <v>8</v>
      </c>
      <c r="B19" s="239">
        <v>0</v>
      </c>
      <c r="C19" s="244">
        <v>0</v>
      </c>
      <c r="D19" s="244">
        <v>0</v>
      </c>
      <c r="E19" s="244">
        <v>0</v>
      </c>
      <c r="F19" s="244">
        <v>0</v>
      </c>
      <c r="G19" s="244">
        <v>0</v>
      </c>
    </row>
    <row r="20" spans="1:8" x14ac:dyDescent="0.35">
      <c r="A20" s="231" t="s">
        <v>9</v>
      </c>
      <c r="B20" s="239">
        <v>0</v>
      </c>
      <c r="C20" s="244">
        <v>0</v>
      </c>
      <c r="D20" s="244">
        <v>0</v>
      </c>
      <c r="E20" s="244">
        <v>0</v>
      </c>
      <c r="F20" s="244">
        <v>0</v>
      </c>
      <c r="G20" s="244">
        <v>0</v>
      </c>
    </row>
    <row r="21" spans="1:8" x14ac:dyDescent="0.35">
      <c r="A21" s="231" t="s">
        <v>278</v>
      </c>
      <c r="B21" s="239">
        <v>0</v>
      </c>
      <c r="C21" s="240">
        <v>0</v>
      </c>
      <c r="D21" s="240">
        <v>0</v>
      </c>
      <c r="E21" s="240">
        <v>0</v>
      </c>
      <c r="F21" s="240">
        <v>0</v>
      </c>
      <c r="G21" s="240">
        <v>0</v>
      </c>
    </row>
    <row r="22" spans="1:8" x14ac:dyDescent="0.35">
      <c r="A22" s="231" t="s">
        <v>282</v>
      </c>
      <c r="B22" s="239">
        <v>0</v>
      </c>
      <c r="C22" s="240">
        <v>0</v>
      </c>
      <c r="D22" s="240">
        <v>0</v>
      </c>
      <c r="E22" s="240">
        <v>0</v>
      </c>
      <c r="F22" s="240">
        <v>0</v>
      </c>
      <c r="G22" s="240">
        <v>0</v>
      </c>
    </row>
    <row r="23" spans="1:8" x14ac:dyDescent="0.35">
      <c r="A23" s="231" t="s">
        <v>302</v>
      </c>
      <c r="B23" s="239">
        <v>0</v>
      </c>
      <c r="C23" s="240">
        <v>0</v>
      </c>
      <c r="D23" s="240">
        <v>0</v>
      </c>
      <c r="E23" s="240">
        <v>0</v>
      </c>
      <c r="F23" s="240">
        <v>0</v>
      </c>
      <c r="G23" s="240">
        <v>0</v>
      </c>
    </row>
    <row r="26" spans="1:8" x14ac:dyDescent="0.35">
      <c r="A26" s="233" t="s">
        <v>712</v>
      </c>
      <c r="B26" s="233"/>
      <c r="C26" s="233"/>
      <c r="D26" s="233"/>
      <c r="E26" s="233"/>
      <c r="F26" s="233"/>
      <c r="G26" s="233"/>
      <c r="H26" s="233"/>
    </row>
    <row r="27" spans="1:8" x14ac:dyDescent="0.35">
      <c r="A27" s="238" t="s">
        <v>713</v>
      </c>
      <c r="B27" s="231" t="s">
        <v>714</v>
      </c>
      <c r="C27" s="231" t="s">
        <v>715</v>
      </c>
      <c r="D27" s="231" t="s">
        <v>716</v>
      </c>
      <c r="E27" s="231" t="s">
        <v>717</v>
      </c>
      <c r="F27" s="231" t="s">
        <v>718</v>
      </c>
      <c r="G27" s="231" t="s">
        <v>719</v>
      </c>
      <c r="H27" s="231" t="s">
        <v>720</v>
      </c>
    </row>
    <row r="28" spans="1:8" x14ac:dyDescent="0.35">
      <c r="A28" s="241" t="s">
        <v>438</v>
      </c>
      <c r="B28" s="242">
        <v>96900</v>
      </c>
      <c r="C28" s="242">
        <v>80400</v>
      </c>
      <c r="D28" s="242">
        <v>76109.440000000002</v>
      </c>
      <c r="E28" s="242">
        <v>68100</v>
      </c>
      <c r="F28" s="242">
        <v>-12300</v>
      </c>
      <c r="G28" s="242">
        <v>-8009.4399999999969</v>
      </c>
      <c r="H28" s="242">
        <v>-12040.68571428571</v>
      </c>
    </row>
    <row r="29" spans="1:8" x14ac:dyDescent="0.35">
      <c r="A29" s="241" t="s">
        <v>643</v>
      </c>
      <c r="B29" s="242">
        <v>107750</v>
      </c>
      <c r="C29" s="242">
        <v>75833.34</v>
      </c>
      <c r="D29" s="242">
        <v>41300</v>
      </c>
      <c r="E29" s="242">
        <v>42000</v>
      </c>
      <c r="F29" s="242">
        <v>-33833.339999999997</v>
      </c>
      <c r="G29" s="242">
        <v>700</v>
      </c>
      <c r="H29" s="242">
        <v>700</v>
      </c>
    </row>
    <row r="30" spans="1:8" x14ac:dyDescent="0.35">
      <c r="A30" s="241" t="s">
        <v>644</v>
      </c>
      <c r="B30" s="242">
        <v>64000</v>
      </c>
      <c r="C30" s="242">
        <v>64000</v>
      </c>
      <c r="D30" s="242">
        <v>24576</v>
      </c>
      <c r="E30" s="242">
        <v>21367.995999999999</v>
      </c>
      <c r="F30" s="242">
        <v>-42632.004000000001</v>
      </c>
      <c r="G30" s="242">
        <v>-3208.003999999999</v>
      </c>
      <c r="H30" s="242">
        <v>-8219.2264794641087</v>
      </c>
    </row>
    <row r="31" spans="1:8" x14ac:dyDescent="0.35">
      <c r="A31" s="241" t="s">
        <v>721</v>
      </c>
      <c r="B31" s="242">
        <v>268650</v>
      </c>
      <c r="C31" s="242">
        <v>220233.34</v>
      </c>
      <c r="D31" s="242">
        <v>141985.44</v>
      </c>
      <c r="E31" s="242">
        <v>131467.99600000001</v>
      </c>
      <c r="F31" s="242">
        <v>-88765.343999999997</v>
      </c>
      <c r="G31" s="242">
        <v>-10517.444</v>
      </c>
      <c r="H31" s="242">
        <v>-19559.91219374982</v>
      </c>
    </row>
    <row r="35" spans="1:8" x14ac:dyDescent="0.35">
      <c r="A35" s="233" t="s">
        <v>722</v>
      </c>
      <c r="B35" s="233"/>
      <c r="C35" s="233"/>
      <c r="D35" s="233"/>
      <c r="E35" s="233"/>
      <c r="F35" s="233"/>
      <c r="G35" s="233"/>
      <c r="H35" s="233"/>
    </row>
    <row r="36" spans="1:8" x14ac:dyDescent="0.35">
      <c r="A36" s="238" t="s">
        <v>713</v>
      </c>
      <c r="B36" s="231" t="s">
        <v>714</v>
      </c>
      <c r="C36" s="231" t="s">
        <v>715</v>
      </c>
      <c r="D36" s="231" t="s">
        <v>716</v>
      </c>
      <c r="E36" s="231" t="s">
        <v>717</v>
      </c>
      <c r="F36" s="231" t="s">
        <v>718</v>
      </c>
      <c r="G36" s="231" t="s">
        <v>719</v>
      </c>
      <c r="H36" s="231" t="s">
        <v>720</v>
      </c>
    </row>
    <row r="37" spans="1:8" x14ac:dyDescent="0.35">
      <c r="A37" s="241" t="s">
        <v>18</v>
      </c>
      <c r="B37" s="242">
        <v>73200</v>
      </c>
      <c r="C37" s="242">
        <v>61200</v>
      </c>
      <c r="D37" s="242">
        <v>59495.040000000001</v>
      </c>
      <c r="E37" s="242">
        <v>61200</v>
      </c>
      <c r="F37" s="242">
        <v>0</v>
      </c>
      <c r="G37" s="242">
        <v>1704.9599999999989</v>
      </c>
      <c r="H37" s="242">
        <v>1704.9599999999989</v>
      </c>
    </row>
    <row r="38" spans="1:8" x14ac:dyDescent="0.35">
      <c r="A38" s="241" t="s">
        <v>29</v>
      </c>
      <c r="B38" s="242">
        <v>195450</v>
      </c>
      <c r="C38" s="242">
        <v>159033.34</v>
      </c>
      <c r="D38" s="242">
        <v>82490.399999999994</v>
      </c>
      <c r="E38" s="242">
        <v>70267.995999999999</v>
      </c>
      <c r="F38" s="242">
        <v>-88765.343999999997</v>
      </c>
      <c r="G38" s="242">
        <v>-12222.40399999999</v>
      </c>
      <c r="H38" s="242">
        <v>-21264.872193749819</v>
      </c>
    </row>
    <row r="39" spans="1:8" x14ac:dyDescent="0.35">
      <c r="A39" s="241" t="s">
        <v>721</v>
      </c>
      <c r="B39" s="242">
        <v>268650</v>
      </c>
      <c r="C39" s="242">
        <v>220233.34</v>
      </c>
      <c r="D39" s="242">
        <v>141985.44</v>
      </c>
      <c r="E39" s="242">
        <v>131467.99600000001</v>
      </c>
      <c r="F39" s="242">
        <v>-88765.343999999997</v>
      </c>
      <c r="G39" s="242">
        <v>-10517.444</v>
      </c>
      <c r="H39" s="242">
        <v>-19559.91219374982</v>
      </c>
    </row>
    <row r="44" spans="1:8" x14ac:dyDescent="0.35">
      <c r="A44" s="233" t="s">
        <v>723</v>
      </c>
      <c r="B44" s="233"/>
      <c r="C44" s="233"/>
    </row>
    <row r="45" spans="1:8" x14ac:dyDescent="0.35">
      <c r="A45" s="238" t="s">
        <v>713</v>
      </c>
      <c r="B45" s="231" t="s">
        <v>724</v>
      </c>
      <c r="C45" s="231" t="s">
        <v>725</v>
      </c>
    </row>
    <row r="46" spans="1:8" x14ac:dyDescent="0.35">
      <c r="A46" s="241" t="s">
        <v>637</v>
      </c>
      <c r="B46" s="242">
        <v>9600</v>
      </c>
      <c r="C46" s="244">
        <v>6.3</v>
      </c>
    </row>
    <row r="47" spans="1:8" x14ac:dyDescent="0.35">
      <c r="A47" s="241" t="s">
        <v>640</v>
      </c>
      <c r="B47" s="242">
        <v>8700</v>
      </c>
      <c r="C47" s="244">
        <v>3.95</v>
      </c>
    </row>
    <row r="48" spans="1:8" x14ac:dyDescent="0.35">
      <c r="A48" s="241" t="s">
        <v>26</v>
      </c>
      <c r="B48" s="242">
        <v>18195.04</v>
      </c>
      <c r="C48" s="244">
        <v>7.5999999999999979</v>
      </c>
    </row>
    <row r="49" spans="1:7" x14ac:dyDescent="0.35">
      <c r="A49" s="241" t="s">
        <v>32</v>
      </c>
      <c r="B49" s="242">
        <v>41300</v>
      </c>
      <c r="C49" s="244">
        <v>0</v>
      </c>
    </row>
    <row r="50" spans="1:7" x14ac:dyDescent="0.35">
      <c r="A50" s="241" t="s">
        <v>38</v>
      </c>
      <c r="B50" s="242">
        <v>13408.16</v>
      </c>
      <c r="C50" s="244">
        <v>6.0499999999999989</v>
      </c>
    </row>
    <row r="51" spans="1:7" x14ac:dyDescent="0.35">
      <c r="A51" s="241" t="s">
        <v>40</v>
      </c>
      <c r="B51" s="242">
        <v>26206.240000000002</v>
      </c>
      <c r="C51" s="244">
        <v>10.1</v>
      </c>
    </row>
    <row r="52" spans="1:7" x14ac:dyDescent="0.35">
      <c r="A52" s="241" t="s">
        <v>43</v>
      </c>
      <c r="B52" s="242">
        <v>17476.8</v>
      </c>
      <c r="C52" s="244">
        <v>0</v>
      </c>
    </row>
    <row r="53" spans="1:7" x14ac:dyDescent="0.35">
      <c r="A53" s="241" t="s">
        <v>45</v>
      </c>
      <c r="B53" s="242">
        <v>7099.2</v>
      </c>
      <c r="C53" s="244">
        <v>0</v>
      </c>
    </row>
    <row r="54" spans="1:7" x14ac:dyDescent="0.35">
      <c r="A54" s="241" t="s">
        <v>721</v>
      </c>
      <c r="B54" s="242">
        <v>141985.44</v>
      </c>
      <c r="C54" s="244">
        <v>34</v>
      </c>
    </row>
    <row r="62" spans="1:7" x14ac:dyDescent="0.35">
      <c r="A62" s="233" t="s">
        <v>726</v>
      </c>
      <c r="B62" s="233"/>
      <c r="C62" s="233"/>
      <c r="D62" s="233"/>
      <c r="E62" s="233"/>
      <c r="F62" s="233"/>
      <c r="G62" s="233"/>
    </row>
    <row r="63" spans="1:7" x14ac:dyDescent="0.35">
      <c r="A63" s="238" t="s">
        <v>713</v>
      </c>
      <c r="B63" s="231" t="s">
        <v>727</v>
      </c>
      <c r="C63" s="231" t="s">
        <v>728</v>
      </c>
      <c r="D63" s="231" t="s">
        <v>729</v>
      </c>
      <c r="E63" s="231" t="s">
        <v>718</v>
      </c>
      <c r="F63" s="231" t="s">
        <v>719</v>
      </c>
      <c r="G63" s="231" t="s">
        <v>720</v>
      </c>
    </row>
    <row r="64" spans="1:7" x14ac:dyDescent="0.35">
      <c r="A64" s="241">
        <v>1</v>
      </c>
      <c r="B64" s="242">
        <v>16400</v>
      </c>
      <c r="C64" s="242">
        <v>16295.04</v>
      </c>
      <c r="D64" s="242">
        <v>15087.994000000001</v>
      </c>
      <c r="E64" s="242">
        <v>-1312.0059999999989</v>
      </c>
      <c r="F64" s="242">
        <v>-1207.046</v>
      </c>
      <c r="G64" s="242">
        <v>-21492.115379950439</v>
      </c>
    </row>
    <row r="65" spans="1:7" x14ac:dyDescent="0.35">
      <c r="A65" s="241">
        <v>2</v>
      </c>
      <c r="B65" s="242">
        <v>39200</v>
      </c>
      <c r="C65" s="242">
        <v>38949.120000000003</v>
      </c>
      <c r="D65" s="242">
        <v>36064.003599999996</v>
      </c>
      <c r="E65" s="242">
        <v>-3135.9963999999959</v>
      </c>
      <c r="F65" s="242">
        <v>-2885.116399999999</v>
      </c>
      <c r="G65" s="242">
        <v>-21491.971037292151</v>
      </c>
    </row>
    <row r="66" spans="1:7" x14ac:dyDescent="0.35">
      <c r="A66" s="241">
        <v>3</v>
      </c>
      <c r="B66" s="242">
        <v>62000</v>
      </c>
      <c r="C66" s="242">
        <v>61603.199999999997</v>
      </c>
      <c r="D66" s="242">
        <v>57040</v>
      </c>
      <c r="E66" s="242">
        <v>-4960</v>
      </c>
      <c r="F66" s="242">
        <v>-4563.2000000000044</v>
      </c>
      <c r="G66" s="242">
        <v>-21492.000000000058</v>
      </c>
    </row>
    <row r="67" spans="1:7" x14ac:dyDescent="0.35">
      <c r="A67" s="241">
        <v>4</v>
      </c>
      <c r="B67" s="242">
        <v>87066.67</v>
      </c>
      <c r="C67" s="242">
        <v>86509.440000000017</v>
      </c>
      <c r="D67" s="242">
        <v>80101.327999999994</v>
      </c>
      <c r="E67" s="242">
        <v>-6965.3420000000042</v>
      </c>
      <c r="F67" s="242">
        <v>-6408.1120000000228</v>
      </c>
      <c r="G67" s="242">
        <v>-21492.019318331499</v>
      </c>
    </row>
    <row r="68" spans="1:7" x14ac:dyDescent="0.35">
      <c r="A68" s="241">
        <v>5</v>
      </c>
      <c r="B68" s="242">
        <v>116733.34</v>
      </c>
      <c r="C68" s="242">
        <v>115986.24000000001</v>
      </c>
      <c r="D68" s="242">
        <v>107394.674</v>
      </c>
      <c r="E68" s="242">
        <v>-9338.6659999999974</v>
      </c>
      <c r="F68" s="242">
        <v>-8591.5660000000207</v>
      </c>
      <c r="G68" s="242">
        <v>-21491.980187956131</v>
      </c>
    </row>
    <row r="69" spans="1:7" x14ac:dyDescent="0.35">
      <c r="A69" s="241">
        <v>6</v>
      </c>
      <c r="B69" s="242">
        <v>142900</v>
      </c>
      <c r="C69" s="242">
        <v>141985.44</v>
      </c>
      <c r="D69" s="242">
        <v>131467.99600000001</v>
      </c>
      <c r="E69" s="242">
        <v>-11432.00399999999</v>
      </c>
      <c r="F69" s="242">
        <v>-10517.44399999999</v>
      </c>
      <c r="G69" s="242">
        <v>-21492.008827760579</v>
      </c>
    </row>
    <row r="70" spans="1:7" x14ac:dyDescent="0.35">
      <c r="A70" s="241">
        <v>7</v>
      </c>
      <c r="B70" s="242">
        <v>160400</v>
      </c>
      <c r="C70" s="242">
        <v>141985.44</v>
      </c>
      <c r="D70" s="242">
        <v>131467.99600000001</v>
      </c>
      <c r="E70" s="242">
        <v>-28932.00399999999</v>
      </c>
      <c r="F70" s="242">
        <v>-10517.44399999999</v>
      </c>
      <c r="G70" s="242">
        <v>-21492.008827760579</v>
      </c>
    </row>
    <row r="71" spans="1:7" x14ac:dyDescent="0.35">
      <c r="A71" s="241">
        <v>8</v>
      </c>
      <c r="B71" s="242">
        <v>189816.67</v>
      </c>
      <c r="C71" s="242">
        <v>141985.44</v>
      </c>
      <c r="D71" s="242">
        <v>131467.99600000001</v>
      </c>
      <c r="E71" s="242">
        <v>-58348.673999999999</v>
      </c>
      <c r="F71" s="242">
        <v>-10517.44399999999</v>
      </c>
      <c r="G71" s="242">
        <v>-21492.008827760579</v>
      </c>
    </row>
    <row r="72" spans="1:7" x14ac:dyDescent="0.35">
      <c r="A72" s="241">
        <v>9</v>
      </c>
      <c r="B72" s="242">
        <v>220233.34</v>
      </c>
      <c r="C72" s="242">
        <v>141985.44</v>
      </c>
      <c r="D72" s="242">
        <v>131467.99600000001</v>
      </c>
      <c r="E72" s="242">
        <v>-88765.344000000012</v>
      </c>
      <c r="F72" s="242">
        <v>-10517.44399999999</v>
      </c>
      <c r="G72" s="242">
        <v>-21492.008827760579</v>
      </c>
    </row>
    <row r="73" spans="1:7" x14ac:dyDescent="0.35">
      <c r="A73" s="241">
        <v>10</v>
      </c>
      <c r="B73" s="242">
        <v>243650</v>
      </c>
      <c r="C73" s="242">
        <v>141985.44</v>
      </c>
      <c r="D73" s="242">
        <v>131467.99600000001</v>
      </c>
      <c r="E73" s="242">
        <v>-112182.004</v>
      </c>
      <c r="F73" s="242">
        <v>-10517.44399999999</v>
      </c>
      <c r="G73" s="242">
        <v>-21492.008827760579</v>
      </c>
    </row>
    <row r="74" spans="1:7" x14ac:dyDescent="0.35">
      <c r="A74" s="241">
        <v>11</v>
      </c>
      <c r="B74" s="242">
        <v>259350</v>
      </c>
      <c r="C74" s="242">
        <v>141985.44</v>
      </c>
      <c r="D74" s="242">
        <v>131467.99600000001</v>
      </c>
      <c r="E74" s="242">
        <v>-127882.004</v>
      </c>
      <c r="F74" s="242">
        <v>-10517.44399999999</v>
      </c>
      <c r="G74" s="242">
        <v>-21492.008827760579</v>
      </c>
    </row>
    <row r="75" spans="1:7" x14ac:dyDescent="0.35">
      <c r="A75" s="241">
        <v>12</v>
      </c>
      <c r="B75" s="242">
        <v>268650</v>
      </c>
      <c r="C75" s="242">
        <v>141985.44</v>
      </c>
      <c r="D75" s="242">
        <v>131467.99600000001</v>
      </c>
      <c r="E75" s="242">
        <v>-137182.00399999999</v>
      </c>
      <c r="F75" s="242">
        <v>-10517.44399999999</v>
      </c>
      <c r="G75" s="242">
        <v>-21492.008827760579</v>
      </c>
    </row>
    <row r="76" spans="1:7" x14ac:dyDescent="0.35">
      <c r="A76" s="241" t="s">
        <v>721</v>
      </c>
      <c r="B76" s="242">
        <v>1806400.02</v>
      </c>
      <c r="C76" s="242">
        <v>1313241.1200000001</v>
      </c>
      <c r="D76" s="242">
        <v>1215963.9716</v>
      </c>
      <c r="E76" s="242">
        <v>-590436.04839999997</v>
      </c>
      <c r="F76" s="242">
        <v>-97277.148399999976</v>
      </c>
      <c r="G76" s="242">
        <v>-257904.14771785439</v>
      </c>
    </row>
  </sheetData>
  <pageMargins left="0.7" right="0.7" top="0.75" bottom="0.75" header="0.3" footer="0.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Z35"/>
  <sheetViews>
    <sheetView showGridLines="0" workbookViewId="0">
      <selection sqref="A1:Z1"/>
    </sheetView>
  </sheetViews>
  <sheetFormatPr defaultRowHeight="14.5" x14ac:dyDescent="0.35"/>
  <cols>
    <col min="1" max="1" width="41.26953125" customWidth="1"/>
    <col min="2" max="2" width="30.90625" customWidth="1"/>
    <col min="3" max="3" width="19.08984375" customWidth="1"/>
    <col min="4" max="4" width="11.81640625" customWidth="1"/>
    <col min="5" max="11" width="10.90625" customWidth="1"/>
    <col min="12" max="12" width="14.81640625" customWidth="1"/>
    <col min="13" max="16" width="10.90625" customWidth="1"/>
    <col min="17" max="18" width="14.54296875" customWidth="1"/>
    <col min="19" max="19" width="16.08984375" customWidth="1"/>
    <col min="20" max="20" width="15.36328125" customWidth="1"/>
    <col min="21" max="22" width="14.54296875" customWidth="1"/>
    <col min="23" max="24" width="25.453125" customWidth="1"/>
    <col min="25" max="26" width="5.453125" customWidth="1"/>
  </cols>
  <sheetData>
    <row r="1" spans="1:26" ht="23.5" customHeight="1" x14ac:dyDescent="0.55000000000000004">
      <c r="A1" s="248" t="s">
        <v>730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x14ac:dyDescent="0.35">
      <c r="A2" s="247" t="s">
        <v>731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4" spans="1:26" x14ac:dyDescent="0.35">
      <c r="A4" s="110" t="s">
        <v>2</v>
      </c>
      <c r="B4" s="104" t="s">
        <v>3</v>
      </c>
      <c r="C4" s="104" t="s">
        <v>732</v>
      </c>
      <c r="D4" s="104" t="s">
        <v>166</v>
      </c>
      <c r="E4" s="104" t="s">
        <v>733</v>
      </c>
      <c r="F4" s="104" t="s">
        <v>734</v>
      </c>
      <c r="G4" s="104" t="s">
        <v>735</v>
      </c>
      <c r="H4" s="104" t="s">
        <v>736</v>
      </c>
      <c r="I4" s="104" t="s">
        <v>737</v>
      </c>
      <c r="J4" s="104" t="s">
        <v>738</v>
      </c>
      <c r="K4" s="104" t="s">
        <v>739</v>
      </c>
      <c r="L4" s="104" t="s">
        <v>740</v>
      </c>
      <c r="M4" s="104" t="s">
        <v>741</v>
      </c>
      <c r="N4" s="104" t="s">
        <v>742</v>
      </c>
      <c r="O4" s="104" t="s">
        <v>743</v>
      </c>
      <c r="P4" s="104" t="s">
        <v>744</v>
      </c>
      <c r="Q4" s="104" t="s">
        <v>437</v>
      </c>
      <c r="R4" s="104" t="s">
        <v>257</v>
      </c>
      <c r="S4" s="104" t="s">
        <v>745</v>
      </c>
      <c r="T4" s="104" t="s">
        <v>746</v>
      </c>
      <c r="U4" s="104" t="s">
        <v>9</v>
      </c>
      <c r="V4" s="104" t="s">
        <v>10</v>
      </c>
      <c r="W4" s="104" t="s">
        <v>747</v>
      </c>
      <c r="X4" s="111" t="s">
        <v>598</v>
      </c>
      <c r="Y4" s="45"/>
      <c r="Z4" s="45"/>
    </row>
    <row r="5" spans="1:26" x14ac:dyDescent="0.35">
      <c r="A5" s="108" t="s">
        <v>637</v>
      </c>
      <c r="B5" s="2" t="s">
        <v>638</v>
      </c>
      <c r="C5" s="2" t="s">
        <v>438</v>
      </c>
      <c r="D5" s="2" t="s">
        <v>748</v>
      </c>
      <c r="E5" s="50">
        <v>1.05</v>
      </c>
      <c r="F5" s="50">
        <v>1.05</v>
      </c>
      <c r="G5" s="50">
        <v>1.05</v>
      </c>
      <c r="H5" s="50">
        <v>1.05</v>
      </c>
      <c r="I5" s="50">
        <v>1.05</v>
      </c>
      <c r="J5" s="50">
        <v>1.05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6.3</v>
      </c>
      <c r="R5" s="49">
        <v>18000</v>
      </c>
      <c r="S5" s="49">
        <v>9600</v>
      </c>
      <c r="T5" s="49">
        <v>8400</v>
      </c>
      <c r="U5" s="50">
        <v>0.9375</v>
      </c>
      <c r="V5" s="2" t="s">
        <v>29</v>
      </c>
      <c r="W5" s="2" t="s">
        <v>481</v>
      </c>
      <c r="X5" s="109" t="s">
        <v>749</v>
      </c>
      <c r="Y5" s="2"/>
      <c r="Z5" s="2"/>
    </row>
    <row r="6" spans="1:26" x14ac:dyDescent="0.35">
      <c r="A6" s="108" t="s">
        <v>637</v>
      </c>
      <c r="B6" s="2" t="s">
        <v>638</v>
      </c>
      <c r="C6" s="2" t="s">
        <v>438</v>
      </c>
      <c r="D6" s="2" t="s">
        <v>750</v>
      </c>
      <c r="E6" s="50">
        <v>1600</v>
      </c>
      <c r="F6" s="50">
        <v>1600</v>
      </c>
      <c r="G6" s="50">
        <v>1600</v>
      </c>
      <c r="H6" s="50">
        <v>1600</v>
      </c>
      <c r="I6" s="50">
        <v>1600</v>
      </c>
      <c r="J6" s="50">
        <v>1600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9600</v>
      </c>
      <c r="R6" s="49">
        <v>18000</v>
      </c>
      <c r="S6" s="49">
        <v>9600</v>
      </c>
      <c r="T6" s="49">
        <v>8400</v>
      </c>
      <c r="U6" s="50">
        <v>0.9375</v>
      </c>
      <c r="V6" s="2" t="s">
        <v>29</v>
      </c>
      <c r="W6" s="2" t="s">
        <v>481</v>
      </c>
      <c r="X6" s="109" t="s">
        <v>751</v>
      </c>
      <c r="Y6" s="2"/>
      <c r="Z6" s="2"/>
    </row>
    <row r="7" spans="1:26" x14ac:dyDescent="0.35">
      <c r="A7" s="108" t="s">
        <v>640</v>
      </c>
      <c r="B7" s="2" t="s">
        <v>641</v>
      </c>
      <c r="C7" s="2" t="s">
        <v>438</v>
      </c>
      <c r="D7" s="2" t="s">
        <v>748</v>
      </c>
      <c r="E7" s="50">
        <v>3.95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3.95</v>
      </c>
      <c r="R7" s="49">
        <v>8500</v>
      </c>
      <c r="S7" s="49">
        <v>8700</v>
      </c>
      <c r="T7" s="49">
        <v>-200</v>
      </c>
      <c r="U7" s="50">
        <v>0.97701149425287359</v>
      </c>
      <c r="V7" s="2" t="s">
        <v>23</v>
      </c>
      <c r="W7" s="2" t="s">
        <v>481</v>
      </c>
      <c r="X7" s="109" t="s">
        <v>749</v>
      </c>
      <c r="Y7" s="2"/>
      <c r="Z7" s="2"/>
    </row>
    <row r="8" spans="1:26" x14ac:dyDescent="0.35">
      <c r="A8" s="108" t="s">
        <v>640</v>
      </c>
      <c r="B8" s="2" t="s">
        <v>641</v>
      </c>
      <c r="C8" s="2" t="s">
        <v>438</v>
      </c>
      <c r="D8" s="2" t="s">
        <v>750</v>
      </c>
      <c r="E8" s="50">
        <v>8700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8700</v>
      </c>
      <c r="R8" s="49">
        <v>8500</v>
      </c>
      <c r="S8" s="49">
        <v>8700</v>
      </c>
      <c r="T8" s="49">
        <v>-200</v>
      </c>
      <c r="U8" s="50">
        <v>0.97701149425287359</v>
      </c>
      <c r="V8" s="2" t="s">
        <v>23</v>
      </c>
      <c r="W8" s="2" t="s">
        <v>481</v>
      </c>
      <c r="X8" s="109" t="s">
        <v>751</v>
      </c>
      <c r="Y8" s="2"/>
      <c r="Z8" s="2"/>
    </row>
    <row r="9" spans="1:26" x14ac:dyDescent="0.35">
      <c r="A9" s="108" t="s">
        <v>26</v>
      </c>
      <c r="B9" s="2" t="s">
        <v>27</v>
      </c>
      <c r="C9" s="2" t="s">
        <v>438</v>
      </c>
      <c r="D9" s="2" t="s">
        <v>748</v>
      </c>
      <c r="E9" s="50">
        <v>2.5</v>
      </c>
      <c r="F9" s="50">
        <v>2.5</v>
      </c>
      <c r="G9" s="50">
        <v>2.6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7.6</v>
      </c>
      <c r="R9" s="49">
        <v>19200</v>
      </c>
      <c r="S9" s="49">
        <v>18195.04</v>
      </c>
      <c r="T9" s="49">
        <v>1004.959999999999</v>
      </c>
      <c r="U9" s="50">
        <v>1.055232634827953</v>
      </c>
      <c r="V9" s="2" t="s">
        <v>18</v>
      </c>
      <c r="W9" s="2" t="s">
        <v>481</v>
      </c>
      <c r="X9" s="109" t="s">
        <v>749</v>
      </c>
      <c r="Y9" s="2"/>
      <c r="Z9" s="2"/>
    </row>
    <row r="10" spans="1:26" x14ac:dyDescent="0.35">
      <c r="A10" s="108" t="s">
        <v>26</v>
      </c>
      <c r="B10" s="2" t="s">
        <v>27</v>
      </c>
      <c r="C10" s="2" t="s">
        <v>438</v>
      </c>
      <c r="D10" s="2" t="s">
        <v>750</v>
      </c>
      <c r="E10" s="50">
        <v>5995.04</v>
      </c>
      <c r="F10" s="50">
        <v>6000</v>
      </c>
      <c r="G10" s="50">
        <v>6200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18195.04</v>
      </c>
      <c r="R10" s="49">
        <v>19200</v>
      </c>
      <c r="S10" s="49">
        <v>18195.04</v>
      </c>
      <c r="T10" s="49">
        <v>1004.959999999999</v>
      </c>
      <c r="U10" s="50">
        <v>1.055232634827953</v>
      </c>
      <c r="V10" s="2" t="s">
        <v>18</v>
      </c>
      <c r="W10" s="2" t="s">
        <v>481</v>
      </c>
      <c r="X10" s="109" t="s">
        <v>751</v>
      </c>
      <c r="Y10" s="2"/>
      <c r="Z10" s="2"/>
    </row>
    <row r="11" spans="1:26" x14ac:dyDescent="0.35">
      <c r="A11" s="108" t="s">
        <v>32</v>
      </c>
      <c r="B11" s="2" t="s">
        <v>33</v>
      </c>
      <c r="C11" s="2" t="s">
        <v>643</v>
      </c>
      <c r="D11" s="2" t="s">
        <v>748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49">
        <v>42000</v>
      </c>
      <c r="S11" s="49">
        <v>41300</v>
      </c>
      <c r="T11" s="49">
        <v>700</v>
      </c>
      <c r="U11" s="50">
        <v>1.0169491525423731</v>
      </c>
      <c r="V11" s="2" t="s">
        <v>18</v>
      </c>
      <c r="W11" s="2" t="s">
        <v>481</v>
      </c>
      <c r="X11" s="109" t="s">
        <v>749</v>
      </c>
      <c r="Y11" s="2"/>
      <c r="Z11" s="2"/>
    </row>
    <row r="12" spans="1:26" x14ac:dyDescent="0.35">
      <c r="A12" s="108" t="s">
        <v>32</v>
      </c>
      <c r="B12" s="2" t="s">
        <v>33</v>
      </c>
      <c r="C12" s="2" t="s">
        <v>643</v>
      </c>
      <c r="D12" s="2" t="s">
        <v>750</v>
      </c>
      <c r="E12" s="50">
        <v>0</v>
      </c>
      <c r="F12" s="50">
        <v>10500</v>
      </c>
      <c r="G12" s="50">
        <v>10200</v>
      </c>
      <c r="H12" s="50">
        <v>10200</v>
      </c>
      <c r="I12" s="50">
        <v>10400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41300</v>
      </c>
      <c r="R12" s="49">
        <v>42000</v>
      </c>
      <c r="S12" s="49">
        <v>41300</v>
      </c>
      <c r="T12" s="49">
        <v>700</v>
      </c>
      <c r="U12" s="50">
        <v>1.0169491525423731</v>
      </c>
      <c r="V12" s="2" t="s">
        <v>18</v>
      </c>
      <c r="W12" s="2" t="s">
        <v>481</v>
      </c>
      <c r="X12" s="109" t="s">
        <v>751</v>
      </c>
      <c r="Y12" s="2"/>
      <c r="Z12" s="2"/>
    </row>
    <row r="13" spans="1:26" x14ac:dyDescent="0.35">
      <c r="A13" s="108" t="s">
        <v>38</v>
      </c>
      <c r="B13" s="2" t="s">
        <v>39</v>
      </c>
      <c r="C13" s="2" t="s">
        <v>438</v>
      </c>
      <c r="D13" s="2" t="s">
        <v>748</v>
      </c>
      <c r="E13" s="50">
        <v>0</v>
      </c>
      <c r="F13" s="50">
        <v>2.0499999999999998</v>
      </c>
      <c r="G13" s="50">
        <v>2.1</v>
      </c>
      <c r="H13" s="50">
        <v>1.9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6.0500000000000007</v>
      </c>
      <c r="R13" s="49">
        <v>13200</v>
      </c>
      <c r="S13" s="49">
        <v>13408.16</v>
      </c>
      <c r="T13" s="49">
        <v>-208.15999999999801</v>
      </c>
      <c r="U13" s="50">
        <v>0.98447512559516015</v>
      </c>
      <c r="V13" s="2" t="s">
        <v>23</v>
      </c>
      <c r="W13" s="2" t="s">
        <v>481</v>
      </c>
      <c r="X13" s="109" t="s">
        <v>749</v>
      </c>
      <c r="Y13" s="2"/>
      <c r="Z13" s="2"/>
    </row>
    <row r="14" spans="1:26" x14ac:dyDescent="0.35">
      <c r="A14" s="108" t="s">
        <v>38</v>
      </c>
      <c r="B14" s="2" t="s">
        <v>39</v>
      </c>
      <c r="C14" s="2" t="s">
        <v>438</v>
      </c>
      <c r="D14" s="2" t="s">
        <v>750</v>
      </c>
      <c r="E14" s="50">
        <v>0</v>
      </c>
      <c r="F14" s="50">
        <v>4554.08</v>
      </c>
      <c r="G14" s="50">
        <v>4654.08</v>
      </c>
      <c r="H14" s="50">
        <v>4200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13408.16</v>
      </c>
      <c r="R14" s="49">
        <v>13200</v>
      </c>
      <c r="S14" s="49">
        <v>13408.16</v>
      </c>
      <c r="T14" s="49">
        <v>-208.15999999999801</v>
      </c>
      <c r="U14" s="50">
        <v>0.98447512559516015</v>
      </c>
      <c r="V14" s="2" t="s">
        <v>23</v>
      </c>
      <c r="W14" s="2" t="s">
        <v>481</v>
      </c>
      <c r="X14" s="109" t="s">
        <v>751</v>
      </c>
      <c r="Y14" s="2"/>
      <c r="Z14" s="2"/>
    </row>
    <row r="15" spans="1:26" x14ac:dyDescent="0.35">
      <c r="A15" s="108" t="s">
        <v>40</v>
      </c>
      <c r="B15" s="2" t="s">
        <v>41</v>
      </c>
      <c r="C15" s="2" t="s">
        <v>438</v>
      </c>
      <c r="D15" s="2" t="s">
        <v>748</v>
      </c>
      <c r="E15" s="50">
        <v>0</v>
      </c>
      <c r="F15" s="50">
        <v>0</v>
      </c>
      <c r="G15" s="50">
        <v>0</v>
      </c>
      <c r="H15" s="50">
        <v>3.45</v>
      </c>
      <c r="I15" s="50">
        <v>3.4</v>
      </c>
      <c r="J15" s="50">
        <v>3.25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10.1</v>
      </c>
      <c r="R15" s="49">
        <v>26000</v>
      </c>
      <c r="S15" s="49">
        <v>26206.240000000002</v>
      </c>
      <c r="T15" s="49">
        <v>-206.23999999999799</v>
      </c>
      <c r="U15" s="50">
        <v>0.69449108303976459</v>
      </c>
      <c r="V15" s="2" t="s">
        <v>29</v>
      </c>
      <c r="W15" s="2" t="s">
        <v>481</v>
      </c>
      <c r="X15" s="109" t="s">
        <v>749</v>
      </c>
      <c r="Y15" s="2"/>
      <c r="Z15" s="2"/>
    </row>
    <row r="16" spans="1:26" x14ac:dyDescent="0.35">
      <c r="A16" s="108" t="s">
        <v>40</v>
      </c>
      <c r="B16" s="2" t="s">
        <v>41</v>
      </c>
      <c r="C16" s="2" t="s">
        <v>438</v>
      </c>
      <c r="D16" s="2" t="s">
        <v>750</v>
      </c>
      <c r="E16" s="50">
        <v>0</v>
      </c>
      <c r="F16" s="50">
        <v>0</v>
      </c>
      <c r="G16" s="50">
        <v>0</v>
      </c>
      <c r="H16" s="50">
        <v>8906.24</v>
      </c>
      <c r="I16" s="50">
        <v>8800</v>
      </c>
      <c r="J16" s="50">
        <v>8500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26206.240000000002</v>
      </c>
      <c r="R16" s="49">
        <v>26000</v>
      </c>
      <c r="S16" s="49">
        <v>26206.240000000002</v>
      </c>
      <c r="T16" s="49">
        <v>-206.23999999999799</v>
      </c>
      <c r="U16" s="50">
        <v>0.69449108303976459</v>
      </c>
      <c r="V16" s="2" t="s">
        <v>29</v>
      </c>
      <c r="W16" s="2" t="s">
        <v>481</v>
      </c>
      <c r="X16" s="109" t="s">
        <v>751</v>
      </c>
      <c r="Y16" s="2"/>
      <c r="Z16" s="2"/>
    </row>
    <row r="17" spans="1:26" x14ac:dyDescent="0.35">
      <c r="A17" s="108" t="s">
        <v>43</v>
      </c>
      <c r="B17" s="2" t="s">
        <v>44</v>
      </c>
      <c r="C17" s="2" t="s">
        <v>644</v>
      </c>
      <c r="D17" s="2" t="s">
        <v>748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49">
        <v>36000</v>
      </c>
      <c r="S17" s="49">
        <v>17476.8</v>
      </c>
      <c r="T17" s="49">
        <v>18523.2</v>
      </c>
      <c r="U17" s="50">
        <v>0.82394946443284811</v>
      </c>
      <c r="V17" s="2" t="s">
        <v>29</v>
      </c>
      <c r="W17" s="2" t="s">
        <v>481</v>
      </c>
      <c r="X17" s="109" t="s">
        <v>749</v>
      </c>
      <c r="Y17" s="2"/>
      <c r="Z17" s="2"/>
    </row>
    <row r="18" spans="1:26" x14ac:dyDescent="0.35">
      <c r="A18" s="108" t="s">
        <v>43</v>
      </c>
      <c r="B18" s="2" t="s">
        <v>44</v>
      </c>
      <c r="C18" s="2" t="s">
        <v>644</v>
      </c>
      <c r="D18" s="2" t="s">
        <v>750</v>
      </c>
      <c r="E18" s="50">
        <v>0</v>
      </c>
      <c r="F18" s="50">
        <v>0</v>
      </c>
      <c r="G18" s="50">
        <v>0</v>
      </c>
      <c r="H18" s="50">
        <v>0</v>
      </c>
      <c r="I18" s="50">
        <v>8676.7999999999993</v>
      </c>
      <c r="J18" s="50">
        <v>8800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17476.8</v>
      </c>
      <c r="R18" s="49">
        <v>36000</v>
      </c>
      <c r="S18" s="49">
        <v>17476.8</v>
      </c>
      <c r="T18" s="49">
        <v>18523.2</v>
      </c>
      <c r="U18" s="50">
        <v>0.82394946443284811</v>
      </c>
      <c r="V18" s="2" t="s">
        <v>29</v>
      </c>
      <c r="W18" s="2" t="s">
        <v>481</v>
      </c>
      <c r="X18" s="109" t="s">
        <v>751</v>
      </c>
      <c r="Y18" s="2"/>
      <c r="Z18" s="2"/>
    </row>
    <row r="19" spans="1:26" x14ac:dyDescent="0.35">
      <c r="A19" s="108" t="s">
        <v>45</v>
      </c>
      <c r="B19" s="2" t="s">
        <v>46</v>
      </c>
      <c r="C19" s="2" t="s">
        <v>644</v>
      </c>
      <c r="D19" s="2" t="s">
        <v>748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49">
        <v>28000</v>
      </c>
      <c r="S19" s="49">
        <v>7099.2</v>
      </c>
      <c r="T19" s="49">
        <v>20900.8</v>
      </c>
      <c r="U19" s="50">
        <v>0.98151848095560068</v>
      </c>
      <c r="V19" s="2" t="s">
        <v>23</v>
      </c>
      <c r="W19" s="2" t="s">
        <v>481</v>
      </c>
      <c r="X19" s="109" t="s">
        <v>749</v>
      </c>
      <c r="Y19" s="2"/>
      <c r="Z19" s="2"/>
    </row>
    <row r="20" spans="1:26" x14ac:dyDescent="0.35">
      <c r="A20" s="108" t="s">
        <v>45</v>
      </c>
      <c r="B20" s="2" t="s">
        <v>46</v>
      </c>
      <c r="C20" s="2" t="s">
        <v>644</v>
      </c>
      <c r="D20" s="2" t="s">
        <v>750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7099.2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7099.2</v>
      </c>
      <c r="R20" s="49">
        <v>28000</v>
      </c>
      <c r="S20" s="49">
        <v>7099.2</v>
      </c>
      <c r="T20" s="49">
        <v>20900.8</v>
      </c>
      <c r="U20" s="50">
        <v>0.98151848095560068</v>
      </c>
      <c r="V20" s="2" t="s">
        <v>23</v>
      </c>
      <c r="W20" s="2" t="s">
        <v>481</v>
      </c>
      <c r="X20" s="109" t="s">
        <v>751</v>
      </c>
      <c r="Y20" s="2"/>
      <c r="Z20" s="2"/>
    </row>
    <row r="21" spans="1:26" x14ac:dyDescent="0.35">
      <c r="A21" s="108" t="s">
        <v>47</v>
      </c>
      <c r="B21" s="2" t="s">
        <v>48</v>
      </c>
      <c r="C21" s="2" t="s">
        <v>643</v>
      </c>
      <c r="D21" s="2" t="s">
        <v>748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49">
        <v>35750</v>
      </c>
      <c r="S21" s="49">
        <v>0</v>
      </c>
      <c r="T21" s="49">
        <v>35750</v>
      </c>
      <c r="U21" s="50">
        <v>1</v>
      </c>
      <c r="V21" s="2" t="s">
        <v>18</v>
      </c>
      <c r="W21" s="2" t="s">
        <v>481</v>
      </c>
      <c r="X21" s="109" t="s">
        <v>749</v>
      </c>
      <c r="Y21" s="2"/>
      <c r="Z21" s="2"/>
    </row>
    <row r="22" spans="1:26" x14ac:dyDescent="0.35">
      <c r="A22" s="108" t="s">
        <v>47</v>
      </c>
      <c r="B22" s="2" t="s">
        <v>48</v>
      </c>
      <c r="C22" s="2" t="s">
        <v>643</v>
      </c>
      <c r="D22" s="2" t="s">
        <v>750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49">
        <v>35750</v>
      </c>
      <c r="S22" s="49">
        <v>0</v>
      </c>
      <c r="T22" s="49">
        <v>35750</v>
      </c>
      <c r="U22" s="50">
        <v>1</v>
      </c>
      <c r="V22" s="2" t="s">
        <v>18</v>
      </c>
      <c r="W22" s="2" t="s">
        <v>481</v>
      </c>
      <c r="X22" s="109" t="s">
        <v>751</v>
      </c>
      <c r="Y22" s="2"/>
      <c r="Z22" s="2"/>
    </row>
    <row r="23" spans="1:26" x14ac:dyDescent="0.35">
      <c r="A23" s="108" t="s">
        <v>50</v>
      </c>
      <c r="B23" s="2" t="s">
        <v>51</v>
      </c>
      <c r="C23" s="2" t="s">
        <v>643</v>
      </c>
      <c r="D23" s="2" t="s">
        <v>748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49">
        <v>30000</v>
      </c>
      <c r="S23" s="49">
        <v>0</v>
      </c>
      <c r="T23" s="49">
        <v>30000</v>
      </c>
      <c r="U23" s="50">
        <v>1</v>
      </c>
      <c r="V23" s="2" t="s">
        <v>18</v>
      </c>
      <c r="W23" s="2" t="s">
        <v>481</v>
      </c>
      <c r="X23" s="109" t="s">
        <v>749</v>
      </c>
      <c r="Y23" s="2"/>
      <c r="Z23" s="2"/>
    </row>
    <row r="24" spans="1:26" x14ac:dyDescent="0.35">
      <c r="A24" s="108" t="s">
        <v>50</v>
      </c>
      <c r="B24" s="2" t="s">
        <v>51</v>
      </c>
      <c r="C24" s="2" t="s">
        <v>643</v>
      </c>
      <c r="D24" s="2" t="s">
        <v>750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49">
        <v>30000</v>
      </c>
      <c r="S24" s="49">
        <v>0</v>
      </c>
      <c r="T24" s="49">
        <v>30000</v>
      </c>
      <c r="U24" s="50">
        <v>1</v>
      </c>
      <c r="V24" s="2" t="s">
        <v>18</v>
      </c>
      <c r="W24" s="2" t="s">
        <v>481</v>
      </c>
      <c r="X24" s="109" t="s">
        <v>751</v>
      </c>
      <c r="Y24" s="2"/>
      <c r="Z24" s="2"/>
    </row>
    <row r="25" spans="1:26" x14ac:dyDescent="0.35">
      <c r="A25" s="108" t="s">
        <v>52</v>
      </c>
      <c r="B25" s="2" t="s">
        <v>53</v>
      </c>
      <c r="C25" s="2" t="s">
        <v>438</v>
      </c>
      <c r="D25" s="2" t="s">
        <v>748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49">
        <v>8400</v>
      </c>
      <c r="S25" s="49">
        <v>0</v>
      </c>
      <c r="T25" s="49">
        <v>8400</v>
      </c>
      <c r="U25" s="50">
        <v>1</v>
      </c>
      <c r="V25" s="2" t="s">
        <v>18</v>
      </c>
      <c r="W25" s="2" t="s">
        <v>481</v>
      </c>
      <c r="X25" s="109" t="s">
        <v>749</v>
      </c>
      <c r="Y25" s="2"/>
      <c r="Z25" s="2"/>
    </row>
    <row r="26" spans="1:26" x14ac:dyDescent="0.35">
      <c r="A26" s="108" t="s">
        <v>52</v>
      </c>
      <c r="B26" s="2" t="s">
        <v>53</v>
      </c>
      <c r="C26" s="2" t="s">
        <v>438</v>
      </c>
      <c r="D26" s="2" t="s">
        <v>750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49">
        <v>8400</v>
      </c>
      <c r="S26" s="49">
        <v>0</v>
      </c>
      <c r="T26" s="49">
        <v>8400</v>
      </c>
      <c r="U26" s="50">
        <v>1</v>
      </c>
      <c r="V26" s="2" t="s">
        <v>18</v>
      </c>
      <c r="W26" s="2" t="s">
        <v>481</v>
      </c>
      <c r="X26" s="109" t="s">
        <v>751</v>
      </c>
      <c r="Y26" s="2"/>
      <c r="Z26" s="2"/>
    </row>
    <row r="27" spans="1:26" x14ac:dyDescent="0.35">
      <c r="A27" s="108" t="s">
        <v>55</v>
      </c>
      <c r="B27" s="2" t="s">
        <v>56</v>
      </c>
      <c r="C27" s="2" t="s">
        <v>438</v>
      </c>
      <c r="D27" s="2" t="s">
        <v>748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49">
        <v>3600</v>
      </c>
      <c r="S27" s="49">
        <v>0</v>
      </c>
      <c r="T27" s="49">
        <v>3600</v>
      </c>
      <c r="U27" s="50">
        <v>1</v>
      </c>
      <c r="V27" s="2" t="s">
        <v>18</v>
      </c>
      <c r="W27" s="2" t="s">
        <v>481</v>
      </c>
      <c r="X27" s="109" t="s">
        <v>749</v>
      </c>
      <c r="Y27" s="2"/>
      <c r="Z27" s="2"/>
    </row>
    <row r="28" spans="1:26" x14ac:dyDescent="0.35">
      <c r="A28" s="112" t="s">
        <v>55</v>
      </c>
      <c r="B28" s="113" t="s">
        <v>56</v>
      </c>
      <c r="C28" s="113" t="s">
        <v>438</v>
      </c>
      <c r="D28" s="113" t="s">
        <v>750</v>
      </c>
      <c r="E28" s="138">
        <v>0</v>
      </c>
      <c r="F28" s="138">
        <v>0</v>
      </c>
      <c r="G28" s="138">
        <v>0</v>
      </c>
      <c r="H28" s="138">
        <v>0</v>
      </c>
      <c r="I28" s="138">
        <v>0</v>
      </c>
      <c r="J28" s="138">
        <v>0</v>
      </c>
      <c r="K28" s="138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20">
        <v>3600</v>
      </c>
      <c r="S28" s="120">
        <v>0</v>
      </c>
      <c r="T28" s="120">
        <v>3600</v>
      </c>
      <c r="U28" s="138">
        <v>1</v>
      </c>
      <c r="V28" s="113" t="s">
        <v>18</v>
      </c>
      <c r="W28" s="113" t="s">
        <v>481</v>
      </c>
      <c r="X28" s="114" t="s">
        <v>751</v>
      </c>
      <c r="Y28" s="2"/>
      <c r="Z28" s="2"/>
    </row>
    <row r="31" spans="1:26" x14ac:dyDescent="0.35">
      <c r="A31" s="110" t="s">
        <v>752</v>
      </c>
      <c r="B31" s="180" t="s">
        <v>753</v>
      </c>
      <c r="C31" s="180" t="s">
        <v>754</v>
      </c>
      <c r="D31" s="180" t="s">
        <v>755</v>
      </c>
      <c r="E31" s="180" t="s">
        <v>756</v>
      </c>
      <c r="F31" s="180" t="s">
        <v>757</v>
      </c>
      <c r="G31" s="180" t="s">
        <v>758</v>
      </c>
      <c r="H31" s="180" t="s">
        <v>759</v>
      </c>
      <c r="I31" s="180" t="s">
        <v>760</v>
      </c>
      <c r="J31" s="104" t="s">
        <v>437</v>
      </c>
      <c r="K31" s="104" t="s">
        <v>450</v>
      </c>
      <c r="L31" s="111" t="s">
        <v>559</v>
      </c>
      <c r="M31" s="45"/>
      <c r="N31" s="45"/>
    </row>
    <row r="32" spans="1:26" x14ac:dyDescent="0.35">
      <c r="A32" s="108" t="s">
        <v>761</v>
      </c>
      <c r="B32" s="49">
        <v>87066.67</v>
      </c>
      <c r="C32" s="49">
        <v>133166.67000000001</v>
      </c>
      <c r="D32" s="49">
        <v>48416.66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268650</v>
      </c>
      <c r="K32" s="2" t="s">
        <v>762</v>
      </c>
      <c r="L32" s="109" t="s">
        <v>763</v>
      </c>
      <c r="M32" s="2"/>
      <c r="N32" s="2"/>
    </row>
    <row r="33" spans="1:14" x14ac:dyDescent="0.35">
      <c r="A33" s="108" t="s">
        <v>264</v>
      </c>
      <c r="B33" s="49">
        <v>86509.440000000017</v>
      </c>
      <c r="C33" s="49">
        <v>55475.999999999993</v>
      </c>
      <c r="D33" s="49"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v>141985.44</v>
      </c>
      <c r="K33" s="2" t="s">
        <v>762</v>
      </c>
      <c r="L33" s="109" t="s">
        <v>764</v>
      </c>
      <c r="M33" s="2"/>
      <c r="N33" s="2"/>
    </row>
    <row r="34" spans="1:14" x14ac:dyDescent="0.35">
      <c r="A34" s="112" t="s">
        <v>765</v>
      </c>
      <c r="B34" s="113">
        <v>1</v>
      </c>
      <c r="C34" s="113">
        <v>1</v>
      </c>
      <c r="D34" s="113">
        <v>1</v>
      </c>
      <c r="E34" s="113">
        <v>0</v>
      </c>
      <c r="F34" s="113">
        <v>0</v>
      </c>
      <c r="G34" s="113">
        <v>0</v>
      </c>
      <c r="H34" s="113">
        <v>0</v>
      </c>
      <c r="I34" s="113">
        <v>0</v>
      </c>
      <c r="J34" s="113">
        <v>3</v>
      </c>
      <c r="K34" s="113" t="s">
        <v>762</v>
      </c>
      <c r="L34" s="114" t="s">
        <v>766</v>
      </c>
      <c r="M34" s="2"/>
      <c r="N34" s="2"/>
    </row>
    <row r="35" spans="1:1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A1:Z1"/>
    <mergeCell ref="A2:Z2"/>
  </mergeCells>
  <conditionalFormatting sqref="V5:V28">
    <cfRule type="expression" dxfId="58" priority="1">
      <formula>ISNUMBER(SEARCH("Red",V5))</formula>
    </cfRule>
    <cfRule type="expression" dxfId="57" priority="2">
      <formula>ISNUMBER(SEARCH("Amber",V5))</formula>
    </cfRule>
    <cfRule type="expression" dxfId="56" priority="3">
      <formula>ISNUMBER(SEARCH("Green",V5))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6A6A6"/>
  </sheetPr>
  <dimension ref="A1:F2"/>
  <sheetViews>
    <sheetView workbookViewId="0">
      <selection activeCell="Q1" sqref="Q1"/>
    </sheetView>
  </sheetViews>
  <sheetFormatPr defaultRowHeight="14.5" x14ac:dyDescent="0.35"/>
  <cols>
    <col min="1" max="1" width="11.26953125" customWidth="1"/>
    <col min="2" max="2" width="14.36328125" customWidth="1"/>
    <col min="3" max="3" width="11.54296875" customWidth="1"/>
    <col min="4" max="4" width="10.7265625" customWidth="1"/>
    <col min="5" max="5" width="9.90625" bestFit="1" customWidth="1"/>
    <col min="6" max="6" width="18.36328125" bestFit="1" customWidth="1"/>
  </cols>
  <sheetData>
    <row r="1" spans="1:6" x14ac:dyDescent="0.35">
      <c r="A1" s="182" t="s">
        <v>767</v>
      </c>
      <c r="B1" s="183" t="s">
        <v>768</v>
      </c>
      <c r="C1" s="183" t="s">
        <v>769</v>
      </c>
      <c r="D1" s="183" t="s">
        <v>770</v>
      </c>
      <c r="E1" s="183" t="s">
        <v>257</v>
      </c>
      <c r="F1" s="184" t="s">
        <v>771</v>
      </c>
    </row>
    <row r="2" spans="1:6" x14ac:dyDescent="0.35">
      <c r="A2" s="185" t="s">
        <v>772</v>
      </c>
      <c r="B2" s="186" t="s">
        <v>773</v>
      </c>
      <c r="C2" s="187" t="s">
        <v>576</v>
      </c>
      <c r="D2" s="188" t="s">
        <v>774</v>
      </c>
      <c r="E2" s="189">
        <v>60000</v>
      </c>
      <c r="F2" s="190" t="s">
        <v>775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6A6A6"/>
  </sheetPr>
  <dimension ref="A1:E13"/>
  <sheetViews>
    <sheetView workbookViewId="0">
      <selection activeCell="Q1" sqref="Q1"/>
    </sheetView>
  </sheetViews>
  <sheetFormatPr defaultRowHeight="14.5" x14ac:dyDescent="0.35"/>
  <cols>
    <col min="1" max="1" width="9.36328125" customWidth="1"/>
    <col min="2" max="2" width="11.90625" customWidth="1"/>
    <col min="3" max="3" width="21.26953125" bestFit="1" customWidth="1"/>
    <col min="4" max="4" width="12" bestFit="1" customWidth="1"/>
    <col min="5" max="5" width="13.54296875" customWidth="1"/>
  </cols>
  <sheetData>
    <row r="1" spans="1:5" x14ac:dyDescent="0.35">
      <c r="A1" s="182" t="s">
        <v>776</v>
      </c>
      <c r="B1" s="183" t="s">
        <v>777</v>
      </c>
      <c r="C1" s="183" t="s">
        <v>778</v>
      </c>
      <c r="D1" s="183" t="s">
        <v>149</v>
      </c>
      <c r="E1" s="184" t="s">
        <v>779</v>
      </c>
    </row>
    <row r="2" spans="1:5" x14ac:dyDescent="0.35">
      <c r="A2" s="181" t="s">
        <v>574</v>
      </c>
      <c r="B2" s="28">
        <v>1</v>
      </c>
      <c r="C2" s="28" t="s">
        <v>575</v>
      </c>
      <c r="D2" s="28" t="s">
        <v>780</v>
      </c>
      <c r="E2" s="191">
        <v>20000</v>
      </c>
    </row>
    <row r="3" spans="1:5" x14ac:dyDescent="0.35">
      <c r="A3" s="181" t="s">
        <v>580</v>
      </c>
      <c r="B3" s="28">
        <v>1.1000000000000001</v>
      </c>
      <c r="C3" s="28" t="s">
        <v>581</v>
      </c>
      <c r="D3" s="28" t="s">
        <v>3</v>
      </c>
      <c r="E3" s="191">
        <v>25000</v>
      </c>
    </row>
    <row r="4" spans="1:5" x14ac:dyDescent="0.35">
      <c r="A4" s="181" t="s">
        <v>585</v>
      </c>
      <c r="B4" s="28">
        <v>1.2</v>
      </c>
      <c r="C4" s="28" t="s">
        <v>586</v>
      </c>
      <c r="D4" s="28" t="s">
        <v>3</v>
      </c>
      <c r="E4" s="191">
        <v>15000</v>
      </c>
    </row>
    <row r="5" spans="1:5" x14ac:dyDescent="0.35">
      <c r="A5" s="181" t="s">
        <v>32</v>
      </c>
      <c r="B5" s="28">
        <v>4</v>
      </c>
      <c r="C5" s="28" t="s">
        <v>33</v>
      </c>
      <c r="D5" s="28" t="s">
        <v>643</v>
      </c>
      <c r="E5" s="191">
        <v>42000</v>
      </c>
    </row>
    <row r="6" spans="1:5" x14ac:dyDescent="0.35">
      <c r="A6" s="181" t="s">
        <v>38</v>
      </c>
      <c r="B6" s="28">
        <v>5</v>
      </c>
      <c r="C6" s="28" t="s">
        <v>39</v>
      </c>
      <c r="D6" s="28" t="s">
        <v>438</v>
      </c>
      <c r="E6" s="191">
        <v>13200</v>
      </c>
    </row>
    <row r="7" spans="1:5" x14ac:dyDescent="0.35">
      <c r="A7" s="181" t="s">
        <v>40</v>
      </c>
      <c r="B7" s="28">
        <v>6</v>
      </c>
      <c r="C7" s="28" t="s">
        <v>41</v>
      </c>
      <c r="D7" s="28" t="s">
        <v>438</v>
      </c>
      <c r="E7" s="191">
        <v>26000</v>
      </c>
    </row>
    <row r="8" spans="1:5" x14ac:dyDescent="0.35">
      <c r="A8" s="181" t="s">
        <v>43</v>
      </c>
      <c r="B8" s="28">
        <v>7</v>
      </c>
      <c r="C8" s="28" t="s">
        <v>44</v>
      </c>
      <c r="D8" s="28" t="s">
        <v>644</v>
      </c>
      <c r="E8" s="191">
        <v>36000</v>
      </c>
    </row>
    <row r="9" spans="1:5" x14ac:dyDescent="0.35">
      <c r="A9" s="181" t="s">
        <v>45</v>
      </c>
      <c r="B9" s="28">
        <v>8</v>
      </c>
      <c r="C9" s="28" t="s">
        <v>46</v>
      </c>
      <c r="D9" s="28" t="s">
        <v>644</v>
      </c>
      <c r="E9" s="191">
        <v>28000</v>
      </c>
    </row>
    <row r="10" spans="1:5" x14ac:dyDescent="0.35">
      <c r="A10" s="181" t="s">
        <v>47</v>
      </c>
      <c r="B10" s="28">
        <v>9</v>
      </c>
      <c r="C10" s="28" t="s">
        <v>48</v>
      </c>
      <c r="D10" s="28" t="s">
        <v>643</v>
      </c>
      <c r="E10" s="191">
        <v>35750</v>
      </c>
    </row>
    <row r="11" spans="1:5" x14ac:dyDescent="0.35">
      <c r="A11" s="181" t="s">
        <v>50</v>
      </c>
      <c r="B11" s="28">
        <v>10</v>
      </c>
      <c r="C11" s="28" t="s">
        <v>51</v>
      </c>
      <c r="D11" s="28" t="s">
        <v>643</v>
      </c>
      <c r="E11" s="191">
        <v>30000</v>
      </c>
    </row>
    <row r="12" spans="1:5" x14ac:dyDescent="0.35">
      <c r="A12" s="181" t="s">
        <v>52</v>
      </c>
      <c r="B12" s="28">
        <v>11</v>
      </c>
      <c r="C12" s="28" t="s">
        <v>53</v>
      </c>
      <c r="D12" s="28" t="s">
        <v>438</v>
      </c>
      <c r="E12" s="191">
        <v>8400</v>
      </c>
    </row>
    <row r="13" spans="1:5" x14ac:dyDescent="0.35">
      <c r="A13" s="185" t="s">
        <v>55</v>
      </c>
      <c r="B13" s="186">
        <v>12</v>
      </c>
      <c r="C13" s="186" t="s">
        <v>56</v>
      </c>
      <c r="D13" s="186" t="s">
        <v>438</v>
      </c>
      <c r="E13" s="192">
        <v>3600</v>
      </c>
    </row>
  </sheetData>
  <conditionalFormatting sqref="D2:D13">
    <cfRule type="containsText" dxfId="55" priority="4" operator="containsText" text="Labor">
      <formula>NOT(ISERROR(SEARCH("Labor",D2)))</formula>
    </cfRule>
    <cfRule type="containsText" dxfId="54" priority="5" operator="containsText" text="Material">
      <formula>NOT(ISERROR(SEARCH("Material",D2)))</formula>
    </cfRule>
    <cfRule type="containsText" dxfId="53" priority="6" operator="containsText" text="Subcontractor">
      <formula>NOT(ISERROR(SEARCH("Subcontractor",D2)))</formula>
    </cfRule>
  </conditionalFormatting>
  <conditionalFormatting sqref="E2:E13">
    <cfRule type="cellIs" dxfId="52" priority="1" operator="lessThanOrEqual">
      <formula>13200</formula>
    </cfRule>
    <cfRule type="cellIs" dxfId="51" priority="2" operator="between">
      <formula>13200</formula>
      <formula>28000</formula>
    </cfRule>
    <cfRule type="cellIs" dxfId="50" priority="3" operator="greaterThanOrEqual">
      <formula>28000</formula>
    </cfRule>
  </conditionalFormatting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D12"/>
  <sheetViews>
    <sheetView workbookViewId="0">
      <selection activeCell="Q1" sqref="Q1"/>
    </sheetView>
  </sheetViews>
  <sheetFormatPr defaultRowHeight="14.5" x14ac:dyDescent="0.35"/>
  <cols>
    <col min="1" max="1" width="13.26953125" customWidth="1"/>
    <col min="2" max="2" width="16.36328125" customWidth="1"/>
    <col min="3" max="3" width="11.26953125" bestFit="1" customWidth="1"/>
    <col min="4" max="4" width="13" customWidth="1"/>
  </cols>
  <sheetData>
    <row r="1" spans="1:4" x14ac:dyDescent="0.35">
      <c r="A1" s="182" t="s">
        <v>781</v>
      </c>
      <c r="B1" s="183" t="s">
        <v>782</v>
      </c>
      <c r="C1" s="183" t="s">
        <v>178</v>
      </c>
      <c r="D1" s="184" t="s">
        <v>783</v>
      </c>
    </row>
    <row r="2" spans="1:4" x14ac:dyDescent="0.35">
      <c r="A2" s="181" t="s">
        <v>578</v>
      </c>
      <c r="B2" s="28" t="s">
        <v>351</v>
      </c>
      <c r="C2" s="28" t="s">
        <v>784</v>
      </c>
      <c r="D2" s="191">
        <v>200</v>
      </c>
    </row>
    <row r="3" spans="1:4" x14ac:dyDescent="0.35">
      <c r="A3" s="181" t="s">
        <v>589</v>
      </c>
      <c r="B3" s="28" t="s">
        <v>785</v>
      </c>
      <c r="C3" s="28" t="s">
        <v>786</v>
      </c>
      <c r="D3" s="191">
        <v>150</v>
      </c>
    </row>
    <row r="4" spans="1:4" x14ac:dyDescent="0.35">
      <c r="A4" s="181" t="s">
        <v>787</v>
      </c>
      <c r="B4" s="28" t="s">
        <v>786</v>
      </c>
      <c r="C4" s="28" t="s">
        <v>788</v>
      </c>
      <c r="D4" s="191">
        <v>2600</v>
      </c>
    </row>
    <row r="5" spans="1:4" x14ac:dyDescent="0.35">
      <c r="A5" s="181" t="s">
        <v>789</v>
      </c>
      <c r="B5" s="28" t="s">
        <v>790</v>
      </c>
      <c r="C5" s="28" t="s">
        <v>438</v>
      </c>
      <c r="D5" s="191">
        <v>2200</v>
      </c>
    </row>
    <row r="6" spans="1:4" x14ac:dyDescent="0.35">
      <c r="A6" s="181" t="s">
        <v>791</v>
      </c>
      <c r="B6" s="28" t="s">
        <v>792</v>
      </c>
      <c r="C6" s="28" t="s">
        <v>793</v>
      </c>
      <c r="D6" s="191">
        <v>2100</v>
      </c>
    </row>
    <row r="7" spans="1:4" x14ac:dyDescent="0.35">
      <c r="A7" s="181" t="s">
        <v>794</v>
      </c>
      <c r="B7" s="28" t="s">
        <v>795</v>
      </c>
      <c r="C7" s="28" t="s">
        <v>793</v>
      </c>
      <c r="D7" s="191">
        <v>1800</v>
      </c>
    </row>
    <row r="8" spans="1:4" x14ac:dyDescent="0.35">
      <c r="A8" s="181" t="s">
        <v>796</v>
      </c>
      <c r="B8" s="28" t="s">
        <v>797</v>
      </c>
      <c r="C8" s="28" t="s">
        <v>798</v>
      </c>
      <c r="D8" s="191">
        <v>0</v>
      </c>
    </row>
    <row r="9" spans="1:4" x14ac:dyDescent="0.35">
      <c r="A9" s="181" t="s">
        <v>799</v>
      </c>
      <c r="B9" s="28" t="s">
        <v>800</v>
      </c>
      <c r="C9" s="28" t="s">
        <v>801</v>
      </c>
      <c r="D9" s="191">
        <v>0</v>
      </c>
    </row>
    <row r="10" spans="1:4" x14ac:dyDescent="0.35">
      <c r="A10" s="181" t="s">
        <v>802</v>
      </c>
      <c r="B10" s="28" t="s">
        <v>803</v>
      </c>
      <c r="C10" s="28" t="s">
        <v>801</v>
      </c>
      <c r="D10" s="191">
        <v>0</v>
      </c>
    </row>
    <row r="11" spans="1:4" x14ac:dyDescent="0.35">
      <c r="A11" s="181" t="s">
        <v>804</v>
      </c>
      <c r="B11" s="28" t="s">
        <v>805</v>
      </c>
      <c r="C11" s="28" t="s">
        <v>798</v>
      </c>
      <c r="D11" s="191">
        <v>0</v>
      </c>
    </row>
    <row r="12" spans="1:4" x14ac:dyDescent="0.35">
      <c r="A12" s="185" t="s">
        <v>806</v>
      </c>
      <c r="B12" s="186" t="s">
        <v>807</v>
      </c>
      <c r="C12" s="186" t="s">
        <v>798</v>
      </c>
      <c r="D12" s="192">
        <v>0</v>
      </c>
    </row>
  </sheetData>
  <conditionalFormatting sqref="D2:D12">
    <cfRule type="cellIs" dxfId="49" priority="1" operator="equal">
      <formula>0</formula>
    </cfRule>
    <cfRule type="cellIs" dxfId="48" priority="2" operator="between">
      <formula>1</formula>
      <formula>2399.999</formula>
    </cfRule>
    <cfRule type="cellIs" dxfId="47" priority="3" operator="greaterThanOrEqual">
      <formula>2400</formula>
    </cfRule>
  </conditionalFormatting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G85"/>
  <sheetViews>
    <sheetView topLeftCell="F1"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6.54296875" customWidth="1"/>
    <col min="3" max="3" width="8.08984375" customWidth="1"/>
    <col min="4" max="4" width="13.81640625" customWidth="1"/>
    <col min="5" max="5" width="9.1796875" customWidth="1"/>
    <col min="6" max="6" width="15.08984375" customWidth="1"/>
    <col min="7" max="7" width="12.81640625" customWidth="1"/>
  </cols>
  <sheetData>
    <row r="1" spans="1:7" x14ac:dyDescent="0.35">
      <c r="A1" s="182" t="s">
        <v>377</v>
      </c>
      <c r="B1" s="183" t="s">
        <v>808</v>
      </c>
      <c r="C1" s="183" t="s">
        <v>172</v>
      </c>
      <c r="D1" s="183" t="s">
        <v>809</v>
      </c>
      <c r="E1" s="183" t="s">
        <v>810</v>
      </c>
      <c r="F1" s="183" t="s">
        <v>811</v>
      </c>
      <c r="G1" s="184" t="s">
        <v>812</v>
      </c>
    </row>
    <row r="2" spans="1:7" x14ac:dyDescent="0.35">
      <c r="A2" s="193" t="s">
        <v>547</v>
      </c>
      <c r="B2" s="28">
        <v>2026</v>
      </c>
      <c r="C2" s="28">
        <v>5</v>
      </c>
      <c r="D2" s="28" t="s">
        <v>813</v>
      </c>
      <c r="E2" s="28">
        <v>2</v>
      </c>
      <c r="F2" s="28">
        <v>1</v>
      </c>
      <c r="G2" s="194">
        <v>1</v>
      </c>
    </row>
    <row r="3" spans="1:7" x14ac:dyDescent="0.35">
      <c r="A3" s="193" t="s">
        <v>814</v>
      </c>
      <c r="B3" s="28">
        <v>2026</v>
      </c>
      <c r="C3" s="28">
        <v>5</v>
      </c>
      <c r="D3" s="28" t="s">
        <v>813</v>
      </c>
      <c r="E3" s="28">
        <v>2</v>
      </c>
      <c r="F3" s="28">
        <v>1</v>
      </c>
      <c r="G3" s="194">
        <v>1</v>
      </c>
    </row>
    <row r="4" spans="1:7" x14ac:dyDescent="0.35">
      <c r="A4" s="193" t="s">
        <v>815</v>
      </c>
      <c r="B4" s="28">
        <v>2026</v>
      </c>
      <c r="C4" s="28">
        <v>5</v>
      </c>
      <c r="D4" s="28" t="s">
        <v>813</v>
      </c>
      <c r="E4" s="28">
        <v>2</v>
      </c>
      <c r="F4" s="28">
        <v>1</v>
      </c>
      <c r="G4" s="194">
        <v>1</v>
      </c>
    </row>
    <row r="5" spans="1:7" x14ac:dyDescent="0.35">
      <c r="A5" s="193" t="s">
        <v>816</v>
      </c>
      <c r="B5" s="28">
        <v>2026</v>
      </c>
      <c r="C5" s="28">
        <v>5</v>
      </c>
      <c r="D5" s="28" t="s">
        <v>813</v>
      </c>
      <c r="E5" s="28">
        <v>2</v>
      </c>
      <c r="F5" s="28">
        <v>1</v>
      </c>
      <c r="G5" s="194">
        <v>1</v>
      </c>
    </row>
    <row r="6" spans="1:7" x14ac:dyDescent="0.35">
      <c r="A6" s="193" t="s">
        <v>817</v>
      </c>
      <c r="B6" s="28">
        <v>2026</v>
      </c>
      <c r="C6" s="28">
        <v>5</v>
      </c>
      <c r="D6" s="28" t="s">
        <v>813</v>
      </c>
      <c r="E6" s="28">
        <v>2</v>
      </c>
      <c r="F6" s="28">
        <v>1</v>
      </c>
      <c r="G6" s="194">
        <v>1</v>
      </c>
    </row>
    <row r="7" spans="1:7" x14ac:dyDescent="0.35">
      <c r="A7" s="193" t="s">
        <v>818</v>
      </c>
      <c r="B7" s="28">
        <v>2026</v>
      </c>
      <c r="C7" s="28">
        <v>5</v>
      </c>
      <c r="D7" s="28" t="s">
        <v>813</v>
      </c>
      <c r="E7" s="28">
        <v>2</v>
      </c>
      <c r="F7" s="28">
        <v>1</v>
      </c>
      <c r="G7" s="194">
        <v>0</v>
      </c>
    </row>
    <row r="8" spans="1:7" x14ac:dyDescent="0.35">
      <c r="A8" s="193" t="s">
        <v>819</v>
      </c>
      <c r="B8" s="28">
        <v>2026</v>
      </c>
      <c r="C8" s="28">
        <v>5</v>
      </c>
      <c r="D8" s="28" t="s">
        <v>813</v>
      </c>
      <c r="E8" s="28">
        <v>2</v>
      </c>
      <c r="F8" s="28">
        <v>1</v>
      </c>
      <c r="G8" s="194">
        <v>0</v>
      </c>
    </row>
    <row r="9" spans="1:7" x14ac:dyDescent="0.35">
      <c r="A9" s="193" t="s">
        <v>652</v>
      </c>
      <c r="B9" s="28">
        <v>2026</v>
      </c>
      <c r="C9" s="28">
        <v>5</v>
      </c>
      <c r="D9" s="28" t="s">
        <v>813</v>
      </c>
      <c r="E9" s="28">
        <v>2</v>
      </c>
      <c r="F9" s="28">
        <v>2</v>
      </c>
      <c r="G9" s="194">
        <v>1</v>
      </c>
    </row>
    <row r="10" spans="1:7" x14ac:dyDescent="0.35">
      <c r="A10" s="193" t="s">
        <v>820</v>
      </c>
      <c r="B10" s="28">
        <v>2026</v>
      </c>
      <c r="C10" s="28">
        <v>5</v>
      </c>
      <c r="D10" s="28" t="s">
        <v>813</v>
      </c>
      <c r="E10" s="28">
        <v>2</v>
      </c>
      <c r="F10" s="28">
        <v>2</v>
      </c>
      <c r="G10" s="194">
        <v>1</v>
      </c>
    </row>
    <row r="11" spans="1:7" x14ac:dyDescent="0.35">
      <c r="A11" s="193" t="s">
        <v>821</v>
      </c>
      <c r="B11" s="28">
        <v>2026</v>
      </c>
      <c r="C11" s="28">
        <v>5</v>
      </c>
      <c r="D11" s="28" t="s">
        <v>813</v>
      </c>
      <c r="E11" s="28">
        <v>2</v>
      </c>
      <c r="F11" s="28">
        <v>2</v>
      </c>
      <c r="G11" s="194">
        <v>1</v>
      </c>
    </row>
    <row r="12" spans="1:7" x14ac:dyDescent="0.35">
      <c r="A12" s="193" t="s">
        <v>822</v>
      </c>
      <c r="B12" s="28">
        <v>2026</v>
      </c>
      <c r="C12" s="28">
        <v>5</v>
      </c>
      <c r="D12" s="28" t="s">
        <v>813</v>
      </c>
      <c r="E12" s="28">
        <v>2</v>
      </c>
      <c r="F12" s="28">
        <v>2</v>
      </c>
      <c r="G12" s="194">
        <v>1</v>
      </c>
    </row>
    <row r="13" spans="1:7" x14ac:dyDescent="0.35">
      <c r="A13" s="193" t="s">
        <v>823</v>
      </c>
      <c r="B13" s="28">
        <v>2026</v>
      </c>
      <c r="C13" s="28">
        <v>5</v>
      </c>
      <c r="D13" s="28" t="s">
        <v>813</v>
      </c>
      <c r="E13" s="28">
        <v>2</v>
      </c>
      <c r="F13" s="28">
        <v>2</v>
      </c>
      <c r="G13" s="194">
        <v>1</v>
      </c>
    </row>
    <row r="14" spans="1:7" x14ac:dyDescent="0.35">
      <c r="A14" s="193" t="s">
        <v>824</v>
      </c>
      <c r="B14" s="28">
        <v>2026</v>
      </c>
      <c r="C14" s="28">
        <v>5</v>
      </c>
      <c r="D14" s="28" t="s">
        <v>813</v>
      </c>
      <c r="E14" s="28">
        <v>2</v>
      </c>
      <c r="F14" s="28">
        <v>2</v>
      </c>
      <c r="G14" s="194">
        <v>0</v>
      </c>
    </row>
    <row r="15" spans="1:7" x14ac:dyDescent="0.35">
      <c r="A15" s="193" t="s">
        <v>825</v>
      </c>
      <c r="B15" s="28">
        <v>2026</v>
      </c>
      <c r="C15" s="28">
        <v>5</v>
      </c>
      <c r="D15" s="28" t="s">
        <v>813</v>
      </c>
      <c r="E15" s="28">
        <v>2</v>
      </c>
      <c r="F15" s="28">
        <v>2</v>
      </c>
      <c r="G15" s="194">
        <v>0</v>
      </c>
    </row>
    <row r="16" spans="1:7" x14ac:dyDescent="0.35">
      <c r="A16" s="193" t="s">
        <v>653</v>
      </c>
      <c r="B16" s="28">
        <v>2026</v>
      </c>
      <c r="C16" s="28">
        <v>5</v>
      </c>
      <c r="D16" s="28" t="s">
        <v>813</v>
      </c>
      <c r="E16" s="28">
        <v>2</v>
      </c>
      <c r="F16" s="28">
        <v>3</v>
      </c>
      <c r="G16" s="194">
        <v>1</v>
      </c>
    </row>
    <row r="17" spans="1:7" x14ac:dyDescent="0.35">
      <c r="A17" s="193" t="s">
        <v>826</v>
      </c>
      <c r="B17" s="28">
        <v>2026</v>
      </c>
      <c r="C17" s="28">
        <v>5</v>
      </c>
      <c r="D17" s="28" t="s">
        <v>813</v>
      </c>
      <c r="E17" s="28">
        <v>2</v>
      </c>
      <c r="F17" s="28">
        <v>3</v>
      </c>
      <c r="G17" s="194">
        <v>1</v>
      </c>
    </row>
    <row r="18" spans="1:7" x14ac:dyDescent="0.35">
      <c r="A18" s="193" t="s">
        <v>827</v>
      </c>
      <c r="B18" s="28">
        <v>2026</v>
      </c>
      <c r="C18" s="28">
        <v>5</v>
      </c>
      <c r="D18" s="28" t="s">
        <v>813</v>
      </c>
      <c r="E18" s="28">
        <v>2</v>
      </c>
      <c r="F18" s="28">
        <v>3</v>
      </c>
      <c r="G18" s="194">
        <v>1</v>
      </c>
    </row>
    <row r="19" spans="1:7" x14ac:dyDescent="0.35">
      <c r="A19" s="193" t="s">
        <v>828</v>
      </c>
      <c r="B19" s="28">
        <v>2026</v>
      </c>
      <c r="C19" s="28">
        <v>5</v>
      </c>
      <c r="D19" s="28" t="s">
        <v>813</v>
      </c>
      <c r="E19" s="28">
        <v>2</v>
      </c>
      <c r="F19" s="28">
        <v>3</v>
      </c>
      <c r="G19" s="194">
        <v>1</v>
      </c>
    </row>
    <row r="20" spans="1:7" x14ac:dyDescent="0.35">
      <c r="A20" s="193" t="s">
        <v>829</v>
      </c>
      <c r="B20" s="28">
        <v>2026</v>
      </c>
      <c r="C20" s="28">
        <v>5</v>
      </c>
      <c r="D20" s="28" t="s">
        <v>813</v>
      </c>
      <c r="E20" s="28">
        <v>2</v>
      </c>
      <c r="F20" s="28">
        <v>3</v>
      </c>
      <c r="G20" s="194">
        <v>1</v>
      </c>
    </row>
    <row r="21" spans="1:7" x14ac:dyDescent="0.35">
      <c r="A21" s="193" t="s">
        <v>830</v>
      </c>
      <c r="B21" s="28">
        <v>2026</v>
      </c>
      <c r="C21" s="28">
        <v>5</v>
      </c>
      <c r="D21" s="28" t="s">
        <v>813</v>
      </c>
      <c r="E21" s="28">
        <v>2</v>
      </c>
      <c r="F21" s="28">
        <v>3</v>
      </c>
      <c r="G21" s="194">
        <v>0</v>
      </c>
    </row>
    <row r="22" spans="1:7" x14ac:dyDescent="0.35">
      <c r="A22" s="193" t="s">
        <v>831</v>
      </c>
      <c r="B22" s="28">
        <v>2026</v>
      </c>
      <c r="C22" s="28">
        <v>5</v>
      </c>
      <c r="D22" s="28" t="s">
        <v>813</v>
      </c>
      <c r="E22" s="28">
        <v>2</v>
      </c>
      <c r="F22" s="28">
        <v>3</v>
      </c>
      <c r="G22" s="194">
        <v>0</v>
      </c>
    </row>
    <row r="23" spans="1:7" x14ac:dyDescent="0.35">
      <c r="A23" s="193" t="s">
        <v>654</v>
      </c>
      <c r="B23" s="28">
        <v>2026</v>
      </c>
      <c r="C23" s="28">
        <v>5</v>
      </c>
      <c r="D23" s="28" t="s">
        <v>813</v>
      </c>
      <c r="E23" s="28">
        <v>2</v>
      </c>
      <c r="F23" s="28">
        <v>4</v>
      </c>
      <c r="G23" s="194">
        <v>1</v>
      </c>
    </row>
    <row r="24" spans="1:7" x14ac:dyDescent="0.35">
      <c r="A24" s="193" t="s">
        <v>832</v>
      </c>
      <c r="B24" s="28">
        <v>2026</v>
      </c>
      <c r="C24" s="28">
        <v>5</v>
      </c>
      <c r="D24" s="28" t="s">
        <v>813</v>
      </c>
      <c r="E24" s="28">
        <v>2</v>
      </c>
      <c r="F24" s="28">
        <v>4</v>
      </c>
      <c r="G24" s="194">
        <v>1</v>
      </c>
    </row>
    <row r="25" spans="1:7" x14ac:dyDescent="0.35">
      <c r="A25" s="193" t="s">
        <v>833</v>
      </c>
      <c r="B25" s="28">
        <v>2026</v>
      </c>
      <c r="C25" s="28">
        <v>5</v>
      </c>
      <c r="D25" s="28" t="s">
        <v>813</v>
      </c>
      <c r="E25" s="28">
        <v>2</v>
      </c>
      <c r="F25" s="28">
        <v>4</v>
      </c>
      <c r="G25" s="194">
        <v>1</v>
      </c>
    </row>
    <row r="26" spans="1:7" x14ac:dyDescent="0.35">
      <c r="A26" s="193" t="s">
        <v>834</v>
      </c>
      <c r="B26" s="28">
        <v>2026</v>
      </c>
      <c r="C26" s="28">
        <v>5</v>
      </c>
      <c r="D26" s="28" t="s">
        <v>813</v>
      </c>
      <c r="E26" s="28">
        <v>2</v>
      </c>
      <c r="F26" s="28">
        <v>4</v>
      </c>
      <c r="G26" s="194">
        <v>1</v>
      </c>
    </row>
    <row r="27" spans="1:7" x14ac:dyDescent="0.35">
      <c r="A27" s="193" t="s">
        <v>835</v>
      </c>
      <c r="B27" s="28">
        <v>2026</v>
      </c>
      <c r="C27" s="28">
        <v>5</v>
      </c>
      <c r="D27" s="28" t="s">
        <v>813</v>
      </c>
      <c r="E27" s="28">
        <v>2</v>
      </c>
      <c r="F27" s="28">
        <v>4</v>
      </c>
      <c r="G27" s="194">
        <v>1</v>
      </c>
    </row>
    <row r="28" spans="1:7" x14ac:dyDescent="0.35">
      <c r="A28" s="193" t="s">
        <v>836</v>
      </c>
      <c r="B28" s="28">
        <v>2026</v>
      </c>
      <c r="C28" s="28">
        <v>5</v>
      </c>
      <c r="D28" s="28" t="s">
        <v>813</v>
      </c>
      <c r="E28" s="28">
        <v>2</v>
      </c>
      <c r="F28" s="28">
        <v>4</v>
      </c>
      <c r="G28" s="194">
        <v>0</v>
      </c>
    </row>
    <row r="29" spans="1:7" x14ac:dyDescent="0.35">
      <c r="A29" s="193" t="s">
        <v>837</v>
      </c>
      <c r="B29" s="28">
        <v>2026</v>
      </c>
      <c r="C29" s="28">
        <v>5</v>
      </c>
      <c r="D29" s="28" t="s">
        <v>813</v>
      </c>
      <c r="E29" s="28">
        <v>2</v>
      </c>
      <c r="F29" s="28">
        <v>4</v>
      </c>
      <c r="G29" s="194">
        <v>0</v>
      </c>
    </row>
    <row r="30" spans="1:7" x14ac:dyDescent="0.35">
      <c r="A30" s="193" t="s">
        <v>655</v>
      </c>
      <c r="B30" s="28">
        <v>2026</v>
      </c>
      <c r="C30" s="28">
        <v>6</v>
      </c>
      <c r="D30" s="28" t="s">
        <v>838</v>
      </c>
      <c r="E30" s="28">
        <v>2</v>
      </c>
      <c r="F30" s="28">
        <v>5</v>
      </c>
      <c r="G30" s="194">
        <v>1</v>
      </c>
    </row>
    <row r="31" spans="1:7" x14ac:dyDescent="0.35">
      <c r="A31" s="193" t="s">
        <v>839</v>
      </c>
      <c r="B31" s="28">
        <v>2026</v>
      </c>
      <c r="C31" s="28">
        <v>6</v>
      </c>
      <c r="D31" s="28" t="s">
        <v>838</v>
      </c>
      <c r="E31" s="28">
        <v>2</v>
      </c>
      <c r="F31" s="28">
        <v>5</v>
      </c>
      <c r="G31" s="194">
        <v>1</v>
      </c>
    </row>
    <row r="32" spans="1:7" x14ac:dyDescent="0.35">
      <c r="A32" s="193" t="s">
        <v>840</v>
      </c>
      <c r="B32" s="28">
        <v>2026</v>
      </c>
      <c r="C32" s="28">
        <v>6</v>
      </c>
      <c r="D32" s="28" t="s">
        <v>838</v>
      </c>
      <c r="E32" s="28">
        <v>2</v>
      </c>
      <c r="F32" s="28">
        <v>5</v>
      </c>
      <c r="G32" s="194">
        <v>1</v>
      </c>
    </row>
    <row r="33" spans="1:7" x14ac:dyDescent="0.35">
      <c r="A33" s="193" t="s">
        <v>841</v>
      </c>
      <c r="B33" s="28">
        <v>2026</v>
      </c>
      <c r="C33" s="28">
        <v>6</v>
      </c>
      <c r="D33" s="28" t="s">
        <v>838</v>
      </c>
      <c r="E33" s="28">
        <v>2</v>
      </c>
      <c r="F33" s="28">
        <v>5</v>
      </c>
      <c r="G33" s="194">
        <v>1</v>
      </c>
    </row>
    <row r="34" spans="1:7" x14ac:dyDescent="0.35">
      <c r="A34" s="193" t="s">
        <v>842</v>
      </c>
      <c r="B34" s="28">
        <v>2026</v>
      </c>
      <c r="C34" s="28">
        <v>6</v>
      </c>
      <c r="D34" s="28" t="s">
        <v>838</v>
      </c>
      <c r="E34" s="28">
        <v>2</v>
      </c>
      <c r="F34" s="28">
        <v>5</v>
      </c>
      <c r="G34" s="194">
        <v>1</v>
      </c>
    </row>
    <row r="35" spans="1:7" x14ac:dyDescent="0.35">
      <c r="A35" s="193" t="s">
        <v>843</v>
      </c>
      <c r="B35" s="28">
        <v>2026</v>
      </c>
      <c r="C35" s="28">
        <v>6</v>
      </c>
      <c r="D35" s="28" t="s">
        <v>838</v>
      </c>
      <c r="E35" s="28">
        <v>2</v>
      </c>
      <c r="F35" s="28">
        <v>5</v>
      </c>
      <c r="G35" s="194">
        <v>0</v>
      </c>
    </row>
    <row r="36" spans="1:7" x14ac:dyDescent="0.35">
      <c r="A36" s="193" t="s">
        <v>844</v>
      </c>
      <c r="B36" s="28">
        <v>2026</v>
      </c>
      <c r="C36" s="28">
        <v>6</v>
      </c>
      <c r="D36" s="28" t="s">
        <v>838</v>
      </c>
      <c r="E36" s="28">
        <v>2</v>
      </c>
      <c r="F36" s="28">
        <v>5</v>
      </c>
      <c r="G36" s="194">
        <v>0</v>
      </c>
    </row>
    <row r="37" spans="1:7" x14ac:dyDescent="0.35">
      <c r="A37" s="193" t="s">
        <v>656</v>
      </c>
      <c r="B37" s="28">
        <v>2026</v>
      </c>
      <c r="C37" s="28">
        <v>6</v>
      </c>
      <c r="D37" s="28" t="s">
        <v>838</v>
      </c>
      <c r="E37" s="28">
        <v>2</v>
      </c>
      <c r="F37" s="28">
        <v>6</v>
      </c>
      <c r="G37" s="194">
        <v>1</v>
      </c>
    </row>
    <row r="38" spans="1:7" x14ac:dyDescent="0.35">
      <c r="A38" s="193" t="s">
        <v>845</v>
      </c>
      <c r="B38" s="28">
        <v>2026</v>
      </c>
      <c r="C38" s="28">
        <v>6</v>
      </c>
      <c r="D38" s="28" t="s">
        <v>838</v>
      </c>
      <c r="E38" s="28">
        <v>2</v>
      </c>
      <c r="F38" s="28">
        <v>6</v>
      </c>
      <c r="G38" s="194">
        <v>1</v>
      </c>
    </row>
    <row r="39" spans="1:7" x14ac:dyDescent="0.35">
      <c r="A39" s="193" t="s">
        <v>846</v>
      </c>
      <c r="B39" s="28">
        <v>2026</v>
      </c>
      <c r="C39" s="28">
        <v>6</v>
      </c>
      <c r="D39" s="28" t="s">
        <v>838</v>
      </c>
      <c r="E39" s="28">
        <v>2</v>
      </c>
      <c r="F39" s="28">
        <v>6</v>
      </c>
      <c r="G39" s="194">
        <v>1</v>
      </c>
    </row>
    <row r="40" spans="1:7" x14ac:dyDescent="0.35">
      <c r="A40" s="193" t="s">
        <v>847</v>
      </c>
      <c r="B40" s="28">
        <v>2026</v>
      </c>
      <c r="C40" s="28">
        <v>6</v>
      </c>
      <c r="D40" s="28" t="s">
        <v>838</v>
      </c>
      <c r="E40" s="28">
        <v>2</v>
      </c>
      <c r="F40" s="28">
        <v>6</v>
      </c>
      <c r="G40" s="194">
        <v>1</v>
      </c>
    </row>
    <row r="41" spans="1:7" x14ac:dyDescent="0.35">
      <c r="A41" s="193" t="s">
        <v>848</v>
      </c>
      <c r="B41" s="28">
        <v>2026</v>
      </c>
      <c r="C41" s="28">
        <v>6</v>
      </c>
      <c r="D41" s="28" t="s">
        <v>838</v>
      </c>
      <c r="E41" s="28">
        <v>2</v>
      </c>
      <c r="F41" s="28">
        <v>6</v>
      </c>
      <c r="G41" s="194">
        <v>1</v>
      </c>
    </row>
    <row r="42" spans="1:7" x14ac:dyDescent="0.35">
      <c r="A42" s="193" t="s">
        <v>849</v>
      </c>
      <c r="B42" s="28">
        <v>2026</v>
      </c>
      <c r="C42" s="28">
        <v>6</v>
      </c>
      <c r="D42" s="28" t="s">
        <v>838</v>
      </c>
      <c r="E42" s="28">
        <v>2</v>
      </c>
      <c r="F42" s="28">
        <v>6</v>
      </c>
      <c r="G42" s="194">
        <v>0</v>
      </c>
    </row>
    <row r="43" spans="1:7" x14ac:dyDescent="0.35">
      <c r="A43" s="193" t="s">
        <v>850</v>
      </c>
      <c r="B43" s="28">
        <v>2026</v>
      </c>
      <c r="C43" s="28">
        <v>6</v>
      </c>
      <c r="D43" s="28" t="s">
        <v>838</v>
      </c>
      <c r="E43" s="28">
        <v>2</v>
      </c>
      <c r="F43" s="28">
        <v>6</v>
      </c>
      <c r="G43" s="194">
        <v>0</v>
      </c>
    </row>
    <row r="44" spans="1:7" x14ac:dyDescent="0.35">
      <c r="A44" s="193" t="s">
        <v>657</v>
      </c>
      <c r="B44" s="28">
        <v>2026</v>
      </c>
      <c r="C44" s="28">
        <v>6</v>
      </c>
      <c r="D44" s="28" t="s">
        <v>838</v>
      </c>
      <c r="E44" s="28">
        <v>2</v>
      </c>
      <c r="F44" s="28">
        <v>7</v>
      </c>
      <c r="G44" s="194">
        <v>1</v>
      </c>
    </row>
    <row r="45" spans="1:7" x14ac:dyDescent="0.35">
      <c r="A45" s="193" t="s">
        <v>851</v>
      </c>
      <c r="B45" s="28">
        <v>2026</v>
      </c>
      <c r="C45" s="28">
        <v>6</v>
      </c>
      <c r="D45" s="28" t="s">
        <v>838</v>
      </c>
      <c r="E45" s="28">
        <v>2</v>
      </c>
      <c r="F45" s="28">
        <v>7</v>
      </c>
      <c r="G45" s="194">
        <v>1</v>
      </c>
    </row>
    <row r="46" spans="1:7" x14ac:dyDescent="0.35">
      <c r="A46" s="193" t="s">
        <v>852</v>
      </c>
      <c r="B46" s="28">
        <v>2026</v>
      </c>
      <c r="C46" s="28">
        <v>6</v>
      </c>
      <c r="D46" s="28" t="s">
        <v>838</v>
      </c>
      <c r="E46" s="28">
        <v>2</v>
      </c>
      <c r="F46" s="28">
        <v>7</v>
      </c>
      <c r="G46" s="194">
        <v>1</v>
      </c>
    </row>
    <row r="47" spans="1:7" x14ac:dyDescent="0.35">
      <c r="A47" s="193" t="s">
        <v>853</v>
      </c>
      <c r="B47" s="28">
        <v>2026</v>
      </c>
      <c r="C47" s="28">
        <v>6</v>
      </c>
      <c r="D47" s="28" t="s">
        <v>838</v>
      </c>
      <c r="E47" s="28">
        <v>2</v>
      </c>
      <c r="F47" s="28">
        <v>7</v>
      </c>
      <c r="G47" s="194">
        <v>1</v>
      </c>
    </row>
    <row r="48" spans="1:7" x14ac:dyDescent="0.35">
      <c r="A48" s="193" t="s">
        <v>854</v>
      </c>
      <c r="B48" s="28">
        <v>2026</v>
      </c>
      <c r="C48" s="28">
        <v>6</v>
      </c>
      <c r="D48" s="28" t="s">
        <v>838</v>
      </c>
      <c r="E48" s="28">
        <v>2</v>
      </c>
      <c r="F48" s="28">
        <v>7</v>
      </c>
      <c r="G48" s="194">
        <v>1</v>
      </c>
    </row>
    <row r="49" spans="1:7" x14ac:dyDescent="0.35">
      <c r="A49" s="193" t="s">
        <v>855</v>
      </c>
      <c r="B49" s="28">
        <v>2026</v>
      </c>
      <c r="C49" s="28">
        <v>6</v>
      </c>
      <c r="D49" s="28" t="s">
        <v>838</v>
      </c>
      <c r="E49" s="28">
        <v>2</v>
      </c>
      <c r="F49" s="28">
        <v>7</v>
      </c>
      <c r="G49" s="194">
        <v>0</v>
      </c>
    </row>
    <row r="50" spans="1:7" x14ac:dyDescent="0.35">
      <c r="A50" s="193" t="s">
        <v>856</v>
      </c>
      <c r="B50" s="28">
        <v>2026</v>
      </c>
      <c r="C50" s="28">
        <v>6</v>
      </c>
      <c r="D50" s="28" t="s">
        <v>838</v>
      </c>
      <c r="E50" s="28">
        <v>2</v>
      </c>
      <c r="F50" s="28">
        <v>7</v>
      </c>
      <c r="G50" s="194">
        <v>0</v>
      </c>
    </row>
    <row r="51" spans="1:7" x14ac:dyDescent="0.35">
      <c r="A51" s="193" t="s">
        <v>658</v>
      </c>
      <c r="B51" s="28">
        <v>2026</v>
      </c>
      <c r="C51" s="28">
        <v>6</v>
      </c>
      <c r="D51" s="28" t="s">
        <v>838</v>
      </c>
      <c r="E51" s="28">
        <v>2</v>
      </c>
      <c r="F51" s="28">
        <v>8</v>
      </c>
      <c r="G51" s="194">
        <v>1</v>
      </c>
    </row>
    <row r="52" spans="1:7" x14ac:dyDescent="0.35">
      <c r="A52" s="193" t="s">
        <v>857</v>
      </c>
      <c r="B52" s="28">
        <v>2026</v>
      </c>
      <c r="C52" s="28">
        <v>6</v>
      </c>
      <c r="D52" s="28" t="s">
        <v>838</v>
      </c>
      <c r="E52" s="28">
        <v>2</v>
      </c>
      <c r="F52" s="28">
        <v>8</v>
      </c>
      <c r="G52" s="194">
        <v>1</v>
      </c>
    </row>
    <row r="53" spans="1:7" x14ac:dyDescent="0.35">
      <c r="A53" s="193" t="s">
        <v>858</v>
      </c>
      <c r="B53" s="28">
        <v>2026</v>
      </c>
      <c r="C53" s="28">
        <v>6</v>
      </c>
      <c r="D53" s="28" t="s">
        <v>838</v>
      </c>
      <c r="E53" s="28">
        <v>2</v>
      </c>
      <c r="F53" s="28">
        <v>8</v>
      </c>
      <c r="G53" s="194">
        <v>1</v>
      </c>
    </row>
    <row r="54" spans="1:7" x14ac:dyDescent="0.35">
      <c r="A54" s="193" t="s">
        <v>859</v>
      </c>
      <c r="B54" s="28">
        <v>2026</v>
      </c>
      <c r="C54" s="28">
        <v>6</v>
      </c>
      <c r="D54" s="28" t="s">
        <v>838</v>
      </c>
      <c r="E54" s="28">
        <v>2</v>
      </c>
      <c r="F54" s="28">
        <v>8</v>
      </c>
      <c r="G54" s="194">
        <v>1</v>
      </c>
    </row>
    <row r="55" spans="1:7" x14ac:dyDescent="0.35">
      <c r="A55" s="193" t="s">
        <v>860</v>
      </c>
      <c r="B55" s="28">
        <v>2026</v>
      </c>
      <c r="C55" s="28">
        <v>6</v>
      </c>
      <c r="D55" s="28" t="s">
        <v>838</v>
      </c>
      <c r="E55" s="28">
        <v>2</v>
      </c>
      <c r="F55" s="28">
        <v>8</v>
      </c>
      <c r="G55" s="194">
        <v>1</v>
      </c>
    </row>
    <row r="56" spans="1:7" x14ac:dyDescent="0.35">
      <c r="A56" s="193" t="s">
        <v>861</v>
      </c>
      <c r="B56" s="28">
        <v>2026</v>
      </c>
      <c r="C56" s="28">
        <v>6</v>
      </c>
      <c r="D56" s="28" t="s">
        <v>838</v>
      </c>
      <c r="E56" s="28">
        <v>2</v>
      </c>
      <c r="F56" s="28">
        <v>8</v>
      </c>
      <c r="G56" s="194">
        <v>0</v>
      </c>
    </row>
    <row r="57" spans="1:7" x14ac:dyDescent="0.35">
      <c r="A57" s="193" t="s">
        <v>862</v>
      </c>
      <c r="B57" s="28">
        <v>2026</v>
      </c>
      <c r="C57" s="28">
        <v>6</v>
      </c>
      <c r="D57" s="28" t="s">
        <v>838</v>
      </c>
      <c r="E57" s="28">
        <v>2</v>
      </c>
      <c r="F57" s="28">
        <v>8</v>
      </c>
      <c r="G57" s="194">
        <v>0</v>
      </c>
    </row>
    <row r="58" spans="1:7" x14ac:dyDescent="0.35">
      <c r="A58" s="193" t="s">
        <v>659</v>
      </c>
      <c r="B58" s="28">
        <v>2026</v>
      </c>
      <c r="C58" s="28">
        <v>6</v>
      </c>
      <c r="D58" s="28" t="s">
        <v>838</v>
      </c>
      <c r="E58" s="28">
        <v>2</v>
      </c>
      <c r="F58" s="28">
        <v>9</v>
      </c>
      <c r="G58" s="194">
        <v>1</v>
      </c>
    </row>
    <row r="59" spans="1:7" x14ac:dyDescent="0.35">
      <c r="A59" s="193" t="s">
        <v>549</v>
      </c>
      <c r="B59" s="28">
        <v>2026</v>
      </c>
      <c r="C59" s="28">
        <v>6</v>
      </c>
      <c r="D59" s="28" t="s">
        <v>838</v>
      </c>
      <c r="E59" s="28">
        <v>2</v>
      </c>
      <c r="F59" s="28">
        <v>9</v>
      </c>
      <c r="G59" s="194">
        <v>1</v>
      </c>
    </row>
    <row r="60" spans="1:7" x14ac:dyDescent="0.35">
      <c r="A60" s="193" t="s">
        <v>863</v>
      </c>
      <c r="B60" s="28">
        <v>2026</v>
      </c>
      <c r="C60" s="28">
        <v>7</v>
      </c>
      <c r="D60" s="28" t="s">
        <v>864</v>
      </c>
      <c r="E60" s="28">
        <v>3</v>
      </c>
      <c r="F60" s="28">
        <v>9</v>
      </c>
      <c r="G60" s="194">
        <v>1</v>
      </c>
    </row>
    <row r="61" spans="1:7" x14ac:dyDescent="0.35">
      <c r="A61" s="193" t="s">
        <v>865</v>
      </c>
      <c r="B61" s="28">
        <v>2026</v>
      </c>
      <c r="C61" s="28">
        <v>7</v>
      </c>
      <c r="D61" s="28" t="s">
        <v>864</v>
      </c>
      <c r="E61" s="28">
        <v>3</v>
      </c>
      <c r="F61" s="28">
        <v>9</v>
      </c>
      <c r="G61" s="194">
        <v>1</v>
      </c>
    </row>
    <row r="62" spans="1:7" x14ac:dyDescent="0.35">
      <c r="A62" s="193" t="s">
        <v>866</v>
      </c>
      <c r="B62" s="28">
        <v>2026</v>
      </c>
      <c r="C62" s="28">
        <v>7</v>
      </c>
      <c r="D62" s="28" t="s">
        <v>864</v>
      </c>
      <c r="E62" s="28">
        <v>3</v>
      </c>
      <c r="F62" s="28">
        <v>9</v>
      </c>
      <c r="G62" s="194">
        <v>1</v>
      </c>
    </row>
    <row r="63" spans="1:7" x14ac:dyDescent="0.35">
      <c r="A63" s="193" t="s">
        <v>867</v>
      </c>
      <c r="B63" s="28">
        <v>2026</v>
      </c>
      <c r="C63" s="28">
        <v>7</v>
      </c>
      <c r="D63" s="28" t="s">
        <v>864</v>
      </c>
      <c r="E63" s="28">
        <v>3</v>
      </c>
      <c r="F63" s="28">
        <v>9</v>
      </c>
      <c r="G63" s="194">
        <v>0</v>
      </c>
    </row>
    <row r="64" spans="1:7" x14ac:dyDescent="0.35">
      <c r="A64" s="193" t="s">
        <v>868</v>
      </c>
      <c r="B64" s="28">
        <v>2026</v>
      </c>
      <c r="C64" s="28">
        <v>7</v>
      </c>
      <c r="D64" s="28" t="s">
        <v>864</v>
      </c>
      <c r="E64" s="28">
        <v>3</v>
      </c>
      <c r="F64" s="28">
        <v>9</v>
      </c>
      <c r="G64" s="194">
        <v>0</v>
      </c>
    </row>
    <row r="65" spans="1:7" x14ac:dyDescent="0.35">
      <c r="A65" s="193" t="s">
        <v>660</v>
      </c>
      <c r="B65" s="28">
        <v>2026</v>
      </c>
      <c r="C65" s="28">
        <v>7</v>
      </c>
      <c r="D65" s="28" t="s">
        <v>864</v>
      </c>
      <c r="E65" s="28">
        <v>3</v>
      </c>
      <c r="F65" s="28">
        <v>10</v>
      </c>
      <c r="G65" s="194">
        <v>1</v>
      </c>
    </row>
    <row r="66" spans="1:7" x14ac:dyDescent="0.35">
      <c r="A66" s="193" t="s">
        <v>869</v>
      </c>
      <c r="B66" s="28">
        <v>2026</v>
      </c>
      <c r="C66" s="28">
        <v>7</v>
      </c>
      <c r="D66" s="28" t="s">
        <v>864</v>
      </c>
      <c r="E66" s="28">
        <v>3</v>
      </c>
      <c r="F66" s="28">
        <v>10</v>
      </c>
      <c r="G66" s="194">
        <v>1</v>
      </c>
    </row>
    <row r="67" spans="1:7" x14ac:dyDescent="0.35">
      <c r="A67" s="193" t="s">
        <v>870</v>
      </c>
      <c r="B67" s="28">
        <v>2026</v>
      </c>
      <c r="C67" s="28">
        <v>7</v>
      </c>
      <c r="D67" s="28" t="s">
        <v>864</v>
      </c>
      <c r="E67" s="28">
        <v>3</v>
      </c>
      <c r="F67" s="28">
        <v>10</v>
      </c>
      <c r="G67" s="194">
        <v>1</v>
      </c>
    </row>
    <row r="68" spans="1:7" x14ac:dyDescent="0.35">
      <c r="A68" s="193" t="s">
        <v>871</v>
      </c>
      <c r="B68" s="28">
        <v>2026</v>
      </c>
      <c r="C68" s="28">
        <v>7</v>
      </c>
      <c r="D68" s="28" t="s">
        <v>864</v>
      </c>
      <c r="E68" s="28">
        <v>3</v>
      </c>
      <c r="F68" s="28">
        <v>10</v>
      </c>
      <c r="G68" s="194">
        <v>1</v>
      </c>
    </row>
    <row r="69" spans="1:7" x14ac:dyDescent="0.35">
      <c r="A69" s="193" t="s">
        <v>872</v>
      </c>
      <c r="B69" s="28">
        <v>2026</v>
      </c>
      <c r="C69" s="28">
        <v>7</v>
      </c>
      <c r="D69" s="28" t="s">
        <v>864</v>
      </c>
      <c r="E69" s="28">
        <v>3</v>
      </c>
      <c r="F69" s="28">
        <v>10</v>
      </c>
      <c r="G69" s="194">
        <v>1</v>
      </c>
    </row>
    <row r="70" spans="1:7" x14ac:dyDescent="0.35">
      <c r="A70" s="193" t="s">
        <v>873</v>
      </c>
      <c r="B70" s="28">
        <v>2026</v>
      </c>
      <c r="C70" s="28">
        <v>7</v>
      </c>
      <c r="D70" s="28" t="s">
        <v>864</v>
      </c>
      <c r="E70" s="28">
        <v>3</v>
      </c>
      <c r="F70" s="28">
        <v>10</v>
      </c>
      <c r="G70" s="194">
        <v>0</v>
      </c>
    </row>
    <row r="71" spans="1:7" x14ac:dyDescent="0.35">
      <c r="A71" s="193" t="s">
        <v>874</v>
      </c>
      <c r="B71" s="28">
        <v>2026</v>
      </c>
      <c r="C71" s="28">
        <v>7</v>
      </c>
      <c r="D71" s="28" t="s">
        <v>864</v>
      </c>
      <c r="E71" s="28">
        <v>3</v>
      </c>
      <c r="F71" s="28">
        <v>10</v>
      </c>
      <c r="G71" s="194">
        <v>0</v>
      </c>
    </row>
    <row r="72" spans="1:7" x14ac:dyDescent="0.35">
      <c r="A72" s="193" t="s">
        <v>661</v>
      </c>
      <c r="B72" s="28">
        <v>2026</v>
      </c>
      <c r="C72" s="28">
        <v>7</v>
      </c>
      <c r="D72" s="28" t="s">
        <v>864</v>
      </c>
      <c r="E72" s="28">
        <v>3</v>
      </c>
      <c r="F72" s="28">
        <v>11</v>
      </c>
      <c r="G72" s="194">
        <v>1</v>
      </c>
    </row>
    <row r="73" spans="1:7" x14ac:dyDescent="0.35">
      <c r="A73" s="193" t="s">
        <v>875</v>
      </c>
      <c r="B73" s="28">
        <v>2026</v>
      </c>
      <c r="C73" s="28">
        <v>7</v>
      </c>
      <c r="D73" s="28" t="s">
        <v>864</v>
      </c>
      <c r="E73" s="28">
        <v>3</v>
      </c>
      <c r="F73" s="28">
        <v>11</v>
      </c>
      <c r="G73" s="194">
        <v>1</v>
      </c>
    </row>
    <row r="74" spans="1:7" x14ac:dyDescent="0.35">
      <c r="A74" s="193" t="s">
        <v>876</v>
      </c>
      <c r="B74" s="28">
        <v>2026</v>
      </c>
      <c r="C74" s="28">
        <v>7</v>
      </c>
      <c r="D74" s="28" t="s">
        <v>864</v>
      </c>
      <c r="E74" s="28">
        <v>3</v>
      </c>
      <c r="F74" s="28">
        <v>11</v>
      </c>
      <c r="G74" s="194">
        <v>1</v>
      </c>
    </row>
    <row r="75" spans="1:7" x14ac:dyDescent="0.35">
      <c r="A75" s="193" t="s">
        <v>877</v>
      </c>
      <c r="B75" s="28">
        <v>2026</v>
      </c>
      <c r="C75" s="28">
        <v>7</v>
      </c>
      <c r="D75" s="28" t="s">
        <v>864</v>
      </c>
      <c r="E75" s="28">
        <v>3</v>
      </c>
      <c r="F75" s="28">
        <v>11</v>
      </c>
      <c r="G75" s="194">
        <v>1</v>
      </c>
    </row>
    <row r="76" spans="1:7" x14ac:dyDescent="0.35">
      <c r="A76" s="193" t="s">
        <v>878</v>
      </c>
      <c r="B76" s="28">
        <v>2026</v>
      </c>
      <c r="C76" s="28">
        <v>7</v>
      </c>
      <c r="D76" s="28" t="s">
        <v>864</v>
      </c>
      <c r="E76" s="28">
        <v>3</v>
      </c>
      <c r="F76" s="28">
        <v>11</v>
      </c>
      <c r="G76" s="194">
        <v>1</v>
      </c>
    </row>
    <row r="77" spans="1:7" x14ac:dyDescent="0.35">
      <c r="A77" s="193" t="s">
        <v>879</v>
      </c>
      <c r="B77" s="28">
        <v>2026</v>
      </c>
      <c r="C77" s="28">
        <v>7</v>
      </c>
      <c r="D77" s="28" t="s">
        <v>864</v>
      </c>
      <c r="E77" s="28">
        <v>3</v>
      </c>
      <c r="F77" s="28">
        <v>11</v>
      </c>
      <c r="G77" s="194">
        <v>0</v>
      </c>
    </row>
    <row r="78" spans="1:7" x14ac:dyDescent="0.35">
      <c r="A78" s="193" t="s">
        <v>880</v>
      </c>
      <c r="B78" s="28">
        <v>2026</v>
      </c>
      <c r="C78" s="28">
        <v>7</v>
      </c>
      <c r="D78" s="28" t="s">
        <v>864</v>
      </c>
      <c r="E78" s="28">
        <v>3</v>
      </c>
      <c r="F78" s="28">
        <v>11</v>
      </c>
      <c r="G78" s="194">
        <v>0</v>
      </c>
    </row>
    <row r="79" spans="1:7" x14ac:dyDescent="0.35">
      <c r="A79" s="193" t="s">
        <v>662</v>
      </c>
      <c r="B79" s="28">
        <v>2026</v>
      </c>
      <c r="C79" s="28">
        <v>7</v>
      </c>
      <c r="D79" s="28" t="s">
        <v>864</v>
      </c>
      <c r="E79" s="28">
        <v>3</v>
      </c>
      <c r="F79" s="28">
        <v>12</v>
      </c>
      <c r="G79" s="194">
        <v>1</v>
      </c>
    </row>
    <row r="80" spans="1:7" x14ac:dyDescent="0.35">
      <c r="A80" s="193" t="s">
        <v>881</v>
      </c>
      <c r="B80" s="28">
        <v>2026</v>
      </c>
      <c r="C80" s="28">
        <v>7</v>
      </c>
      <c r="D80" s="28" t="s">
        <v>864</v>
      </c>
      <c r="E80" s="28">
        <v>3</v>
      </c>
      <c r="F80" s="28">
        <v>12</v>
      </c>
      <c r="G80" s="194">
        <v>1</v>
      </c>
    </row>
    <row r="81" spans="1:7" x14ac:dyDescent="0.35">
      <c r="A81" s="193" t="s">
        <v>882</v>
      </c>
      <c r="B81" s="28">
        <v>2026</v>
      </c>
      <c r="C81" s="28">
        <v>7</v>
      </c>
      <c r="D81" s="28" t="s">
        <v>864</v>
      </c>
      <c r="E81" s="28">
        <v>3</v>
      </c>
      <c r="F81" s="28">
        <v>12</v>
      </c>
      <c r="G81" s="194">
        <v>1</v>
      </c>
    </row>
    <row r="82" spans="1:7" x14ac:dyDescent="0.35">
      <c r="A82" s="193" t="s">
        <v>883</v>
      </c>
      <c r="B82" s="28">
        <v>2026</v>
      </c>
      <c r="C82" s="28">
        <v>7</v>
      </c>
      <c r="D82" s="28" t="s">
        <v>864</v>
      </c>
      <c r="E82" s="28">
        <v>3</v>
      </c>
      <c r="F82" s="28">
        <v>12</v>
      </c>
      <c r="G82" s="194">
        <v>1</v>
      </c>
    </row>
    <row r="83" spans="1:7" x14ac:dyDescent="0.35">
      <c r="A83" s="193" t="s">
        <v>884</v>
      </c>
      <c r="B83" s="28">
        <v>2026</v>
      </c>
      <c r="C83" s="28">
        <v>7</v>
      </c>
      <c r="D83" s="28" t="s">
        <v>864</v>
      </c>
      <c r="E83" s="28">
        <v>3</v>
      </c>
      <c r="F83" s="28">
        <v>12</v>
      </c>
      <c r="G83" s="194">
        <v>1</v>
      </c>
    </row>
    <row r="84" spans="1:7" x14ac:dyDescent="0.35">
      <c r="A84" s="193" t="s">
        <v>885</v>
      </c>
      <c r="B84" s="28">
        <v>2026</v>
      </c>
      <c r="C84" s="28">
        <v>7</v>
      </c>
      <c r="D84" s="28" t="s">
        <v>864</v>
      </c>
      <c r="E84" s="28">
        <v>3</v>
      </c>
      <c r="F84" s="28">
        <v>12</v>
      </c>
      <c r="G84" s="194">
        <v>0</v>
      </c>
    </row>
    <row r="85" spans="1:7" x14ac:dyDescent="0.35">
      <c r="A85" s="195" t="s">
        <v>548</v>
      </c>
      <c r="B85" s="186">
        <v>2026</v>
      </c>
      <c r="C85" s="186">
        <v>7</v>
      </c>
      <c r="D85" s="186" t="s">
        <v>864</v>
      </c>
      <c r="E85" s="186">
        <v>3</v>
      </c>
      <c r="F85" s="186">
        <v>12</v>
      </c>
      <c r="G85" s="196">
        <v>0</v>
      </c>
    </row>
  </sheetData>
  <conditionalFormatting sqref="G2:G85">
    <cfRule type="cellIs" dxfId="46" priority="1" operator="equal">
      <formula>1</formula>
    </cfRule>
    <cfRule type="cellIs" dxfId="45" priority="2" operator="equal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D966"/>
  </sheetPr>
  <dimension ref="A1:C44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15.26953125" customWidth="1"/>
  </cols>
  <sheetData>
    <row r="1" spans="1:3" x14ac:dyDescent="0.35">
      <c r="A1" s="182" t="s">
        <v>377</v>
      </c>
      <c r="B1" s="183" t="s">
        <v>776</v>
      </c>
      <c r="C1" s="184" t="s">
        <v>886</v>
      </c>
    </row>
    <row r="2" spans="1:3" x14ac:dyDescent="0.35">
      <c r="A2" s="193" t="s">
        <v>601</v>
      </c>
      <c r="B2" s="28" t="s">
        <v>574</v>
      </c>
      <c r="C2" s="191">
        <v>5000</v>
      </c>
    </row>
    <row r="3" spans="1:3" x14ac:dyDescent="0.35">
      <c r="A3" s="193" t="s">
        <v>577</v>
      </c>
      <c r="B3" s="28" t="s">
        <v>574</v>
      </c>
      <c r="C3" s="191">
        <v>15000</v>
      </c>
    </row>
    <row r="4" spans="1:3" x14ac:dyDescent="0.35">
      <c r="A4" s="193" t="s">
        <v>887</v>
      </c>
      <c r="B4" s="28" t="s">
        <v>580</v>
      </c>
      <c r="C4" s="191">
        <v>10000</v>
      </c>
    </row>
    <row r="5" spans="1:3" x14ac:dyDescent="0.35">
      <c r="A5" s="193" t="s">
        <v>583</v>
      </c>
      <c r="B5" s="28" t="s">
        <v>580</v>
      </c>
      <c r="C5" s="191">
        <v>15000</v>
      </c>
    </row>
    <row r="6" spans="1:3" x14ac:dyDescent="0.35">
      <c r="A6" s="193" t="s">
        <v>888</v>
      </c>
      <c r="B6" s="28" t="s">
        <v>585</v>
      </c>
      <c r="C6" s="191">
        <v>5000</v>
      </c>
    </row>
    <row r="7" spans="1:3" x14ac:dyDescent="0.35">
      <c r="A7" s="193" t="s">
        <v>588</v>
      </c>
      <c r="B7" s="28" t="s">
        <v>585</v>
      </c>
      <c r="C7" s="191">
        <v>10000</v>
      </c>
    </row>
    <row r="8" spans="1:3" x14ac:dyDescent="0.35">
      <c r="A8" s="193">
        <v>46188</v>
      </c>
      <c r="B8" s="28" t="s">
        <v>637</v>
      </c>
      <c r="C8" s="191">
        <v>1500</v>
      </c>
    </row>
    <row r="9" spans="1:3" x14ac:dyDescent="0.35">
      <c r="A9" s="193">
        <v>46195</v>
      </c>
      <c r="B9" s="28" t="s">
        <v>637</v>
      </c>
      <c r="C9" s="191">
        <v>1500</v>
      </c>
    </row>
    <row r="10" spans="1:3" x14ac:dyDescent="0.35">
      <c r="A10" s="193">
        <v>46202</v>
      </c>
      <c r="B10" s="28" t="s">
        <v>637</v>
      </c>
      <c r="C10" s="191">
        <v>1500</v>
      </c>
    </row>
    <row r="11" spans="1:3" x14ac:dyDescent="0.35">
      <c r="A11" s="193">
        <v>46209</v>
      </c>
      <c r="B11" s="28" t="s">
        <v>637</v>
      </c>
      <c r="C11" s="191">
        <v>1500</v>
      </c>
    </row>
    <row r="12" spans="1:3" x14ac:dyDescent="0.35">
      <c r="A12" s="193">
        <v>46216</v>
      </c>
      <c r="B12" s="28" t="s">
        <v>637</v>
      </c>
      <c r="C12" s="191">
        <v>1500</v>
      </c>
    </row>
    <row r="13" spans="1:3" x14ac:dyDescent="0.35">
      <c r="A13" s="193">
        <v>46223</v>
      </c>
      <c r="B13" s="28" t="s">
        <v>637</v>
      </c>
      <c r="C13" s="191">
        <v>1500</v>
      </c>
    </row>
    <row r="14" spans="1:3" x14ac:dyDescent="0.35">
      <c r="A14" s="193">
        <v>46146</v>
      </c>
      <c r="B14" s="28" t="s">
        <v>640</v>
      </c>
      <c r="C14" s="191">
        <v>8500</v>
      </c>
    </row>
    <row r="15" spans="1:3" x14ac:dyDescent="0.35">
      <c r="A15" s="193">
        <v>46146</v>
      </c>
      <c r="B15" s="28" t="s">
        <v>26</v>
      </c>
      <c r="C15" s="191">
        <v>6400</v>
      </c>
    </row>
    <row r="16" spans="1:3" x14ac:dyDescent="0.35">
      <c r="A16" s="193">
        <v>46153</v>
      </c>
      <c r="B16" s="28" t="s">
        <v>26</v>
      </c>
      <c r="C16" s="191">
        <v>6400</v>
      </c>
    </row>
    <row r="17" spans="1:3" x14ac:dyDescent="0.35">
      <c r="A17" s="193">
        <v>46160</v>
      </c>
      <c r="B17" s="28" t="s">
        <v>26</v>
      </c>
      <c r="C17" s="191">
        <v>6400</v>
      </c>
    </row>
    <row r="18" spans="1:3" x14ac:dyDescent="0.35">
      <c r="A18" s="193">
        <v>46153</v>
      </c>
      <c r="B18" s="28" t="s">
        <v>32</v>
      </c>
      <c r="C18" s="191">
        <v>10500</v>
      </c>
    </row>
    <row r="19" spans="1:3" x14ac:dyDescent="0.35">
      <c r="A19" s="193">
        <v>46160</v>
      </c>
      <c r="B19" s="28" t="s">
        <v>32</v>
      </c>
      <c r="C19" s="191">
        <v>10500</v>
      </c>
    </row>
    <row r="20" spans="1:3" x14ac:dyDescent="0.35">
      <c r="A20" s="193">
        <v>46167</v>
      </c>
      <c r="B20" s="28" t="s">
        <v>32</v>
      </c>
      <c r="C20" s="191">
        <v>10500</v>
      </c>
    </row>
    <row r="21" spans="1:3" x14ac:dyDescent="0.35">
      <c r="A21" s="193">
        <v>46174</v>
      </c>
      <c r="B21" s="28" t="s">
        <v>32</v>
      </c>
      <c r="C21" s="191">
        <v>10500</v>
      </c>
    </row>
    <row r="22" spans="1:3" x14ac:dyDescent="0.35">
      <c r="A22" s="193">
        <v>46153</v>
      </c>
      <c r="B22" s="28" t="s">
        <v>38</v>
      </c>
      <c r="C22" s="191">
        <v>4400</v>
      </c>
    </row>
    <row r="23" spans="1:3" x14ac:dyDescent="0.35">
      <c r="A23" s="193">
        <v>46160</v>
      </c>
      <c r="B23" s="28" t="s">
        <v>38</v>
      </c>
      <c r="C23" s="191">
        <v>4400</v>
      </c>
    </row>
    <row r="24" spans="1:3" x14ac:dyDescent="0.35">
      <c r="A24" s="193">
        <v>46167</v>
      </c>
      <c r="B24" s="28" t="s">
        <v>38</v>
      </c>
      <c r="C24" s="191">
        <v>4400</v>
      </c>
    </row>
    <row r="25" spans="1:3" x14ac:dyDescent="0.35">
      <c r="A25" s="193">
        <v>46167</v>
      </c>
      <c r="B25" s="28" t="s">
        <v>40</v>
      </c>
      <c r="C25" s="191">
        <v>8666.67</v>
      </c>
    </row>
    <row r="26" spans="1:3" x14ac:dyDescent="0.35">
      <c r="A26" s="193">
        <v>46174</v>
      </c>
      <c r="B26" s="28" t="s">
        <v>40</v>
      </c>
      <c r="C26" s="191">
        <v>8666.67</v>
      </c>
    </row>
    <row r="27" spans="1:3" x14ac:dyDescent="0.35">
      <c r="A27" s="193">
        <v>46181</v>
      </c>
      <c r="B27" s="28" t="s">
        <v>40</v>
      </c>
      <c r="C27" s="191">
        <v>8666.66</v>
      </c>
    </row>
    <row r="28" spans="1:3" x14ac:dyDescent="0.35">
      <c r="A28" s="193">
        <v>46174</v>
      </c>
      <c r="B28" s="28" t="s">
        <v>43</v>
      </c>
      <c r="C28" s="191">
        <v>9000</v>
      </c>
    </row>
    <row r="29" spans="1:3" x14ac:dyDescent="0.35">
      <c r="A29" s="193">
        <v>46181</v>
      </c>
      <c r="B29" s="28" t="s">
        <v>43</v>
      </c>
      <c r="C29" s="191">
        <v>9000</v>
      </c>
    </row>
    <row r="30" spans="1:3" x14ac:dyDescent="0.35">
      <c r="A30" s="193">
        <v>46188</v>
      </c>
      <c r="B30" s="28" t="s">
        <v>43</v>
      </c>
      <c r="C30" s="191">
        <v>9000</v>
      </c>
    </row>
    <row r="31" spans="1:3" x14ac:dyDescent="0.35">
      <c r="A31" s="193">
        <v>46195</v>
      </c>
      <c r="B31" s="28" t="s">
        <v>43</v>
      </c>
      <c r="C31" s="191">
        <v>9000</v>
      </c>
    </row>
    <row r="32" spans="1:3" x14ac:dyDescent="0.35">
      <c r="A32" s="193">
        <v>46181</v>
      </c>
      <c r="B32" s="28" t="s">
        <v>45</v>
      </c>
      <c r="C32" s="191">
        <v>7000</v>
      </c>
    </row>
    <row r="33" spans="1:3" x14ac:dyDescent="0.35">
      <c r="A33" s="193">
        <v>46188</v>
      </c>
      <c r="B33" s="28" t="s">
        <v>45</v>
      </c>
      <c r="C33" s="191">
        <v>7000</v>
      </c>
    </row>
    <row r="34" spans="1:3" x14ac:dyDescent="0.35">
      <c r="A34" s="193">
        <v>46195</v>
      </c>
      <c r="B34" s="28" t="s">
        <v>45</v>
      </c>
      <c r="C34" s="191">
        <v>7000</v>
      </c>
    </row>
    <row r="35" spans="1:3" x14ac:dyDescent="0.35">
      <c r="A35" s="193">
        <v>46202</v>
      </c>
      <c r="B35" s="28" t="s">
        <v>45</v>
      </c>
      <c r="C35" s="191">
        <v>7000</v>
      </c>
    </row>
    <row r="36" spans="1:3" x14ac:dyDescent="0.35">
      <c r="A36" s="193">
        <v>46195</v>
      </c>
      <c r="B36" s="28" t="s">
        <v>47</v>
      </c>
      <c r="C36" s="191">
        <v>11916.67</v>
      </c>
    </row>
    <row r="37" spans="1:3" x14ac:dyDescent="0.35">
      <c r="A37" s="193">
        <v>46202</v>
      </c>
      <c r="B37" s="28" t="s">
        <v>47</v>
      </c>
      <c r="C37" s="191">
        <v>11916.67</v>
      </c>
    </row>
    <row r="38" spans="1:3" x14ac:dyDescent="0.35">
      <c r="A38" s="193">
        <v>46209</v>
      </c>
      <c r="B38" s="28" t="s">
        <v>47</v>
      </c>
      <c r="C38" s="191">
        <v>11916.66</v>
      </c>
    </row>
    <row r="39" spans="1:3" x14ac:dyDescent="0.35">
      <c r="A39" s="193">
        <v>46202</v>
      </c>
      <c r="B39" s="28" t="s">
        <v>50</v>
      </c>
      <c r="C39" s="191">
        <v>10000</v>
      </c>
    </row>
    <row r="40" spans="1:3" x14ac:dyDescent="0.35">
      <c r="A40" s="193">
        <v>46209</v>
      </c>
      <c r="B40" s="28" t="s">
        <v>50</v>
      </c>
      <c r="C40" s="191">
        <v>10000</v>
      </c>
    </row>
    <row r="41" spans="1:3" x14ac:dyDescent="0.35">
      <c r="A41" s="193">
        <v>46216</v>
      </c>
      <c r="B41" s="28" t="s">
        <v>50</v>
      </c>
      <c r="C41" s="191">
        <v>10000</v>
      </c>
    </row>
    <row r="42" spans="1:3" x14ac:dyDescent="0.35">
      <c r="A42" s="193">
        <v>46216</v>
      </c>
      <c r="B42" s="28" t="s">
        <v>52</v>
      </c>
      <c r="C42" s="191">
        <v>4200</v>
      </c>
    </row>
    <row r="43" spans="1:3" x14ac:dyDescent="0.35">
      <c r="A43" s="193">
        <v>46223</v>
      </c>
      <c r="B43" s="28" t="s">
        <v>52</v>
      </c>
      <c r="C43" s="191">
        <v>4200</v>
      </c>
    </row>
    <row r="44" spans="1:3" x14ac:dyDescent="0.35">
      <c r="A44" s="195">
        <v>46223</v>
      </c>
      <c r="B44" s="186" t="s">
        <v>55</v>
      </c>
      <c r="C44" s="192">
        <v>3600</v>
      </c>
    </row>
  </sheetData>
  <conditionalFormatting sqref="C2:C44">
    <cfRule type="cellIs" dxfId="44" priority="1" operator="lessThanOrEqual">
      <formula>4200</formula>
    </cfRule>
    <cfRule type="cellIs" dxfId="43" priority="2" operator="between">
      <formula>4200</formula>
      <formula>8666.67</formula>
    </cfRule>
    <cfRule type="cellIs" dxfId="42" priority="3" operator="greaterThanOrEqual">
      <formula>8666.67</formula>
    </cfRule>
  </conditionalFormatting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D966"/>
  </sheetPr>
  <dimension ref="A1:E100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13.26953125" customWidth="1"/>
    <col min="4" max="4" width="12.81640625" customWidth="1"/>
    <col min="5" max="5" width="15.08984375" customWidth="1"/>
  </cols>
  <sheetData>
    <row r="1" spans="1:5" x14ac:dyDescent="0.35">
      <c r="A1" s="182" t="s">
        <v>377</v>
      </c>
      <c r="B1" s="183" t="s">
        <v>776</v>
      </c>
      <c r="C1" s="183" t="s">
        <v>781</v>
      </c>
      <c r="D1" s="183" t="s">
        <v>889</v>
      </c>
      <c r="E1" s="184" t="s">
        <v>890</v>
      </c>
    </row>
    <row r="2" spans="1:5" x14ac:dyDescent="0.35">
      <c r="A2" s="193" t="s">
        <v>601</v>
      </c>
      <c r="B2" s="28" t="s">
        <v>574</v>
      </c>
      <c r="C2" s="28" t="s">
        <v>578</v>
      </c>
      <c r="D2" s="34">
        <v>4500</v>
      </c>
      <c r="E2" s="172">
        <v>22.5</v>
      </c>
    </row>
    <row r="3" spans="1:5" x14ac:dyDescent="0.35">
      <c r="A3" s="193" t="s">
        <v>577</v>
      </c>
      <c r="B3" s="28" t="s">
        <v>574</v>
      </c>
      <c r="C3" s="28" t="s">
        <v>578</v>
      </c>
      <c r="D3" s="34">
        <v>16000</v>
      </c>
      <c r="E3" s="172">
        <v>80</v>
      </c>
    </row>
    <row r="4" spans="1:5" x14ac:dyDescent="0.35">
      <c r="A4" s="193" t="s">
        <v>887</v>
      </c>
      <c r="B4" s="28" t="s">
        <v>580</v>
      </c>
      <c r="C4" s="28" t="s">
        <v>578</v>
      </c>
      <c r="D4" s="34">
        <v>11000</v>
      </c>
      <c r="E4" s="172">
        <v>55</v>
      </c>
    </row>
    <row r="5" spans="1:5" x14ac:dyDescent="0.35">
      <c r="A5" s="193" t="s">
        <v>583</v>
      </c>
      <c r="B5" s="28" t="s">
        <v>580</v>
      </c>
      <c r="C5" s="28" t="s">
        <v>589</v>
      </c>
      <c r="D5" s="34">
        <v>12000</v>
      </c>
      <c r="E5" s="172">
        <v>80</v>
      </c>
    </row>
    <row r="6" spans="1:5" x14ac:dyDescent="0.35">
      <c r="A6" s="193">
        <v>46150</v>
      </c>
      <c r="B6" s="28" t="s">
        <v>637</v>
      </c>
      <c r="C6" s="28" t="s">
        <v>891</v>
      </c>
      <c r="D6" s="34">
        <v>320</v>
      </c>
      <c r="E6" s="172">
        <v>0.21</v>
      </c>
    </row>
    <row r="7" spans="1:5" x14ac:dyDescent="0.35">
      <c r="A7" s="193">
        <v>46146</v>
      </c>
      <c r="B7" s="28" t="s">
        <v>640</v>
      </c>
      <c r="C7" s="28" t="s">
        <v>789</v>
      </c>
      <c r="D7" s="34">
        <v>1740</v>
      </c>
      <c r="E7" s="172">
        <v>0.79</v>
      </c>
    </row>
    <row r="8" spans="1:5" x14ac:dyDescent="0.35">
      <c r="A8" s="193">
        <v>46147</v>
      </c>
      <c r="B8" s="28" t="s">
        <v>640</v>
      </c>
      <c r="C8" s="28" t="s">
        <v>789</v>
      </c>
      <c r="D8" s="34">
        <v>1740</v>
      </c>
      <c r="E8" s="172">
        <v>0.79</v>
      </c>
    </row>
    <row r="9" spans="1:5" x14ac:dyDescent="0.35">
      <c r="A9" s="193">
        <v>46148</v>
      </c>
      <c r="B9" s="28" t="s">
        <v>640</v>
      </c>
      <c r="C9" s="28" t="s">
        <v>789</v>
      </c>
      <c r="D9" s="34">
        <v>1740</v>
      </c>
      <c r="E9" s="172">
        <v>0.79</v>
      </c>
    </row>
    <row r="10" spans="1:5" x14ac:dyDescent="0.35">
      <c r="A10" s="193">
        <v>46149</v>
      </c>
      <c r="B10" s="28" t="s">
        <v>640</v>
      </c>
      <c r="C10" s="28" t="s">
        <v>789</v>
      </c>
      <c r="D10" s="34">
        <v>1740</v>
      </c>
      <c r="E10" s="172">
        <v>0.79</v>
      </c>
    </row>
    <row r="11" spans="1:5" x14ac:dyDescent="0.35">
      <c r="A11" s="193">
        <v>46150</v>
      </c>
      <c r="B11" s="28" t="s">
        <v>640</v>
      </c>
      <c r="C11" s="28" t="s">
        <v>789</v>
      </c>
      <c r="D11" s="34">
        <v>1740</v>
      </c>
      <c r="E11" s="172">
        <v>0.79</v>
      </c>
    </row>
    <row r="12" spans="1:5" x14ac:dyDescent="0.35">
      <c r="A12" s="193">
        <v>46146</v>
      </c>
      <c r="B12" s="28" t="s">
        <v>26</v>
      </c>
      <c r="C12" s="28" t="s">
        <v>892</v>
      </c>
      <c r="D12" s="34">
        <v>1199.01</v>
      </c>
      <c r="E12" s="172">
        <v>0.5</v>
      </c>
    </row>
    <row r="13" spans="1:5" x14ac:dyDescent="0.35">
      <c r="A13" s="193">
        <v>46147</v>
      </c>
      <c r="B13" s="28" t="s">
        <v>26</v>
      </c>
      <c r="C13" s="28" t="s">
        <v>892</v>
      </c>
      <c r="D13" s="34">
        <v>1199.01</v>
      </c>
      <c r="E13" s="172">
        <v>0.5</v>
      </c>
    </row>
    <row r="14" spans="1:5" x14ac:dyDescent="0.35">
      <c r="A14" s="193">
        <v>46148</v>
      </c>
      <c r="B14" s="28" t="s">
        <v>26</v>
      </c>
      <c r="C14" s="28" t="s">
        <v>892</v>
      </c>
      <c r="D14" s="34">
        <v>1199.01</v>
      </c>
      <c r="E14" s="172">
        <v>0.5</v>
      </c>
    </row>
    <row r="15" spans="1:5" x14ac:dyDescent="0.35">
      <c r="A15" s="193">
        <v>46149</v>
      </c>
      <c r="B15" s="28" t="s">
        <v>26</v>
      </c>
      <c r="C15" s="28" t="s">
        <v>892</v>
      </c>
      <c r="D15" s="34">
        <v>1199.01</v>
      </c>
      <c r="E15" s="172">
        <v>0.5</v>
      </c>
    </row>
    <row r="16" spans="1:5" x14ac:dyDescent="0.35">
      <c r="A16" s="193">
        <v>46150</v>
      </c>
      <c r="B16" s="28" t="s">
        <v>26</v>
      </c>
      <c r="C16" s="28" t="s">
        <v>892</v>
      </c>
      <c r="D16" s="34">
        <v>1199</v>
      </c>
      <c r="E16" s="172">
        <v>0.5</v>
      </c>
    </row>
    <row r="17" spans="1:5" x14ac:dyDescent="0.35">
      <c r="A17" s="193">
        <v>46153</v>
      </c>
      <c r="B17" s="28" t="s">
        <v>637</v>
      </c>
      <c r="C17" s="28" t="s">
        <v>891</v>
      </c>
      <c r="D17" s="34">
        <v>320</v>
      </c>
      <c r="E17" s="172">
        <v>0.21</v>
      </c>
    </row>
    <row r="18" spans="1:5" x14ac:dyDescent="0.35">
      <c r="A18" s="193">
        <v>46154</v>
      </c>
      <c r="B18" s="28" t="s">
        <v>637</v>
      </c>
      <c r="C18" s="28" t="s">
        <v>891</v>
      </c>
      <c r="D18" s="34">
        <v>320</v>
      </c>
      <c r="E18" s="172">
        <v>0.21</v>
      </c>
    </row>
    <row r="19" spans="1:5" x14ac:dyDescent="0.35">
      <c r="A19" s="193">
        <v>46155</v>
      </c>
      <c r="B19" s="28" t="s">
        <v>637</v>
      </c>
      <c r="C19" s="28" t="s">
        <v>891</v>
      </c>
      <c r="D19" s="34">
        <v>320</v>
      </c>
      <c r="E19" s="172">
        <v>0.21</v>
      </c>
    </row>
    <row r="20" spans="1:5" x14ac:dyDescent="0.35">
      <c r="A20" s="193">
        <v>46156</v>
      </c>
      <c r="B20" s="28" t="s">
        <v>637</v>
      </c>
      <c r="C20" s="28" t="s">
        <v>891</v>
      </c>
      <c r="D20" s="34">
        <v>320</v>
      </c>
      <c r="E20" s="172">
        <v>0.21</v>
      </c>
    </row>
    <row r="21" spans="1:5" x14ac:dyDescent="0.35">
      <c r="A21" s="193">
        <v>46157</v>
      </c>
      <c r="B21" s="28" t="s">
        <v>637</v>
      </c>
      <c r="C21" s="28" t="s">
        <v>891</v>
      </c>
      <c r="D21" s="34">
        <v>320</v>
      </c>
      <c r="E21" s="172">
        <v>0.21</v>
      </c>
    </row>
    <row r="22" spans="1:5" x14ac:dyDescent="0.35">
      <c r="A22" s="193">
        <v>46153</v>
      </c>
      <c r="B22" s="28" t="s">
        <v>26</v>
      </c>
      <c r="C22" s="28" t="s">
        <v>892</v>
      </c>
      <c r="D22" s="34">
        <v>1200</v>
      </c>
      <c r="E22" s="172">
        <v>0.5</v>
      </c>
    </row>
    <row r="23" spans="1:5" x14ac:dyDescent="0.35">
      <c r="A23" s="193">
        <v>46154</v>
      </c>
      <c r="B23" s="28" t="s">
        <v>26</v>
      </c>
      <c r="C23" s="28" t="s">
        <v>892</v>
      </c>
      <c r="D23" s="34">
        <v>1200</v>
      </c>
      <c r="E23" s="172">
        <v>0.5</v>
      </c>
    </row>
    <row r="24" spans="1:5" x14ac:dyDescent="0.35">
      <c r="A24" s="193">
        <v>46155</v>
      </c>
      <c r="B24" s="28" t="s">
        <v>26</v>
      </c>
      <c r="C24" s="28" t="s">
        <v>892</v>
      </c>
      <c r="D24" s="34">
        <v>1200</v>
      </c>
      <c r="E24" s="172">
        <v>0.5</v>
      </c>
    </row>
    <row r="25" spans="1:5" x14ac:dyDescent="0.35">
      <c r="A25" s="193">
        <v>46156</v>
      </c>
      <c r="B25" s="28" t="s">
        <v>26</v>
      </c>
      <c r="C25" s="28" t="s">
        <v>892</v>
      </c>
      <c r="D25" s="34">
        <v>1200</v>
      </c>
      <c r="E25" s="172">
        <v>0.5</v>
      </c>
    </row>
    <row r="26" spans="1:5" x14ac:dyDescent="0.35">
      <c r="A26" s="193">
        <v>46157</v>
      </c>
      <c r="B26" s="28" t="s">
        <v>26</v>
      </c>
      <c r="C26" s="28" t="s">
        <v>892</v>
      </c>
      <c r="D26" s="34">
        <v>1200</v>
      </c>
      <c r="E26" s="172">
        <v>0.5</v>
      </c>
    </row>
    <row r="27" spans="1:5" x14ac:dyDescent="0.35">
      <c r="A27" s="193">
        <v>46155</v>
      </c>
      <c r="B27" s="28" t="s">
        <v>32</v>
      </c>
      <c r="C27" s="28" t="s">
        <v>796</v>
      </c>
      <c r="D27" s="34">
        <v>10500</v>
      </c>
      <c r="E27" s="172">
        <v>0</v>
      </c>
    </row>
    <row r="28" spans="1:5" x14ac:dyDescent="0.35">
      <c r="A28" s="193">
        <v>46153</v>
      </c>
      <c r="B28" s="28" t="s">
        <v>38</v>
      </c>
      <c r="C28" s="28" t="s">
        <v>789</v>
      </c>
      <c r="D28" s="34">
        <v>910.82</v>
      </c>
      <c r="E28" s="172">
        <v>0.41</v>
      </c>
    </row>
    <row r="29" spans="1:5" x14ac:dyDescent="0.35">
      <c r="A29" s="193">
        <v>46154</v>
      </c>
      <c r="B29" s="28" t="s">
        <v>38</v>
      </c>
      <c r="C29" s="28" t="s">
        <v>789</v>
      </c>
      <c r="D29" s="34">
        <v>910.82</v>
      </c>
      <c r="E29" s="172">
        <v>0.41</v>
      </c>
    </row>
    <row r="30" spans="1:5" x14ac:dyDescent="0.35">
      <c r="A30" s="193">
        <v>46155</v>
      </c>
      <c r="B30" s="28" t="s">
        <v>38</v>
      </c>
      <c r="C30" s="28" t="s">
        <v>789</v>
      </c>
      <c r="D30" s="34">
        <v>910.82</v>
      </c>
      <c r="E30" s="172">
        <v>0.41</v>
      </c>
    </row>
    <row r="31" spans="1:5" x14ac:dyDescent="0.35">
      <c r="A31" s="193">
        <v>46156</v>
      </c>
      <c r="B31" s="28" t="s">
        <v>38</v>
      </c>
      <c r="C31" s="28" t="s">
        <v>789</v>
      </c>
      <c r="D31" s="34">
        <v>910.82</v>
      </c>
      <c r="E31" s="172">
        <v>0.41</v>
      </c>
    </row>
    <row r="32" spans="1:5" x14ac:dyDescent="0.35">
      <c r="A32" s="193">
        <v>46157</v>
      </c>
      <c r="B32" s="28" t="s">
        <v>38</v>
      </c>
      <c r="C32" s="28" t="s">
        <v>789</v>
      </c>
      <c r="D32" s="34">
        <v>910.8</v>
      </c>
      <c r="E32" s="172">
        <v>0.41</v>
      </c>
    </row>
    <row r="33" spans="1:5" x14ac:dyDescent="0.35">
      <c r="A33" s="193">
        <v>46160</v>
      </c>
      <c r="B33" s="28" t="s">
        <v>637</v>
      </c>
      <c r="C33" s="28" t="s">
        <v>891</v>
      </c>
      <c r="D33" s="34">
        <v>320</v>
      </c>
      <c r="E33" s="172">
        <v>0.21</v>
      </c>
    </row>
    <row r="34" spans="1:5" x14ac:dyDescent="0.35">
      <c r="A34" s="193">
        <v>46161</v>
      </c>
      <c r="B34" s="28" t="s">
        <v>637</v>
      </c>
      <c r="C34" s="28" t="s">
        <v>891</v>
      </c>
      <c r="D34" s="34">
        <v>320</v>
      </c>
      <c r="E34" s="172">
        <v>0.21</v>
      </c>
    </row>
    <row r="35" spans="1:5" x14ac:dyDescent="0.35">
      <c r="A35" s="193">
        <v>46162</v>
      </c>
      <c r="B35" s="28" t="s">
        <v>637</v>
      </c>
      <c r="C35" s="28" t="s">
        <v>891</v>
      </c>
      <c r="D35" s="34">
        <v>320</v>
      </c>
      <c r="E35" s="172">
        <v>0.21</v>
      </c>
    </row>
    <row r="36" spans="1:5" x14ac:dyDescent="0.35">
      <c r="A36" s="193">
        <v>46163</v>
      </c>
      <c r="B36" s="28" t="s">
        <v>637</v>
      </c>
      <c r="C36" s="28" t="s">
        <v>891</v>
      </c>
      <c r="D36" s="34">
        <v>320</v>
      </c>
      <c r="E36" s="172">
        <v>0.21</v>
      </c>
    </row>
    <row r="37" spans="1:5" x14ac:dyDescent="0.35">
      <c r="A37" s="193">
        <v>46164</v>
      </c>
      <c r="B37" s="28" t="s">
        <v>637</v>
      </c>
      <c r="C37" s="28" t="s">
        <v>891</v>
      </c>
      <c r="D37" s="34">
        <v>320</v>
      </c>
      <c r="E37" s="172">
        <v>0.21</v>
      </c>
    </row>
    <row r="38" spans="1:5" x14ac:dyDescent="0.35">
      <c r="A38" s="193">
        <v>46160</v>
      </c>
      <c r="B38" s="28" t="s">
        <v>26</v>
      </c>
      <c r="C38" s="28" t="s">
        <v>892</v>
      </c>
      <c r="D38" s="34">
        <v>1240</v>
      </c>
      <c r="E38" s="172">
        <v>0.52</v>
      </c>
    </row>
    <row r="39" spans="1:5" x14ac:dyDescent="0.35">
      <c r="A39" s="193">
        <v>46161</v>
      </c>
      <c r="B39" s="28" t="s">
        <v>26</v>
      </c>
      <c r="C39" s="28" t="s">
        <v>892</v>
      </c>
      <c r="D39" s="34">
        <v>1240</v>
      </c>
      <c r="E39" s="172">
        <v>0.52</v>
      </c>
    </row>
    <row r="40" spans="1:5" x14ac:dyDescent="0.35">
      <c r="A40" s="193">
        <v>46162</v>
      </c>
      <c r="B40" s="28" t="s">
        <v>26</v>
      </c>
      <c r="C40" s="28" t="s">
        <v>892</v>
      </c>
      <c r="D40" s="34">
        <v>1240</v>
      </c>
      <c r="E40" s="172">
        <v>0.52</v>
      </c>
    </row>
    <row r="41" spans="1:5" x14ac:dyDescent="0.35">
      <c r="A41" s="193">
        <v>46163</v>
      </c>
      <c r="B41" s="28" t="s">
        <v>26</v>
      </c>
      <c r="C41" s="28" t="s">
        <v>892</v>
      </c>
      <c r="D41" s="34">
        <v>1240</v>
      </c>
      <c r="E41" s="172">
        <v>0.52</v>
      </c>
    </row>
    <row r="42" spans="1:5" x14ac:dyDescent="0.35">
      <c r="A42" s="193">
        <v>46164</v>
      </c>
      <c r="B42" s="28" t="s">
        <v>26</v>
      </c>
      <c r="C42" s="28" t="s">
        <v>892</v>
      </c>
      <c r="D42" s="34">
        <v>1240</v>
      </c>
      <c r="E42" s="172">
        <v>0.52</v>
      </c>
    </row>
    <row r="43" spans="1:5" x14ac:dyDescent="0.35">
      <c r="A43" s="193">
        <v>46162</v>
      </c>
      <c r="B43" s="28" t="s">
        <v>32</v>
      </c>
      <c r="C43" s="28" t="s">
        <v>796</v>
      </c>
      <c r="D43" s="34">
        <v>10200</v>
      </c>
      <c r="E43" s="172">
        <v>0</v>
      </c>
    </row>
    <row r="44" spans="1:5" x14ac:dyDescent="0.35">
      <c r="A44" s="193">
        <v>46160</v>
      </c>
      <c r="B44" s="28" t="s">
        <v>38</v>
      </c>
      <c r="C44" s="28" t="s">
        <v>789</v>
      </c>
      <c r="D44" s="34">
        <v>930.82</v>
      </c>
      <c r="E44" s="172">
        <v>0.42</v>
      </c>
    </row>
    <row r="45" spans="1:5" x14ac:dyDescent="0.35">
      <c r="A45" s="193">
        <v>46161</v>
      </c>
      <c r="B45" s="28" t="s">
        <v>38</v>
      </c>
      <c r="C45" s="28" t="s">
        <v>789</v>
      </c>
      <c r="D45" s="34">
        <v>930.82</v>
      </c>
      <c r="E45" s="172">
        <v>0.42</v>
      </c>
    </row>
    <row r="46" spans="1:5" x14ac:dyDescent="0.35">
      <c r="A46" s="193">
        <v>46162</v>
      </c>
      <c r="B46" s="28" t="s">
        <v>38</v>
      </c>
      <c r="C46" s="28" t="s">
        <v>789</v>
      </c>
      <c r="D46" s="34">
        <v>930.82</v>
      </c>
      <c r="E46" s="172">
        <v>0.42</v>
      </c>
    </row>
    <row r="47" spans="1:5" x14ac:dyDescent="0.35">
      <c r="A47" s="193">
        <v>46163</v>
      </c>
      <c r="B47" s="28" t="s">
        <v>38</v>
      </c>
      <c r="C47" s="28" t="s">
        <v>789</v>
      </c>
      <c r="D47" s="34">
        <v>930.82</v>
      </c>
      <c r="E47" s="172">
        <v>0.42</v>
      </c>
    </row>
    <row r="48" spans="1:5" x14ac:dyDescent="0.35">
      <c r="A48" s="193">
        <v>46164</v>
      </c>
      <c r="B48" s="28" t="s">
        <v>38</v>
      </c>
      <c r="C48" s="28" t="s">
        <v>789</v>
      </c>
      <c r="D48" s="34">
        <v>930.8</v>
      </c>
      <c r="E48" s="172">
        <v>0.42</v>
      </c>
    </row>
    <row r="49" spans="1:5" x14ac:dyDescent="0.35">
      <c r="A49" s="193">
        <v>46167</v>
      </c>
      <c r="B49" s="28" t="s">
        <v>637</v>
      </c>
      <c r="C49" s="28" t="s">
        <v>891</v>
      </c>
      <c r="D49" s="34">
        <v>320</v>
      </c>
      <c r="E49" s="172">
        <v>0.21</v>
      </c>
    </row>
    <row r="50" spans="1:5" x14ac:dyDescent="0.35">
      <c r="A50" s="193">
        <v>46168</v>
      </c>
      <c r="B50" s="28" t="s">
        <v>637</v>
      </c>
      <c r="C50" s="28" t="s">
        <v>891</v>
      </c>
      <c r="D50" s="34">
        <v>320</v>
      </c>
      <c r="E50" s="172">
        <v>0.21</v>
      </c>
    </row>
    <row r="51" spans="1:5" x14ac:dyDescent="0.35">
      <c r="A51" s="193">
        <v>46169</v>
      </c>
      <c r="B51" s="28" t="s">
        <v>637</v>
      </c>
      <c r="C51" s="28" t="s">
        <v>891</v>
      </c>
      <c r="D51" s="34">
        <v>320</v>
      </c>
      <c r="E51" s="172">
        <v>0.21</v>
      </c>
    </row>
    <row r="52" spans="1:5" x14ac:dyDescent="0.35">
      <c r="A52" s="193">
        <v>46170</v>
      </c>
      <c r="B52" s="28" t="s">
        <v>637</v>
      </c>
      <c r="C52" s="28" t="s">
        <v>891</v>
      </c>
      <c r="D52" s="34">
        <v>320</v>
      </c>
      <c r="E52" s="172">
        <v>0.21</v>
      </c>
    </row>
    <row r="53" spans="1:5" x14ac:dyDescent="0.35">
      <c r="A53" s="193">
        <v>46171</v>
      </c>
      <c r="B53" s="28" t="s">
        <v>637</v>
      </c>
      <c r="C53" s="28" t="s">
        <v>891</v>
      </c>
      <c r="D53" s="34">
        <v>320</v>
      </c>
      <c r="E53" s="172">
        <v>0.21</v>
      </c>
    </row>
    <row r="54" spans="1:5" x14ac:dyDescent="0.35">
      <c r="A54" s="193">
        <v>46169</v>
      </c>
      <c r="B54" s="28" t="s">
        <v>32</v>
      </c>
      <c r="C54" s="28" t="s">
        <v>796</v>
      </c>
      <c r="D54" s="34">
        <v>10200</v>
      </c>
      <c r="E54" s="172">
        <v>0</v>
      </c>
    </row>
    <row r="55" spans="1:5" x14ac:dyDescent="0.35">
      <c r="A55" s="193">
        <v>46167</v>
      </c>
      <c r="B55" s="28" t="s">
        <v>38</v>
      </c>
      <c r="C55" s="28" t="s">
        <v>789</v>
      </c>
      <c r="D55" s="34">
        <v>840</v>
      </c>
      <c r="E55" s="172">
        <v>0.38</v>
      </c>
    </row>
    <row r="56" spans="1:5" x14ac:dyDescent="0.35">
      <c r="A56" s="193">
        <v>46168</v>
      </c>
      <c r="B56" s="28" t="s">
        <v>38</v>
      </c>
      <c r="C56" s="28" t="s">
        <v>789</v>
      </c>
      <c r="D56" s="34">
        <v>840</v>
      </c>
      <c r="E56" s="172">
        <v>0.38</v>
      </c>
    </row>
    <row r="57" spans="1:5" x14ac:dyDescent="0.35">
      <c r="A57" s="193">
        <v>46169</v>
      </c>
      <c r="B57" s="28" t="s">
        <v>38</v>
      </c>
      <c r="C57" s="28" t="s">
        <v>789</v>
      </c>
      <c r="D57" s="34">
        <v>840</v>
      </c>
      <c r="E57" s="172">
        <v>0.38</v>
      </c>
    </row>
    <row r="58" spans="1:5" x14ac:dyDescent="0.35">
      <c r="A58" s="193">
        <v>46170</v>
      </c>
      <c r="B58" s="28" t="s">
        <v>38</v>
      </c>
      <c r="C58" s="28" t="s">
        <v>789</v>
      </c>
      <c r="D58" s="34">
        <v>840</v>
      </c>
      <c r="E58" s="172">
        <v>0.38</v>
      </c>
    </row>
    <row r="59" spans="1:5" x14ac:dyDescent="0.35">
      <c r="A59" s="193">
        <v>46171</v>
      </c>
      <c r="B59" s="28" t="s">
        <v>38</v>
      </c>
      <c r="C59" s="28" t="s">
        <v>789</v>
      </c>
      <c r="D59" s="34">
        <v>840</v>
      </c>
      <c r="E59" s="172">
        <v>0.38</v>
      </c>
    </row>
    <row r="60" spans="1:5" x14ac:dyDescent="0.35">
      <c r="A60" s="193">
        <v>46167</v>
      </c>
      <c r="B60" s="28" t="s">
        <v>40</v>
      </c>
      <c r="C60" s="28" t="s">
        <v>787</v>
      </c>
      <c r="D60" s="34">
        <v>1781.25</v>
      </c>
      <c r="E60" s="172">
        <v>0.69</v>
      </c>
    </row>
    <row r="61" spans="1:5" x14ac:dyDescent="0.35">
      <c r="A61" s="193">
        <v>46168</v>
      </c>
      <c r="B61" s="28" t="s">
        <v>40</v>
      </c>
      <c r="C61" s="28" t="s">
        <v>787</v>
      </c>
      <c r="D61" s="34">
        <v>1781.25</v>
      </c>
      <c r="E61" s="172">
        <v>0.69</v>
      </c>
    </row>
    <row r="62" spans="1:5" x14ac:dyDescent="0.35">
      <c r="A62" s="193">
        <v>46169</v>
      </c>
      <c r="B62" s="28" t="s">
        <v>40</v>
      </c>
      <c r="C62" s="28" t="s">
        <v>787</v>
      </c>
      <c r="D62" s="34">
        <v>1781.25</v>
      </c>
      <c r="E62" s="172">
        <v>0.69</v>
      </c>
    </row>
    <row r="63" spans="1:5" x14ac:dyDescent="0.35">
      <c r="A63" s="193">
        <v>46170</v>
      </c>
      <c r="B63" s="28" t="s">
        <v>40</v>
      </c>
      <c r="C63" s="28" t="s">
        <v>787</v>
      </c>
      <c r="D63" s="34">
        <v>1781.25</v>
      </c>
      <c r="E63" s="172">
        <v>0.69</v>
      </c>
    </row>
    <row r="64" spans="1:5" x14ac:dyDescent="0.35">
      <c r="A64" s="193">
        <v>46171</v>
      </c>
      <c r="B64" s="28" t="s">
        <v>40</v>
      </c>
      <c r="C64" s="28" t="s">
        <v>787</v>
      </c>
      <c r="D64" s="34">
        <v>1781.24</v>
      </c>
      <c r="E64" s="172">
        <v>0.69</v>
      </c>
    </row>
    <row r="65" spans="1:5" x14ac:dyDescent="0.35">
      <c r="A65" s="193">
        <v>46174</v>
      </c>
      <c r="B65" s="28" t="s">
        <v>637</v>
      </c>
      <c r="C65" s="28" t="s">
        <v>891</v>
      </c>
      <c r="D65" s="34">
        <v>320</v>
      </c>
      <c r="E65" s="172">
        <v>0.21</v>
      </c>
    </row>
    <row r="66" spans="1:5" x14ac:dyDescent="0.35">
      <c r="A66" s="193">
        <v>46175</v>
      </c>
      <c r="B66" s="28" t="s">
        <v>637</v>
      </c>
      <c r="C66" s="28" t="s">
        <v>891</v>
      </c>
      <c r="D66" s="34">
        <v>320</v>
      </c>
      <c r="E66" s="172">
        <v>0.21</v>
      </c>
    </row>
    <row r="67" spans="1:5" x14ac:dyDescent="0.35">
      <c r="A67" s="193">
        <v>46176</v>
      </c>
      <c r="B67" s="28" t="s">
        <v>637</v>
      </c>
      <c r="C67" s="28" t="s">
        <v>891</v>
      </c>
      <c r="D67" s="34">
        <v>320</v>
      </c>
      <c r="E67" s="172">
        <v>0.21</v>
      </c>
    </row>
    <row r="68" spans="1:5" x14ac:dyDescent="0.35">
      <c r="A68" s="193">
        <v>46177</v>
      </c>
      <c r="B68" s="28" t="s">
        <v>637</v>
      </c>
      <c r="C68" s="28" t="s">
        <v>891</v>
      </c>
      <c r="D68" s="34">
        <v>320</v>
      </c>
      <c r="E68" s="172">
        <v>0.21</v>
      </c>
    </row>
    <row r="69" spans="1:5" x14ac:dyDescent="0.35">
      <c r="A69" s="193">
        <v>46178</v>
      </c>
      <c r="B69" s="28" t="s">
        <v>637</v>
      </c>
      <c r="C69" s="28" t="s">
        <v>891</v>
      </c>
      <c r="D69" s="34">
        <v>320</v>
      </c>
      <c r="E69" s="172">
        <v>0.21</v>
      </c>
    </row>
    <row r="70" spans="1:5" x14ac:dyDescent="0.35">
      <c r="A70" s="193">
        <v>46176</v>
      </c>
      <c r="B70" s="28" t="s">
        <v>32</v>
      </c>
      <c r="C70" s="28" t="s">
        <v>796</v>
      </c>
      <c r="D70" s="34">
        <v>10400</v>
      </c>
      <c r="E70" s="172">
        <v>0</v>
      </c>
    </row>
    <row r="71" spans="1:5" x14ac:dyDescent="0.35">
      <c r="A71" s="193">
        <v>46174</v>
      </c>
      <c r="B71" s="28" t="s">
        <v>40</v>
      </c>
      <c r="C71" s="28" t="s">
        <v>787</v>
      </c>
      <c r="D71" s="34">
        <v>1760</v>
      </c>
      <c r="E71" s="172">
        <v>0.68</v>
      </c>
    </row>
    <row r="72" spans="1:5" x14ac:dyDescent="0.35">
      <c r="A72" s="193">
        <v>46175</v>
      </c>
      <c r="B72" s="28" t="s">
        <v>40</v>
      </c>
      <c r="C72" s="28" t="s">
        <v>787</v>
      </c>
      <c r="D72" s="34">
        <v>1760</v>
      </c>
      <c r="E72" s="172">
        <v>0.68</v>
      </c>
    </row>
    <row r="73" spans="1:5" x14ac:dyDescent="0.35">
      <c r="A73" s="193">
        <v>46176</v>
      </c>
      <c r="B73" s="28" t="s">
        <v>40</v>
      </c>
      <c r="C73" s="28" t="s">
        <v>787</v>
      </c>
      <c r="D73" s="34">
        <v>1760</v>
      </c>
      <c r="E73" s="172">
        <v>0.68</v>
      </c>
    </row>
    <row r="74" spans="1:5" x14ac:dyDescent="0.35">
      <c r="A74" s="193">
        <v>46177</v>
      </c>
      <c r="B74" s="28" t="s">
        <v>40</v>
      </c>
      <c r="C74" s="28" t="s">
        <v>787</v>
      </c>
      <c r="D74" s="34">
        <v>1760</v>
      </c>
      <c r="E74" s="172">
        <v>0.68</v>
      </c>
    </row>
    <row r="75" spans="1:5" x14ac:dyDescent="0.35">
      <c r="A75" s="193">
        <v>46178</v>
      </c>
      <c r="B75" s="28" t="s">
        <v>40</v>
      </c>
      <c r="C75" s="28" t="s">
        <v>787</v>
      </c>
      <c r="D75" s="34">
        <v>1760</v>
      </c>
      <c r="E75" s="172">
        <v>0.68</v>
      </c>
    </row>
    <row r="76" spans="1:5" x14ac:dyDescent="0.35">
      <c r="A76" s="193">
        <v>46174</v>
      </c>
      <c r="B76" s="28" t="s">
        <v>43</v>
      </c>
      <c r="C76" s="28" t="s">
        <v>799</v>
      </c>
      <c r="D76" s="34">
        <v>1735.36</v>
      </c>
      <c r="E76" s="172">
        <v>0</v>
      </c>
    </row>
    <row r="77" spans="1:5" x14ac:dyDescent="0.35">
      <c r="A77" s="193">
        <v>46175</v>
      </c>
      <c r="B77" s="28" t="s">
        <v>43</v>
      </c>
      <c r="C77" s="28" t="s">
        <v>799</v>
      </c>
      <c r="D77" s="34">
        <v>1735.36</v>
      </c>
      <c r="E77" s="172">
        <v>0</v>
      </c>
    </row>
    <row r="78" spans="1:5" x14ac:dyDescent="0.35">
      <c r="A78" s="193">
        <v>46176</v>
      </c>
      <c r="B78" s="28" t="s">
        <v>43</v>
      </c>
      <c r="C78" s="28" t="s">
        <v>799</v>
      </c>
      <c r="D78" s="34">
        <v>1735.36</v>
      </c>
      <c r="E78" s="172">
        <v>0</v>
      </c>
    </row>
    <row r="79" spans="1:5" x14ac:dyDescent="0.35">
      <c r="A79" s="193">
        <v>46177</v>
      </c>
      <c r="B79" s="28" t="s">
        <v>43</v>
      </c>
      <c r="C79" s="28" t="s">
        <v>799</v>
      </c>
      <c r="D79" s="34">
        <v>1735.36</v>
      </c>
      <c r="E79" s="172">
        <v>0</v>
      </c>
    </row>
    <row r="80" spans="1:5" x14ac:dyDescent="0.35">
      <c r="A80" s="193">
        <v>46178</v>
      </c>
      <c r="B80" s="28" t="s">
        <v>43</v>
      </c>
      <c r="C80" s="28" t="s">
        <v>799</v>
      </c>
      <c r="D80" s="34">
        <v>1735.36</v>
      </c>
      <c r="E80" s="172">
        <v>0</v>
      </c>
    </row>
    <row r="81" spans="1:5" x14ac:dyDescent="0.35">
      <c r="A81" s="193">
        <v>46181</v>
      </c>
      <c r="B81" s="28" t="s">
        <v>637</v>
      </c>
      <c r="C81" s="28" t="s">
        <v>891</v>
      </c>
      <c r="D81" s="34">
        <v>320</v>
      </c>
      <c r="E81" s="172">
        <v>0.21</v>
      </c>
    </row>
    <row r="82" spans="1:5" x14ac:dyDescent="0.35">
      <c r="A82" s="193">
        <v>46182</v>
      </c>
      <c r="B82" s="28" t="s">
        <v>637</v>
      </c>
      <c r="C82" s="28" t="s">
        <v>891</v>
      </c>
      <c r="D82" s="34">
        <v>320</v>
      </c>
      <c r="E82" s="172">
        <v>0.21</v>
      </c>
    </row>
    <row r="83" spans="1:5" x14ac:dyDescent="0.35">
      <c r="A83" s="193">
        <v>46183</v>
      </c>
      <c r="B83" s="28" t="s">
        <v>637</v>
      </c>
      <c r="C83" s="28" t="s">
        <v>891</v>
      </c>
      <c r="D83" s="34">
        <v>320</v>
      </c>
      <c r="E83" s="172">
        <v>0.21</v>
      </c>
    </row>
    <row r="84" spans="1:5" x14ac:dyDescent="0.35">
      <c r="A84" s="193">
        <v>46184</v>
      </c>
      <c r="B84" s="28" t="s">
        <v>637</v>
      </c>
      <c r="C84" s="28" t="s">
        <v>891</v>
      </c>
      <c r="D84" s="34">
        <v>320</v>
      </c>
      <c r="E84" s="172">
        <v>0.21</v>
      </c>
    </row>
    <row r="85" spans="1:5" x14ac:dyDescent="0.35">
      <c r="A85" s="193">
        <v>46185</v>
      </c>
      <c r="B85" s="28" t="s">
        <v>637</v>
      </c>
      <c r="C85" s="28" t="s">
        <v>891</v>
      </c>
      <c r="D85" s="34">
        <v>320</v>
      </c>
      <c r="E85" s="172">
        <v>0.21</v>
      </c>
    </row>
    <row r="86" spans="1:5" x14ac:dyDescent="0.35">
      <c r="A86" s="193">
        <v>46181</v>
      </c>
      <c r="B86" s="28" t="s">
        <v>40</v>
      </c>
      <c r="C86" s="28" t="s">
        <v>787</v>
      </c>
      <c r="D86" s="34">
        <v>1700</v>
      </c>
      <c r="E86" s="172">
        <v>0.65</v>
      </c>
    </row>
    <row r="87" spans="1:5" x14ac:dyDescent="0.35">
      <c r="A87" s="193">
        <v>46182</v>
      </c>
      <c r="B87" s="28" t="s">
        <v>40</v>
      </c>
      <c r="C87" s="28" t="s">
        <v>787</v>
      </c>
      <c r="D87" s="34">
        <v>1700</v>
      </c>
      <c r="E87" s="172">
        <v>0.65</v>
      </c>
    </row>
    <row r="88" spans="1:5" x14ac:dyDescent="0.35">
      <c r="A88" s="193">
        <v>46183</v>
      </c>
      <c r="B88" s="28" t="s">
        <v>40</v>
      </c>
      <c r="C88" s="28" t="s">
        <v>787</v>
      </c>
      <c r="D88" s="34">
        <v>1700</v>
      </c>
      <c r="E88" s="172">
        <v>0.65</v>
      </c>
    </row>
    <row r="89" spans="1:5" x14ac:dyDescent="0.35">
      <c r="A89" s="193">
        <v>46184</v>
      </c>
      <c r="B89" s="28" t="s">
        <v>40</v>
      </c>
      <c r="C89" s="28" t="s">
        <v>787</v>
      </c>
      <c r="D89" s="34">
        <v>1700</v>
      </c>
      <c r="E89" s="172">
        <v>0.65</v>
      </c>
    </row>
    <row r="90" spans="1:5" x14ac:dyDescent="0.35">
      <c r="A90" s="193">
        <v>46185</v>
      </c>
      <c r="B90" s="28" t="s">
        <v>40</v>
      </c>
      <c r="C90" s="28" t="s">
        <v>787</v>
      </c>
      <c r="D90" s="34">
        <v>1700</v>
      </c>
      <c r="E90" s="172">
        <v>0.65</v>
      </c>
    </row>
    <row r="91" spans="1:5" x14ac:dyDescent="0.35">
      <c r="A91" s="193">
        <v>46181</v>
      </c>
      <c r="B91" s="28" t="s">
        <v>43</v>
      </c>
      <c r="C91" s="28" t="s">
        <v>799</v>
      </c>
      <c r="D91" s="34">
        <v>1760</v>
      </c>
      <c r="E91" s="172">
        <v>0</v>
      </c>
    </row>
    <row r="92" spans="1:5" x14ac:dyDescent="0.35">
      <c r="A92" s="193">
        <v>46182</v>
      </c>
      <c r="B92" s="28" t="s">
        <v>43</v>
      </c>
      <c r="C92" s="28" t="s">
        <v>799</v>
      </c>
      <c r="D92" s="34">
        <v>1760</v>
      </c>
      <c r="E92" s="172">
        <v>0</v>
      </c>
    </row>
    <row r="93" spans="1:5" x14ac:dyDescent="0.35">
      <c r="A93" s="193">
        <v>46183</v>
      </c>
      <c r="B93" s="28" t="s">
        <v>43</v>
      </c>
      <c r="C93" s="28" t="s">
        <v>799</v>
      </c>
      <c r="D93" s="34">
        <v>1760</v>
      </c>
      <c r="E93" s="172">
        <v>0</v>
      </c>
    </row>
    <row r="94" spans="1:5" x14ac:dyDescent="0.35">
      <c r="A94" s="193">
        <v>46184</v>
      </c>
      <c r="B94" s="28" t="s">
        <v>43</v>
      </c>
      <c r="C94" s="28" t="s">
        <v>799</v>
      </c>
      <c r="D94" s="34">
        <v>1760</v>
      </c>
      <c r="E94" s="172">
        <v>0</v>
      </c>
    </row>
    <row r="95" spans="1:5" x14ac:dyDescent="0.35">
      <c r="A95" s="193">
        <v>46185</v>
      </c>
      <c r="B95" s="28" t="s">
        <v>43</v>
      </c>
      <c r="C95" s="28" t="s">
        <v>799</v>
      </c>
      <c r="D95" s="34">
        <v>1760</v>
      </c>
      <c r="E95" s="172">
        <v>0</v>
      </c>
    </row>
    <row r="96" spans="1:5" x14ac:dyDescent="0.35">
      <c r="A96" s="193">
        <v>46181</v>
      </c>
      <c r="B96" s="28" t="s">
        <v>45</v>
      </c>
      <c r="C96" s="28" t="s">
        <v>802</v>
      </c>
      <c r="D96" s="34">
        <v>1419.84</v>
      </c>
      <c r="E96" s="172">
        <v>0</v>
      </c>
    </row>
    <row r="97" spans="1:5" x14ac:dyDescent="0.35">
      <c r="A97" s="193">
        <v>46182</v>
      </c>
      <c r="B97" s="28" t="s">
        <v>45</v>
      </c>
      <c r="C97" s="28" t="s">
        <v>802</v>
      </c>
      <c r="D97" s="34">
        <v>1419.84</v>
      </c>
      <c r="E97" s="172">
        <v>0</v>
      </c>
    </row>
    <row r="98" spans="1:5" x14ac:dyDescent="0.35">
      <c r="A98" s="193">
        <v>46183</v>
      </c>
      <c r="B98" s="28" t="s">
        <v>45</v>
      </c>
      <c r="C98" s="28" t="s">
        <v>802</v>
      </c>
      <c r="D98" s="34">
        <v>1419.84</v>
      </c>
      <c r="E98" s="172">
        <v>0</v>
      </c>
    </row>
    <row r="99" spans="1:5" x14ac:dyDescent="0.35">
      <c r="A99" s="193">
        <v>46184</v>
      </c>
      <c r="B99" s="28" t="s">
        <v>45</v>
      </c>
      <c r="C99" s="28" t="s">
        <v>802</v>
      </c>
      <c r="D99" s="34">
        <v>1419.84</v>
      </c>
      <c r="E99" s="172">
        <v>0</v>
      </c>
    </row>
    <row r="100" spans="1:5" x14ac:dyDescent="0.35">
      <c r="A100" s="195">
        <v>46185</v>
      </c>
      <c r="B100" s="186" t="s">
        <v>45</v>
      </c>
      <c r="C100" s="186" t="s">
        <v>802</v>
      </c>
      <c r="D100" s="177">
        <v>1419.84</v>
      </c>
      <c r="E100" s="179">
        <v>0</v>
      </c>
    </row>
  </sheetData>
  <conditionalFormatting sqref="D2:D100">
    <cfRule type="cellIs" dxfId="41" priority="1" operator="lessThanOrEqual">
      <formula>840</formula>
    </cfRule>
    <cfRule type="cellIs" dxfId="40" priority="2" operator="between">
      <formula>840</formula>
      <formula>1700</formula>
    </cfRule>
    <cfRule type="cellIs" dxfId="39" priority="3" operator="greaterThanOrEqual">
      <formula>1700</formula>
    </cfRule>
  </conditionalFormatting>
  <conditionalFormatting sqref="E2:E100">
    <cfRule type="cellIs" dxfId="38" priority="4" operator="lessThanOrEqual">
      <formula>0.21</formula>
    </cfRule>
    <cfRule type="cellIs" dxfId="37" priority="5" operator="between">
      <formula>0.21</formula>
      <formula>0.5</formula>
    </cfRule>
    <cfRule type="cellIs" dxfId="36" priority="6" operator="greaterThanOrEqual">
      <formula>0.5</formula>
    </cfRule>
  </conditionalFormatting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D966"/>
  </sheetPr>
  <dimension ref="A1:C35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21.26953125" customWidth="1"/>
  </cols>
  <sheetData>
    <row r="1" spans="1:3" x14ac:dyDescent="0.35">
      <c r="A1" s="182" t="s">
        <v>377</v>
      </c>
      <c r="B1" s="183" t="s">
        <v>776</v>
      </c>
      <c r="C1" s="184" t="s">
        <v>893</v>
      </c>
    </row>
    <row r="2" spans="1:3" x14ac:dyDescent="0.35">
      <c r="A2" s="193" t="s">
        <v>601</v>
      </c>
      <c r="B2" s="28" t="s">
        <v>574</v>
      </c>
      <c r="C2" s="197">
        <v>0.25</v>
      </c>
    </row>
    <row r="3" spans="1:3" x14ac:dyDescent="0.35">
      <c r="A3" s="193" t="s">
        <v>577</v>
      </c>
      <c r="B3" s="28" t="s">
        <v>574</v>
      </c>
      <c r="C3" s="197">
        <v>1</v>
      </c>
    </row>
    <row r="4" spans="1:3" x14ac:dyDescent="0.35">
      <c r="A4" s="193" t="s">
        <v>887</v>
      </c>
      <c r="B4" s="28" t="s">
        <v>580</v>
      </c>
      <c r="C4" s="197">
        <v>0.4</v>
      </c>
    </row>
    <row r="5" spans="1:3" x14ac:dyDescent="0.35">
      <c r="A5" s="193" t="s">
        <v>583</v>
      </c>
      <c r="B5" s="28" t="s">
        <v>580</v>
      </c>
      <c r="C5" s="197">
        <v>0.9</v>
      </c>
    </row>
    <row r="6" spans="1:3" x14ac:dyDescent="0.35">
      <c r="A6" s="193">
        <v>46157</v>
      </c>
      <c r="B6" s="28" t="s">
        <v>640</v>
      </c>
      <c r="C6" s="197">
        <v>1</v>
      </c>
    </row>
    <row r="7" spans="1:3" x14ac:dyDescent="0.35">
      <c r="A7" s="193">
        <v>46157</v>
      </c>
      <c r="B7" s="28" t="s">
        <v>26</v>
      </c>
      <c r="C7" s="197">
        <v>0.6</v>
      </c>
    </row>
    <row r="8" spans="1:3" x14ac:dyDescent="0.35">
      <c r="A8" s="193">
        <v>46157</v>
      </c>
      <c r="B8" s="28" t="s">
        <v>32</v>
      </c>
      <c r="C8" s="197">
        <v>0.2</v>
      </c>
    </row>
    <row r="9" spans="1:3" x14ac:dyDescent="0.35">
      <c r="A9" s="193">
        <v>46157</v>
      </c>
      <c r="B9" s="28" t="s">
        <v>38</v>
      </c>
      <c r="C9" s="197">
        <v>0.35181800000000002</v>
      </c>
    </row>
    <row r="10" spans="1:3" x14ac:dyDescent="0.35">
      <c r="A10" s="193">
        <v>46164</v>
      </c>
      <c r="B10" s="28" t="s">
        <v>637</v>
      </c>
      <c r="C10" s="197">
        <v>0.25</v>
      </c>
    </row>
    <row r="11" spans="1:3" x14ac:dyDescent="0.35">
      <c r="A11" s="193">
        <v>46164</v>
      </c>
      <c r="B11" s="28" t="s">
        <v>640</v>
      </c>
      <c r="C11" s="197">
        <v>1</v>
      </c>
    </row>
    <row r="12" spans="1:3" x14ac:dyDescent="0.35">
      <c r="A12" s="193">
        <v>46164</v>
      </c>
      <c r="B12" s="28" t="s">
        <v>26</v>
      </c>
      <c r="C12" s="197">
        <v>1</v>
      </c>
    </row>
    <row r="13" spans="1:3" x14ac:dyDescent="0.35">
      <c r="A13" s="193">
        <v>46164</v>
      </c>
      <c r="B13" s="28" t="s">
        <v>32</v>
      </c>
      <c r="C13" s="197">
        <v>0.45</v>
      </c>
    </row>
    <row r="14" spans="1:3" x14ac:dyDescent="0.35">
      <c r="A14" s="193">
        <v>46164</v>
      </c>
      <c r="B14" s="28" t="s">
        <v>38</v>
      </c>
      <c r="C14" s="197">
        <v>0.45</v>
      </c>
    </row>
    <row r="15" spans="1:3" x14ac:dyDescent="0.35">
      <c r="A15" s="193">
        <v>46171</v>
      </c>
      <c r="B15" s="28" t="s">
        <v>637</v>
      </c>
      <c r="C15" s="197">
        <v>0.33333299999999999</v>
      </c>
    </row>
    <row r="16" spans="1:3" x14ac:dyDescent="0.35">
      <c r="A16" s="193">
        <v>46171</v>
      </c>
      <c r="B16" s="28" t="s">
        <v>640</v>
      </c>
      <c r="C16" s="197">
        <v>1</v>
      </c>
    </row>
    <row r="17" spans="1:3" x14ac:dyDescent="0.35">
      <c r="A17" s="193">
        <v>46171</v>
      </c>
      <c r="B17" s="28" t="s">
        <v>26</v>
      </c>
      <c r="C17" s="197">
        <v>1</v>
      </c>
    </row>
    <row r="18" spans="1:3" x14ac:dyDescent="0.35">
      <c r="A18" s="193">
        <v>46171</v>
      </c>
      <c r="B18" s="28" t="s">
        <v>32</v>
      </c>
      <c r="C18" s="197">
        <v>0.7</v>
      </c>
    </row>
    <row r="19" spans="1:3" x14ac:dyDescent="0.35">
      <c r="A19" s="193">
        <v>46171</v>
      </c>
      <c r="B19" s="28" t="s">
        <v>38</v>
      </c>
      <c r="C19" s="197">
        <v>0.85</v>
      </c>
    </row>
    <row r="20" spans="1:3" x14ac:dyDescent="0.35">
      <c r="A20" s="193">
        <v>46171</v>
      </c>
      <c r="B20" s="28" t="s">
        <v>40</v>
      </c>
      <c r="C20" s="197">
        <v>0.222359</v>
      </c>
    </row>
    <row r="21" spans="1:3" x14ac:dyDescent="0.35">
      <c r="A21" s="193">
        <v>46178</v>
      </c>
      <c r="B21" s="28" t="s">
        <v>637</v>
      </c>
      <c r="C21" s="197">
        <v>0.41666700000000001</v>
      </c>
    </row>
    <row r="22" spans="1:3" x14ac:dyDescent="0.35">
      <c r="A22" s="193">
        <v>46178</v>
      </c>
      <c r="B22" s="28" t="s">
        <v>640</v>
      </c>
      <c r="C22" s="197">
        <v>1</v>
      </c>
    </row>
    <row r="23" spans="1:3" x14ac:dyDescent="0.35">
      <c r="A23" s="193">
        <v>46178</v>
      </c>
      <c r="B23" s="28" t="s">
        <v>26</v>
      </c>
      <c r="C23" s="197">
        <v>1</v>
      </c>
    </row>
    <row r="24" spans="1:3" x14ac:dyDescent="0.35">
      <c r="A24" s="193">
        <v>46178</v>
      </c>
      <c r="B24" s="28" t="s">
        <v>32</v>
      </c>
      <c r="C24" s="197">
        <v>1</v>
      </c>
    </row>
    <row r="25" spans="1:3" x14ac:dyDescent="0.35">
      <c r="A25" s="193">
        <v>46178</v>
      </c>
      <c r="B25" s="28" t="s">
        <v>38</v>
      </c>
      <c r="C25" s="197">
        <v>1</v>
      </c>
    </row>
    <row r="26" spans="1:3" x14ac:dyDescent="0.35">
      <c r="A26" s="193">
        <v>46178</v>
      </c>
      <c r="B26" s="28" t="s">
        <v>40</v>
      </c>
      <c r="C26" s="197">
        <v>0.5</v>
      </c>
    </row>
    <row r="27" spans="1:3" x14ac:dyDescent="0.35">
      <c r="A27" s="193">
        <v>46178</v>
      </c>
      <c r="B27" s="28" t="s">
        <v>43</v>
      </c>
      <c r="C27" s="197">
        <v>0.11096300000000001</v>
      </c>
    </row>
    <row r="28" spans="1:3" x14ac:dyDescent="0.35">
      <c r="A28" s="193">
        <v>46185</v>
      </c>
      <c r="B28" s="28" t="s">
        <v>637</v>
      </c>
      <c r="C28" s="197">
        <v>0.5</v>
      </c>
    </row>
    <row r="29" spans="1:3" x14ac:dyDescent="0.35">
      <c r="A29" s="193">
        <v>46185</v>
      </c>
      <c r="B29" s="28" t="s">
        <v>640</v>
      </c>
      <c r="C29" s="197">
        <v>1</v>
      </c>
    </row>
    <row r="30" spans="1:3" x14ac:dyDescent="0.35">
      <c r="A30" s="193">
        <v>46185</v>
      </c>
      <c r="B30" s="28" t="s">
        <v>26</v>
      </c>
      <c r="C30" s="197">
        <v>1</v>
      </c>
    </row>
    <row r="31" spans="1:3" x14ac:dyDescent="0.35">
      <c r="A31" s="193">
        <v>46185</v>
      </c>
      <c r="B31" s="28" t="s">
        <v>32</v>
      </c>
      <c r="C31" s="197">
        <v>1</v>
      </c>
    </row>
    <row r="32" spans="1:3" x14ac:dyDescent="0.35">
      <c r="A32" s="193">
        <v>46185</v>
      </c>
      <c r="B32" s="28" t="s">
        <v>38</v>
      </c>
      <c r="C32" s="197">
        <v>1</v>
      </c>
    </row>
    <row r="33" spans="1:3" x14ac:dyDescent="0.35">
      <c r="A33" s="193">
        <v>46185</v>
      </c>
      <c r="B33" s="28" t="s">
        <v>40</v>
      </c>
      <c r="C33" s="197">
        <v>0.7</v>
      </c>
    </row>
    <row r="34" spans="1:3" x14ac:dyDescent="0.35">
      <c r="A34" s="193">
        <v>46185</v>
      </c>
      <c r="B34" s="28" t="s">
        <v>43</v>
      </c>
      <c r="C34" s="197">
        <v>0.4</v>
      </c>
    </row>
    <row r="35" spans="1:3" x14ac:dyDescent="0.35">
      <c r="A35" s="195">
        <v>46185</v>
      </c>
      <c r="B35" s="186" t="s">
        <v>45</v>
      </c>
      <c r="C35" s="198">
        <v>0.24885699999999999</v>
      </c>
    </row>
  </sheetData>
  <conditionalFormatting sqref="C2:C35">
    <cfRule type="cellIs" dxfId="35" priority="1" operator="lessThan">
      <formula>0.5</formula>
    </cfRule>
    <cfRule type="cellIs" dxfId="34" priority="2" operator="between">
      <formula>0.5</formula>
      <formula>0.799999</formula>
    </cfRule>
    <cfRule type="cellIs" dxfId="33" priority="3" operator="greaterThanOrEqual">
      <formula>0.8</formula>
    </cfRule>
  </conditionalFormatting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D7D31"/>
  </sheetPr>
  <dimension ref="A1:N25"/>
  <sheetViews>
    <sheetView showGridLines="0" workbookViewId="0">
      <selection activeCell="Q1" sqref="Q1"/>
    </sheetView>
  </sheetViews>
  <sheetFormatPr defaultRowHeight="14.5" x14ac:dyDescent="0.35"/>
  <cols>
    <col min="1" max="1" width="10" customWidth="1"/>
    <col min="2" max="2" width="25.6328125" customWidth="1"/>
    <col min="3" max="3" width="18.36328125" customWidth="1"/>
    <col min="4" max="4" width="24.26953125" customWidth="1"/>
    <col min="5" max="8" width="15.453125" customWidth="1"/>
    <col min="9" max="9" width="16.90625" customWidth="1"/>
    <col min="10" max="10" width="15.6328125" customWidth="1"/>
    <col min="11" max="13" width="15.453125" customWidth="1"/>
    <col min="14" max="14" width="13.6328125" customWidth="1"/>
    <col min="15" max="15" width="7.26953125" customWidth="1"/>
  </cols>
  <sheetData>
    <row r="1" spans="1:14" ht="23.5" customHeight="1" x14ac:dyDescent="0.55000000000000004">
      <c r="A1" s="249" t="s">
        <v>894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4" x14ac:dyDescent="0.35">
      <c r="A2" s="247" t="s">
        <v>895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</row>
    <row r="4" spans="1:14" x14ac:dyDescent="0.35">
      <c r="A4" s="110" t="s">
        <v>160</v>
      </c>
      <c r="B4" s="104" t="s">
        <v>646</v>
      </c>
      <c r="C4" s="104" t="s">
        <v>648</v>
      </c>
      <c r="D4" s="104" t="s">
        <v>650</v>
      </c>
      <c r="E4" s="104" t="s">
        <v>651</v>
      </c>
      <c r="F4" s="104" t="s">
        <v>278</v>
      </c>
      <c r="G4" s="104" t="s">
        <v>282</v>
      </c>
      <c r="H4" s="104" t="s">
        <v>8</v>
      </c>
      <c r="I4" s="104" t="s">
        <v>9</v>
      </c>
      <c r="J4" s="104" t="s">
        <v>257</v>
      </c>
      <c r="K4" s="104" t="s">
        <v>294</v>
      </c>
      <c r="L4" s="104" t="s">
        <v>298</v>
      </c>
      <c r="M4" s="104" t="s">
        <v>302</v>
      </c>
      <c r="N4" s="111" t="s">
        <v>146</v>
      </c>
    </row>
    <row r="5" spans="1:14" x14ac:dyDescent="0.35">
      <c r="A5" s="108">
        <v>1</v>
      </c>
      <c r="B5" s="46" t="s">
        <v>817</v>
      </c>
      <c r="C5" s="49">
        <v>16400</v>
      </c>
      <c r="D5" s="49">
        <v>16295.04</v>
      </c>
      <c r="E5" s="49">
        <v>15087.994000000001</v>
      </c>
      <c r="F5" s="49">
        <v>-1312.0059999999989</v>
      </c>
      <c r="G5" s="49">
        <v>-1207.046</v>
      </c>
      <c r="H5" s="50">
        <v>0.91999963414634145</v>
      </c>
      <c r="I5" s="50">
        <v>0.92592555771572205</v>
      </c>
      <c r="J5" s="49">
        <v>268650</v>
      </c>
      <c r="K5" s="49">
        <v>290142.11537995038</v>
      </c>
      <c r="L5" s="49">
        <v>273847.07537995052</v>
      </c>
      <c r="M5" s="49">
        <v>-21492.115379950439</v>
      </c>
      <c r="N5" s="109" t="s">
        <v>29</v>
      </c>
    </row>
    <row r="6" spans="1:14" x14ac:dyDescent="0.35">
      <c r="A6" s="108">
        <v>2</v>
      </c>
      <c r="B6" s="46" t="s">
        <v>823</v>
      </c>
      <c r="C6" s="49">
        <v>39200</v>
      </c>
      <c r="D6" s="49">
        <v>38949.120000000003</v>
      </c>
      <c r="E6" s="49">
        <v>36064.003599999996</v>
      </c>
      <c r="F6" s="49">
        <v>-3135.9963999999959</v>
      </c>
      <c r="G6" s="49">
        <v>-2885.116399999999</v>
      </c>
      <c r="H6" s="50">
        <v>0.92000009183673481</v>
      </c>
      <c r="I6" s="50">
        <v>0.92592601835420163</v>
      </c>
      <c r="J6" s="49">
        <v>268650</v>
      </c>
      <c r="K6" s="49">
        <v>290141.97103729221</v>
      </c>
      <c r="L6" s="49">
        <v>251192.85103729219</v>
      </c>
      <c r="M6" s="49">
        <v>-21491.971037292151</v>
      </c>
      <c r="N6" s="109" t="s">
        <v>29</v>
      </c>
    </row>
    <row r="7" spans="1:14" x14ac:dyDescent="0.35">
      <c r="A7" s="108">
        <v>3</v>
      </c>
      <c r="B7" s="46" t="s">
        <v>829</v>
      </c>
      <c r="C7" s="49">
        <v>62000</v>
      </c>
      <c r="D7" s="49">
        <v>61603.199999999997</v>
      </c>
      <c r="E7" s="49">
        <v>57040</v>
      </c>
      <c r="F7" s="49">
        <v>-4960</v>
      </c>
      <c r="G7" s="49">
        <v>-4563.2000000000044</v>
      </c>
      <c r="H7" s="50">
        <v>0.92</v>
      </c>
      <c r="I7" s="50">
        <v>0.92592592592592582</v>
      </c>
      <c r="J7" s="49">
        <v>268650</v>
      </c>
      <c r="K7" s="49">
        <v>290142.00000000012</v>
      </c>
      <c r="L7" s="49">
        <v>228538.8</v>
      </c>
      <c r="M7" s="49">
        <v>-21492.000000000058</v>
      </c>
      <c r="N7" s="109" t="s">
        <v>29</v>
      </c>
    </row>
    <row r="8" spans="1:14" x14ac:dyDescent="0.35">
      <c r="A8" s="108">
        <v>4</v>
      </c>
      <c r="B8" s="46" t="s">
        <v>835</v>
      </c>
      <c r="C8" s="49">
        <v>87066.67</v>
      </c>
      <c r="D8" s="49">
        <v>86509.440000000017</v>
      </c>
      <c r="E8" s="49">
        <v>80101.327999999994</v>
      </c>
      <c r="F8" s="49">
        <v>-6965.3420000000042</v>
      </c>
      <c r="G8" s="49">
        <v>-6408.1120000000228</v>
      </c>
      <c r="H8" s="50">
        <v>0.91999990352220884</v>
      </c>
      <c r="I8" s="50">
        <v>0.92592586427562096</v>
      </c>
      <c r="J8" s="49">
        <v>268650</v>
      </c>
      <c r="K8" s="49">
        <v>290142.0193183315</v>
      </c>
      <c r="L8" s="49">
        <v>203632.5793183315</v>
      </c>
      <c r="M8" s="49">
        <v>-21492.019318331499</v>
      </c>
      <c r="N8" s="109" t="s">
        <v>29</v>
      </c>
    </row>
    <row r="9" spans="1:14" x14ac:dyDescent="0.35">
      <c r="A9" s="108">
        <v>5</v>
      </c>
      <c r="B9" s="46" t="s">
        <v>842</v>
      </c>
      <c r="C9" s="49">
        <v>116733.34</v>
      </c>
      <c r="D9" s="49">
        <v>115986.24000000001</v>
      </c>
      <c r="E9" s="49">
        <v>107394.674</v>
      </c>
      <c r="F9" s="49">
        <v>-9338.6659999999974</v>
      </c>
      <c r="G9" s="49">
        <v>-8591.5660000000207</v>
      </c>
      <c r="H9" s="50">
        <v>0.92000001027983958</v>
      </c>
      <c r="I9" s="50">
        <v>0.92592598915181645</v>
      </c>
      <c r="J9" s="49">
        <v>268650</v>
      </c>
      <c r="K9" s="49">
        <v>290141.98018795613</v>
      </c>
      <c r="L9" s="49">
        <v>174155.74018795611</v>
      </c>
      <c r="M9" s="49">
        <v>-21491.980187956131</v>
      </c>
      <c r="N9" s="109" t="s">
        <v>29</v>
      </c>
    </row>
    <row r="10" spans="1:14" x14ac:dyDescent="0.35">
      <c r="A10" s="108">
        <v>6</v>
      </c>
      <c r="B10" s="46" t="s">
        <v>848</v>
      </c>
      <c r="C10" s="49">
        <v>142900</v>
      </c>
      <c r="D10" s="49">
        <v>141985.44</v>
      </c>
      <c r="E10" s="49">
        <v>131467.99600000001</v>
      </c>
      <c r="F10" s="49">
        <v>-11432.00399999999</v>
      </c>
      <c r="G10" s="49">
        <v>-10517.44399999999</v>
      </c>
      <c r="H10" s="50">
        <v>0.91999997200839756</v>
      </c>
      <c r="I10" s="50">
        <v>0.92592589775402334</v>
      </c>
      <c r="J10" s="49">
        <v>268650</v>
      </c>
      <c r="K10" s="49">
        <v>290142.00882776058</v>
      </c>
      <c r="L10" s="49">
        <v>148156.56882776061</v>
      </c>
      <c r="M10" s="49">
        <v>-21492.008827760579</v>
      </c>
      <c r="N10" s="109" t="s">
        <v>29</v>
      </c>
    </row>
    <row r="11" spans="1:14" x14ac:dyDescent="0.35">
      <c r="A11" s="108">
        <v>7</v>
      </c>
      <c r="B11" s="46" t="s">
        <v>854</v>
      </c>
      <c r="C11" s="49">
        <v>160400</v>
      </c>
      <c r="D11" s="49">
        <v>141985.44</v>
      </c>
      <c r="E11" s="49">
        <v>131467.99600000001</v>
      </c>
      <c r="F11" s="49">
        <v>-28932.00399999999</v>
      </c>
      <c r="G11" s="49">
        <v>-10517.44399999999</v>
      </c>
      <c r="H11" s="50">
        <v>0.81962591022443898</v>
      </c>
      <c r="I11" s="50">
        <v>0.92592589775402334</v>
      </c>
      <c r="J11" s="49">
        <v>268650</v>
      </c>
      <c r="K11" s="49">
        <v>290142.00882776058</v>
      </c>
      <c r="L11" s="49">
        <v>148156.56882776061</v>
      </c>
      <c r="M11" s="49">
        <v>-21492.008827760579</v>
      </c>
      <c r="N11" s="109" t="s">
        <v>29</v>
      </c>
    </row>
    <row r="12" spans="1:14" x14ac:dyDescent="0.35">
      <c r="A12" s="108">
        <v>8</v>
      </c>
      <c r="B12" s="46" t="s">
        <v>860</v>
      </c>
      <c r="C12" s="49">
        <v>189816.67</v>
      </c>
      <c r="D12" s="49">
        <v>141985.44</v>
      </c>
      <c r="E12" s="49">
        <v>131467.99600000001</v>
      </c>
      <c r="F12" s="49">
        <v>-58348.673999999999</v>
      </c>
      <c r="G12" s="49">
        <v>-10517.44399999999</v>
      </c>
      <c r="H12" s="50">
        <v>0.69260511207998754</v>
      </c>
      <c r="I12" s="50">
        <v>0.92592589775402334</v>
      </c>
      <c r="J12" s="49">
        <v>268650</v>
      </c>
      <c r="K12" s="49">
        <v>290142.00882776058</v>
      </c>
      <c r="L12" s="49">
        <v>148156.56882776061</v>
      </c>
      <c r="M12" s="49">
        <v>-21492.008827760579</v>
      </c>
      <c r="N12" s="109" t="s">
        <v>29</v>
      </c>
    </row>
    <row r="13" spans="1:14" x14ac:dyDescent="0.35">
      <c r="A13" s="108">
        <v>9</v>
      </c>
      <c r="B13" s="46" t="s">
        <v>866</v>
      </c>
      <c r="C13" s="49">
        <v>220233.34</v>
      </c>
      <c r="D13" s="49">
        <v>141985.44</v>
      </c>
      <c r="E13" s="49">
        <v>131467.99600000001</v>
      </c>
      <c r="F13" s="49">
        <v>-88765.344000000012</v>
      </c>
      <c r="G13" s="49">
        <v>-10517.44399999999</v>
      </c>
      <c r="H13" s="50">
        <v>0.59694865454976076</v>
      </c>
      <c r="I13" s="50">
        <v>0.92592589775402334</v>
      </c>
      <c r="J13" s="49">
        <v>268650</v>
      </c>
      <c r="K13" s="49">
        <v>290142.00882776058</v>
      </c>
      <c r="L13" s="49">
        <v>148156.56882776061</v>
      </c>
      <c r="M13" s="49">
        <v>-21492.008827760579</v>
      </c>
      <c r="N13" s="109" t="s">
        <v>29</v>
      </c>
    </row>
    <row r="14" spans="1:14" x14ac:dyDescent="0.35">
      <c r="A14" s="108">
        <v>10</v>
      </c>
      <c r="B14" s="46" t="s">
        <v>872</v>
      </c>
      <c r="C14" s="49">
        <v>243650</v>
      </c>
      <c r="D14" s="49">
        <v>141985.44</v>
      </c>
      <c r="E14" s="49">
        <v>131467.99600000001</v>
      </c>
      <c r="F14" s="49">
        <v>-112182.004</v>
      </c>
      <c r="G14" s="49">
        <v>-10517.44399999999</v>
      </c>
      <c r="H14" s="50">
        <v>0.5395772460496614</v>
      </c>
      <c r="I14" s="50">
        <v>0.92592589775402334</v>
      </c>
      <c r="J14" s="49">
        <v>268650</v>
      </c>
      <c r="K14" s="49">
        <v>290142.00882776058</v>
      </c>
      <c r="L14" s="49">
        <v>148156.56882776061</v>
      </c>
      <c r="M14" s="49">
        <v>-21492.008827760579</v>
      </c>
      <c r="N14" s="109" t="s">
        <v>29</v>
      </c>
    </row>
    <row r="15" spans="1:14" x14ac:dyDescent="0.35">
      <c r="A15" s="108">
        <v>11</v>
      </c>
      <c r="B15" s="46" t="s">
        <v>878</v>
      </c>
      <c r="C15" s="49">
        <v>259350</v>
      </c>
      <c r="D15" s="49">
        <v>141985.44</v>
      </c>
      <c r="E15" s="49">
        <v>131467.99600000001</v>
      </c>
      <c r="F15" s="49">
        <v>-127882.004</v>
      </c>
      <c r="G15" s="49">
        <v>-10517.44399999999</v>
      </c>
      <c r="H15" s="50">
        <v>0.50691342201657996</v>
      </c>
      <c r="I15" s="50">
        <v>0.92592589775402334</v>
      </c>
      <c r="J15" s="49">
        <v>268650</v>
      </c>
      <c r="K15" s="49">
        <v>290142.00882776058</v>
      </c>
      <c r="L15" s="49">
        <v>148156.56882776061</v>
      </c>
      <c r="M15" s="49">
        <v>-21492.008827760579</v>
      </c>
      <c r="N15" s="109" t="s">
        <v>29</v>
      </c>
    </row>
    <row r="16" spans="1:14" x14ac:dyDescent="0.35">
      <c r="A16" s="112">
        <v>12</v>
      </c>
      <c r="B16" s="135" t="s">
        <v>884</v>
      </c>
      <c r="C16" s="120">
        <v>268650</v>
      </c>
      <c r="D16" s="120">
        <v>141985.44</v>
      </c>
      <c r="E16" s="120">
        <v>131467.99600000001</v>
      </c>
      <c r="F16" s="120">
        <v>-137182.00399999999</v>
      </c>
      <c r="G16" s="120">
        <v>-10517.44399999999</v>
      </c>
      <c r="H16" s="138">
        <v>0.48936533035548119</v>
      </c>
      <c r="I16" s="138">
        <v>0.92592589775402334</v>
      </c>
      <c r="J16" s="120">
        <v>268650</v>
      </c>
      <c r="K16" s="120">
        <v>290142.00882776058</v>
      </c>
      <c r="L16" s="120">
        <v>148156.56882776061</v>
      </c>
      <c r="M16" s="120">
        <v>-21492.008827760579</v>
      </c>
      <c r="N16" s="114" t="s">
        <v>29</v>
      </c>
    </row>
    <row r="19" spans="1:13" x14ac:dyDescent="0.35">
      <c r="A19" s="107" t="s">
        <v>896</v>
      </c>
      <c r="B19" s="45" t="s">
        <v>448</v>
      </c>
      <c r="C19" s="45" t="s">
        <v>897</v>
      </c>
      <c r="D19" s="45" t="s">
        <v>898</v>
      </c>
      <c r="E19" s="45" t="s">
        <v>899</v>
      </c>
      <c r="F19" s="45" t="s">
        <v>450</v>
      </c>
      <c r="G19" t="s">
        <v>13</v>
      </c>
      <c r="H19" s="3" t="s">
        <v>900</v>
      </c>
      <c r="I19" s="3" t="s">
        <v>901</v>
      </c>
      <c r="J19" s="3" t="s">
        <v>902</v>
      </c>
      <c r="K19" s="3" t="s">
        <v>276</v>
      </c>
      <c r="L19" s="3" t="s">
        <v>903</v>
      </c>
      <c r="M19" s="115" t="s">
        <v>904</v>
      </c>
    </row>
    <row r="20" spans="1:13" x14ac:dyDescent="0.35">
      <c r="A20" s="108" t="s">
        <v>905</v>
      </c>
      <c r="B20" s="49" t="e">
        <v>#N/A</v>
      </c>
      <c r="C20" s="2" t="s">
        <v>906</v>
      </c>
      <c r="D20" s="49" t="e">
        <v>#N/A</v>
      </c>
      <c r="E20" s="2" t="s">
        <v>907</v>
      </c>
      <c r="F20" s="2" t="s">
        <v>908</v>
      </c>
      <c r="H20" s="2" t="s">
        <v>261</v>
      </c>
      <c r="I20" s="49">
        <v>220233.34</v>
      </c>
      <c r="J20" s="49">
        <v>220233.34</v>
      </c>
      <c r="K20" s="49">
        <v>0</v>
      </c>
      <c r="L20" s="2" t="s">
        <v>909</v>
      </c>
      <c r="M20" s="109" t="s">
        <v>910</v>
      </c>
    </row>
    <row r="21" spans="1:13" x14ac:dyDescent="0.35">
      <c r="A21" s="108" t="s">
        <v>911</v>
      </c>
      <c r="B21" s="49" t="e">
        <v>#N/A</v>
      </c>
      <c r="C21" s="2" t="s">
        <v>912</v>
      </c>
      <c r="D21" s="49" t="e">
        <v>#N/A</v>
      </c>
      <c r="E21" s="2" t="s">
        <v>907</v>
      </c>
      <c r="F21" s="2" t="s">
        <v>908</v>
      </c>
      <c r="H21" s="2" t="s">
        <v>265</v>
      </c>
      <c r="I21" s="49">
        <v>141985.44</v>
      </c>
      <c r="J21" s="49">
        <v>141985.44</v>
      </c>
      <c r="K21" s="49">
        <v>0</v>
      </c>
      <c r="L21" s="2" t="s">
        <v>909</v>
      </c>
      <c r="M21" s="109" t="s">
        <v>913</v>
      </c>
    </row>
    <row r="22" spans="1:13" x14ac:dyDescent="0.35">
      <c r="A22" s="108" t="s">
        <v>914</v>
      </c>
      <c r="B22" s="49" t="e">
        <v>#N/A</v>
      </c>
      <c r="C22" s="2" t="s">
        <v>915</v>
      </c>
      <c r="D22" s="50" t="e">
        <v>#N/A</v>
      </c>
      <c r="E22" s="2" t="s">
        <v>907</v>
      </c>
      <c r="F22" s="2" t="s">
        <v>908</v>
      </c>
      <c r="H22" s="2" t="s">
        <v>273</v>
      </c>
      <c r="I22" s="49">
        <v>131467.99600000001</v>
      </c>
      <c r="J22" s="49">
        <v>131467.99600000001</v>
      </c>
      <c r="K22" s="49">
        <v>0</v>
      </c>
      <c r="L22" s="2" t="s">
        <v>909</v>
      </c>
      <c r="M22" s="109" t="s">
        <v>916</v>
      </c>
    </row>
    <row r="23" spans="1:13" x14ac:dyDescent="0.35">
      <c r="A23" s="108" t="s">
        <v>917</v>
      </c>
      <c r="B23" s="49" t="e">
        <v>#N/A</v>
      </c>
      <c r="C23" s="2" t="s">
        <v>918</v>
      </c>
      <c r="D23" s="50" t="e">
        <v>#N/A</v>
      </c>
      <c r="E23" s="2" t="s">
        <v>907</v>
      </c>
      <c r="F23" s="2" t="s">
        <v>908</v>
      </c>
      <c r="H23" s="2" t="s">
        <v>8</v>
      </c>
      <c r="I23" s="50">
        <v>0.59694865454976076</v>
      </c>
      <c r="J23" s="50">
        <v>0.59694865454976076</v>
      </c>
      <c r="K23" s="50">
        <v>0</v>
      </c>
      <c r="L23" s="2" t="s">
        <v>909</v>
      </c>
      <c r="M23" s="109" t="s">
        <v>919</v>
      </c>
    </row>
    <row r="24" spans="1:13" x14ac:dyDescent="0.35">
      <c r="A24" s="108" t="s">
        <v>920</v>
      </c>
      <c r="B24" s="49" t="e">
        <v>#N/A</v>
      </c>
      <c r="C24" s="2" t="s">
        <v>921</v>
      </c>
      <c r="D24" s="49" t="e">
        <v>#N/A</v>
      </c>
      <c r="E24" s="2" t="s">
        <v>907</v>
      </c>
      <c r="F24" s="2" t="s">
        <v>922</v>
      </c>
      <c r="H24" s="2" t="s">
        <v>9</v>
      </c>
      <c r="I24" s="50">
        <v>0.92592589775402334</v>
      </c>
      <c r="J24" s="50">
        <v>0.92592589775402334</v>
      </c>
      <c r="K24" s="50">
        <v>0</v>
      </c>
      <c r="L24" s="2" t="s">
        <v>909</v>
      </c>
      <c r="M24" s="109" t="s">
        <v>923</v>
      </c>
    </row>
    <row r="25" spans="1:13" x14ac:dyDescent="0.35">
      <c r="A25" s="108" t="s">
        <v>924</v>
      </c>
      <c r="B25" s="49" t="e">
        <v>#N/A</v>
      </c>
      <c r="C25" s="2" t="s">
        <v>925</v>
      </c>
      <c r="D25" s="49" t="e">
        <v>#N/A</v>
      </c>
      <c r="E25" s="2" t="s">
        <v>907</v>
      </c>
      <c r="F25" s="2" t="s">
        <v>922</v>
      </c>
      <c r="H25" s="2" t="s">
        <v>302</v>
      </c>
      <c r="I25" s="49">
        <v>-21492.008827760579</v>
      </c>
      <c r="J25" s="49">
        <v>-21492.008827760579</v>
      </c>
      <c r="K25" s="49">
        <v>0</v>
      </c>
      <c r="L25" s="2" t="s">
        <v>909</v>
      </c>
      <c r="M25" s="109" t="s">
        <v>926</v>
      </c>
    </row>
  </sheetData>
  <mergeCells count="2">
    <mergeCell ref="A2:N2"/>
    <mergeCell ref="A1:N1"/>
  </mergeCells>
  <conditionalFormatting sqref="F5:G16">
    <cfRule type="cellIs" dxfId="32" priority="7" operator="lessThan">
      <formula>0</formula>
    </cfRule>
    <cfRule type="cellIs" dxfId="31" priority="8" operator="greaterThanOrEqual">
      <formula>0</formula>
    </cfRule>
  </conditionalFormatting>
  <conditionalFormatting sqref="H5:I16">
    <cfRule type="cellIs" dxfId="30" priority="4" operator="lessThan">
      <formula>0.95</formula>
    </cfRule>
    <cfRule type="cellIs" dxfId="29" priority="5" operator="between">
      <formula>0.95</formula>
      <formula>0.999999</formula>
    </cfRule>
    <cfRule type="cellIs" dxfId="28" priority="6" operator="greaterThanOrEqual">
      <formula>1</formula>
    </cfRule>
  </conditionalFormatting>
  <conditionalFormatting sqref="L20:L25">
    <cfRule type="containsText" dxfId="27" priority="9" operator="containsText" text="OK">
      <formula>NOT(ISERROR(SEARCH("OK",L20)))</formula>
    </cfRule>
    <cfRule type="containsText" dxfId="26" priority="10" operator="containsText" text="Review">
      <formula>NOT(ISERROR(SEARCH("Review",L20)))</formula>
    </cfRule>
  </conditionalFormatting>
  <conditionalFormatting sqref="N5:N16">
    <cfRule type="expression" dxfId="25" priority="11">
      <formula>ISNUMBER(SEARCH("Red",N5))</formula>
    </cfRule>
    <cfRule type="expression" dxfId="24" priority="12">
      <formula>ISNUMBER(SEARCH("Amber",N5))</formula>
    </cfRule>
    <cfRule type="expression" dxfId="23" priority="13">
      <formula>ISNUMBER(SEARCH("Green",N5))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D7D31"/>
  </sheetPr>
  <dimension ref="A1:P35"/>
  <sheetViews>
    <sheetView showGridLines="0" workbookViewId="0">
      <selection activeCell="Q1" sqref="Q1"/>
    </sheetView>
  </sheetViews>
  <sheetFormatPr defaultRowHeight="14.5" x14ac:dyDescent="0.35"/>
  <cols>
    <col min="1" max="1" width="8.90625" customWidth="1"/>
    <col min="2" max="2" width="12.08984375" customWidth="1"/>
    <col min="3" max="4" width="11.36328125" customWidth="1"/>
    <col min="5" max="5" width="12.54296875" customWidth="1"/>
    <col min="6" max="6" width="14.7265625" customWidth="1"/>
    <col min="7" max="7" width="11.90625" customWidth="1"/>
    <col min="12" max="12" width="38.6328125" customWidth="1"/>
    <col min="14" max="14" width="15.453125" customWidth="1"/>
    <col min="15" max="15" width="23.6328125" customWidth="1"/>
    <col min="16" max="16" width="30.90625" customWidth="1"/>
  </cols>
  <sheetData>
    <row r="1" spans="1:16" ht="23.5" customHeight="1" x14ac:dyDescent="0.55000000000000004">
      <c r="A1" s="43" t="s">
        <v>927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45" t="s">
        <v>225</v>
      </c>
      <c r="O1" s="46" t="str">
        <f>Control_Project_Start</f>
        <v>2026-09-01</v>
      </c>
    </row>
    <row r="2" spans="1:16" ht="304.5" customHeight="1" x14ac:dyDescent="0.35">
      <c r="A2" s="44" t="s">
        <v>928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N2" s="45" t="s">
        <v>929</v>
      </c>
      <c r="O2" s="46" t="str">
        <f>Control_Project_End</f>
        <v>2026-10-31</v>
      </c>
    </row>
    <row r="3" spans="1:16" x14ac:dyDescent="0.35">
      <c r="N3" s="45" t="s">
        <v>231</v>
      </c>
      <c r="O3" s="46" t="str">
        <f>Control_Status_Date</f>
        <v>2026-06-30 00:00:00</v>
      </c>
    </row>
    <row r="4" spans="1:16" x14ac:dyDescent="0.35">
      <c r="A4" s="110" t="s">
        <v>2</v>
      </c>
      <c r="B4" s="104" t="s">
        <v>3</v>
      </c>
      <c r="C4" s="104" t="s">
        <v>930</v>
      </c>
      <c r="D4" s="104" t="s">
        <v>931</v>
      </c>
      <c r="E4" s="104" t="s">
        <v>932</v>
      </c>
      <c r="F4" s="104" t="s">
        <v>249</v>
      </c>
      <c r="G4" s="104" t="s">
        <v>269</v>
      </c>
      <c r="H4" s="111" t="s">
        <v>10</v>
      </c>
    </row>
    <row r="5" spans="1:16" x14ac:dyDescent="0.35">
      <c r="A5" s="108" t="s">
        <v>637</v>
      </c>
      <c r="B5" s="2" t="s">
        <v>638</v>
      </c>
      <c r="C5" s="46" t="s">
        <v>547</v>
      </c>
      <c r="D5" s="46" t="s">
        <v>548</v>
      </c>
      <c r="E5" s="47">
        <v>0</v>
      </c>
      <c r="F5" s="47">
        <v>84</v>
      </c>
      <c r="G5" s="48">
        <v>0.5</v>
      </c>
      <c r="H5" s="109" t="s">
        <v>23</v>
      </c>
      <c r="N5" s="104" t="s">
        <v>614</v>
      </c>
      <c r="O5" s="104" t="s">
        <v>558</v>
      </c>
      <c r="P5" s="104" t="s">
        <v>933</v>
      </c>
    </row>
    <row r="6" spans="1:16" x14ac:dyDescent="0.35">
      <c r="A6" s="108" t="s">
        <v>640</v>
      </c>
      <c r="B6" s="2" t="s">
        <v>641</v>
      </c>
      <c r="C6" s="46" t="s">
        <v>547</v>
      </c>
      <c r="D6" s="46" t="s">
        <v>819</v>
      </c>
      <c r="E6" s="47">
        <v>0</v>
      </c>
      <c r="F6" s="47">
        <v>7</v>
      </c>
      <c r="G6" s="48">
        <v>1</v>
      </c>
      <c r="H6" s="109" t="s">
        <v>18</v>
      </c>
      <c r="N6" s="65" t="s">
        <v>18</v>
      </c>
      <c r="O6" s="7" t="s">
        <v>934</v>
      </c>
      <c r="P6" s="69" t="s">
        <v>935</v>
      </c>
    </row>
    <row r="7" spans="1:16" x14ac:dyDescent="0.35">
      <c r="A7" s="108" t="s">
        <v>26</v>
      </c>
      <c r="B7" s="2" t="s">
        <v>27</v>
      </c>
      <c r="C7" s="46" t="s">
        <v>547</v>
      </c>
      <c r="D7" s="46" t="s">
        <v>831</v>
      </c>
      <c r="E7" s="47">
        <v>0</v>
      </c>
      <c r="F7" s="47">
        <v>21</v>
      </c>
      <c r="G7" s="48">
        <v>1</v>
      </c>
      <c r="H7" s="109" t="s">
        <v>18</v>
      </c>
      <c r="N7" s="66" t="s">
        <v>23</v>
      </c>
      <c r="O7" s="7" t="s">
        <v>936</v>
      </c>
      <c r="P7" s="69" t="s">
        <v>937</v>
      </c>
    </row>
    <row r="8" spans="1:16" x14ac:dyDescent="0.35">
      <c r="A8" s="108" t="s">
        <v>32</v>
      </c>
      <c r="B8" s="2" t="s">
        <v>33</v>
      </c>
      <c r="C8" s="46" t="s">
        <v>652</v>
      </c>
      <c r="D8" s="46" t="s">
        <v>844</v>
      </c>
      <c r="E8" s="47">
        <v>7</v>
      </c>
      <c r="F8" s="47">
        <v>28</v>
      </c>
      <c r="G8" s="48">
        <v>1</v>
      </c>
      <c r="H8" s="109" t="s">
        <v>18</v>
      </c>
      <c r="N8" s="67" t="s">
        <v>29</v>
      </c>
      <c r="O8" s="7" t="s">
        <v>938</v>
      </c>
      <c r="P8" s="69" t="s">
        <v>939</v>
      </c>
    </row>
    <row r="9" spans="1:16" x14ac:dyDescent="0.35">
      <c r="A9" s="108" t="s">
        <v>38</v>
      </c>
      <c r="B9" s="2" t="s">
        <v>39</v>
      </c>
      <c r="C9" s="46" t="s">
        <v>652</v>
      </c>
      <c r="D9" s="46" t="s">
        <v>837</v>
      </c>
      <c r="E9" s="47">
        <v>7</v>
      </c>
      <c r="F9" s="47">
        <v>21</v>
      </c>
      <c r="G9" s="48">
        <v>1</v>
      </c>
      <c r="H9" s="109" t="s">
        <v>18</v>
      </c>
      <c r="N9" s="68" t="s">
        <v>940</v>
      </c>
      <c r="O9" s="7" t="s">
        <v>941</v>
      </c>
      <c r="P9" s="69" t="s">
        <v>942</v>
      </c>
    </row>
    <row r="10" spans="1:16" x14ac:dyDescent="0.35">
      <c r="A10" s="108" t="s">
        <v>40</v>
      </c>
      <c r="B10" s="2" t="s">
        <v>41</v>
      </c>
      <c r="C10" s="46" t="s">
        <v>654</v>
      </c>
      <c r="D10" s="46" t="s">
        <v>850</v>
      </c>
      <c r="E10" s="47">
        <v>21</v>
      </c>
      <c r="F10" s="47">
        <v>21</v>
      </c>
      <c r="G10" s="48">
        <v>0.7</v>
      </c>
      <c r="H10" s="109" t="s">
        <v>23</v>
      </c>
      <c r="N10" s="52" t="s">
        <v>943</v>
      </c>
      <c r="O10" s="51" t="s">
        <v>944</v>
      </c>
      <c r="P10" s="51" t="s">
        <v>945</v>
      </c>
    </row>
    <row r="11" spans="1:16" x14ac:dyDescent="0.35">
      <c r="A11" s="108" t="s">
        <v>43</v>
      </c>
      <c r="B11" s="2" t="s">
        <v>44</v>
      </c>
      <c r="C11" s="46" t="s">
        <v>655</v>
      </c>
      <c r="D11" s="46" t="s">
        <v>862</v>
      </c>
      <c r="E11" s="47">
        <v>28</v>
      </c>
      <c r="F11" s="47">
        <v>28</v>
      </c>
      <c r="G11" s="48">
        <v>0.4</v>
      </c>
      <c r="H11" s="109" t="s">
        <v>29</v>
      </c>
    </row>
    <row r="12" spans="1:16" x14ac:dyDescent="0.35">
      <c r="A12" s="108" t="s">
        <v>45</v>
      </c>
      <c r="B12" s="2" t="s">
        <v>46</v>
      </c>
      <c r="C12" s="46" t="s">
        <v>656</v>
      </c>
      <c r="D12" s="46" t="s">
        <v>868</v>
      </c>
      <c r="E12" s="47">
        <v>35</v>
      </c>
      <c r="F12" s="47">
        <v>28</v>
      </c>
      <c r="G12" s="48">
        <v>0.24885699999999999</v>
      </c>
      <c r="H12" s="109" t="s">
        <v>29</v>
      </c>
    </row>
    <row r="13" spans="1:16" x14ac:dyDescent="0.35">
      <c r="A13" s="108" t="s">
        <v>47</v>
      </c>
      <c r="B13" s="2" t="s">
        <v>48</v>
      </c>
      <c r="C13" s="46" t="s">
        <v>658</v>
      </c>
      <c r="D13" s="46" t="s">
        <v>874</v>
      </c>
      <c r="E13" s="47">
        <v>49</v>
      </c>
      <c r="F13" s="47">
        <v>21</v>
      </c>
      <c r="G13" s="48">
        <v>0</v>
      </c>
      <c r="H13" s="109" t="s">
        <v>29</v>
      </c>
    </row>
    <row r="14" spans="1:16" x14ac:dyDescent="0.35">
      <c r="A14" s="108" t="s">
        <v>50</v>
      </c>
      <c r="B14" s="2" t="s">
        <v>51</v>
      </c>
      <c r="C14" s="46" t="s">
        <v>659</v>
      </c>
      <c r="D14" s="46" t="s">
        <v>880</v>
      </c>
      <c r="E14" s="47">
        <v>56</v>
      </c>
      <c r="F14" s="47">
        <v>21</v>
      </c>
      <c r="G14" s="48">
        <v>0</v>
      </c>
      <c r="H14" s="109" t="s">
        <v>29</v>
      </c>
    </row>
    <row r="15" spans="1:16" x14ac:dyDescent="0.35">
      <c r="A15" s="108" t="s">
        <v>52</v>
      </c>
      <c r="B15" s="2" t="s">
        <v>53</v>
      </c>
      <c r="C15" s="46" t="s">
        <v>661</v>
      </c>
      <c r="D15" s="46" t="s">
        <v>548</v>
      </c>
      <c r="E15" s="47">
        <v>70</v>
      </c>
      <c r="F15" s="47">
        <v>14</v>
      </c>
      <c r="G15" s="48">
        <v>0</v>
      </c>
      <c r="H15" s="109" t="s">
        <v>29</v>
      </c>
    </row>
    <row r="16" spans="1:16" x14ac:dyDescent="0.35">
      <c r="A16" s="112" t="s">
        <v>55</v>
      </c>
      <c r="B16" s="113" t="s">
        <v>56</v>
      </c>
      <c r="C16" s="135" t="s">
        <v>662</v>
      </c>
      <c r="D16" s="135" t="s">
        <v>548</v>
      </c>
      <c r="E16" s="136">
        <v>77</v>
      </c>
      <c r="F16" s="136">
        <v>7</v>
      </c>
      <c r="G16" s="137">
        <v>0</v>
      </c>
      <c r="H16" s="114" t="s">
        <v>29</v>
      </c>
    </row>
    <row r="23" spans="1:7" x14ac:dyDescent="0.35">
      <c r="A23" s="110" t="s">
        <v>160</v>
      </c>
      <c r="B23" s="104" t="s">
        <v>646</v>
      </c>
      <c r="C23" s="104" t="s">
        <v>648</v>
      </c>
      <c r="D23" s="104" t="s">
        <v>650</v>
      </c>
      <c r="E23" s="104" t="s">
        <v>651</v>
      </c>
      <c r="F23" s="104" t="s">
        <v>9</v>
      </c>
      <c r="G23" s="111" t="s">
        <v>8</v>
      </c>
    </row>
    <row r="24" spans="1:7" x14ac:dyDescent="0.35">
      <c r="A24" s="108">
        <v>1</v>
      </c>
      <c r="B24" s="46" t="s">
        <v>817</v>
      </c>
      <c r="C24" s="49">
        <v>16400</v>
      </c>
      <c r="D24" s="49">
        <v>16295.04</v>
      </c>
      <c r="E24" s="49">
        <v>15087.994000000001</v>
      </c>
      <c r="F24" s="50">
        <v>0.92592555771572205</v>
      </c>
      <c r="G24" s="129">
        <v>0.91999963414634145</v>
      </c>
    </row>
    <row r="25" spans="1:7" x14ac:dyDescent="0.35">
      <c r="A25" s="108">
        <v>2</v>
      </c>
      <c r="B25" s="46" t="s">
        <v>823</v>
      </c>
      <c r="C25" s="49">
        <v>39200</v>
      </c>
      <c r="D25" s="49">
        <v>38949.120000000003</v>
      </c>
      <c r="E25" s="49">
        <v>36064.003599999996</v>
      </c>
      <c r="F25" s="50">
        <v>0.92592601835420163</v>
      </c>
      <c r="G25" s="129">
        <v>0.92000009183673481</v>
      </c>
    </row>
    <row r="26" spans="1:7" x14ac:dyDescent="0.35">
      <c r="A26" s="108">
        <v>3</v>
      </c>
      <c r="B26" s="46" t="s">
        <v>829</v>
      </c>
      <c r="C26" s="49">
        <v>62000</v>
      </c>
      <c r="D26" s="49">
        <v>61603.199999999997</v>
      </c>
      <c r="E26" s="49">
        <v>57040</v>
      </c>
      <c r="F26" s="50">
        <v>0.92592592592592582</v>
      </c>
      <c r="G26" s="129">
        <v>0.92</v>
      </c>
    </row>
    <row r="27" spans="1:7" x14ac:dyDescent="0.35">
      <c r="A27" s="108">
        <v>4</v>
      </c>
      <c r="B27" s="46" t="s">
        <v>835</v>
      </c>
      <c r="C27" s="49">
        <v>87066.67</v>
      </c>
      <c r="D27" s="49">
        <v>86509.440000000017</v>
      </c>
      <c r="E27" s="49">
        <v>80101.327999999994</v>
      </c>
      <c r="F27" s="50">
        <v>0.92592586427562096</v>
      </c>
      <c r="G27" s="129">
        <v>0.91999990352220884</v>
      </c>
    </row>
    <row r="28" spans="1:7" x14ac:dyDescent="0.35">
      <c r="A28" s="108">
        <v>5</v>
      </c>
      <c r="B28" s="46" t="s">
        <v>842</v>
      </c>
      <c r="C28" s="49">
        <v>116733.34</v>
      </c>
      <c r="D28" s="49">
        <v>115986.24000000001</v>
      </c>
      <c r="E28" s="49">
        <v>107394.674</v>
      </c>
      <c r="F28" s="50">
        <v>0.92592598915181645</v>
      </c>
      <c r="G28" s="129">
        <v>0.92000001027983958</v>
      </c>
    </row>
    <row r="29" spans="1:7" x14ac:dyDescent="0.35">
      <c r="A29" s="108">
        <v>6</v>
      </c>
      <c r="B29" s="46" t="s">
        <v>848</v>
      </c>
      <c r="C29" s="49">
        <v>142900</v>
      </c>
      <c r="D29" s="49">
        <v>141985.44</v>
      </c>
      <c r="E29" s="49">
        <v>131467.99600000001</v>
      </c>
      <c r="F29" s="50">
        <v>0.92592589775402334</v>
      </c>
      <c r="G29" s="129">
        <v>0.91999997200839756</v>
      </c>
    </row>
    <row r="30" spans="1:7" x14ac:dyDescent="0.35">
      <c r="A30" s="108">
        <v>7</v>
      </c>
      <c r="B30" s="46" t="s">
        <v>854</v>
      </c>
      <c r="C30" s="49">
        <v>160400</v>
      </c>
      <c r="D30" s="49">
        <v>141985.44</v>
      </c>
      <c r="E30" s="49">
        <v>131467.99600000001</v>
      </c>
      <c r="F30" s="50">
        <v>0.92592589775402334</v>
      </c>
      <c r="G30" s="129">
        <v>0.81962591022443898</v>
      </c>
    </row>
    <row r="31" spans="1:7" x14ac:dyDescent="0.35">
      <c r="A31" s="108">
        <v>8</v>
      </c>
      <c r="B31" s="46" t="s">
        <v>860</v>
      </c>
      <c r="C31" s="49">
        <v>189816.67</v>
      </c>
      <c r="D31" s="49">
        <v>141985.44</v>
      </c>
      <c r="E31" s="49">
        <v>131467.99600000001</v>
      </c>
      <c r="F31" s="50">
        <v>0.92592589775402334</v>
      </c>
      <c r="G31" s="129">
        <v>0.69260511207998754</v>
      </c>
    </row>
    <row r="32" spans="1:7" x14ac:dyDescent="0.35">
      <c r="A32" s="108">
        <v>9</v>
      </c>
      <c r="B32" s="46" t="s">
        <v>866</v>
      </c>
      <c r="C32" s="49">
        <v>220233.34</v>
      </c>
      <c r="D32" s="49">
        <v>141985.44</v>
      </c>
      <c r="E32" s="49">
        <v>131467.99600000001</v>
      </c>
      <c r="F32" s="50">
        <v>0.92592589775402334</v>
      </c>
      <c r="G32" s="129">
        <v>0.59694865454976076</v>
      </c>
    </row>
    <row r="33" spans="1:7" x14ac:dyDescent="0.35">
      <c r="A33" s="108">
        <v>10</v>
      </c>
      <c r="B33" s="46" t="s">
        <v>872</v>
      </c>
      <c r="C33" s="49">
        <v>243650</v>
      </c>
      <c r="D33" s="49">
        <v>141985.44</v>
      </c>
      <c r="E33" s="49">
        <v>131467.99600000001</v>
      </c>
      <c r="F33" s="50">
        <v>0.92592589775402334</v>
      </c>
      <c r="G33" s="129">
        <v>0.5395772460496614</v>
      </c>
    </row>
    <row r="34" spans="1:7" x14ac:dyDescent="0.35">
      <c r="A34" s="108">
        <v>11</v>
      </c>
      <c r="B34" s="46" t="s">
        <v>878</v>
      </c>
      <c r="C34" s="49">
        <v>259350</v>
      </c>
      <c r="D34" s="49">
        <v>141985.44</v>
      </c>
      <c r="E34" s="49">
        <v>131467.99600000001</v>
      </c>
      <c r="F34" s="50">
        <v>0.92592589775402334</v>
      </c>
      <c r="G34" s="129">
        <v>0.50691342201657996</v>
      </c>
    </row>
    <row r="35" spans="1:7" x14ac:dyDescent="0.35">
      <c r="A35" s="112">
        <v>12</v>
      </c>
      <c r="B35" s="135" t="s">
        <v>884</v>
      </c>
      <c r="C35" s="120">
        <v>268650</v>
      </c>
      <c r="D35" s="120">
        <v>141985.44</v>
      </c>
      <c r="E35" s="120">
        <v>131467.99600000001</v>
      </c>
      <c r="F35" s="138">
        <v>0.92592589775402334</v>
      </c>
      <c r="G35" s="130">
        <v>0.48936533035548119</v>
      </c>
    </row>
  </sheetData>
  <conditionalFormatting sqref="F24:G35">
    <cfRule type="cellIs" dxfId="22" priority="4" operator="lessThan">
      <formula>0.95</formula>
    </cfRule>
    <cfRule type="cellIs" dxfId="21" priority="5" operator="between">
      <formula>0.95</formula>
      <formula>0.999999</formula>
    </cfRule>
    <cfRule type="cellIs" dxfId="20" priority="6" operator="greaterThanOrEqual">
      <formula>1</formula>
    </cfRule>
  </conditionalFormatting>
  <conditionalFormatting sqref="G5:G16">
    <cfRule type="cellIs" dxfId="19" priority="1" operator="lessThan">
      <formula>0.5</formula>
    </cfRule>
    <cfRule type="cellIs" dxfId="18" priority="2" operator="between">
      <formula>0.5</formula>
      <formula>0.799999</formula>
    </cfRule>
    <cfRule type="cellIs" dxfId="17" priority="3" operator="greaterThanOrEqual">
      <formula>0.8</formula>
    </cfRule>
  </conditionalFormatting>
  <conditionalFormatting sqref="H5:H16">
    <cfRule type="expression" dxfId="16" priority="13">
      <formula>ISNUMBER(SEARCH("Red",H5))</formula>
    </cfRule>
    <cfRule type="expression" dxfId="15" priority="14">
      <formula>ISNUMBER(SEARCH("Amber",H5))</formula>
    </cfRule>
    <cfRule type="expression" dxfId="14" priority="15">
      <formula>ISNUMBER(SEARCH("Green",H5))</formula>
    </cfRule>
  </conditionalFormatting>
  <conditionalFormatting sqref="N6:N10">
    <cfRule type="expression" dxfId="13" priority="16">
      <formula>ISNUMBER(SEARCH("Red",N6))</formula>
    </cfRule>
    <cfRule type="expression" dxfId="12" priority="17">
      <formula>ISNUMBER(SEARCH("Amber",N6))</formula>
    </cfRule>
    <cfRule type="expression" dxfId="11" priority="18">
      <formula>ISNUMBER(SEARCH("Green",N6))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AD47"/>
  </sheetPr>
  <dimension ref="A1:AH66"/>
  <sheetViews>
    <sheetView showGridLines="0" workbookViewId="0">
      <selection activeCell="Q1" sqref="Q1"/>
    </sheetView>
  </sheetViews>
  <sheetFormatPr defaultRowHeight="14.5" x14ac:dyDescent="0.35"/>
  <cols>
    <col min="1" max="1" width="30.90625" customWidth="1"/>
    <col min="2" max="2" width="17.26953125" customWidth="1"/>
    <col min="3" max="3" width="13.1796875" customWidth="1"/>
    <col min="4" max="4" width="13.08984375" customWidth="1"/>
    <col min="5" max="5" width="13.7265625" customWidth="1"/>
    <col min="6" max="6" width="13" customWidth="1"/>
    <col min="7" max="14" width="10" customWidth="1"/>
    <col min="15" max="15" width="13.6328125" customWidth="1"/>
  </cols>
  <sheetData>
    <row r="1" spans="1:34" ht="23.5" customHeight="1" x14ac:dyDescent="0.55000000000000004">
      <c r="A1" s="248" t="s">
        <v>946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AA1" s="43"/>
      <c r="AB1" s="43"/>
      <c r="AC1" s="43"/>
      <c r="AD1" s="43"/>
      <c r="AE1" s="43"/>
      <c r="AF1" s="43"/>
      <c r="AG1" s="43"/>
      <c r="AH1" s="43"/>
    </row>
    <row r="2" spans="1:34" x14ac:dyDescent="0.35">
      <c r="A2" s="247" t="s">
        <v>947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AA2" s="44"/>
      <c r="AB2" s="44"/>
      <c r="AC2" s="44"/>
      <c r="AD2" s="44"/>
      <c r="AE2" s="44"/>
      <c r="AF2" s="44"/>
      <c r="AG2" s="44"/>
      <c r="AH2" s="44"/>
    </row>
    <row r="4" spans="1:34" x14ac:dyDescent="0.35">
      <c r="A4" s="262" t="s">
        <v>948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2"/>
    </row>
    <row r="5" spans="1:34" x14ac:dyDescent="0.35">
      <c r="A5" s="45" t="s">
        <v>949</v>
      </c>
      <c r="B5" s="45" t="str">
        <f>Control_Project_Name</f>
        <v>Shipyard Assembly Beta</v>
      </c>
      <c r="C5" s="45" t="s">
        <v>225</v>
      </c>
      <c r="D5" s="85" t="str">
        <f>Control_Project_Start</f>
        <v>2026-09-01</v>
      </c>
      <c r="E5" s="85" t="s">
        <v>228</v>
      </c>
      <c r="F5" s="85" t="str">
        <f>Control_Project_End</f>
        <v>2026-10-31</v>
      </c>
      <c r="G5" s="85" t="s">
        <v>231</v>
      </c>
      <c r="H5" s="85" t="str">
        <f>Control_Status_Date</f>
        <v>2026-06-30 00:00:00</v>
      </c>
      <c r="I5" s="45" t="s">
        <v>257</v>
      </c>
      <c r="J5" s="45" t="s">
        <v>950</v>
      </c>
      <c r="K5" s="45" t="s">
        <v>450</v>
      </c>
      <c r="L5" s="45" t="s">
        <v>951</v>
      </c>
      <c r="M5" s="45"/>
      <c r="N5" s="45"/>
      <c r="O5" s="45"/>
    </row>
    <row r="6" spans="1:34" x14ac:dyDescent="0.35">
      <c r="A6" s="199" t="s">
        <v>952</v>
      </c>
      <c r="B6" s="200" t="s">
        <v>953</v>
      </c>
      <c r="C6" s="200" t="s">
        <v>954</v>
      </c>
      <c r="D6" s="200" t="s">
        <v>101</v>
      </c>
      <c r="E6" s="201" t="s">
        <v>955</v>
      </c>
      <c r="F6" s="74"/>
      <c r="G6" s="74"/>
      <c r="H6" s="74"/>
      <c r="I6" s="74"/>
      <c r="J6" s="74"/>
      <c r="K6" s="74"/>
      <c r="L6" s="74"/>
      <c r="M6" s="74"/>
      <c r="N6" s="74"/>
      <c r="O6" s="74"/>
    </row>
    <row r="7" spans="1:34" ht="14" customHeight="1" x14ac:dyDescent="0.35">
      <c r="A7" s="108" t="s">
        <v>956</v>
      </c>
      <c r="B7" s="2" t="s">
        <v>957</v>
      </c>
      <c r="C7" s="2" t="s">
        <v>958</v>
      </c>
      <c r="D7" s="54" t="s">
        <v>959</v>
      </c>
      <c r="E7" s="109" t="s">
        <v>109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34" ht="10" customHeight="1" x14ac:dyDescent="0.35">
      <c r="A8" s="112" t="s">
        <v>960</v>
      </c>
      <c r="B8" s="113" t="s">
        <v>961</v>
      </c>
      <c r="C8" s="113" t="s">
        <v>962</v>
      </c>
      <c r="D8" s="105" t="s">
        <v>963</v>
      </c>
      <c r="E8" s="114" t="s">
        <v>109</v>
      </c>
      <c r="F8" s="2"/>
      <c r="G8" s="2"/>
      <c r="H8" s="2"/>
      <c r="I8" s="2"/>
      <c r="J8" s="2"/>
      <c r="K8" s="2"/>
      <c r="L8" s="2"/>
      <c r="M8" s="2"/>
      <c r="N8" s="2"/>
      <c r="O8" s="2"/>
    </row>
    <row r="10" spans="1:34" x14ac:dyDescent="0.35">
      <c r="A10" s="262" t="s">
        <v>964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2"/>
      <c r="AA10" s="70"/>
      <c r="AB10" s="70"/>
      <c r="AC10" s="70"/>
      <c r="AD10" s="70"/>
      <c r="AE10" s="70"/>
      <c r="AF10" s="70"/>
      <c r="AG10" s="70"/>
      <c r="AH10" s="70"/>
    </row>
    <row r="11" spans="1:34" x14ac:dyDescent="0.35">
      <c r="A11" s="45" t="s">
        <v>595</v>
      </c>
      <c r="B11" s="45" t="s">
        <v>965</v>
      </c>
      <c r="C11" s="85">
        <v>46146</v>
      </c>
      <c r="D11" s="85">
        <v>46153</v>
      </c>
      <c r="E11" s="85">
        <v>46160</v>
      </c>
      <c r="F11" s="85">
        <v>46167</v>
      </c>
      <c r="G11" s="85">
        <v>46174</v>
      </c>
      <c r="H11" s="85">
        <v>46181</v>
      </c>
      <c r="I11" s="85">
        <v>46188</v>
      </c>
      <c r="J11" s="85">
        <v>46195</v>
      </c>
      <c r="K11" s="94">
        <v>46202</v>
      </c>
      <c r="L11" s="85">
        <v>46209</v>
      </c>
      <c r="M11" s="85">
        <v>46216</v>
      </c>
      <c r="N11" s="85">
        <v>46223</v>
      </c>
      <c r="O11" s="45" t="s">
        <v>437</v>
      </c>
    </row>
    <row r="12" spans="1:34" x14ac:dyDescent="0.35">
      <c r="A12" s="45"/>
      <c r="B12" s="45"/>
      <c r="C12" s="45">
        <v>1</v>
      </c>
      <c r="D12" s="45">
        <v>2</v>
      </c>
      <c r="E12" s="45">
        <v>3</v>
      </c>
      <c r="F12" s="45">
        <v>4</v>
      </c>
      <c r="G12" s="45">
        <v>5</v>
      </c>
      <c r="H12" s="45">
        <v>6</v>
      </c>
      <c r="I12" s="45">
        <v>7</v>
      </c>
      <c r="J12" s="45">
        <v>8</v>
      </c>
      <c r="K12" s="95">
        <v>9</v>
      </c>
      <c r="L12" s="45">
        <v>10</v>
      </c>
      <c r="M12" s="45">
        <v>11</v>
      </c>
      <c r="N12" s="45">
        <v>12</v>
      </c>
      <c r="O12" s="45"/>
    </row>
    <row r="13" spans="1:34" x14ac:dyDescent="0.35">
      <c r="A13" s="9" t="s">
        <v>638</v>
      </c>
      <c r="B13" s="9" t="s">
        <v>438</v>
      </c>
      <c r="C13" s="50">
        <v>1.05</v>
      </c>
      <c r="D13" s="50">
        <v>1.05</v>
      </c>
      <c r="E13" s="50">
        <v>1.05</v>
      </c>
      <c r="F13" s="50">
        <v>1.05</v>
      </c>
      <c r="G13" s="50">
        <v>1.05</v>
      </c>
      <c r="H13" s="50">
        <v>1.05</v>
      </c>
      <c r="I13" s="50" t="s">
        <v>966</v>
      </c>
      <c r="J13" s="50" t="s">
        <v>966</v>
      </c>
      <c r="K13" s="90" t="s">
        <v>966</v>
      </c>
      <c r="L13" s="50" t="s">
        <v>966</v>
      </c>
      <c r="M13" s="50" t="s">
        <v>966</v>
      </c>
      <c r="N13" s="50" t="s">
        <v>966</v>
      </c>
      <c r="O13" s="86">
        <v>6.3</v>
      </c>
    </row>
    <row r="14" spans="1:34" x14ac:dyDescent="0.35">
      <c r="A14" s="9" t="s">
        <v>641</v>
      </c>
      <c r="B14" s="9" t="s">
        <v>438</v>
      </c>
      <c r="C14" s="50">
        <v>3.95</v>
      </c>
      <c r="D14" s="50"/>
      <c r="E14" s="50"/>
      <c r="F14" s="50"/>
      <c r="G14" s="50"/>
      <c r="H14" s="50"/>
      <c r="I14" s="50"/>
      <c r="J14" s="50"/>
      <c r="K14" s="90"/>
      <c r="L14" s="50"/>
      <c r="M14" s="50"/>
      <c r="N14" s="50"/>
      <c r="O14" s="86">
        <v>3.95</v>
      </c>
    </row>
    <row r="15" spans="1:34" x14ac:dyDescent="0.35">
      <c r="A15" s="6" t="s">
        <v>27</v>
      </c>
      <c r="B15" s="6" t="s">
        <v>438</v>
      </c>
      <c r="C15" s="50">
        <v>2.5</v>
      </c>
      <c r="D15" s="50">
        <v>2.5</v>
      </c>
      <c r="E15" s="50">
        <v>2.6</v>
      </c>
      <c r="F15" s="50"/>
      <c r="G15" s="50"/>
      <c r="H15" s="50"/>
      <c r="I15" s="50"/>
      <c r="J15" s="50"/>
      <c r="K15" s="90"/>
      <c r="L15" s="50"/>
      <c r="M15" s="50"/>
      <c r="N15" s="50"/>
      <c r="O15" s="88">
        <v>7.6</v>
      </c>
    </row>
    <row r="16" spans="1:34" x14ac:dyDescent="0.35">
      <c r="A16" s="6" t="s">
        <v>33</v>
      </c>
      <c r="B16" s="6" t="s">
        <v>643</v>
      </c>
      <c r="C16" s="50"/>
      <c r="D16" s="50" t="s">
        <v>966</v>
      </c>
      <c r="E16" s="50" t="s">
        <v>966</v>
      </c>
      <c r="F16" s="50" t="s">
        <v>966</v>
      </c>
      <c r="G16" s="50" t="s">
        <v>966</v>
      </c>
      <c r="H16" s="50"/>
      <c r="I16" s="50"/>
      <c r="J16" s="50"/>
      <c r="K16" s="90"/>
      <c r="L16" s="50"/>
      <c r="M16" s="50"/>
      <c r="N16" s="50"/>
      <c r="O16" s="88">
        <v>0</v>
      </c>
    </row>
    <row r="17" spans="1:15" x14ac:dyDescent="0.35">
      <c r="A17" s="9" t="s">
        <v>39</v>
      </c>
      <c r="B17" s="9" t="s">
        <v>438</v>
      </c>
      <c r="C17" s="50"/>
      <c r="D17" s="50">
        <v>2.0499999999999998</v>
      </c>
      <c r="E17" s="50">
        <v>2.1</v>
      </c>
      <c r="F17" s="50">
        <v>1.9</v>
      </c>
      <c r="G17" s="50"/>
      <c r="H17" s="50"/>
      <c r="I17" s="50"/>
      <c r="J17" s="50"/>
      <c r="K17" s="90"/>
      <c r="L17" s="50"/>
      <c r="M17" s="50"/>
      <c r="N17" s="50"/>
      <c r="O17" s="86">
        <v>6.05</v>
      </c>
    </row>
    <row r="18" spans="1:15" x14ac:dyDescent="0.35">
      <c r="A18" s="9" t="s">
        <v>41</v>
      </c>
      <c r="B18" s="9" t="s">
        <v>438</v>
      </c>
      <c r="C18" s="50"/>
      <c r="D18" s="50"/>
      <c r="E18" s="50"/>
      <c r="F18" s="50">
        <v>3.45</v>
      </c>
      <c r="G18" s="50">
        <v>3.4</v>
      </c>
      <c r="H18" s="50">
        <v>3.25</v>
      </c>
      <c r="I18" s="50"/>
      <c r="J18" s="50"/>
      <c r="K18" s="90"/>
      <c r="L18" s="50"/>
      <c r="M18" s="50"/>
      <c r="N18" s="50"/>
      <c r="O18" s="86">
        <v>10.1</v>
      </c>
    </row>
    <row r="19" spans="1:15" x14ac:dyDescent="0.35">
      <c r="A19" s="9" t="s">
        <v>44</v>
      </c>
      <c r="B19" s="9" t="s">
        <v>644</v>
      </c>
      <c r="C19" s="50"/>
      <c r="D19" s="50"/>
      <c r="E19" s="50"/>
      <c r="F19" s="50"/>
      <c r="G19" s="50" t="s">
        <v>966</v>
      </c>
      <c r="H19" s="50" t="s">
        <v>966</v>
      </c>
      <c r="I19" s="50" t="s">
        <v>966</v>
      </c>
      <c r="J19" s="50" t="s">
        <v>966</v>
      </c>
      <c r="K19" s="90"/>
      <c r="L19" s="50"/>
      <c r="M19" s="50"/>
      <c r="N19" s="50"/>
      <c r="O19" s="86">
        <v>0</v>
      </c>
    </row>
    <row r="20" spans="1:15" x14ac:dyDescent="0.35">
      <c r="A20" s="9" t="s">
        <v>46</v>
      </c>
      <c r="B20" s="9" t="s">
        <v>644</v>
      </c>
      <c r="C20" s="50"/>
      <c r="D20" s="50"/>
      <c r="E20" s="50"/>
      <c r="F20" s="50"/>
      <c r="G20" s="50"/>
      <c r="H20" s="50" t="s">
        <v>966</v>
      </c>
      <c r="I20" s="50" t="s">
        <v>966</v>
      </c>
      <c r="J20" s="50" t="s">
        <v>966</v>
      </c>
      <c r="K20" s="90" t="s">
        <v>966</v>
      </c>
      <c r="L20" s="50"/>
      <c r="M20" s="50"/>
      <c r="N20" s="50"/>
      <c r="O20" s="86">
        <v>0</v>
      </c>
    </row>
    <row r="21" spans="1:15" x14ac:dyDescent="0.35">
      <c r="A21" s="9" t="s">
        <v>48</v>
      </c>
      <c r="B21" s="9" t="s">
        <v>643</v>
      </c>
      <c r="C21" s="50"/>
      <c r="D21" s="50"/>
      <c r="E21" s="50"/>
      <c r="F21" s="50"/>
      <c r="G21" s="50"/>
      <c r="H21" s="50"/>
      <c r="I21" s="50"/>
      <c r="J21" s="50" t="s">
        <v>966</v>
      </c>
      <c r="K21" s="90" t="s">
        <v>966</v>
      </c>
      <c r="L21" s="50" t="s">
        <v>966</v>
      </c>
      <c r="M21" s="50"/>
      <c r="N21" s="50"/>
      <c r="O21" s="86">
        <v>0</v>
      </c>
    </row>
    <row r="22" spans="1:15" x14ac:dyDescent="0.35">
      <c r="A22" s="9" t="s">
        <v>51</v>
      </c>
      <c r="B22" s="9" t="s">
        <v>643</v>
      </c>
      <c r="C22" s="50"/>
      <c r="D22" s="50"/>
      <c r="E22" s="50"/>
      <c r="F22" s="50"/>
      <c r="G22" s="50"/>
      <c r="H22" s="50"/>
      <c r="I22" s="50"/>
      <c r="J22" s="50"/>
      <c r="K22" s="90" t="s">
        <v>966</v>
      </c>
      <c r="L22" s="50" t="s">
        <v>966</v>
      </c>
      <c r="M22" s="50" t="s">
        <v>966</v>
      </c>
      <c r="N22" s="50"/>
      <c r="O22" s="86">
        <v>0</v>
      </c>
    </row>
    <row r="23" spans="1:15" x14ac:dyDescent="0.35">
      <c r="A23" s="6" t="s">
        <v>53</v>
      </c>
      <c r="B23" s="6" t="s">
        <v>438</v>
      </c>
      <c r="C23" s="50"/>
      <c r="D23" s="50"/>
      <c r="E23" s="50"/>
      <c r="F23" s="50"/>
      <c r="G23" s="50"/>
      <c r="H23" s="50"/>
      <c r="I23" s="50"/>
      <c r="J23" s="50"/>
      <c r="K23" s="90"/>
      <c r="L23" s="50"/>
      <c r="M23" s="50" t="s">
        <v>966</v>
      </c>
      <c r="N23" s="50" t="s">
        <v>966</v>
      </c>
      <c r="O23" s="88">
        <v>0</v>
      </c>
    </row>
    <row r="24" spans="1:15" x14ac:dyDescent="0.35">
      <c r="A24" s="6" t="s">
        <v>56</v>
      </c>
      <c r="B24" s="6" t="s">
        <v>438</v>
      </c>
      <c r="C24" s="50"/>
      <c r="D24" s="50"/>
      <c r="E24" s="50"/>
      <c r="F24" s="50"/>
      <c r="G24" s="50"/>
      <c r="H24" s="50"/>
      <c r="I24" s="50"/>
      <c r="J24" s="50"/>
      <c r="K24" s="90"/>
      <c r="L24" s="50"/>
      <c r="M24" s="50"/>
      <c r="N24" s="50" t="s">
        <v>966</v>
      </c>
      <c r="O24" s="88">
        <v>0</v>
      </c>
    </row>
    <row r="25" spans="1:15" x14ac:dyDescent="0.35">
      <c r="A25" s="55" t="s">
        <v>967</v>
      </c>
      <c r="B25" s="55"/>
      <c r="C25" s="60">
        <v>7.5</v>
      </c>
      <c r="D25" s="60">
        <v>5.6</v>
      </c>
      <c r="E25" s="60">
        <v>5.75</v>
      </c>
      <c r="F25" s="60">
        <v>6.4</v>
      </c>
      <c r="G25" s="60">
        <v>4.45</v>
      </c>
      <c r="H25" s="60">
        <v>4.3</v>
      </c>
      <c r="I25" s="60">
        <v>0</v>
      </c>
      <c r="J25" s="60">
        <v>0</v>
      </c>
      <c r="K25" s="91">
        <v>0</v>
      </c>
      <c r="L25" s="60">
        <v>0</v>
      </c>
      <c r="M25" s="60">
        <v>0</v>
      </c>
      <c r="N25" s="60">
        <v>0</v>
      </c>
      <c r="O25" s="60">
        <v>34</v>
      </c>
    </row>
    <row r="28" spans="1:15" x14ac:dyDescent="0.35">
      <c r="A28" s="262" t="s">
        <v>968</v>
      </c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2"/>
    </row>
    <row r="29" spans="1:15" x14ac:dyDescent="0.35">
      <c r="A29" s="45" t="s">
        <v>595</v>
      </c>
      <c r="B29" s="45" t="s">
        <v>969</v>
      </c>
      <c r="C29" s="85">
        <v>46146</v>
      </c>
      <c r="D29" s="85">
        <v>46153</v>
      </c>
      <c r="E29" s="85">
        <v>46160</v>
      </c>
      <c r="F29" s="85">
        <v>46167</v>
      </c>
      <c r="G29" s="85">
        <v>46174</v>
      </c>
      <c r="H29" s="85">
        <v>46181</v>
      </c>
      <c r="I29" s="85">
        <v>46188</v>
      </c>
      <c r="J29" s="85">
        <v>46195</v>
      </c>
      <c r="K29" s="94">
        <v>46202</v>
      </c>
      <c r="L29" s="85">
        <v>46209</v>
      </c>
      <c r="M29" s="85">
        <v>46216</v>
      </c>
      <c r="N29" s="85">
        <v>46223</v>
      </c>
      <c r="O29" s="45" t="s">
        <v>437</v>
      </c>
    </row>
    <row r="30" spans="1:15" x14ac:dyDescent="0.35">
      <c r="A30" s="45"/>
      <c r="B30" s="45"/>
      <c r="C30" s="45">
        <v>1</v>
      </c>
      <c r="D30" s="45">
        <v>2</v>
      </c>
      <c r="E30" s="45">
        <v>3</v>
      </c>
      <c r="F30" s="45">
        <v>4</v>
      </c>
      <c r="G30" s="45">
        <v>5</v>
      </c>
      <c r="H30" s="45">
        <v>6</v>
      </c>
      <c r="I30" s="45">
        <v>7</v>
      </c>
      <c r="J30" s="45">
        <v>8</v>
      </c>
      <c r="K30" s="95">
        <v>9</v>
      </c>
      <c r="L30" s="45">
        <v>10</v>
      </c>
      <c r="M30" s="45">
        <v>11</v>
      </c>
      <c r="N30" s="45">
        <v>12</v>
      </c>
      <c r="O30" s="45"/>
    </row>
    <row r="31" spans="1:15" x14ac:dyDescent="0.35">
      <c r="A31" s="9" t="s">
        <v>638</v>
      </c>
      <c r="B31" s="9" t="s">
        <v>438</v>
      </c>
      <c r="C31" s="49">
        <v>1600</v>
      </c>
      <c r="D31" s="49">
        <v>1600</v>
      </c>
      <c r="E31" s="49">
        <v>1600</v>
      </c>
      <c r="F31" s="49">
        <v>1600</v>
      </c>
      <c r="G31" s="49">
        <v>1600</v>
      </c>
      <c r="H31" s="49">
        <v>1600</v>
      </c>
      <c r="I31" s="49" t="s">
        <v>966</v>
      </c>
      <c r="J31" s="49" t="s">
        <v>966</v>
      </c>
      <c r="K31" s="92" t="s">
        <v>966</v>
      </c>
      <c r="L31" s="49" t="s">
        <v>966</v>
      </c>
      <c r="M31" s="49" t="s">
        <v>966</v>
      </c>
      <c r="N31" s="49" t="s">
        <v>966</v>
      </c>
      <c r="O31" s="87">
        <v>9600</v>
      </c>
    </row>
    <row r="32" spans="1:15" x14ac:dyDescent="0.35">
      <c r="A32" s="9" t="s">
        <v>641</v>
      </c>
      <c r="B32" s="9" t="s">
        <v>438</v>
      </c>
      <c r="C32" s="49">
        <v>8700</v>
      </c>
      <c r="D32" s="49"/>
      <c r="E32" s="49"/>
      <c r="F32" s="49"/>
      <c r="G32" s="49"/>
      <c r="H32" s="49"/>
      <c r="I32" s="49"/>
      <c r="J32" s="49"/>
      <c r="K32" s="92"/>
      <c r="L32" s="49"/>
      <c r="M32" s="49"/>
      <c r="N32" s="49"/>
      <c r="O32" s="87">
        <v>8700</v>
      </c>
    </row>
    <row r="33" spans="1:15" x14ac:dyDescent="0.35">
      <c r="A33" s="6" t="s">
        <v>27</v>
      </c>
      <c r="B33" s="6" t="s">
        <v>438</v>
      </c>
      <c r="C33" s="49">
        <v>5995.04</v>
      </c>
      <c r="D33" s="49">
        <v>6000</v>
      </c>
      <c r="E33" s="49">
        <v>6200</v>
      </c>
      <c r="F33" s="49"/>
      <c r="G33" s="49"/>
      <c r="H33" s="49"/>
      <c r="I33" s="49"/>
      <c r="J33" s="49"/>
      <c r="K33" s="92"/>
      <c r="L33" s="49"/>
      <c r="M33" s="49"/>
      <c r="N33" s="49"/>
      <c r="O33" s="89">
        <v>18195.04</v>
      </c>
    </row>
    <row r="34" spans="1:15" x14ac:dyDescent="0.35">
      <c r="A34" s="6" t="s">
        <v>33</v>
      </c>
      <c r="B34" s="6" t="s">
        <v>643</v>
      </c>
      <c r="C34" s="49"/>
      <c r="D34" s="49">
        <v>10500</v>
      </c>
      <c r="E34" s="49">
        <v>10200</v>
      </c>
      <c r="F34" s="49">
        <v>10200</v>
      </c>
      <c r="G34" s="49">
        <v>10400</v>
      </c>
      <c r="H34" s="49"/>
      <c r="I34" s="49"/>
      <c r="J34" s="49"/>
      <c r="K34" s="92"/>
      <c r="L34" s="49"/>
      <c r="M34" s="49"/>
      <c r="N34" s="49"/>
      <c r="O34" s="89">
        <v>41300</v>
      </c>
    </row>
    <row r="35" spans="1:15" x14ac:dyDescent="0.35">
      <c r="A35" s="9" t="s">
        <v>39</v>
      </c>
      <c r="B35" s="9" t="s">
        <v>438</v>
      </c>
      <c r="C35" s="49"/>
      <c r="D35" s="49">
        <v>4554.08</v>
      </c>
      <c r="E35" s="49">
        <v>4654.08</v>
      </c>
      <c r="F35" s="49">
        <v>4200</v>
      </c>
      <c r="G35" s="49"/>
      <c r="H35" s="49"/>
      <c r="I35" s="49"/>
      <c r="J35" s="49"/>
      <c r="K35" s="92"/>
      <c r="L35" s="49"/>
      <c r="M35" s="49"/>
      <c r="N35" s="49"/>
      <c r="O35" s="87">
        <v>13408.16</v>
      </c>
    </row>
    <row r="36" spans="1:15" x14ac:dyDescent="0.35">
      <c r="A36" s="9" t="s">
        <v>41</v>
      </c>
      <c r="B36" s="9" t="s">
        <v>438</v>
      </c>
      <c r="C36" s="49"/>
      <c r="D36" s="49"/>
      <c r="E36" s="49"/>
      <c r="F36" s="49">
        <v>8906.24</v>
      </c>
      <c r="G36" s="49">
        <v>8800</v>
      </c>
      <c r="H36" s="49">
        <v>8500</v>
      </c>
      <c r="I36" s="49"/>
      <c r="J36" s="49"/>
      <c r="K36" s="92"/>
      <c r="L36" s="49"/>
      <c r="M36" s="49"/>
      <c r="N36" s="49"/>
      <c r="O36" s="87">
        <v>26206.240000000002</v>
      </c>
    </row>
    <row r="37" spans="1:15" x14ac:dyDescent="0.35">
      <c r="A37" s="9" t="s">
        <v>44</v>
      </c>
      <c r="B37" s="9" t="s">
        <v>644</v>
      </c>
      <c r="C37" s="49"/>
      <c r="D37" s="49"/>
      <c r="E37" s="49"/>
      <c r="F37" s="49"/>
      <c r="G37" s="49">
        <v>8676.7999999999993</v>
      </c>
      <c r="H37" s="49">
        <v>8800</v>
      </c>
      <c r="I37" s="49" t="s">
        <v>966</v>
      </c>
      <c r="J37" s="49" t="s">
        <v>966</v>
      </c>
      <c r="K37" s="92"/>
      <c r="L37" s="49"/>
      <c r="M37" s="49"/>
      <c r="N37" s="49"/>
      <c r="O37" s="87">
        <v>17476.8</v>
      </c>
    </row>
    <row r="38" spans="1:15" x14ac:dyDescent="0.35">
      <c r="A38" s="9" t="s">
        <v>46</v>
      </c>
      <c r="B38" s="9" t="s">
        <v>644</v>
      </c>
      <c r="C38" s="49"/>
      <c r="D38" s="49"/>
      <c r="E38" s="49"/>
      <c r="F38" s="49"/>
      <c r="G38" s="49"/>
      <c r="H38" s="49">
        <v>7099.2</v>
      </c>
      <c r="I38" s="49" t="s">
        <v>966</v>
      </c>
      <c r="J38" s="49" t="s">
        <v>966</v>
      </c>
      <c r="K38" s="92" t="s">
        <v>966</v>
      </c>
      <c r="L38" s="49"/>
      <c r="M38" s="49"/>
      <c r="N38" s="49"/>
      <c r="O38" s="87">
        <v>7099.2</v>
      </c>
    </row>
    <row r="39" spans="1:15" x14ac:dyDescent="0.35">
      <c r="A39" s="9" t="s">
        <v>48</v>
      </c>
      <c r="B39" s="9" t="s">
        <v>643</v>
      </c>
      <c r="C39" s="49"/>
      <c r="D39" s="49"/>
      <c r="E39" s="49"/>
      <c r="F39" s="49"/>
      <c r="G39" s="49"/>
      <c r="H39" s="49"/>
      <c r="I39" s="49"/>
      <c r="J39" s="49" t="s">
        <v>966</v>
      </c>
      <c r="K39" s="92" t="s">
        <v>966</v>
      </c>
      <c r="L39" s="49" t="s">
        <v>966</v>
      </c>
      <c r="M39" s="49"/>
      <c r="N39" s="49"/>
      <c r="O39" s="87">
        <v>0</v>
      </c>
    </row>
    <row r="40" spans="1:15" x14ac:dyDescent="0.35">
      <c r="A40" s="9" t="s">
        <v>51</v>
      </c>
      <c r="B40" s="9" t="s">
        <v>643</v>
      </c>
      <c r="C40" s="49"/>
      <c r="D40" s="49"/>
      <c r="E40" s="49"/>
      <c r="F40" s="49"/>
      <c r="G40" s="49"/>
      <c r="H40" s="49"/>
      <c r="I40" s="49"/>
      <c r="J40" s="49"/>
      <c r="K40" s="92" t="s">
        <v>966</v>
      </c>
      <c r="L40" s="49" t="s">
        <v>966</v>
      </c>
      <c r="M40" s="49" t="s">
        <v>966</v>
      </c>
      <c r="N40" s="49"/>
      <c r="O40" s="87">
        <v>0</v>
      </c>
    </row>
    <row r="41" spans="1:15" x14ac:dyDescent="0.35">
      <c r="A41" s="6" t="s">
        <v>53</v>
      </c>
      <c r="B41" s="6" t="s">
        <v>438</v>
      </c>
      <c r="C41" s="49"/>
      <c r="D41" s="49"/>
      <c r="E41" s="49"/>
      <c r="F41" s="49"/>
      <c r="G41" s="49"/>
      <c r="H41" s="49"/>
      <c r="I41" s="49"/>
      <c r="J41" s="49"/>
      <c r="K41" s="92"/>
      <c r="L41" s="49"/>
      <c r="M41" s="49" t="s">
        <v>966</v>
      </c>
      <c r="N41" s="49" t="s">
        <v>966</v>
      </c>
      <c r="O41" s="89">
        <v>0</v>
      </c>
    </row>
    <row r="42" spans="1:15" x14ac:dyDescent="0.35">
      <c r="A42" s="6" t="s">
        <v>56</v>
      </c>
      <c r="B42" s="6" t="s">
        <v>438</v>
      </c>
      <c r="C42" s="49"/>
      <c r="D42" s="49"/>
      <c r="E42" s="49"/>
      <c r="F42" s="49"/>
      <c r="G42" s="49"/>
      <c r="H42" s="49"/>
      <c r="I42" s="49"/>
      <c r="J42" s="49"/>
      <c r="K42" s="92"/>
      <c r="L42" s="49"/>
      <c r="M42" s="49"/>
      <c r="N42" s="49" t="s">
        <v>966</v>
      </c>
      <c r="O42" s="89">
        <v>0</v>
      </c>
    </row>
    <row r="43" spans="1:15" x14ac:dyDescent="0.35">
      <c r="A43" s="55" t="s">
        <v>970</v>
      </c>
      <c r="B43" s="55"/>
      <c r="C43" s="58">
        <v>16295.04</v>
      </c>
      <c r="D43" s="58">
        <v>22654.080000000002</v>
      </c>
      <c r="E43" s="58">
        <v>22654.080000000002</v>
      </c>
      <c r="F43" s="58">
        <v>24906.240000000002</v>
      </c>
      <c r="G43" s="58">
        <v>29476.799999999999</v>
      </c>
      <c r="H43" s="58">
        <v>25999.200000000001</v>
      </c>
      <c r="I43" s="58">
        <v>0</v>
      </c>
      <c r="J43" s="58">
        <v>0</v>
      </c>
      <c r="K43" s="93">
        <v>0</v>
      </c>
      <c r="L43" s="58">
        <v>0</v>
      </c>
      <c r="M43" s="58">
        <v>0</v>
      </c>
      <c r="N43" s="58">
        <v>0</v>
      </c>
      <c r="O43" s="58">
        <v>141985.44</v>
      </c>
    </row>
    <row r="46" spans="1:15" x14ac:dyDescent="0.35">
      <c r="A46" s="110" t="s">
        <v>595</v>
      </c>
      <c r="B46" s="104" t="s">
        <v>257</v>
      </c>
      <c r="C46" s="104" t="s">
        <v>571</v>
      </c>
      <c r="D46" s="104" t="s">
        <v>572</v>
      </c>
      <c r="E46" s="104" t="s">
        <v>269</v>
      </c>
      <c r="F46" s="104" t="s">
        <v>573</v>
      </c>
      <c r="G46" s="104" t="s">
        <v>278</v>
      </c>
      <c r="H46" s="104" t="s">
        <v>282</v>
      </c>
      <c r="I46" s="104" t="s">
        <v>8</v>
      </c>
      <c r="J46" s="104" t="s">
        <v>9</v>
      </c>
      <c r="K46" s="111" t="s">
        <v>10</v>
      </c>
    </row>
    <row r="47" spans="1:15" x14ac:dyDescent="0.35">
      <c r="A47" s="202" t="s">
        <v>638</v>
      </c>
      <c r="B47" s="87">
        <v>18000</v>
      </c>
      <c r="C47" s="87">
        <v>13500</v>
      </c>
      <c r="D47" s="87">
        <v>9600</v>
      </c>
      <c r="E47" s="96">
        <v>0.5</v>
      </c>
      <c r="F47" s="87">
        <v>9000</v>
      </c>
      <c r="G47" s="87">
        <v>-4500</v>
      </c>
      <c r="H47" s="87">
        <v>-600</v>
      </c>
      <c r="I47" s="86">
        <v>0.66666666666666696</v>
      </c>
      <c r="J47" s="86">
        <v>0.9375</v>
      </c>
      <c r="K47" s="204" t="s">
        <v>29</v>
      </c>
    </row>
    <row r="48" spans="1:15" x14ac:dyDescent="0.35">
      <c r="A48" s="202" t="s">
        <v>641</v>
      </c>
      <c r="B48" s="87">
        <v>8500</v>
      </c>
      <c r="C48" s="87">
        <v>8500</v>
      </c>
      <c r="D48" s="87">
        <v>8700</v>
      </c>
      <c r="E48" s="96">
        <v>1</v>
      </c>
      <c r="F48" s="87">
        <v>8500</v>
      </c>
      <c r="G48" s="87">
        <v>0</v>
      </c>
      <c r="H48" s="87">
        <v>-200</v>
      </c>
      <c r="I48" s="86">
        <v>1</v>
      </c>
      <c r="J48" s="86">
        <v>0.97701149425287404</v>
      </c>
      <c r="K48" s="204" t="s">
        <v>29</v>
      </c>
    </row>
    <row r="49" spans="1:11" x14ac:dyDescent="0.35">
      <c r="A49" s="203" t="s">
        <v>27</v>
      </c>
      <c r="B49" s="89">
        <v>19200</v>
      </c>
      <c r="C49" s="89">
        <v>19200</v>
      </c>
      <c r="D49" s="89">
        <v>18195.04</v>
      </c>
      <c r="E49" s="97">
        <v>1</v>
      </c>
      <c r="F49" s="89">
        <v>19200</v>
      </c>
      <c r="G49" s="89">
        <v>0</v>
      </c>
      <c r="H49" s="89">
        <v>1004.96</v>
      </c>
      <c r="I49" s="88">
        <v>1</v>
      </c>
      <c r="J49" s="88">
        <v>1.0552326348279499</v>
      </c>
      <c r="K49" s="205" t="s">
        <v>18</v>
      </c>
    </row>
    <row r="50" spans="1:11" x14ac:dyDescent="0.35">
      <c r="A50" s="203" t="s">
        <v>33</v>
      </c>
      <c r="B50" s="89">
        <v>42000</v>
      </c>
      <c r="C50" s="89">
        <v>42000</v>
      </c>
      <c r="D50" s="89">
        <v>41300</v>
      </c>
      <c r="E50" s="97">
        <v>1</v>
      </c>
      <c r="F50" s="89">
        <v>42000</v>
      </c>
      <c r="G50" s="89">
        <v>0</v>
      </c>
      <c r="H50" s="89">
        <v>700</v>
      </c>
      <c r="I50" s="88">
        <v>1</v>
      </c>
      <c r="J50" s="88">
        <v>1.0169491525423699</v>
      </c>
      <c r="K50" s="205" t="s">
        <v>18</v>
      </c>
    </row>
    <row r="51" spans="1:11" x14ac:dyDescent="0.35">
      <c r="A51" s="202" t="s">
        <v>39</v>
      </c>
      <c r="B51" s="87">
        <v>13200</v>
      </c>
      <c r="C51" s="87">
        <v>13200</v>
      </c>
      <c r="D51" s="87">
        <v>13408.16</v>
      </c>
      <c r="E51" s="96">
        <v>1</v>
      </c>
      <c r="F51" s="87">
        <v>13200</v>
      </c>
      <c r="G51" s="87">
        <v>0</v>
      </c>
      <c r="H51" s="87">
        <v>-208.15999999999801</v>
      </c>
      <c r="I51" s="86">
        <v>1</v>
      </c>
      <c r="J51" s="86">
        <v>0.98447512559516004</v>
      </c>
      <c r="K51" s="204" t="s">
        <v>29</v>
      </c>
    </row>
    <row r="52" spans="1:11" x14ac:dyDescent="0.35">
      <c r="A52" s="202" t="s">
        <v>41</v>
      </c>
      <c r="B52" s="87">
        <v>26000</v>
      </c>
      <c r="C52" s="87">
        <v>26000</v>
      </c>
      <c r="D52" s="87">
        <v>26206.240000000002</v>
      </c>
      <c r="E52" s="96">
        <v>0.7</v>
      </c>
      <c r="F52" s="87">
        <v>18200</v>
      </c>
      <c r="G52" s="87">
        <v>-7800</v>
      </c>
      <c r="H52" s="87">
        <v>-8006.24</v>
      </c>
      <c r="I52" s="86">
        <v>0.7</v>
      </c>
      <c r="J52" s="86">
        <v>0.69449108303976503</v>
      </c>
      <c r="K52" s="204" t="s">
        <v>29</v>
      </c>
    </row>
    <row r="53" spans="1:11" x14ac:dyDescent="0.35">
      <c r="A53" s="202" t="s">
        <v>44</v>
      </c>
      <c r="B53" s="87">
        <v>36000</v>
      </c>
      <c r="C53" s="87">
        <v>36000</v>
      </c>
      <c r="D53" s="87">
        <v>17476.8</v>
      </c>
      <c r="E53" s="96">
        <v>0.4</v>
      </c>
      <c r="F53" s="87">
        <v>14400</v>
      </c>
      <c r="G53" s="87">
        <v>-21600</v>
      </c>
      <c r="H53" s="87">
        <v>-3076.8</v>
      </c>
      <c r="I53" s="86">
        <v>0.4</v>
      </c>
      <c r="J53" s="86">
        <v>0.823949464432848</v>
      </c>
      <c r="K53" s="204" t="s">
        <v>29</v>
      </c>
    </row>
    <row r="54" spans="1:11" x14ac:dyDescent="0.35">
      <c r="A54" s="202" t="s">
        <v>46</v>
      </c>
      <c r="B54" s="87">
        <v>28000</v>
      </c>
      <c r="C54" s="87">
        <v>28000</v>
      </c>
      <c r="D54" s="87">
        <v>7099.2</v>
      </c>
      <c r="E54" s="96">
        <v>0.24885699999999999</v>
      </c>
      <c r="F54" s="87">
        <v>6967.9960000000001</v>
      </c>
      <c r="G54" s="87">
        <v>-21032.004000000001</v>
      </c>
      <c r="H54" s="87">
        <v>-131.20400000000001</v>
      </c>
      <c r="I54" s="86">
        <v>0.24885699999999999</v>
      </c>
      <c r="J54" s="86">
        <v>0.98151848095560101</v>
      </c>
      <c r="K54" s="204" t="s">
        <v>29</v>
      </c>
    </row>
    <row r="55" spans="1:11" x14ac:dyDescent="0.35">
      <c r="A55" s="202" t="s">
        <v>48</v>
      </c>
      <c r="B55" s="87">
        <v>35750</v>
      </c>
      <c r="C55" s="87">
        <v>23833.34</v>
      </c>
      <c r="D55" s="87">
        <v>0</v>
      </c>
      <c r="E55" s="96">
        <v>0</v>
      </c>
      <c r="F55" s="87">
        <v>0</v>
      </c>
      <c r="G55" s="87">
        <v>-23833.34</v>
      </c>
      <c r="H55" s="87">
        <v>0</v>
      </c>
      <c r="I55" s="86">
        <v>0</v>
      </c>
      <c r="J55" s="86">
        <v>1</v>
      </c>
      <c r="K55" s="204" t="s">
        <v>29</v>
      </c>
    </row>
    <row r="56" spans="1:11" x14ac:dyDescent="0.35">
      <c r="A56" s="202" t="s">
        <v>51</v>
      </c>
      <c r="B56" s="87">
        <v>30000</v>
      </c>
      <c r="C56" s="87">
        <v>10000</v>
      </c>
      <c r="D56" s="87">
        <v>0</v>
      </c>
      <c r="E56" s="96">
        <v>0</v>
      </c>
      <c r="F56" s="87">
        <v>0</v>
      </c>
      <c r="G56" s="87">
        <v>-10000</v>
      </c>
      <c r="H56" s="87">
        <v>0</v>
      </c>
      <c r="I56" s="86">
        <v>0</v>
      </c>
      <c r="J56" s="86">
        <v>1</v>
      </c>
      <c r="K56" s="204" t="s">
        <v>29</v>
      </c>
    </row>
    <row r="57" spans="1:11" x14ac:dyDescent="0.35">
      <c r="A57" s="203" t="s">
        <v>53</v>
      </c>
      <c r="B57" s="89">
        <v>8400</v>
      </c>
      <c r="C57" s="89">
        <v>0</v>
      </c>
      <c r="D57" s="89">
        <v>0</v>
      </c>
      <c r="E57" s="97">
        <v>0</v>
      </c>
      <c r="F57" s="89">
        <v>0</v>
      </c>
      <c r="G57" s="89">
        <v>0</v>
      </c>
      <c r="H57" s="89">
        <v>0</v>
      </c>
      <c r="I57" s="88">
        <v>1</v>
      </c>
      <c r="J57" s="88">
        <v>1</v>
      </c>
      <c r="K57" s="205" t="s">
        <v>18</v>
      </c>
    </row>
    <row r="58" spans="1:11" x14ac:dyDescent="0.35">
      <c r="A58" s="206" t="s">
        <v>56</v>
      </c>
      <c r="B58" s="207">
        <v>3600</v>
      </c>
      <c r="C58" s="207">
        <v>0</v>
      </c>
      <c r="D58" s="207">
        <v>0</v>
      </c>
      <c r="E58" s="208">
        <v>0</v>
      </c>
      <c r="F58" s="207">
        <v>0</v>
      </c>
      <c r="G58" s="207">
        <v>0</v>
      </c>
      <c r="H58" s="207">
        <v>0</v>
      </c>
      <c r="I58" s="209">
        <v>1</v>
      </c>
      <c r="J58" s="209">
        <v>1</v>
      </c>
      <c r="K58" s="210" t="s">
        <v>18</v>
      </c>
    </row>
    <row r="61" spans="1:11" x14ac:dyDescent="0.35">
      <c r="A61" s="253" t="s">
        <v>971</v>
      </c>
      <c r="B61" s="251"/>
      <c r="C61" s="251"/>
      <c r="D61" s="251"/>
      <c r="E61" s="251"/>
      <c r="F61" s="251"/>
      <c r="G61" s="251"/>
      <c r="H61" s="251"/>
      <c r="I61" s="251"/>
      <c r="J61" s="251"/>
      <c r="K61" s="252"/>
    </row>
    <row r="62" spans="1:11" x14ac:dyDescent="0.35">
      <c r="A62" s="110" t="s">
        <v>972</v>
      </c>
      <c r="B62" s="104" t="s">
        <v>101</v>
      </c>
      <c r="C62" s="111" t="s">
        <v>973</v>
      </c>
      <c r="D62" s="45"/>
      <c r="E62" s="45"/>
      <c r="F62" s="45"/>
      <c r="G62" s="45"/>
      <c r="H62" s="45"/>
      <c r="I62" s="45"/>
      <c r="J62" s="45"/>
      <c r="K62" s="45"/>
    </row>
    <row r="63" spans="1:11" x14ac:dyDescent="0.35">
      <c r="A63" s="108" t="s">
        <v>974</v>
      </c>
      <c r="B63" s="2" t="s">
        <v>975</v>
      </c>
      <c r="C63" s="109" t="s">
        <v>976</v>
      </c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131" t="s">
        <v>977</v>
      </c>
      <c r="B64" s="2" t="s">
        <v>978</v>
      </c>
      <c r="C64" s="109" t="s">
        <v>979</v>
      </c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132" t="s">
        <v>980</v>
      </c>
      <c r="B65" s="2" t="s">
        <v>25</v>
      </c>
      <c r="C65" s="109" t="s">
        <v>979</v>
      </c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134" t="s">
        <v>981</v>
      </c>
      <c r="B66" s="113" t="s">
        <v>982</v>
      </c>
      <c r="C66" s="114" t="s">
        <v>979</v>
      </c>
      <c r="D66" s="2"/>
      <c r="E66" s="2"/>
      <c r="F66" s="2"/>
      <c r="G66" s="2"/>
      <c r="H66" s="2"/>
      <c r="I66" s="2"/>
      <c r="J66" s="2"/>
      <c r="K66" s="2"/>
    </row>
  </sheetData>
  <mergeCells count="6">
    <mergeCell ref="A61:K61"/>
    <mergeCell ref="A2:O2"/>
    <mergeCell ref="A10:O10"/>
    <mergeCell ref="A28:O28"/>
    <mergeCell ref="A1:O1"/>
    <mergeCell ref="A4:O4"/>
  </mergeCells>
  <conditionalFormatting sqref="C13:N24">
    <cfRule type="containsText" dxfId="10" priority="1" operator="containsText" text="o">
      <formula>NOT(ISERROR(SEARCH("o",C13)))</formula>
    </cfRule>
  </conditionalFormatting>
  <conditionalFormatting sqref="C31:N42">
    <cfRule type="containsText" dxfId="9" priority="2" operator="containsText" text="o">
      <formula>NOT(ISERROR(SEARCH("o",C31)))</formula>
    </cfRule>
  </conditionalFormatting>
  <conditionalFormatting sqref="K47:K58">
    <cfRule type="expression" dxfId="8" priority="3">
      <formula>ISNUMBER(SEARCH("Red",K47))</formula>
    </cfRule>
    <cfRule type="expression" dxfId="7" priority="4">
      <formula>ISNUMBER(SEARCH("Amber",K47))</formula>
    </cfRule>
    <cfRule type="expression" dxfId="6" priority="5">
      <formula>ISNUMBER(SEARCH("Green",K47))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D7D31"/>
  </sheetPr>
  <dimension ref="A1:N23"/>
  <sheetViews>
    <sheetView showGridLines="0" tabSelected="1" zoomScale="85" zoomScaleNormal="85" workbookViewId="0">
      <selection activeCell="E10" sqref="E10"/>
    </sheetView>
  </sheetViews>
  <sheetFormatPr defaultRowHeight="14.5" x14ac:dyDescent="0.35"/>
  <cols>
    <col min="1" max="1" width="13.6328125" customWidth="1"/>
    <col min="2" max="2" width="33.6328125" customWidth="1"/>
    <col min="3" max="9" width="17.26953125" customWidth="1"/>
    <col min="10" max="10" width="22.90625" customWidth="1"/>
    <col min="12" max="12" width="23" customWidth="1"/>
    <col min="13" max="14" width="20" customWidth="1"/>
  </cols>
  <sheetData>
    <row r="1" spans="1:14" ht="23.5" customHeight="1" x14ac:dyDescent="0.55000000000000004">
      <c r="A1" s="248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4" x14ac:dyDescent="0.35">
      <c r="A2" s="247" t="s">
        <v>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</row>
    <row r="4" spans="1:14" x14ac:dyDescent="0.35">
      <c r="A4" s="110" t="s">
        <v>2</v>
      </c>
      <c r="B4" s="104" t="s">
        <v>3</v>
      </c>
      <c r="C4" s="104" t="s">
        <v>4</v>
      </c>
      <c r="D4" s="104" t="s">
        <v>5</v>
      </c>
      <c r="E4" s="104" t="s">
        <v>6</v>
      </c>
      <c r="F4" s="104" t="s">
        <v>7</v>
      </c>
      <c r="G4" s="104" t="s">
        <v>8</v>
      </c>
      <c r="H4" s="104" t="s">
        <v>9</v>
      </c>
      <c r="I4" s="104" t="s">
        <v>10</v>
      </c>
      <c r="J4" s="111" t="s">
        <v>11</v>
      </c>
      <c r="L4" s="110" t="s">
        <v>12</v>
      </c>
      <c r="M4" s="104" t="s">
        <v>13</v>
      </c>
      <c r="N4" s="111" t="s">
        <v>14</v>
      </c>
    </row>
    <row r="5" spans="1:14" x14ac:dyDescent="0.35">
      <c r="A5" s="108" t="s">
        <v>15</v>
      </c>
      <c r="B5" s="2" t="s">
        <v>16</v>
      </c>
      <c r="C5" s="98">
        <v>5</v>
      </c>
      <c r="D5" s="98">
        <v>7</v>
      </c>
      <c r="E5" s="47">
        <v>9</v>
      </c>
      <c r="F5" s="48">
        <v>7</v>
      </c>
      <c r="G5" s="50" t="s">
        <v>17</v>
      </c>
      <c r="H5" s="50">
        <v>0</v>
      </c>
      <c r="I5" s="2">
        <v>7</v>
      </c>
      <c r="J5" s="109">
        <v>0</v>
      </c>
      <c r="L5" s="131" t="s">
        <v>18</v>
      </c>
      <c r="M5" s="2" t="s">
        <v>19</v>
      </c>
      <c r="N5" s="109" t="s">
        <v>20</v>
      </c>
    </row>
    <row r="6" spans="1:14" x14ac:dyDescent="0.35">
      <c r="A6" s="108" t="s">
        <v>21</v>
      </c>
      <c r="B6" s="2" t="s">
        <v>22</v>
      </c>
      <c r="C6" s="98">
        <v>4</v>
      </c>
      <c r="D6" s="98">
        <v>7</v>
      </c>
      <c r="E6" s="47">
        <v>10</v>
      </c>
      <c r="F6" s="48">
        <v>7</v>
      </c>
      <c r="G6" s="50" t="s">
        <v>15</v>
      </c>
      <c r="H6" s="50">
        <v>7</v>
      </c>
      <c r="I6" s="2">
        <v>14</v>
      </c>
      <c r="J6" s="109">
        <v>0</v>
      </c>
      <c r="L6" s="132" t="s">
        <v>23</v>
      </c>
      <c r="M6" s="2" t="s">
        <v>24</v>
      </c>
      <c r="N6" s="109" t="s">
        <v>25</v>
      </c>
    </row>
    <row r="7" spans="1:14" x14ac:dyDescent="0.35">
      <c r="A7" s="108" t="s">
        <v>26</v>
      </c>
      <c r="B7" s="2" t="s">
        <v>27</v>
      </c>
      <c r="C7" s="98">
        <v>46146</v>
      </c>
      <c r="D7" s="98">
        <v>46166</v>
      </c>
      <c r="E7" s="47">
        <v>21</v>
      </c>
      <c r="F7" s="48">
        <v>1</v>
      </c>
      <c r="G7" s="50">
        <v>1</v>
      </c>
      <c r="H7" s="50">
        <v>1.06</v>
      </c>
      <c r="I7" s="2" t="s">
        <v>18</v>
      </c>
      <c r="J7" s="109" t="s">
        <v>28</v>
      </c>
      <c r="L7" s="133" t="s">
        <v>29</v>
      </c>
      <c r="M7" s="2" t="s">
        <v>30</v>
      </c>
      <c r="N7" s="109" t="s">
        <v>31</v>
      </c>
    </row>
    <row r="8" spans="1:14" x14ac:dyDescent="0.35">
      <c r="A8" s="108" t="s">
        <v>32</v>
      </c>
      <c r="B8" s="2" t="s">
        <v>33</v>
      </c>
      <c r="C8" s="98">
        <v>46153</v>
      </c>
      <c r="D8" s="98">
        <v>46180</v>
      </c>
      <c r="E8" s="47">
        <v>28</v>
      </c>
      <c r="F8" s="48">
        <v>1</v>
      </c>
      <c r="G8" s="50">
        <v>1</v>
      </c>
      <c r="H8" s="50">
        <v>1.02</v>
      </c>
      <c r="I8" s="2" t="s">
        <v>18</v>
      </c>
      <c r="J8" s="109" t="s">
        <v>34</v>
      </c>
      <c r="L8" s="212" t="s">
        <v>35</v>
      </c>
      <c r="M8" s="113" t="s">
        <v>36</v>
      </c>
      <c r="N8" s="114" t="s">
        <v>37</v>
      </c>
    </row>
    <row r="9" spans="1:14" x14ac:dyDescent="0.35">
      <c r="A9" s="108" t="s">
        <v>38</v>
      </c>
      <c r="B9" s="2" t="s">
        <v>39</v>
      </c>
      <c r="C9" s="98">
        <v>46153</v>
      </c>
      <c r="D9" s="98">
        <v>46173</v>
      </c>
      <c r="E9" s="47">
        <v>21</v>
      </c>
      <c r="F9" s="48">
        <v>1</v>
      </c>
      <c r="G9" s="50">
        <v>1</v>
      </c>
      <c r="H9" s="50">
        <v>0.98</v>
      </c>
      <c r="I9" s="2" t="s">
        <v>29</v>
      </c>
      <c r="J9" s="109" t="s">
        <v>34</v>
      </c>
    </row>
    <row r="10" spans="1:14" x14ac:dyDescent="0.35">
      <c r="A10" s="108" t="s">
        <v>40</v>
      </c>
      <c r="B10" s="2" t="s">
        <v>41</v>
      </c>
      <c r="C10" s="98">
        <v>46167</v>
      </c>
      <c r="D10" s="98">
        <v>46187</v>
      </c>
      <c r="E10" s="47">
        <v>21</v>
      </c>
      <c r="F10" s="48">
        <v>0.7</v>
      </c>
      <c r="G10" s="50">
        <v>0.7</v>
      </c>
      <c r="H10" s="50">
        <v>0.69</v>
      </c>
      <c r="I10" s="2" t="s">
        <v>29</v>
      </c>
      <c r="J10" s="109" t="s">
        <v>42</v>
      </c>
    </row>
    <row r="11" spans="1:14" x14ac:dyDescent="0.35">
      <c r="A11" s="108" t="s">
        <v>43</v>
      </c>
      <c r="B11" s="2" t="s">
        <v>44</v>
      </c>
      <c r="C11" s="98">
        <v>46174</v>
      </c>
      <c r="D11" s="98">
        <v>46201</v>
      </c>
      <c r="E11" s="47">
        <v>28</v>
      </c>
      <c r="F11" s="48">
        <v>0.4</v>
      </c>
      <c r="G11" s="50">
        <v>0.4</v>
      </c>
      <c r="H11" s="50">
        <v>0.82</v>
      </c>
      <c r="I11" s="2" t="s">
        <v>29</v>
      </c>
      <c r="J11" s="109" t="s">
        <v>40</v>
      </c>
    </row>
    <row r="12" spans="1:14" x14ac:dyDescent="0.35">
      <c r="A12" s="108" t="s">
        <v>45</v>
      </c>
      <c r="B12" s="2" t="s">
        <v>46</v>
      </c>
      <c r="C12" s="98">
        <v>46181</v>
      </c>
      <c r="D12" s="98">
        <v>46208</v>
      </c>
      <c r="E12" s="47">
        <v>28</v>
      </c>
      <c r="F12" s="48">
        <v>0.249</v>
      </c>
      <c r="G12" s="50">
        <v>0.25</v>
      </c>
      <c r="H12" s="50">
        <v>0.98</v>
      </c>
      <c r="I12" s="2" t="s">
        <v>29</v>
      </c>
      <c r="J12" s="109" t="s">
        <v>40</v>
      </c>
    </row>
    <row r="13" spans="1:14" x14ac:dyDescent="0.35">
      <c r="A13" s="108" t="s">
        <v>47</v>
      </c>
      <c r="B13" s="2" t="s">
        <v>48</v>
      </c>
      <c r="C13" s="98">
        <v>46195</v>
      </c>
      <c r="D13" s="98">
        <v>46215</v>
      </c>
      <c r="E13" s="47">
        <v>21</v>
      </c>
      <c r="F13" s="48">
        <v>0</v>
      </c>
      <c r="G13" s="50">
        <v>0</v>
      </c>
      <c r="H13" s="50">
        <v>1</v>
      </c>
      <c r="I13" s="2" t="s">
        <v>29</v>
      </c>
      <c r="J13" s="109" t="s">
        <v>49</v>
      </c>
    </row>
    <row r="14" spans="1:14" x14ac:dyDescent="0.35">
      <c r="A14" s="108" t="s">
        <v>50</v>
      </c>
      <c r="B14" s="2" t="s">
        <v>51</v>
      </c>
      <c r="C14" s="98">
        <v>46202</v>
      </c>
      <c r="D14" s="98">
        <v>46222</v>
      </c>
      <c r="E14" s="47">
        <v>21</v>
      </c>
      <c r="F14" s="48">
        <v>0</v>
      </c>
      <c r="G14" s="50">
        <v>0</v>
      </c>
      <c r="H14" s="50">
        <v>1</v>
      </c>
      <c r="I14" s="2" t="s">
        <v>29</v>
      </c>
      <c r="J14" s="109" t="s">
        <v>49</v>
      </c>
    </row>
    <row r="15" spans="1:14" x14ac:dyDescent="0.35">
      <c r="A15" s="108" t="s">
        <v>52</v>
      </c>
      <c r="B15" s="2" t="s">
        <v>53</v>
      </c>
      <c r="C15" s="98">
        <v>46216</v>
      </c>
      <c r="D15" s="98">
        <v>46229</v>
      </c>
      <c r="E15" s="47">
        <v>14</v>
      </c>
      <c r="F15" s="48">
        <v>0</v>
      </c>
      <c r="G15" s="50">
        <v>1</v>
      </c>
      <c r="H15" s="50">
        <v>1</v>
      </c>
      <c r="I15" s="2" t="s">
        <v>18</v>
      </c>
      <c r="J15" s="109" t="s">
        <v>54</v>
      </c>
    </row>
    <row r="16" spans="1:14" x14ac:dyDescent="0.35">
      <c r="A16" s="112" t="s">
        <v>55</v>
      </c>
      <c r="B16" s="113" t="s">
        <v>56</v>
      </c>
      <c r="C16" s="211">
        <v>46223</v>
      </c>
      <c r="D16" s="211">
        <v>46229</v>
      </c>
      <c r="E16" s="136">
        <v>7</v>
      </c>
      <c r="F16" s="137">
        <v>0</v>
      </c>
      <c r="G16" s="138">
        <v>1</v>
      </c>
      <c r="H16" s="138">
        <v>1</v>
      </c>
      <c r="I16" s="113" t="s">
        <v>18</v>
      </c>
      <c r="J16" s="114" t="s">
        <v>52</v>
      </c>
    </row>
    <row r="17" spans="1:14" x14ac:dyDescent="0.35">
      <c r="C17" s="99"/>
      <c r="D17" s="99"/>
      <c r="E17" s="100"/>
      <c r="F17" s="101"/>
      <c r="G17" s="102"/>
      <c r="H17" s="102"/>
    </row>
    <row r="18" spans="1:14" x14ac:dyDescent="0.35">
      <c r="A18" s="245" t="s">
        <v>57</v>
      </c>
      <c r="B18" s="246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</row>
    <row r="19" spans="1:14" x14ac:dyDescent="0.35">
      <c r="C19" s="99"/>
      <c r="D19" s="99"/>
      <c r="E19" s="100"/>
      <c r="F19" s="101"/>
      <c r="G19" s="102"/>
      <c r="H19" s="102"/>
    </row>
    <row r="20" spans="1:14" x14ac:dyDescent="0.35">
      <c r="C20" s="99"/>
      <c r="D20" s="99"/>
      <c r="E20" s="100"/>
      <c r="F20" s="101"/>
      <c r="G20" s="102"/>
      <c r="H20" s="102"/>
    </row>
    <row r="21" spans="1:14" x14ac:dyDescent="0.35">
      <c r="C21" s="99"/>
      <c r="D21" s="99"/>
      <c r="E21" s="100"/>
      <c r="F21" s="101"/>
      <c r="G21" s="102"/>
      <c r="H21" s="102"/>
    </row>
    <row r="22" spans="1:14" x14ac:dyDescent="0.35">
      <c r="C22" s="99"/>
      <c r="D22" s="99"/>
      <c r="E22" s="100"/>
      <c r="F22" s="101"/>
      <c r="G22" s="102"/>
      <c r="H22" s="102"/>
    </row>
    <row r="23" spans="1:14" x14ac:dyDescent="0.35">
      <c r="C23" s="99"/>
      <c r="D23" s="99"/>
      <c r="E23" s="100"/>
      <c r="F23" s="101"/>
      <c r="G23" s="102"/>
      <c r="H23" s="102"/>
    </row>
  </sheetData>
  <mergeCells count="3">
    <mergeCell ref="A18:N18"/>
    <mergeCell ref="A2:N2"/>
    <mergeCell ref="A1:N1"/>
  </mergeCells>
  <conditionalFormatting sqref="I5:I16">
    <cfRule type="expression" dxfId="5" priority="7">
      <formula>ISNUMBER(SEARCH("Red",I5))</formula>
    </cfRule>
    <cfRule type="expression" dxfId="4" priority="8">
      <formula>ISNUMBER(SEARCH("Amber",I5))</formula>
    </cfRule>
    <cfRule type="expression" dxfId="3" priority="9">
      <formula>ISNUMBER(SEARCH("Green",I5))</formula>
    </cfRule>
  </conditionalFormatting>
  <conditionalFormatting sqref="L5:L8">
    <cfRule type="expression" dxfId="2" priority="10">
      <formula>ISNUMBER(SEARCH("Red",L5))</formula>
    </cfRule>
    <cfRule type="expression" dxfId="1" priority="11">
      <formula>ISNUMBER(SEARCH("Amber",L5))</formula>
    </cfRule>
    <cfRule type="expression" dxfId="0" priority="12">
      <formula>ISNUMBER(SEARCH("Green",L5))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26</vt:i4>
      </vt:variant>
    </vt:vector>
  </HeadingPairs>
  <TitlesOfParts>
    <vt:vector size="51" baseType="lpstr">
      <vt:lpstr>Cover</vt:lpstr>
      <vt:lpstr>Slicer Controls</vt:lpstr>
      <vt:lpstr>Glossary</vt:lpstr>
      <vt:lpstr>Review</vt:lpstr>
      <vt:lpstr>PID</vt:lpstr>
      <vt:lpstr>Method Roadmap</vt:lpstr>
      <vt:lpstr>PM-EVM Compliance</vt:lpstr>
      <vt:lpstr>Setup</vt:lpstr>
      <vt:lpstr>Task Plan</vt:lpstr>
      <vt:lpstr>Task Capture</vt:lpstr>
      <vt:lpstr>EVM Dashboard</vt:lpstr>
      <vt:lpstr>Red Actions</vt:lpstr>
      <vt:lpstr>Pivot Summary</vt:lpstr>
      <vt:lpstr>Resource Grid</vt:lpstr>
      <vt:lpstr>Dim_Project</vt:lpstr>
      <vt:lpstr>Dim_WBS</vt:lpstr>
      <vt:lpstr>Dim_Resource</vt:lpstr>
      <vt:lpstr>Dim_Calendar</vt:lpstr>
      <vt:lpstr>Fact_Baseline_PV</vt:lpstr>
      <vt:lpstr>Fact_Actual_Costs</vt:lpstr>
      <vt:lpstr>Fact_Physical_Progress</vt:lpstr>
      <vt:lpstr>EVM</vt:lpstr>
      <vt:lpstr>EVM Charts</vt:lpstr>
      <vt:lpstr>Simple Gantt Model</vt:lpstr>
      <vt:lpstr>PERT Diagram</vt:lpstr>
      <vt:lpstr>Actual_Cost_Values</vt:lpstr>
      <vt:lpstr>Actual_Hours_Values</vt:lpstr>
      <vt:lpstr>Baseline_PV_Values</vt:lpstr>
      <vt:lpstr>Control_BAC</vt:lpstr>
      <vt:lpstr>Control_CPI_SPI_Green</vt:lpstr>
      <vt:lpstr>Control_CPI_SPI_Red</vt:lpstr>
      <vt:lpstr>Control_Progress_Amber</vt:lpstr>
      <vt:lpstr>Control_Progress_Green</vt:lpstr>
      <vt:lpstr>Control_Project_End</vt:lpstr>
      <vt:lpstr>Control_Project_ID</vt:lpstr>
      <vt:lpstr>Control_Project_Name</vt:lpstr>
      <vt:lpstr>Control_Project_Start</vt:lpstr>
      <vt:lpstr>Control_Sector</vt:lpstr>
      <vt:lpstr>Control_Status_Date</vt:lpstr>
      <vt:lpstr>Input_Actual_Costs</vt:lpstr>
      <vt:lpstr>Input_Baseline_PV</vt:lpstr>
      <vt:lpstr>Input_Calendar</vt:lpstr>
      <vt:lpstr>Input_Physical_Progress</vt:lpstr>
      <vt:lpstr>Input_Project</vt:lpstr>
      <vt:lpstr>Input_Resources</vt:lpstr>
      <vt:lpstr>Input_WBS</vt:lpstr>
      <vt:lpstr>Progress_Pct_Values</vt:lpstr>
      <vt:lpstr>WBS_Activities</vt:lpstr>
      <vt:lpstr>WBS_Budgets</vt:lpstr>
      <vt:lpstr>WBS_IDs</vt:lpstr>
      <vt:lpstr>WBS_Types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Ellingsen</cp:lastModifiedBy>
  <dcterms:created xsi:type="dcterms:W3CDTF">2026-08-04T11:57:05Z</dcterms:created>
  <dcterms:modified xsi:type="dcterms:W3CDTF">2026-08-04T20:06:14Z</dcterms:modified>
</cp:coreProperties>
</file>