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2.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drawings/drawing4.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rank\Desktop\Project Mng\PM teori\Excel App2\"/>
    </mc:Choice>
  </mc:AlternateContent>
  <xr:revisionPtr revIDLastSave="0" documentId="13_ncr:1_{1692D4E7-575C-422F-8A9D-F76F638F271B}" xr6:coauthVersionLast="47" xr6:coauthVersionMax="47" xr10:uidLastSave="{00000000-0000-0000-0000-000000000000}"/>
  <bookViews>
    <workbookView xWindow="-110" yWindow="-110" windowWidth="19420" windowHeight="10300" firstSheet="12" activeTab="24" xr2:uid="{00000000-000D-0000-FFFF-FFFF00000000}"/>
  </bookViews>
  <sheets>
    <sheet name="Cover" sheetId="10" r:id="rId1"/>
    <sheet name="Slicer Controls" sheetId="24" r:id="rId2"/>
    <sheet name="Glossary" sheetId="15" r:id="rId3"/>
    <sheet name="Review" sheetId="20" r:id="rId4"/>
    <sheet name="PID" sheetId="17" r:id="rId5"/>
    <sheet name="Method Roadmap" sheetId="16" r:id="rId6"/>
    <sheet name="PM-EVM Compliance" sheetId="14" r:id="rId7"/>
    <sheet name="Setup" sheetId="11" r:id="rId8"/>
    <sheet name="Task Plan" sheetId="12" r:id="rId9"/>
    <sheet name="Task Capture" sheetId="18" r:id="rId10"/>
    <sheet name="EVM Dashboard" sheetId="1" r:id="rId11"/>
    <sheet name="Red Actions" sheetId="25" r:id="rId12"/>
    <sheet name="Pivot Summary" sheetId="26" r:id="rId13"/>
    <sheet name="Resource Grid" sheetId="19" r:id="rId14"/>
    <sheet name="Dim_Project" sheetId="2" r:id="rId15"/>
    <sheet name="Dim_WBS" sheetId="3" r:id="rId16"/>
    <sheet name="Dim_Resource" sheetId="4" r:id="rId17"/>
    <sheet name="Dim_Calendar" sheetId="5" r:id="rId18"/>
    <sheet name="Fact_Baseline_PV" sheetId="6" r:id="rId19"/>
    <sheet name="Fact_Actual_Costs" sheetId="7" r:id="rId20"/>
    <sheet name="Fact_Physical_Progress" sheetId="8" r:id="rId21"/>
    <sheet name="EVM" sheetId="13" r:id="rId22"/>
    <sheet name="EVM Charts" sheetId="9" r:id="rId23"/>
    <sheet name="Simple Gantt Model" sheetId="21" r:id="rId24"/>
    <sheet name="PERT Diagram" sheetId="22" r:id="rId25"/>
  </sheets>
  <definedNames>
    <definedName name="Actual_Cost_Values" comment="Actual cost amount column.">tbl_Fact_Actual_Costs[Actual_Cost]</definedName>
    <definedName name="Actual_Hours_Values" comment="Actual hours column.">tbl_Fact_Actual_Costs[Hours_Worked]</definedName>
    <definedName name="Baseline_PV_Values" comment="Baseline planned value column.">tbl_Fact_Baseline_PV[Planned_Value]</definedName>
    <definedName name="Control_BAC" comment="Budget at Completion from the project dimension.">Dim_Project!$E$2</definedName>
    <definedName name="Control_CPI_SPI_Green" comment="CPI/SPI green threshold.">Setup!$B$13</definedName>
    <definedName name="Control_CPI_SPI_Red" comment="CPI/SPI red threshold.">Setup!$B$12</definedName>
    <definedName name="Control_Progress_Amber" comment="Progress amber threshold.">Setup!$B$14</definedName>
    <definedName name="Control_Progress_Green" comment="Progress green threshold.">Setup!$B$15</definedName>
    <definedName name="Control_Project_End" comment="Project baseline end date.">Dim_Project!$D$2</definedName>
    <definedName name="Control_Project_ID" comment="Project ID from the project dimension.">Dim_Project!$A$2</definedName>
    <definedName name="Control_Project_Name" comment="Project name from the project dimension.">Dim_Project!$B$2</definedName>
    <definedName name="Control_Project_Start" comment="Project baseline start date.">Dim_Project!$C$2</definedName>
    <definedName name="Control_Sector" comment="Project sector from the project dimension.">Dim_Project!$F$2</definedName>
    <definedName name="Control_Status_Date" comment="Workbook status date / reporting cut-off.">Setup!$B$9</definedName>
    <definedName name="Input_Actual_Costs" comment="Single actual costs fact table.">tbl_Fact_Actual_Costs[]</definedName>
    <definedName name="Input_Baseline_PV" comment="Single baseline planned value fact table.">tbl_Fact_Baseline_PV[]</definedName>
    <definedName name="Input_Calendar" comment="Single calendar/date dimension.">tbl_Dim_Calendar[]</definedName>
    <definedName name="Input_Physical_Progress" comment="Single physical progress fact table.">tbl_Fact_Physical_Progress[]</definedName>
    <definedName name="Input_Project" comment="Single project master record.">tbl_Dim_Project[]</definedName>
    <definedName name="Input_Resources" comment="Single resource master table.">tbl_Dim_Resource[]</definedName>
    <definedName name="Input_WBS" comment="Single WBS/activity master table.">tbl_Dim_WBS[]</definedName>
    <definedName name="Progress_Pct_Values" comment="Physical progress percentage column.">tbl_Fact_Physical_Progress[Physical_Progress_Pct]</definedName>
    <definedName name="Slicer_Category">#N/A</definedName>
    <definedName name="Slicer_Measure">#N/A</definedName>
    <definedName name="Slicer_Month_Name">#N/A</definedName>
    <definedName name="Slicer_Owner">#N/A</definedName>
    <definedName name="Slicer_Owner1">#N/A</definedName>
    <definedName name="Slicer_Owner2">#N/A</definedName>
    <definedName name="Slicer_RAG">#N/A</definedName>
    <definedName name="Slicer_RAG1">#N/A</definedName>
    <definedName name="Slicer_RAG2">#N/A</definedName>
    <definedName name="Slicer_RAG3">#N/A</definedName>
    <definedName name="Slicer_Resource_ID">#N/A</definedName>
    <definedName name="Slicer_Role">#N/A</definedName>
    <definedName name="Slicer_Status">#N/A</definedName>
    <definedName name="Slicer_Status1">#N/A</definedName>
    <definedName name="Slicer_Status2">#N/A</definedName>
    <definedName name="Slicer_Status3">#N/A</definedName>
    <definedName name="Slicer_Status4">#N/A</definedName>
    <definedName name="Slicer_Type">#N/A</definedName>
    <definedName name="Slicer_Type1">#N/A</definedName>
    <definedName name="Slicer_Type2">#N/A</definedName>
    <definedName name="Slicer_Type3">#N/A</definedName>
    <definedName name="Slicer_WBS_ID">#N/A</definedName>
    <definedName name="Slicer_WBS_ID1">#N/A</definedName>
    <definedName name="Slicer_WBS_ID2">#N/A</definedName>
    <definedName name="Slicer_WBS_ID3">#N/A</definedName>
    <definedName name="Slicer_WBS_ID4">#N/A</definedName>
    <definedName name="Slicer_Week">#N/A</definedName>
    <definedName name="Slicer_Week_Number">#N/A</definedName>
    <definedName name="WBS_Activities" comment="Activity names from the WBS master.">tbl_Dim_WBS[Activity_Name]</definedName>
    <definedName name="WBS_Budgets" comment="Activity budget list from the WBS master.">tbl_Dim_WBS[Total_Budget]</definedName>
    <definedName name="WBS_IDs" comment="WBS ID list from the WBS master.">tbl_Dim_WBS[WBS_ID]</definedName>
    <definedName name="WBS_Types" comment="Activity type list from the WBS master.">tbl_Dim_WBS[Type]</definedName>
  </definedNames>
  <calcPr calcId="191029" calcCompleted="0"/>
  <pivotCaches>
    <pivotCache cacheId="23" r:id="rId26"/>
    <pivotCache cacheId="27" r:id="rId27"/>
    <pivotCache cacheId="31" r:id="rId2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6" l="1"/>
  <c r="F23" i="26"/>
  <c r="E23" i="26"/>
  <c r="D23" i="26"/>
  <c r="C23" i="26"/>
  <c r="B23" i="26"/>
  <c r="G22" i="26"/>
  <c r="F22" i="26"/>
  <c r="E22" i="26"/>
  <c r="D22" i="26"/>
  <c r="C22" i="26"/>
  <c r="B22" i="26"/>
  <c r="G21" i="26"/>
  <c r="F21" i="26"/>
  <c r="E21" i="26"/>
  <c r="D21" i="26"/>
  <c r="C21" i="26"/>
  <c r="B21" i="26"/>
  <c r="G20" i="26"/>
  <c r="F20" i="26"/>
  <c r="E20" i="26"/>
  <c r="D20" i="26"/>
  <c r="C20" i="26"/>
  <c r="B20" i="26"/>
  <c r="G19" i="26"/>
  <c r="F19" i="26"/>
  <c r="E19" i="26"/>
  <c r="D19" i="26"/>
  <c r="C19" i="26"/>
  <c r="B19" i="26"/>
  <c r="G18" i="26"/>
  <c r="F18" i="26"/>
  <c r="E18" i="26"/>
  <c r="D18" i="26"/>
  <c r="C18" i="26"/>
  <c r="B18" i="26"/>
  <c r="G17" i="26"/>
  <c r="F17" i="26"/>
  <c r="E17" i="26"/>
  <c r="D17" i="26"/>
  <c r="C17" i="26"/>
  <c r="B17" i="26"/>
  <c r="G16" i="26"/>
  <c r="F16" i="26"/>
  <c r="E16" i="26"/>
  <c r="D16" i="26"/>
  <c r="C16" i="26"/>
  <c r="B16" i="26"/>
  <c r="G15" i="26"/>
  <c r="F15" i="26"/>
  <c r="E15" i="26"/>
  <c r="D15" i="26"/>
  <c r="C15" i="26"/>
  <c r="B15" i="26"/>
  <c r="G14" i="26"/>
  <c r="F14" i="26"/>
  <c r="E14" i="26"/>
  <c r="D14" i="26"/>
  <c r="C14" i="26"/>
  <c r="B14" i="26"/>
  <c r="G9" i="26"/>
  <c r="F9" i="26"/>
  <c r="E9" i="26"/>
  <c r="D9" i="26"/>
  <c r="C9" i="26"/>
  <c r="B9" i="26"/>
  <c r="A9" i="26"/>
  <c r="H14" i="25"/>
  <c r="H15" i="25"/>
  <c r="H16" i="25"/>
  <c r="H17" i="25"/>
  <c r="H18" i="25"/>
  <c r="H19" i="25"/>
  <c r="H20" i="25"/>
  <c r="H21" i="25"/>
  <c r="E21" i="25"/>
  <c r="C21" i="25"/>
  <c r="E20" i="25"/>
  <c r="C20" i="25"/>
  <c r="E19" i="25"/>
  <c r="C19" i="25"/>
  <c r="E18" i="25"/>
  <c r="C18" i="25"/>
  <c r="E17" i="25"/>
  <c r="C17" i="25"/>
  <c r="E16" i="25"/>
  <c r="C16" i="25"/>
  <c r="E15" i="25"/>
  <c r="C15" i="25"/>
  <c r="E14" i="25"/>
  <c r="C14" i="25"/>
  <c r="G10" i="25"/>
  <c r="E10" i="25"/>
  <c r="C10" i="25"/>
  <c r="A10" i="25"/>
  <c r="F5" i="21"/>
  <c r="D5" i="21"/>
  <c r="B5" i="21"/>
  <c r="O2" i="9"/>
  <c r="O1" i="9"/>
  <c r="H4" i="1"/>
  <c r="B5" i="20"/>
  <c r="B4" i="20"/>
  <c r="B6" i="17"/>
  <c r="B5" i="17"/>
  <c r="B11" i="11"/>
  <c r="B8" i="11"/>
  <c r="B7" i="11"/>
  <c r="B6" i="11"/>
  <c r="B5" i="11"/>
  <c r="B75" i="17"/>
  <c r="F75" i="17" s="1"/>
  <c r="C75" i="17"/>
  <c r="F76" i="17"/>
  <c r="F77" i="17"/>
  <c r="F78" i="17"/>
  <c r="F79" i="17"/>
  <c r="B32" i="19"/>
  <c r="C32" i="19"/>
  <c r="C34" i="19" s="1"/>
  <c r="D32" i="19"/>
  <c r="D34" i="19" s="1"/>
  <c r="B33" i="19"/>
  <c r="C33" i="19"/>
  <c r="D33" i="19"/>
  <c r="A5" i="19"/>
  <c r="F5" i="19" s="1"/>
  <c r="B5" i="19"/>
  <c r="C5" i="19"/>
  <c r="M5" i="19"/>
  <c r="O5" i="19"/>
  <c r="P5" i="19"/>
  <c r="R5" i="19"/>
  <c r="A6" i="19"/>
  <c r="I6" i="19" s="1"/>
  <c r="B6" i="19"/>
  <c r="C6" i="19"/>
  <c r="H6" i="19"/>
  <c r="J6" i="19"/>
  <c r="K6" i="19"/>
  <c r="N6" i="19"/>
  <c r="P6" i="19"/>
  <c r="A7" i="19"/>
  <c r="G7" i="19" s="1"/>
  <c r="B7" i="19"/>
  <c r="C7" i="19"/>
  <c r="F7" i="19"/>
  <c r="H7" i="19"/>
  <c r="I7" i="19"/>
  <c r="J7" i="19"/>
  <c r="K7" i="19"/>
  <c r="P7" i="19"/>
  <c r="R7" i="19"/>
  <c r="A8" i="19"/>
  <c r="I8" i="19" s="1"/>
  <c r="B8" i="19"/>
  <c r="C8" i="19"/>
  <c r="N8" i="19"/>
  <c r="O8" i="19"/>
  <c r="P8" i="19"/>
  <c r="A9" i="19"/>
  <c r="E9" i="19" s="1"/>
  <c r="B9" i="19"/>
  <c r="C9" i="19"/>
  <c r="A10" i="19"/>
  <c r="E10" i="19" s="1"/>
  <c r="B10" i="19"/>
  <c r="C10" i="19"/>
  <c r="A11" i="19"/>
  <c r="H11" i="19" s="1"/>
  <c r="B11" i="19"/>
  <c r="C11" i="19"/>
  <c r="E11" i="19"/>
  <c r="G11" i="19"/>
  <c r="I11" i="19"/>
  <c r="J11" i="19"/>
  <c r="M11" i="19"/>
  <c r="O11" i="19"/>
  <c r="A12" i="19"/>
  <c r="K12" i="19" s="1"/>
  <c r="B12" i="19"/>
  <c r="C12" i="19"/>
  <c r="H12" i="19"/>
  <c r="J12" i="19"/>
  <c r="P12" i="19"/>
  <c r="R12" i="19"/>
  <c r="A13" i="19"/>
  <c r="F13" i="19" s="1"/>
  <c r="B13" i="19"/>
  <c r="C13" i="19"/>
  <c r="E13" i="19"/>
  <c r="G13" i="19"/>
  <c r="H13" i="19"/>
  <c r="J13" i="19"/>
  <c r="K13" i="19"/>
  <c r="M13" i="19"/>
  <c r="P13" i="19"/>
  <c r="A14" i="19"/>
  <c r="I14" i="19" s="1"/>
  <c r="B14" i="19"/>
  <c r="C14" i="19"/>
  <c r="N14" i="19"/>
  <c r="A15" i="19"/>
  <c r="L15" i="19" s="1"/>
  <c r="B15" i="19"/>
  <c r="C15" i="19"/>
  <c r="I15" i="19"/>
  <c r="J15" i="19"/>
  <c r="N15" i="19"/>
  <c r="A16" i="19"/>
  <c r="L16" i="19" s="1"/>
  <c r="B16" i="19"/>
  <c r="C16" i="19"/>
  <c r="K16" i="19"/>
  <c r="A17" i="19"/>
  <c r="E17" i="19" s="1"/>
  <c r="B17" i="19"/>
  <c r="C17" i="19"/>
  <c r="A18" i="19"/>
  <c r="E18" i="19" s="1"/>
  <c r="B18" i="19"/>
  <c r="C18" i="19"/>
  <c r="J18" i="19"/>
  <c r="A19" i="19"/>
  <c r="H19" i="19" s="1"/>
  <c r="B19" i="19"/>
  <c r="C19" i="19"/>
  <c r="I19" i="19"/>
  <c r="J19" i="19"/>
  <c r="A20" i="19"/>
  <c r="K20" i="19" s="1"/>
  <c r="B20" i="19"/>
  <c r="C20" i="19"/>
  <c r="J20" i="19"/>
  <c r="R20" i="19"/>
  <c r="A21" i="19"/>
  <c r="F21" i="19" s="1"/>
  <c r="B21" i="19"/>
  <c r="C21" i="19"/>
  <c r="A22" i="19"/>
  <c r="I22" i="19" s="1"/>
  <c r="B22" i="19"/>
  <c r="C22" i="19"/>
  <c r="R22" i="19"/>
  <c r="A23" i="19"/>
  <c r="L23" i="19" s="1"/>
  <c r="B23" i="19"/>
  <c r="C23" i="19"/>
  <c r="A24" i="19"/>
  <c r="K24" i="19" s="1"/>
  <c r="B24" i="19"/>
  <c r="C24" i="19"/>
  <c r="E24" i="19"/>
  <c r="H24" i="19"/>
  <c r="J24" i="19"/>
  <c r="M24" i="19"/>
  <c r="N24" i="19"/>
  <c r="R24" i="19"/>
  <c r="A25" i="19"/>
  <c r="E25" i="19" s="1"/>
  <c r="B25" i="19"/>
  <c r="C25" i="19"/>
  <c r="F25" i="19"/>
  <c r="G25" i="19"/>
  <c r="H25" i="19"/>
  <c r="I25" i="19"/>
  <c r="J25" i="19"/>
  <c r="K25" i="19"/>
  <c r="N25" i="19"/>
  <c r="O25" i="19"/>
  <c r="P25" i="19"/>
  <c r="R25" i="19"/>
  <c r="A26" i="19"/>
  <c r="E26" i="19" s="1"/>
  <c r="B26" i="19"/>
  <c r="C26" i="19"/>
  <c r="R26" i="19"/>
  <c r="A27" i="19"/>
  <c r="H27" i="19" s="1"/>
  <c r="B27" i="19"/>
  <c r="C27" i="19"/>
  <c r="O27" i="19"/>
  <c r="A28" i="19"/>
  <c r="K28" i="19" s="1"/>
  <c r="B28" i="19"/>
  <c r="C28" i="19"/>
  <c r="R28" i="19"/>
  <c r="B8" i="20"/>
  <c r="A5" i="18"/>
  <c r="B5" i="18"/>
  <c r="C5" i="18"/>
  <c r="D5" i="18"/>
  <c r="A6" i="18"/>
  <c r="B6" i="18"/>
  <c r="C6" i="18"/>
  <c r="D6" i="18"/>
  <c r="A7" i="18"/>
  <c r="B7" i="18"/>
  <c r="C7" i="18"/>
  <c r="D7" i="18"/>
  <c r="A8" i="18"/>
  <c r="B8" i="18"/>
  <c r="C8" i="18"/>
  <c r="D8" i="18"/>
  <c r="A9" i="18"/>
  <c r="B9" i="18"/>
  <c r="C9" i="18"/>
  <c r="D9" i="18"/>
  <c r="A10" i="18"/>
  <c r="B10" i="18"/>
  <c r="C10" i="18"/>
  <c r="D10" i="18"/>
  <c r="A11" i="18"/>
  <c r="B11" i="18"/>
  <c r="C11" i="18"/>
  <c r="D11" i="18"/>
  <c r="A12" i="18"/>
  <c r="B12" i="18"/>
  <c r="C12" i="18"/>
  <c r="D12" i="18"/>
  <c r="A13" i="18"/>
  <c r="B13" i="18"/>
  <c r="C13" i="18"/>
  <c r="D13" i="18"/>
  <c r="A14" i="18"/>
  <c r="B14" i="18"/>
  <c r="C14" i="18"/>
  <c r="D14" i="18"/>
  <c r="A15" i="18"/>
  <c r="B15" i="18"/>
  <c r="C15" i="18"/>
  <c r="D15" i="18"/>
  <c r="A16" i="18"/>
  <c r="B16" i="18"/>
  <c r="C16" i="18"/>
  <c r="D16" i="18"/>
  <c r="B9" i="17"/>
  <c r="B24" i="9"/>
  <c r="C24" i="9" s="1"/>
  <c r="B25" i="9"/>
  <c r="C25" i="9" s="1"/>
  <c r="B26" i="9"/>
  <c r="B27" i="9"/>
  <c r="E27" i="9" s="1" a="1"/>
  <c r="E27" i="9" s="1"/>
  <c r="B28" i="9"/>
  <c r="E28" i="9" s="1" a="1"/>
  <c r="E28" i="9" s="1"/>
  <c r="B29" i="9"/>
  <c r="C29" i="9" s="1"/>
  <c r="B30" i="9"/>
  <c r="D30" i="9" s="1"/>
  <c r="B31" i="9"/>
  <c r="C31" i="9" s="1"/>
  <c r="B32" i="9"/>
  <c r="D32" i="9" s="1"/>
  <c r="B33" i="9"/>
  <c r="C33" i="9" s="1"/>
  <c r="B34" i="9"/>
  <c r="B35" i="9"/>
  <c r="D35" i="9" s="1"/>
  <c r="B5" i="13"/>
  <c r="C5" i="13" s="1"/>
  <c r="B6" i="13"/>
  <c r="C6" i="13" s="1"/>
  <c r="B7" i="13"/>
  <c r="E7" i="13" s="1" a="1"/>
  <c r="E7" i="13" s="1"/>
  <c r="B8" i="13"/>
  <c r="C8" i="13" s="1"/>
  <c r="B9" i="13"/>
  <c r="D9" i="13" s="1"/>
  <c r="B10" i="13"/>
  <c r="D10" i="13" s="1"/>
  <c r="B11" i="13"/>
  <c r="B12" i="13"/>
  <c r="E12" i="13" s="1" a="1"/>
  <c r="E12" i="13" s="1"/>
  <c r="B13" i="13"/>
  <c r="C13" i="13" s="1"/>
  <c r="B14" i="13"/>
  <c r="C14" i="13" s="1"/>
  <c r="B15" i="13"/>
  <c r="D15" i="13" s="1"/>
  <c r="B16" i="13"/>
  <c r="D16" i="13" s="1"/>
  <c r="D11" i="13"/>
  <c r="E11" i="13" a="1"/>
  <c r="E11" i="13" s="1"/>
  <c r="A5" i="12"/>
  <c r="F5" i="12" s="1"/>
  <c r="B5" i="12"/>
  <c r="C5" i="12"/>
  <c r="B18" i="1" s="1"/>
  <c r="D5" i="12"/>
  <c r="C18" i="1" s="1"/>
  <c r="H5" i="12"/>
  <c r="D18" i="1" s="1"/>
  <c r="A6" i="12"/>
  <c r="E6" i="12" s="1"/>
  <c r="B6" i="12"/>
  <c r="C6" i="12"/>
  <c r="B19" i="1" s="1"/>
  <c r="D6" i="12"/>
  <c r="C19" i="1" s="1"/>
  <c r="H6" i="12"/>
  <c r="D19" i="1" s="1"/>
  <c r="A7" i="12"/>
  <c r="E7" i="12" s="1"/>
  <c r="B7" i="12"/>
  <c r="C7" i="12"/>
  <c r="B20" i="1" s="1"/>
  <c r="D7" i="12"/>
  <c r="C20" i="1" s="1"/>
  <c r="H7" i="12"/>
  <c r="D20" i="1" s="1"/>
  <c r="A8" i="12"/>
  <c r="A21" i="1" s="1"/>
  <c r="B8" i="12"/>
  <c r="C8" i="12"/>
  <c r="B21" i="1" s="1"/>
  <c r="D8" i="12"/>
  <c r="C21" i="1" s="1"/>
  <c r="H8" i="12"/>
  <c r="D21" i="1" s="1"/>
  <c r="A9" i="12"/>
  <c r="E9" i="12" s="1"/>
  <c r="B9" i="12"/>
  <c r="C9" i="12"/>
  <c r="B22" i="1" s="1"/>
  <c r="D9" i="12"/>
  <c r="C22" i="1" s="1"/>
  <c r="H9" i="12"/>
  <c r="D22" i="1" s="1"/>
  <c r="A10" i="12"/>
  <c r="F10" i="12" s="1"/>
  <c r="B10" i="12"/>
  <c r="C10" i="12"/>
  <c r="B23" i="1" s="1"/>
  <c r="D10" i="12"/>
  <c r="C23" i="1" s="1"/>
  <c r="H10" i="12"/>
  <c r="D23" i="1" s="1"/>
  <c r="A11" i="12"/>
  <c r="A24" i="1" s="1"/>
  <c r="B11" i="12"/>
  <c r="C11" i="12"/>
  <c r="B24" i="1" s="1"/>
  <c r="D11" i="12"/>
  <c r="C24" i="1" s="1"/>
  <c r="H11" i="12"/>
  <c r="D24" i="1" s="1"/>
  <c r="A12" i="12"/>
  <c r="E12" i="12" s="1"/>
  <c r="B12" i="12"/>
  <c r="C12" i="12"/>
  <c r="B25" i="1" s="1"/>
  <c r="D12" i="12"/>
  <c r="C25" i="1" s="1"/>
  <c r="H12" i="12"/>
  <c r="D25" i="1" s="1"/>
  <c r="A13" i="12"/>
  <c r="A26" i="1" s="1"/>
  <c r="B13" i="12"/>
  <c r="C13" i="12"/>
  <c r="B26" i="1" s="1"/>
  <c r="D13" i="12"/>
  <c r="C26" i="1" s="1"/>
  <c r="H13" i="12"/>
  <c r="D26" i="1" s="1"/>
  <c r="A14" i="12"/>
  <c r="E14" i="12" s="1"/>
  <c r="B14" i="12"/>
  <c r="C14" i="12"/>
  <c r="B27" i="1" s="1"/>
  <c r="D14" i="12"/>
  <c r="C27" i="1" s="1"/>
  <c r="H14" i="12"/>
  <c r="D27" i="1" s="1"/>
  <c r="A15" i="12"/>
  <c r="A28" i="1" s="1"/>
  <c r="B15" i="12"/>
  <c r="C15" i="12"/>
  <c r="B28" i="1" s="1"/>
  <c r="D15" i="12"/>
  <c r="C28" i="1" s="1"/>
  <c r="H15" i="12"/>
  <c r="D28" i="1" s="1"/>
  <c r="A16" i="12"/>
  <c r="A29" i="1" s="1"/>
  <c r="B16" i="12"/>
  <c r="C16" i="12"/>
  <c r="B29" i="1" s="1"/>
  <c r="D16" i="12"/>
  <c r="C29" i="1" s="1"/>
  <c r="H16" i="12"/>
  <c r="D29" i="1" s="1"/>
  <c r="J11" i="13"/>
  <c r="D26" i="9"/>
  <c r="C27" i="9"/>
  <c r="D27" i="9"/>
  <c r="C28" i="9"/>
  <c r="D34" i="9"/>
  <c r="E35" i="9" a="1"/>
  <c r="E35" i="9" s="1"/>
  <c r="A5" i="9"/>
  <c r="D5" i="9" s="1"/>
  <c r="B5" i="9"/>
  <c r="A6" i="9"/>
  <c r="C6" i="9" s="1"/>
  <c r="B6" i="9"/>
  <c r="A7" i="9"/>
  <c r="C7" i="9" s="1"/>
  <c r="B7" i="9"/>
  <c r="A8" i="9"/>
  <c r="B8" i="9"/>
  <c r="A9" i="9"/>
  <c r="D9" i="9" s="1"/>
  <c r="B9" i="9"/>
  <c r="A10" i="9"/>
  <c r="D10" i="9" s="1"/>
  <c r="B10" i="9"/>
  <c r="A11" i="9"/>
  <c r="C11" i="9" s="1"/>
  <c r="B11" i="9"/>
  <c r="A12" i="9"/>
  <c r="D12" i="9" s="1"/>
  <c r="B12" i="9"/>
  <c r="A13" i="9"/>
  <c r="C13" i="9" s="1"/>
  <c r="B13" i="9"/>
  <c r="A14" i="9"/>
  <c r="C14" i="9" s="1"/>
  <c r="B14" i="9"/>
  <c r="A15" i="9"/>
  <c r="B15" i="9"/>
  <c r="C15" i="9"/>
  <c r="A16" i="9"/>
  <c r="B16" i="9"/>
  <c r="G47" i="1"/>
  <c r="E47" i="1"/>
  <c r="C47" i="1"/>
  <c r="G46" i="1"/>
  <c r="E46" i="1"/>
  <c r="C46" i="1"/>
  <c r="G45" i="1"/>
  <c r="E45" i="1"/>
  <c r="C45" i="1"/>
  <c r="G44" i="1"/>
  <c r="E44" i="1"/>
  <c r="C44" i="1"/>
  <c r="G43" i="1"/>
  <c r="E43" i="1"/>
  <c r="C43" i="1"/>
  <c r="G42" i="1"/>
  <c r="E42" i="1"/>
  <c r="C42" i="1"/>
  <c r="G41" i="1"/>
  <c r="E41" i="1"/>
  <c r="C41" i="1"/>
  <c r="G40" i="1"/>
  <c r="E40" i="1"/>
  <c r="C40" i="1"/>
  <c r="G39" i="1"/>
  <c r="E39" i="1"/>
  <c r="C39" i="1"/>
  <c r="G38" i="1"/>
  <c r="E38" i="1"/>
  <c r="C38" i="1"/>
  <c r="G37" i="1"/>
  <c r="E37" i="1"/>
  <c r="C37" i="1"/>
  <c r="G36" i="1"/>
  <c r="E36" i="1"/>
  <c r="C36" i="1"/>
  <c r="L26" i="19" l="1"/>
  <c r="I24" i="19"/>
  <c r="M23" i="19"/>
  <c r="J22" i="19"/>
  <c r="K21" i="19"/>
  <c r="L17" i="19"/>
  <c r="R13" i="19"/>
  <c r="I9" i="19"/>
  <c r="J8" i="19"/>
  <c r="E7" i="19"/>
  <c r="K23" i="19"/>
  <c r="H22" i="19"/>
  <c r="J21" i="19"/>
  <c r="K17" i="19"/>
  <c r="G9" i="19"/>
  <c r="H8" i="19"/>
  <c r="N7" i="19"/>
  <c r="E32" i="9" a="1"/>
  <c r="E32" i="9" s="1"/>
  <c r="D13" i="13"/>
  <c r="M27" i="19"/>
  <c r="P24" i="19"/>
  <c r="G24" i="19"/>
  <c r="F22" i="19"/>
  <c r="H21" i="19"/>
  <c r="R18" i="19"/>
  <c r="M15" i="19"/>
  <c r="R14" i="19"/>
  <c r="G8" i="19"/>
  <c r="M7" i="19"/>
  <c r="C32" i="9"/>
  <c r="J27" i="19"/>
  <c r="O24" i="19"/>
  <c r="Q24" i="19" s="1"/>
  <c r="F24" i="19"/>
  <c r="O19" i="19"/>
  <c r="L18" i="19"/>
  <c r="K15" i="19"/>
  <c r="P14" i="19"/>
  <c r="F8" i="19"/>
  <c r="L24" i="19"/>
  <c r="P22" i="19"/>
  <c r="O21" i="19"/>
  <c r="G19" i="19"/>
  <c r="H15" i="19"/>
  <c r="L9" i="19"/>
  <c r="J33" i="19"/>
  <c r="N22" i="19"/>
  <c r="M21" i="19"/>
  <c r="J9" i="19"/>
  <c r="A23" i="1"/>
  <c r="J32" i="19"/>
  <c r="E16" i="13" a="1"/>
  <c r="E16" i="13" s="1"/>
  <c r="J15" i="18"/>
  <c r="J11" i="18"/>
  <c r="J28" i="19"/>
  <c r="I27" i="19"/>
  <c r="J26" i="19"/>
  <c r="L25" i="19"/>
  <c r="J23" i="19"/>
  <c r="G21" i="19"/>
  <c r="E19" i="19"/>
  <c r="J17" i="19"/>
  <c r="R16" i="19"/>
  <c r="I16" i="19"/>
  <c r="R15" i="19"/>
  <c r="F15" i="19"/>
  <c r="J14" i="19"/>
  <c r="O13" i="19"/>
  <c r="R9" i="19"/>
  <c r="F9" i="19"/>
  <c r="M8" i="19"/>
  <c r="E8" i="19"/>
  <c r="L7" i="19"/>
  <c r="F6" i="19"/>
  <c r="K5" i="19"/>
  <c r="B34" i="19"/>
  <c r="J34" i="19" s="1"/>
  <c r="G27" i="19"/>
  <c r="I23" i="19"/>
  <c r="R21" i="19"/>
  <c r="E21" i="19"/>
  <c r="I17" i="19"/>
  <c r="P16" i="19"/>
  <c r="H16" i="19"/>
  <c r="P15" i="19"/>
  <c r="E15" i="19"/>
  <c r="H14" i="19"/>
  <c r="R11" i="19"/>
  <c r="O9" i="19"/>
  <c r="L8" i="19"/>
  <c r="J5" i="19"/>
  <c r="E27" i="19"/>
  <c r="H23" i="19"/>
  <c r="P21" i="19"/>
  <c r="R19" i="19"/>
  <c r="R17" i="19"/>
  <c r="H17" i="19"/>
  <c r="O16" i="19"/>
  <c r="G16" i="19"/>
  <c r="F14" i="19"/>
  <c r="N9" i="19"/>
  <c r="K8" i="19"/>
  <c r="R6" i="19"/>
  <c r="E5" i="19"/>
  <c r="J7" i="18"/>
  <c r="R23" i="19"/>
  <c r="F23" i="19"/>
  <c r="P17" i="19"/>
  <c r="G17" i="19"/>
  <c r="N16" i="19"/>
  <c r="F16" i="19"/>
  <c r="R10" i="19"/>
  <c r="J16" i="19"/>
  <c r="J14" i="18"/>
  <c r="J12" i="18"/>
  <c r="R27" i="19"/>
  <c r="P23" i="19"/>
  <c r="E23" i="19"/>
  <c r="M19" i="19"/>
  <c r="O17" i="19"/>
  <c r="F17" i="19"/>
  <c r="M16" i="19"/>
  <c r="E16" i="19"/>
  <c r="J10" i="19"/>
  <c r="K9" i="19"/>
  <c r="R8" i="19"/>
  <c r="J6" i="18"/>
  <c r="N23" i="19"/>
  <c r="N17" i="19"/>
  <c r="L10" i="19"/>
  <c r="D28" i="9"/>
  <c r="E13" i="13" a="1"/>
  <c r="E13" i="13" s="1"/>
  <c r="I13" i="13" s="1"/>
  <c r="A25" i="1"/>
  <c r="J13" i="18"/>
  <c r="I28" i="19"/>
  <c r="N27" i="19"/>
  <c r="F27" i="19"/>
  <c r="K26" i="19"/>
  <c r="O22" i="19"/>
  <c r="G22" i="19"/>
  <c r="L21" i="19"/>
  <c r="I20" i="19"/>
  <c r="N19" i="19"/>
  <c r="F19" i="19"/>
  <c r="K18" i="19"/>
  <c r="O14" i="19"/>
  <c r="G14" i="19"/>
  <c r="L13" i="19"/>
  <c r="I12" i="19"/>
  <c r="N11" i="19"/>
  <c r="F11" i="19"/>
  <c r="K10" i="19"/>
  <c r="P9" i="19"/>
  <c r="H9" i="19"/>
  <c r="O6" i="19"/>
  <c r="G6" i="19"/>
  <c r="L5" i="19"/>
  <c r="P20" i="19"/>
  <c r="H20" i="19"/>
  <c r="J16" i="18"/>
  <c r="J9" i="18"/>
  <c r="O28" i="19"/>
  <c r="G28" i="19"/>
  <c r="L27" i="19"/>
  <c r="I26" i="19"/>
  <c r="M22" i="19"/>
  <c r="E22" i="19"/>
  <c r="O20" i="19"/>
  <c r="G20" i="19"/>
  <c r="L19" i="19"/>
  <c r="I18" i="19"/>
  <c r="M14" i="19"/>
  <c r="E14" i="19"/>
  <c r="O12" i="19"/>
  <c r="G12" i="19"/>
  <c r="L11" i="19"/>
  <c r="I10" i="19"/>
  <c r="M6" i="19"/>
  <c r="E6" i="19"/>
  <c r="D13" i="9"/>
  <c r="F13" i="9" s="1"/>
  <c r="N28" i="19"/>
  <c r="F28" i="19"/>
  <c r="K27" i="19"/>
  <c r="P26" i="19"/>
  <c r="H26" i="19"/>
  <c r="M25" i="19"/>
  <c r="Q25" i="19" s="1"/>
  <c r="O23" i="19"/>
  <c r="G23" i="19"/>
  <c r="L22" i="19"/>
  <c r="I21" i="19"/>
  <c r="N20" i="19"/>
  <c r="F20" i="19"/>
  <c r="K19" i="19"/>
  <c r="P18" i="19"/>
  <c r="H18" i="19"/>
  <c r="M17" i="19"/>
  <c r="O15" i="19"/>
  <c r="G15" i="19"/>
  <c r="L14" i="19"/>
  <c r="I13" i="19"/>
  <c r="N12" i="19"/>
  <c r="F12" i="19"/>
  <c r="K11" i="19"/>
  <c r="P10" i="19"/>
  <c r="H10" i="19"/>
  <c r="M9" i="19"/>
  <c r="O7" i="19"/>
  <c r="L6" i="19"/>
  <c r="I5" i="19"/>
  <c r="P28" i="19"/>
  <c r="H28" i="19"/>
  <c r="E30" i="9" a="1"/>
  <c r="E30" i="9" s="1"/>
  <c r="J5" i="18"/>
  <c r="M28" i="19"/>
  <c r="E28" i="19"/>
  <c r="O26" i="19"/>
  <c r="G26" i="19"/>
  <c r="K22" i="19"/>
  <c r="M20" i="19"/>
  <c r="E20" i="19"/>
  <c r="O18" i="19"/>
  <c r="G18" i="19"/>
  <c r="K14" i="19"/>
  <c r="M12" i="19"/>
  <c r="E12" i="19"/>
  <c r="O10" i="19"/>
  <c r="G10" i="19"/>
  <c r="H5" i="19"/>
  <c r="C30" i="9"/>
  <c r="G30" i="9" s="1"/>
  <c r="E5" i="13" a="1"/>
  <c r="E5" i="13" s="1"/>
  <c r="F5" i="13" s="1"/>
  <c r="L28" i="19"/>
  <c r="N26" i="19"/>
  <c r="F26" i="19"/>
  <c r="L20" i="19"/>
  <c r="N18" i="19"/>
  <c r="F18" i="19"/>
  <c r="Q18" i="19" s="1"/>
  <c r="L12" i="19"/>
  <c r="N10" i="19"/>
  <c r="F10" i="19"/>
  <c r="G5" i="19"/>
  <c r="J10" i="18"/>
  <c r="J8" i="18"/>
  <c r="P27" i="19"/>
  <c r="M26" i="19"/>
  <c r="N21" i="19"/>
  <c r="P19" i="19"/>
  <c r="M18" i="19"/>
  <c r="N13" i="19"/>
  <c r="P11" i="19"/>
  <c r="M10" i="19"/>
  <c r="N5" i="19"/>
  <c r="A27" i="1"/>
  <c r="A22" i="1"/>
  <c r="A20" i="1"/>
  <c r="A19" i="1"/>
  <c r="A18" i="1"/>
  <c r="A7" i="1"/>
  <c r="D24" i="9"/>
  <c r="C16" i="13"/>
  <c r="F16" i="13" s="1"/>
  <c r="C7" i="13"/>
  <c r="F7" i="12"/>
  <c r="G7" i="12" s="1"/>
  <c r="E6" i="9"/>
  <c r="E14" i="13" a="1"/>
  <c r="E14" i="13" s="1"/>
  <c r="E13" i="9"/>
  <c r="D14" i="13"/>
  <c r="E15" i="9"/>
  <c r="E7" i="9"/>
  <c r="D12" i="13"/>
  <c r="G12" i="13" s="1"/>
  <c r="E14" i="9"/>
  <c r="C12" i="13"/>
  <c r="H12" i="13" s="1"/>
  <c r="C5" i="9"/>
  <c r="E5" i="9" s="1"/>
  <c r="H17" i="12"/>
  <c r="D30" i="1" s="1"/>
  <c r="J12" i="13"/>
  <c r="E11" i="9"/>
  <c r="E10" i="12"/>
  <c r="G10" i="12" s="1"/>
  <c r="D6" i="9"/>
  <c r="F12" i="12"/>
  <c r="G12" i="12" s="1"/>
  <c r="J16" i="13"/>
  <c r="C10" i="13"/>
  <c r="J9" i="13"/>
  <c r="E24" i="9" a="1"/>
  <c r="E24" i="9" s="1"/>
  <c r="F24" i="9" s="1"/>
  <c r="C9" i="13"/>
  <c r="J14" i="13"/>
  <c r="C11" i="13"/>
  <c r="F11" i="13" s="1"/>
  <c r="E9" i="13" a="1"/>
  <c r="E9" i="13" s="1"/>
  <c r="I9" i="13" s="1"/>
  <c r="K9" i="13" s="1"/>
  <c r="J7" i="13"/>
  <c r="J5" i="13"/>
  <c r="F15" i="12"/>
  <c r="J10" i="13"/>
  <c r="D14" i="9"/>
  <c r="F14" i="9" s="1"/>
  <c r="C35" i="9"/>
  <c r="G35" i="9" s="1"/>
  <c r="E29" i="9" a="1"/>
  <c r="E29" i="9" s="1"/>
  <c r="G29" i="9" s="1"/>
  <c r="E15" i="12"/>
  <c r="F13" i="12"/>
  <c r="F9" i="12"/>
  <c r="G9" i="12" s="1"/>
  <c r="E10" i="13" a="1"/>
  <c r="E10" i="13" s="1"/>
  <c r="J8" i="13"/>
  <c r="J6" i="13"/>
  <c r="C10" i="9"/>
  <c r="E10" i="9" s="1"/>
  <c r="E31" i="9" a="1"/>
  <c r="E31" i="9" s="1"/>
  <c r="G31" i="9" s="1"/>
  <c r="D29" i="9"/>
  <c r="J15" i="13"/>
  <c r="E8" i="13" a="1"/>
  <c r="E8" i="13" s="1"/>
  <c r="F8" i="13" s="1"/>
  <c r="E6" i="13" a="1"/>
  <c r="E6" i="13" s="1"/>
  <c r="D37" i="1"/>
  <c r="K37" i="1" s="1"/>
  <c r="C34" i="9"/>
  <c r="D31" i="9"/>
  <c r="E15" i="13" a="1"/>
  <c r="E15" i="13" s="1"/>
  <c r="J13" i="13"/>
  <c r="D8" i="13"/>
  <c r="D6" i="13"/>
  <c r="C26" i="9"/>
  <c r="C15" i="13"/>
  <c r="F7" i="13"/>
  <c r="H7" i="13"/>
  <c r="G11" i="13"/>
  <c r="I11" i="13"/>
  <c r="K11" i="13" s="1"/>
  <c r="L11" i="13" s="1"/>
  <c r="G16" i="13"/>
  <c r="H16" i="13"/>
  <c r="I16" i="13"/>
  <c r="D7" i="13"/>
  <c r="G7" i="13" s="1"/>
  <c r="D5" i="13"/>
  <c r="F8" i="12"/>
  <c r="E5" i="12"/>
  <c r="G5" i="12" s="1"/>
  <c r="F16" i="12"/>
  <c r="E13" i="12"/>
  <c r="E16" i="12"/>
  <c r="F11" i="12"/>
  <c r="E8" i="12"/>
  <c r="F14" i="12"/>
  <c r="G14" i="12" s="1"/>
  <c r="F6" i="12"/>
  <c r="G6" i="12" s="1"/>
  <c r="E11" i="12"/>
  <c r="F35" i="9"/>
  <c r="F30" i="9"/>
  <c r="F28" i="9"/>
  <c r="G28" i="9"/>
  <c r="G32" i="9"/>
  <c r="F32" i="9"/>
  <c r="F27" i="9"/>
  <c r="G27" i="9"/>
  <c r="E33" i="9" a="1"/>
  <c r="E33" i="9" s="1"/>
  <c r="E25" i="9" a="1"/>
  <c r="E25" i="9" s="1"/>
  <c r="E34" i="9" a="1"/>
  <c r="E34" i="9" s="1"/>
  <c r="D33" i="9"/>
  <c r="E26" i="9" a="1"/>
  <c r="E26" i="9" s="1"/>
  <c r="D25" i="9"/>
  <c r="D16" i="9"/>
  <c r="C9" i="9"/>
  <c r="E9" i="9" s="1"/>
  <c r="D8" i="9"/>
  <c r="F6" i="9"/>
  <c r="C16" i="9"/>
  <c r="E16" i="9" s="1"/>
  <c r="D15" i="9"/>
  <c r="F15" i="9" s="1"/>
  <c r="C8" i="9"/>
  <c r="E8" i="9" s="1"/>
  <c r="D7" i="9"/>
  <c r="F7" i="9" s="1"/>
  <c r="C12" i="9"/>
  <c r="E12" i="9" s="1"/>
  <c r="D11" i="9"/>
  <c r="F11" i="9" s="1"/>
  <c r="D46" i="1"/>
  <c r="K46" i="1" s="1"/>
  <c r="D38" i="1"/>
  <c r="K38" i="1" s="1"/>
  <c r="F44" i="1"/>
  <c r="J44" i="1" s="1"/>
  <c r="F37" i="1"/>
  <c r="J37" i="1" s="1"/>
  <c r="D39" i="1"/>
  <c r="K39" i="1" s="1"/>
  <c r="F45" i="1"/>
  <c r="D47" i="1"/>
  <c r="K47" i="1" s="1"/>
  <c r="F38" i="1"/>
  <c r="J38" i="1" s="1"/>
  <c r="D40" i="1"/>
  <c r="F46" i="1"/>
  <c r="J46" i="1" s="1"/>
  <c r="F47" i="1"/>
  <c r="J47" i="1" s="1"/>
  <c r="F40" i="1"/>
  <c r="J40" i="1" s="1"/>
  <c r="D42" i="1"/>
  <c r="K42" i="1" s="1"/>
  <c r="D41" i="1"/>
  <c r="F41" i="1"/>
  <c r="D43" i="1"/>
  <c r="F39" i="1"/>
  <c r="J39" i="1" s="1"/>
  <c r="D36" i="1"/>
  <c r="K36" i="1" s="1"/>
  <c r="F42" i="1"/>
  <c r="J42" i="1" s="1"/>
  <c r="D44" i="1"/>
  <c r="F43" i="1"/>
  <c r="D45" i="1"/>
  <c r="K45" i="1" s="1"/>
  <c r="F36" i="1"/>
  <c r="J36" i="1" s="1"/>
  <c r="Q8" i="19" l="1"/>
  <c r="Q7" i="19"/>
  <c r="G14" i="13"/>
  <c r="Q17" i="19"/>
  <c r="Q9" i="19"/>
  <c r="Q16" i="19"/>
  <c r="G5" i="13"/>
  <c r="F15" i="13"/>
  <c r="Q5" i="19"/>
  <c r="Q20" i="19"/>
  <c r="Q13" i="19"/>
  <c r="Q26" i="19"/>
  <c r="Q10" i="19"/>
  <c r="Q11" i="19"/>
  <c r="Q19" i="19"/>
  <c r="Q27" i="19"/>
  <c r="H5" i="13"/>
  <c r="Q15" i="19"/>
  <c r="G6" i="13"/>
  <c r="Q21" i="19"/>
  <c r="Q12" i="19"/>
  <c r="Q6" i="19"/>
  <c r="Q14" i="19"/>
  <c r="Q22" i="19"/>
  <c r="G13" i="13"/>
  <c r="F13" i="13"/>
  <c r="H13" i="13"/>
  <c r="K16" i="13"/>
  <c r="L16" i="13" s="1"/>
  <c r="I12" i="13"/>
  <c r="K12" i="13" s="1"/>
  <c r="L12" i="13" s="1"/>
  <c r="Q28" i="19"/>
  <c r="Q23" i="19"/>
  <c r="F12" i="13"/>
  <c r="H14" i="13"/>
  <c r="F14" i="13"/>
  <c r="I14" i="13"/>
  <c r="K14" i="13" s="1"/>
  <c r="L14" i="13" s="1"/>
  <c r="F10" i="13"/>
  <c r="F5" i="9"/>
  <c r="G13" i="12"/>
  <c r="F8" i="9"/>
  <c r="I42" i="1"/>
  <c r="F31" i="9"/>
  <c r="G24" i="9"/>
  <c r="G8" i="13"/>
  <c r="H11" i="13"/>
  <c r="N11" i="13" s="1"/>
  <c r="G15" i="13"/>
  <c r="M11" i="13"/>
  <c r="H8" i="13"/>
  <c r="L9" i="13"/>
  <c r="M9" i="13"/>
  <c r="I6" i="13"/>
  <c r="K6" i="13" s="1"/>
  <c r="L6" i="13" s="1"/>
  <c r="I37" i="1"/>
  <c r="H37" i="1"/>
  <c r="I46" i="1"/>
  <c r="H46" i="1"/>
  <c r="H36" i="1"/>
  <c r="F16" i="9"/>
  <c r="F29" i="9"/>
  <c r="G11" i="12"/>
  <c r="G9" i="13"/>
  <c r="K13" i="13"/>
  <c r="L13" i="13" s="1"/>
  <c r="F6" i="13"/>
  <c r="H10" i="13"/>
  <c r="H6" i="13"/>
  <c r="F10" i="9"/>
  <c r="H9" i="13"/>
  <c r="I10" i="13"/>
  <c r="H38" i="1"/>
  <c r="F9" i="13"/>
  <c r="I15" i="13"/>
  <c r="K15" i="13" s="1"/>
  <c r="L15" i="13" s="1"/>
  <c r="G10" i="13"/>
  <c r="H15" i="13"/>
  <c r="I8" i="13"/>
  <c r="K8" i="13" s="1"/>
  <c r="L8" i="13" s="1"/>
  <c r="G17" i="12"/>
  <c r="G15" i="12"/>
  <c r="I5" i="13"/>
  <c r="K5" i="13" s="1"/>
  <c r="I7" i="13"/>
  <c r="K7" i="13" s="1"/>
  <c r="N16" i="13"/>
  <c r="M16" i="13"/>
  <c r="G8" i="12"/>
  <c r="G16" i="12"/>
  <c r="F26" i="9"/>
  <c r="G26" i="9"/>
  <c r="G34" i="9"/>
  <c r="F34" i="9"/>
  <c r="G25" i="9"/>
  <c r="F25" i="9"/>
  <c r="F33" i="9"/>
  <c r="G33" i="9"/>
  <c r="F9" i="9"/>
  <c r="F12" i="9"/>
  <c r="H42" i="1"/>
  <c r="H40" i="1"/>
  <c r="I38" i="1"/>
  <c r="H44" i="1"/>
  <c r="I47" i="1"/>
  <c r="J43" i="1"/>
  <c r="H43" i="1"/>
  <c r="H41" i="1"/>
  <c r="J41" i="1"/>
  <c r="I41" i="1"/>
  <c r="K41" i="1"/>
  <c r="I44" i="1"/>
  <c r="K44" i="1"/>
  <c r="H39" i="1"/>
  <c r="I36" i="1"/>
  <c r="I45" i="1"/>
  <c r="K43" i="1"/>
  <c r="I43" i="1"/>
  <c r="H45" i="1"/>
  <c r="J45" i="1"/>
  <c r="I40" i="1"/>
  <c r="K40" i="1"/>
  <c r="H47" i="1"/>
  <c r="I39" i="1"/>
  <c r="M14" i="13" l="1"/>
  <c r="M12" i="13"/>
  <c r="N12" i="13"/>
  <c r="N13" i="13"/>
  <c r="M13" i="13"/>
  <c r="N14" i="13"/>
  <c r="N10" i="13"/>
  <c r="N6" i="13"/>
  <c r="N8" i="13"/>
  <c r="K10" i="13"/>
  <c r="L10" i="13" s="1"/>
  <c r="M6" i="13"/>
  <c r="N9" i="13"/>
  <c r="M8" i="13"/>
  <c r="M15" i="13"/>
  <c r="N15" i="13"/>
  <c r="N5" i="13"/>
  <c r="N7" i="13"/>
  <c r="M7" i="13"/>
  <c r="L7" i="13"/>
  <c r="L5" i="13"/>
  <c r="M5" i="13"/>
  <c r="M10" i="13" l="1"/>
  <c r="S27" i="19"/>
  <c r="T27" i="19" s="1"/>
  <c r="I11" i="12"/>
  <c r="E24" i="1" s="1"/>
  <c r="I12" i="12"/>
  <c r="E25" i="1" s="1"/>
  <c r="S5" i="19"/>
  <c r="T5" i="19" s="1"/>
  <c r="F23" i="1"/>
  <c r="J10" i="12"/>
  <c r="I10" i="12"/>
  <c r="E23" i="1" s="1"/>
  <c r="T18" i="19"/>
  <c r="S18" i="19"/>
  <c r="J16" i="12"/>
  <c r="F29" i="1" s="1"/>
  <c r="T20" i="19"/>
  <c r="S20" i="19"/>
  <c r="J12" i="12"/>
  <c r="F25" i="1" s="1"/>
  <c r="S15" i="19"/>
  <c r="T15" i="19" s="1"/>
  <c r="J6" i="12"/>
  <c r="F19" i="1" s="1"/>
  <c r="E21" i="1"/>
  <c r="I8" i="12"/>
  <c r="S19" i="19"/>
  <c r="T19" i="19" s="1"/>
  <c r="S10" i="19"/>
  <c r="T10" i="19" s="1"/>
  <c r="J15" i="12"/>
  <c r="F28" i="1" s="1"/>
  <c r="T12" i="19"/>
  <c r="S12" i="19"/>
  <c r="T8" i="19"/>
  <c r="S8" i="19"/>
  <c r="S7" i="19"/>
  <c r="T7" i="19" s="1"/>
  <c r="I14" i="12"/>
  <c r="E27" i="1" s="1"/>
  <c r="J9" i="12"/>
  <c r="F22" i="1" s="1"/>
  <c r="T24" i="19"/>
  <c r="S24" i="19"/>
  <c r="D22" i="13"/>
  <c r="B22" i="13"/>
  <c r="G7" i="9" a="1"/>
  <c r="G7" i="9" s="1"/>
  <c r="H7" i="9" s="1"/>
  <c r="B20" i="13"/>
  <c r="D20" i="13" s="1"/>
  <c r="T25" i="19"/>
  <c r="S25" i="19"/>
  <c r="F24" i="1"/>
  <c r="J11" i="12"/>
  <c r="T23" i="19"/>
  <c r="S23" i="19"/>
  <c r="S14" i="19"/>
  <c r="T14" i="19" s="1"/>
  <c r="G8" i="9" a="1"/>
  <c r="G8" i="9" s="1"/>
  <c r="H8" i="9" s="1"/>
  <c r="T11" i="19"/>
  <c r="S11" i="19"/>
  <c r="T28" i="19"/>
  <c r="S28" i="19"/>
  <c r="E22" i="1"/>
  <c r="I9" i="12"/>
  <c r="F18" i="1"/>
  <c r="F21" i="1"/>
  <c r="J8" i="12"/>
  <c r="S21" i="19"/>
  <c r="T21" i="19" s="1"/>
  <c r="E18" i="1"/>
  <c r="E19" i="1"/>
  <c r="I6" i="12"/>
  <c r="F20" i="1"/>
  <c r="J7" i="12"/>
  <c r="U28" i="19"/>
  <c r="V28" i="19" s="1"/>
  <c r="T13" i="19"/>
  <c r="S13" i="19"/>
  <c r="I16" i="12"/>
  <c r="E29" i="1" s="1"/>
  <c r="E26" i="1"/>
  <c r="I13" i="12"/>
  <c r="T26" i="19"/>
  <c r="S26" i="19"/>
  <c r="B23" i="13"/>
  <c r="D23" i="13" s="1"/>
  <c r="B25" i="13"/>
  <c r="D25" i="13" s="1"/>
  <c r="G12" i="9" a="1"/>
  <c r="G12" i="9" s="1"/>
  <c r="H12" i="9" s="1"/>
  <c r="S22" i="19"/>
  <c r="T22" i="19" s="1"/>
  <c r="T17" i="19"/>
  <c r="S17" i="19"/>
  <c r="S16" i="19"/>
  <c r="T16" i="19" s="1"/>
  <c r="S9" i="19"/>
  <c r="T9" i="19" s="1"/>
  <c r="O3" i="9"/>
  <c r="G9" i="9" s="1" a="1"/>
  <c r="G9" i="9" s="1"/>
  <c r="H9" i="9" s="1"/>
  <c r="S6" i="19"/>
  <c r="T6" i="19" s="1"/>
  <c r="K7" i="12" a="1"/>
  <c r="K7" i="12" s="1"/>
  <c r="G20" i="1" s="1"/>
  <c r="J5" i="12"/>
  <c r="J17" i="12"/>
  <c r="J21" i="13"/>
  <c r="K16" i="12" a="1"/>
  <c r="K16" i="12" s="1"/>
  <c r="K6" i="12" a="1"/>
  <c r="K6" i="12" s="1"/>
  <c r="K9" i="12" a="1"/>
  <c r="K9" i="12" s="1"/>
  <c r="B21" i="13"/>
  <c r="D21" i="13" s="1"/>
  <c r="K14" i="12" a="1"/>
  <c r="K14" i="12" s="1"/>
  <c r="L14" i="12"/>
  <c r="K10" i="12" a="1"/>
  <c r="K10" i="12" s="1"/>
  <c r="E20" i="1"/>
  <c r="I7" i="12"/>
  <c r="I5" i="12"/>
  <c r="I17" i="12" s="1"/>
  <c r="J14" i="12"/>
  <c r="F27" i="1" s="1"/>
  <c r="G26" i="1"/>
  <c r="K15" i="12" a="1"/>
  <c r="K15" i="12" s="1"/>
  <c r="K8" i="12" a="1"/>
  <c r="K8" i="12" s="1"/>
  <c r="L8" i="12" s="1"/>
  <c r="I15" i="12"/>
  <c r="E28" i="1" s="1"/>
  <c r="K13" i="12" a="1"/>
  <c r="K13" i="12" s="1"/>
  <c r="J13" i="12"/>
  <c r="F26" i="1" s="1"/>
  <c r="K5" i="12" a="1"/>
  <c r="K5" i="12" s="1"/>
  <c r="K12" i="12" a="1"/>
  <c r="K12" i="12" s="1"/>
  <c r="K11" i="12" a="1"/>
  <c r="K11" i="12" s="1"/>
  <c r="L11" i="12"/>
  <c r="B6" i="20"/>
  <c r="B4" i="1"/>
  <c r="E4" i="1" s="1"/>
  <c r="H5" i="21"/>
  <c r="M8" i="12" l="1"/>
  <c r="J21" i="1" s="1"/>
  <c r="O8" i="12"/>
  <c r="L21" i="1" s="1"/>
  <c r="P8" i="12"/>
  <c r="N8" i="12"/>
  <c r="H21" i="1"/>
  <c r="U5" i="19"/>
  <c r="V5" i="19" s="1"/>
  <c r="K17" i="12"/>
  <c r="U6" i="19"/>
  <c r="V6" i="19" s="1"/>
  <c r="G18" i="1"/>
  <c r="L15" i="12"/>
  <c r="G28" i="1"/>
  <c r="U26" i="19"/>
  <c r="V26" i="19" s="1"/>
  <c r="U25" i="19"/>
  <c r="V25" i="19" s="1"/>
  <c r="L10" i="12"/>
  <c r="G23" i="1"/>
  <c r="U15" i="19"/>
  <c r="V15" i="19" s="1"/>
  <c r="U16" i="19"/>
  <c r="V16" i="19" s="1"/>
  <c r="U19" i="19"/>
  <c r="V19" i="19" s="1"/>
  <c r="U20" i="19"/>
  <c r="V20" i="19" s="1"/>
  <c r="G25" i="1"/>
  <c r="L12" i="12"/>
  <c r="U27" i="19"/>
  <c r="V27" i="19" s="1"/>
  <c r="G29" i="1"/>
  <c r="F30" i="1"/>
  <c r="G7" i="1"/>
  <c r="I21" i="13" s="1"/>
  <c r="L9" i="12"/>
  <c r="U14" i="19"/>
  <c r="V14" i="19" s="1"/>
  <c r="U13" i="19"/>
  <c r="V13" i="19" s="1"/>
  <c r="G22" i="1"/>
  <c r="K21" i="13"/>
  <c r="L21" i="13" s="1"/>
  <c r="G21" i="1"/>
  <c r="U12" i="19"/>
  <c r="V12" i="19" s="1"/>
  <c r="U11" i="19"/>
  <c r="V11" i="19" s="1"/>
  <c r="L5" i="12"/>
  <c r="U22" i="19"/>
  <c r="V22" i="19" s="1"/>
  <c r="U21" i="19"/>
  <c r="V21" i="19" s="1"/>
  <c r="P14" i="12"/>
  <c r="H27" i="1"/>
  <c r="O14" i="12"/>
  <c r="L27" i="1" s="1"/>
  <c r="M14" i="12"/>
  <c r="J27" i="1" s="1"/>
  <c r="N14" i="12"/>
  <c r="G19" i="1"/>
  <c r="U8" i="19"/>
  <c r="V8" i="19" s="1"/>
  <c r="L6" i="12"/>
  <c r="U7" i="19"/>
  <c r="V7" i="19" s="1"/>
  <c r="U9" i="19"/>
  <c r="V9" i="19" s="1"/>
  <c r="U10" i="19"/>
  <c r="V10" i="19" s="1"/>
  <c r="L7" i="12"/>
  <c r="N11" i="12"/>
  <c r="O11" i="12"/>
  <c r="L24" i="1" s="1"/>
  <c r="H24" i="1"/>
  <c r="M11" i="12"/>
  <c r="J24" i="1" s="1"/>
  <c r="P11" i="12"/>
  <c r="L13" i="12"/>
  <c r="U18" i="19"/>
  <c r="V18" i="19" s="1"/>
  <c r="G24" i="1"/>
  <c r="U17" i="19"/>
  <c r="V17" i="19" s="1"/>
  <c r="E30" i="1"/>
  <c r="D7" i="1"/>
  <c r="I20" i="13" s="1"/>
  <c r="J20" i="13"/>
  <c r="K20" i="13" s="1"/>
  <c r="L20" i="13" s="1"/>
  <c r="U23" i="19"/>
  <c r="V23" i="19" s="1"/>
  <c r="G27" i="1"/>
  <c r="U24" i="19"/>
  <c r="V24" i="19" s="1"/>
  <c r="L16" i="12"/>
  <c r="G10" i="9" a="1"/>
  <c r="G10" i="9" s="1"/>
  <c r="H10" i="9" s="1"/>
  <c r="G14" i="9" a="1"/>
  <c r="G14" i="9" s="1"/>
  <c r="H14" i="9" s="1"/>
  <c r="G13" i="9" a="1"/>
  <c r="G13" i="9" s="1"/>
  <c r="H13" i="9" s="1"/>
  <c r="G16" i="9" a="1"/>
  <c r="G16" i="9" s="1"/>
  <c r="H16" i="9" s="1"/>
  <c r="G11" i="9" a="1"/>
  <c r="G11" i="9" s="1"/>
  <c r="H11" i="9" s="1"/>
  <c r="G5" i="9" a="1"/>
  <c r="G5" i="9" s="1"/>
  <c r="H5" i="9" s="1"/>
  <c r="B24" i="13"/>
  <c r="D24" i="13" s="1"/>
  <c r="G15" i="9" a="1"/>
  <c r="G15" i="9" s="1"/>
  <c r="H15" i="9" s="1"/>
  <c r="G6" i="9" a="1"/>
  <c r="G6" i="9" s="1"/>
  <c r="H6" i="9" s="1"/>
  <c r="O16" i="12" l="1"/>
  <c r="L29" i="1" s="1"/>
  <c r="P16" i="12"/>
  <c r="N16" i="12"/>
  <c r="M16" i="12"/>
  <c r="J29" i="1" s="1"/>
  <c r="H29" i="1"/>
  <c r="O7" i="12"/>
  <c r="L20" i="1" s="1"/>
  <c r="M7" i="12"/>
  <c r="J20" i="1" s="1"/>
  <c r="N7" i="12"/>
  <c r="P7" i="12"/>
  <c r="H20" i="1"/>
  <c r="G30" i="1"/>
  <c r="J13" i="1"/>
  <c r="N12" i="12"/>
  <c r="O12" i="12"/>
  <c r="L25" i="1" s="1"/>
  <c r="M12" i="12"/>
  <c r="J25" i="1" s="1"/>
  <c r="H25" i="1"/>
  <c r="P12" i="12"/>
  <c r="M10" i="12"/>
  <c r="J23" i="1" s="1"/>
  <c r="O10" i="12"/>
  <c r="L23" i="1" s="1"/>
  <c r="P10" i="12"/>
  <c r="H23" i="1"/>
  <c r="N10" i="12"/>
  <c r="K24" i="1"/>
  <c r="Q11" i="12"/>
  <c r="O6" i="12"/>
  <c r="L19" i="1" s="1"/>
  <c r="M6" i="12"/>
  <c r="J19" i="1" s="1"/>
  <c r="P6" i="12"/>
  <c r="H19" i="1"/>
  <c r="N6" i="12"/>
  <c r="I21" i="1"/>
  <c r="T8" i="12"/>
  <c r="P21" i="1" s="1"/>
  <c r="K21" i="1"/>
  <c r="Q8" i="12"/>
  <c r="P13" i="12"/>
  <c r="O13" i="12"/>
  <c r="L26" i="1" s="1"/>
  <c r="M13" i="12"/>
  <c r="J26" i="1" s="1"/>
  <c r="H26" i="1"/>
  <c r="N13" i="12"/>
  <c r="Q14" i="12"/>
  <c r="K27" i="1"/>
  <c r="H18" i="1"/>
  <c r="N5" i="12"/>
  <c r="P5" i="12"/>
  <c r="M5" i="12"/>
  <c r="O5" i="12"/>
  <c r="L18" i="1" s="1"/>
  <c r="L17" i="12"/>
  <c r="H22" i="1"/>
  <c r="O9" i="12"/>
  <c r="L22" i="1" s="1"/>
  <c r="M9" i="12"/>
  <c r="J22" i="1" s="1"/>
  <c r="P9" i="12"/>
  <c r="N9" i="12"/>
  <c r="P15" i="12"/>
  <c r="H28" i="1"/>
  <c r="M15" i="12"/>
  <c r="J28" i="1" s="1"/>
  <c r="N15" i="12"/>
  <c r="O15" i="12"/>
  <c r="L28" i="1" s="1"/>
  <c r="I24" i="1"/>
  <c r="T11" i="12"/>
  <c r="P24" i="1" s="1"/>
  <c r="I27" i="1"/>
  <c r="T14" i="12"/>
  <c r="P27" i="1" s="1"/>
  <c r="I19" i="1" l="1"/>
  <c r="T6" i="12"/>
  <c r="P19" i="1" s="1"/>
  <c r="K28" i="1"/>
  <c r="Q15" i="12"/>
  <c r="M17" i="12"/>
  <c r="J18" i="1"/>
  <c r="K23" i="1"/>
  <c r="Q10" i="12"/>
  <c r="T16" i="12"/>
  <c r="P29" i="1" s="1"/>
  <c r="I29" i="1"/>
  <c r="R11" i="12"/>
  <c r="N24" i="1" s="1"/>
  <c r="S11" i="12"/>
  <c r="O24" i="1" s="1"/>
  <c r="M24" i="1"/>
  <c r="I20" i="1"/>
  <c r="T7" i="12"/>
  <c r="P20" i="1" s="1"/>
  <c r="I25" i="1"/>
  <c r="T12" i="12"/>
  <c r="P25" i="1" s="1"/>
  <c r="T15" i="12"/>
  <c r="P28" i="1" s="1"/>
  <c r="I28" i="1"/>
  <c r="R14" i="12"/>
  <c r="N27" i="1" s="1"/>
  <c r="M27" i="1"/>
  <c r="S14" i="12"/>
  <c r="O27" i="1" s="1"/>
  <c r="H30" i="1"/>
  <c r="O17" i="12"/>
  <c r="J7" i="1"/>
  <c r="I22" i="13" s="1"/>
  <c r="J22" i="13"/>
  <c r="P17" i="12"/>
  <c r="T13" i="12"/>
  <c r="P26" i="1" s="1"/>
  <c r="I26" i="1"/>
  <c r="I23" i="1"/>
  <c r="T10" i="12"/>
  <c r="P23" i="1" s="1"/>
  <c r="T9" i="12"/>
  <c r="P22" i="1" s="1"/>
  <c r="I22" i="1"/>
  <c r="K18" i="1"/>
  <c r="Q5" i="12"/>
  <c r="Q6" i="12"/>
  <c r="K19" i="1"/>
  <c r="K22" i="1"/>
  <c r="Q9" i="12"/>
  <c r="T5" i="12"/>
  <c r="P18" i="1" s="1"/>
  <c r="N17" i="12"/>
  <c r="I18" i="1"/>
  <c r="Q13" i="12"/>
  <c r="K26" i="1"/>
  <c r="Q16" i="12"/>
  <c r="K29" i="1"/>
  <c r="R8" i="12"/>
  <c r="N21" i="1" s="1"/>
  <c r="M21" i="1"/>
  <c r="S8" i="12"/>
  <c r="O21" i="1" s="1"/>
  <c r="Q12" i="12"/>
  <c r="K25" i="1"/>
  <c r="K20" i="1"/>
  <c r="Q7" i="12"/>
  <c r="L30" i="1" l="1"/>
  <c r="J23" i="13"/>
  <c r="J10" i="1"/>
  <c r="I23" i="13" s="1"/>
  <c r="S10" i="12"/>
  <c r="O23" i="1" s="1"/>
  <c r="R10" i="12"/>
  <c r="N23" i="1" s="1"/>
  <c r="M23" i="1"/>
  <c r="M20" i="1"/>
  <c r="R7" i="12"/>
  <c r="N20" i="1" s="1"/>
  <c r="S7" i="12"/>
  <c r="O20" i="1" s="1"/>
  <c r="R16" i="12"/>
  <c r="N29" i="1" s="1"/>
  <c r="S16" i="12"/>
  <c r="O29" i="1" s="1"/>
  <c r="M29" i="1"/>
  <c r="D10" i="1"/>
  <c r="J30" i="1"/>
  <c r="I30" i="1"/>
  <c r="T17" i="12"/>
  <c r="P30" i="1" s="1"/>
  <c r="A10" i="1"/>
  <c r="R9" i="12"/>
  <c r="N22" i="1" s="1"/>
  <c r="S9" i="12"/>
  <c r="O22" i="1" s="1"/>
  <c r="M22" i="1"/>
  <c r="S15" i="12"/>
  <c r="O28" i="1" s="1"/>
  <c r="R15" i="12"/>
  <c r="N28" i="1" s="1"/>
  <c r="M28" i="1"/>
  <c r="S6" i="12"/>
  <c r="O19" i="1" s="1"/>
  <c r="M19" i="1"/>
  <c r="R6" i="12"/>
  <c r="N19" i="1" s="1"/>
  <c r="R13" i="12"/>
  <c r="N26" i="1" s="1"/>
  <c r="M26" i="1"/>
  <c r="S13" i="12"/>
  <c r="O26" i="1" s="1"/>
  <c r="R5" i="12"/>
  <c r="N18" i="1" s="1"/>
  <c r="M18" i="1"/>
  <c r="S5" i="12"/>
  <c r="O18" i="1" s="1"/>
  <c r="K30" i="1"/>
  <c r="G10" i="1"/>
  <c r="I24" i="13" s="1"/>
  <c r="J24" i="13"/>
  <c r="K24" i="13" s="1"/>
  <c r="L24" i="13" s="1"/>
  <c r="Q17" i="12"/>
  <c r="R12" i="12"/>
  <c r="N25" i="1" s="1"/>
  <c r="M25" i="1"/>
  <c r="S12" i="12"/>
  <c r="O25" i="1" s="1"/>
  <c r="K22" i="13"/>
  <c r="L22" i="13" s="1"/>
  <c r="R17" i="12" l="1"/>
  <c r="A13" i="1"/>
  <c r="S17" i="12"/>
  <c r="M30" i="1"/>
  <c r="K23" i="13"/>
  <c r="L23" i="13" s="1"/>
  <c r="O30" i="1" l="1"/>
  <c r="J25" i="13"/>
  <c r="G13" i="1"/>
  <c r="I25" i="13" s="1"/>
  <c r="D13" i="1"/>
  <c r="N30" i="1"/>
  <c r="K25" i="13" l="1"/>
  <c r="L25"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<sst xmlns="http://schemas.openxmlformats.org/spreadsheetml/2006/main" count="1892" uniqueCount="853">
  <si>
    <t>OFFICE FIT-OUT - PROJECT CONTROLLING DASHBOARD</t>
  </si>
  <si>
    <t>EVM Performance Status | Tufte-Compliant Design | Data-Ink Maximized</t>
  </si>
  <si>
    <t>Status Date:</t>
  </si>
  <si>
    <t>Status Week:</t>
  </si>
  <si>
    <t>Sector:</t>
  </si>
  <si>
    <t>Corporate Real Estate</t>
  </si>
  <si>
    <t>BUDGET AT COMPLETION (BAC)</t>
  </si>
  <si>
    <t>PLANNED VALUE (PV)</t>
  </si>
  <si>
    <t>ACTUAL COST (AC)</t>
  </si>
  <si>
    <t>EARNED VALUE (EV)</t>
  </si>
  <si>
    <t>COST VARIANCE (CV)</t>
  </si>
  <si>
    <t>SCHEDULE VARIANCE (SV)</t>
  </si>
  <si>
    <t>CPI (COST INDEX)</t>
  </si>
  <si>
    <t>SPI (SCHEDULE INDEX)</t>
  </si>
  <si>
    <t>ESTIMATE AT COMPLETION (EAC)</t>
  </si>
  <si>
    <t>ESTIMATE TO COMPLETE (ETC)</t>
  </si>
  <si>
    <t>VARIANCE AT COMPLETION (VAC)</t>
  </si>
  <si>
    <t>PROJECT PROGRESS %</t>
  </si>
  <si>
    <t>WBS Element Performance Breakdown</t>
  </si>
  <si>
    <t>WBS ID</t>
  </si>
  <si>
    <t>Activity Name</t>
  </si>
  <si>
    <t>Type</t>
  </si>
  <si>
    <t>Budget (BAC)</t>
  </si>
  <si>
    <t>Planned Value (PV)</t>
  </si>
  <si>
    <t>Actual Cost (AC)</t>
  </si>
  <si>
    <t>Progress %</t>
  </si>
  <si>
    <t>Earned Value (EV)</t>
  </si>
  <si>
    <t>CV</t>
  </si>
  <si>
    <t>SV</t>
  </si>
  <si>
    <t>CPI</t>
  </si>
  <si>
    <t>SPI</t>
  </si>
  <si>
    <t>EAC</t>
  </si>
  <si>
    <t>ETC</t>
  </si>
  <si>
    <t>VAC</t>
  </si>
  <si>
    <t>Status</t>
  </si>
  <si>
    <t>WBS-01</t>
  </si>
  <si>
    <t>Project Management</t>
  </si>
  <si>
    <t>Labor</t>
  </si>
  <si>
    <t>WBS-02</t>
  </si>
  <si>
    <t>Site Survey &amp; Mobilization</t>
  </si>
  <si>
    <t>WBS-03</t>
  </si>
  <si>
    <t>Design &amp; Engineering</t>
  </si>
  <si>
    <t>WBS-04</t>
  </si>
  <si>
    <t>Procurement - Materials</t>
  </si>
  <si>
    <t>Material</t>
  </si>
  <si>
    <t>WBS-05</t>
  </si>
  <si>
    <t>Demolition &amp; Prep</t>
  </si>
  <si>
    <t>WBS-06</t>
  </si>
  <si>
    <t>Electrical Rough-In</t>
  </si>
  <si>
    <t>WBS-07</t>
  </si>
  <si>
    <t>HVAC Installation</t>
  </si>
  <si>
    <t>Subcontractor</t>
  </si>
  <si>
    <t>WBS-08</t>
  </si>
  <si>
    <t>Partitions &amp; Drywall</t>
  </si>
  <si>
    <t>WBS-09</t>
  </si>
  <si>
    <t>Flooring</t>
  </si>
  <si>
    <t>WBS-10</t>
  </si>
  <si>
    <t>Fixtures &amp; Furniture</t>
  </si>
  <si>
    <t>WBS-11</t>
  </si>
  <si>
    <t>Testing / Commissioning</t>
  </si>
  <si>
    <t>WBS-12</t>
  </si>
  <si>
    <t>Handover &amp; Closeout</t>
  </si>
  <si>
    <t>Total / Project Portfolio</t>
  </si>
  <si>
    <t>Weekly Cumulative Performance Trends</t>
  </si>
  <si>
    <t>Week</t>
  </si>
  <si>
    <t>Week Date</t>
  </si>
  <si>
    <t>Weekly PV</t>
  </si>
  <si>
    <t>Cum PV</t>
  </si>
  <si>
    <t>Weekly AC</t>
  </si>
  <si>
    <t>Cum AC</t>
  </si>
  <si>
    <t>Cum EV</t>
  </si>
  <si>
    <t>Project_ID</t>
  </si>
  <si>
    <t>Project_Name</t>
  </si>
  <si>
    <t>Start_Date</t>
  </si>
  <si>
    <t>End_Date</t>
  </si>
  <si>
    <t>BAC</t>
  </si>
  <si>
    <t>Sector</t>
  </si>
  <si>
    <t>P101</t>
  </si>
  <si>
    <t>Office Fit-Out</t>
  </si>
  <si>
    <t>WBS_ID</t>
  </si>
  <si>
    <t>WBS_Code</t>
  </si>
  <si>
    <t>Activity_Name</t>
  </si>
  <si>
    <t>Total_Budget</t>
  </si>
  <si>
    <t>Resource_ID</t>
  </si>
  <si>
    <t>Resource_Name</t>
  </si>
  <si>
    <t>Role</t>
  </si>
  <si>
    <t>Hourly_Rate</t>
  </si>
  <si>
    <t>R01</t>
  </si>
  <si>
    <t>Project Manager</t>
  </si>
  <si>
    <t>Management</t>
  </si>
  <si>
    <t>R02</t>
  </si>
  <si>
    <t>Lead Engineer</t>
  </si>
  <si>
    <t>Engineering</t>
  </si>
  <si>
    <t>R03</t>
  </si>
  <si>
    <t>Electrician</t>
  </si>
  <si>
    <t>Trades</t>
  </si>
  <si>
    <t>R04</t>
  </si>
  <si>
    <t>Demolition Crew</t>
  </si>
  <si>
    <t>R05</t>
  </si>
  <si>
    <t>Testing Engineer</t>
  </si>
  <si>
    <t>QA</t>
  </si>
  <si>
    <t>R06</t>
  </si>
  <si>
    <t>Closeout Specialist</t>
  </si>
  <si>
    <t>R07</t>
  </si>
  <si>
    <t>Materials Vendor</t>
  </si>
  <si>
    <t>Vendor</t>
  </si>
  <si>
    <t>R08</t>
  </si>
  <si>
    <t>HVAC Contractor</t>
  </si>
  <si>
    <t>Contractor</t>
  </si>
  <si>
    <t>R09</t>
  </si>
  <si>
    <t>Drywall Contractor</t>
  </si>
  <si>
    <t>R10</t>
  </si>
  <si>
    <t>Flooring Supplier</t>
  </si>
  <si>
    <t>R11</t>
  </si>
  <si>
    <t>Furniture Supplier</t>
  </si>
  <si>
    <t>Date</t>
  </si>
  <si>
    <t>Year</t>
  </si>
  <si>
    <t>Month</t>
  </si>
  <si>
    <t>Month_Name</t>
  </si>
  <si>
    <t>Quarter</t>
  </si>
  <si>
    <t>Week_Number</t>
  </si>
  <si>
    <t>Is_Weekday</t>
  </si>
  <si>
    <t>May</t>
  </si>
  <si>
    <t>June</t>
  </si>
  <si>
    <t>July</t>
  </si>
  <si>
    <t>Planned_Value</t>
  </si>
  <si>
    <t>Actual_Cost</t>
  </si>
  <si>
    <t>Hours_Worked</t>
  </si>
  <si>
    <t>Physical_Progress_Pct</t>
  </si>
  <si>
    <t>RAG Legend</t>
  </si>
  <si>
    <t>Rule</t>
  </si>
  <si>
    <t>Meaning</t>
  </si>
  <si>
    <t>Green</t>
  </si>
  <si>
    <t>Good</t>
  </si>
  <si>
    <t>Amber</t>
  </si>
  <si>
    <t>Watch</t>
  </si>
  <si>
    <t>Near threshold</t>
  </si>
  <si>
    <t>Red</t>
  </si>
  <si>
    <t>Action</t>
  </si>
  <si>
    <t>Behind plan / overrun</t>
  </si>
  <si>
    <t>On/above plan or low exposure</t>
  </si>
  <si>
    <t>Near threshold / medium exposure</t>
  </si>
  <si>
    <t>Behind plan, overrun, or high exposure</t>
  </si>
  <si>
    <t>Project Schedule &amp; EVM Curves</t>
  </si>
  <si>
    <t>Gantt schedule is derived from baseline PV dates by WBS; the S-curve uses cumulative PV, actual cost, and earned value as of each weekly status date.</t>
  </si>
  <si>
    <t>Project Start</t>
  </si>
  <si>
    <t>Project Finish</t>
  </si>
  <si>
    <t>Status Date</t>
  </si>
  <si>
    <t>Activity</t>
  </si>
  <si>
    <t>Start</t>
  </si>
  <si>
    <t>Finish</t>
  </si>
  <si>
    <t>Start Offset</t>
  </si>
  <si>
    <t>Duration Days</t>
  </si>
  <si>
    <t>RAG</t>
  </si>
  <si>
    <t>Office Fit-Out Project Control Workbook</t>
  </si>
  <si>
    <t>PM-EVM compliant workbook map: setup controls, task plan, Gantt, EVM S-curve, dashboard, source dimensions, and fact tables.</t>
  </si>
  <si>
    <t>Sheet</t>
  </si>
  <si>
    <t>Purpose</t>
  </si>
  <si>
    <t>Setup</t>
  </si>
  <si>
    <t>Project-level controls: project metadata, status date, reporting period, and RAG thresholds.</t>
  </si>
  <si>
    <t>Task Plan</t>
  </si>
  <si>
    <t>Integrated WBS/task control table linking baseline dates, BAC, progress, AC, EV, variances, forecasts, and RAG status.</t>
  </si>
  <si>
    <t>EVM</t>
  </si>
  <si>
    <t>Weekly EVM reporting table with cumulative PV, AC, EV, SV, CV, SPI, CPI, EAC, ETC, and VAC.</t>
  </si>
  <si>
    <t>EVM Charts</t>
  </si>
  <si>
    <t>Baseline Gantt schedule and EVM S-curve generated from the same WBS, budget, progress, and actual-cost data.</t>
  </si>
  <si>
    <t>EVM Dashboard</t>
  </si>
  <si>
    <t>Management view with KPI tiles, WBS performance breakdown, trends, and RAG coloring.</t>
  </si>
  <si>
    <t>PM-EVM Compliance</t>
  </si>
  <si>
    <t>Checklist mapping the workbook to the attached PM-EVM guideline.</t>
  </si>
  <si>
    <t>Dim_* / Fact_*</t>
  </si>
  <si>
    <t>Star-schema source data used by the live formulas and charts.</t>
  </si>
  <si>
    <t>Setup Controls</t>
  </si>
  <si>
    <t>Single place to review project metadata, status date, reporting period, and RAG thresholds used by the control workbook.</t>
  </si>
  <si>
    <t>Control</t>
  </si>
  <si>
    <t>Value</t>
  </si>
  <si>
    <t>Project ID</t>
  </si>
  <si>
    <t>Project Name</t>
  </si>
  <si>
    <t>Project End</t>
  </si>
  <si>
    <t>Reporting Period</t>
  </si>
  <si>
    <t>Weekly</t>
  </si>
  <si>
    <t>Budget at Completion (BAC)</t>
  </si>
  <si>
    <t>CPI/SPI Red Threshold</t>
  </si>
  <si>
    <t>CPI/SPI Green Threshold</t>
  </si>
  <si>
    <t>Progress Amber Threshold</t>
  </si>
  <si>
    <t>Progress Green Threshold</t>
  </si>
  <si>
    <t>Metric</t>
  </si>
  <si>
    <t>Interpretation</t>
  </si>
  <si>
    <t>CPI/SPI</t>
  </si>
  <si>
    <t>&gt;= 1.00</t>
  </si>
  <si>
    <t>On or above plan</t>
  </si>
  <si>
    <t>0.95 to &lt; 1.00</t>
  </si>
  <si>
    <t>Near threshold / watch</t>
  </si>
  <si>
    <t>&lt; 0.95</t>
  </si>
  <si>
    <t>Action required</t>
  </si>
  <si>
    <t>Integrated WBS control table: one live task-level view for scope, schedule, budget, progress, actuals, forecasts, and RAG status.</t>
  </si>
  <si>
    <t>WBS Code</t>
  </si>
  <si>
    <t>Task / Activity</t>
  </si>
  <si>
    <t>Baseline Start</t>
  </si>
  <si>
    <t>Baseline Finish</t>
  </si>
  <si>
    <t>BAC (NOK)</t>
  </si>
  <si>
    <t>PV @ Status</t>
  </si>
  <si>
    <t>AC @ Status</t>
  </si>
  <si>
    <t>EV @ Status</t>
  </si>
  <si>
    <t>EVM Reporting</t>
  </si>
  <si>
    <t>Weekly earned value reporting table using the guideline formulas: PV, AC, EV, SV, CV, SPI, CPI, BAC, EAC, ETC, and VAC.</t>
  </si>
  <si>
    <t>Formula</t>
  </si>
  <si>
    <t>Workbook implementation</t>
  </si>
  <si>
    <t>Guideline meaning</t>
  </si>
  <si>
    <t>Current status-date value</t>
  </si>
  <si>
    <t>Check</t>
  </si>
  <si>
    <t>Source</t>
  </si>
  <si>
    <t>SV = EV - PV</t>
  </si>
  <si>
    <t>Schedule variance at status date</t>
  </si>
  <si>
    <t>Live</t>
  </si>
  <si>
    <t>PM-EVM.md lines 145-150</t>
  </si>
  <si>
    <t>CV = EV - AC</t>
  </si>
  <si>
    <t>Cost variance at status date</t>
  </si>
  <si>
    <t>SPI = EV / PV</t>
  </si>
  <si>
    <t>Schedule efficiency</t>
  </si>
  <si>
    <t>CPI = EV / AC</t>
  </si>
  <si>
    <t>Cost efficiency</t>
  </si>
  <si>
    <t>EAC = BAC / CPI</t>
  </si>
  <si>
    <t>Forecast final cost</t>
  </si>
  <si>
    <t>PM-EVM.md lines 203-214</t>
  </si>
  <si>
    <t>VAC = BAC - EAC</t>
  </si>
  <si>
    <t>Expected budget variance at completion</t>
  </si>
  <si>
    <t>PM-EVM Compliance Checklist</t>
  </si>
  <si>
    <t>Workbook compliance map against the attached PM-EVM guideline: WBS, Gantt, EVM, dashboard, live formulas, and exception-focused reporting.</t>
  </si>
  <si>
    <t>Guideline requirement</t>
  </si>
  <si>
    <t>Location</t>
  </si>
  <si>
    <t>Evidence</t>
  </si>
  <si>
    <t>Setup controls: project metadata, status date, reporting period, rates/thresholds</t>
  </si>
  <si>
    <t>Added setup control sheet with live project metadata and thresholds</t>
  </si>
  <si>
    <t>Setup!A4:D20</t>
  </si>
  <si>
    <t>Compliant</t>
  </si>
  <si>
    <t>PM-EVM.md lines 117-126</t>
  </si>
  <si>
    <t>Task Plan as integrated WBS/task control view</t>
  </si>
  <si>
    <t>Added live task table combining WBS, dates, BAC, PV, AC, progress, EV, variances, forecasts and RAG</t>
  </si>
  <si>
    <t>Task Plan!A4:T17</t>
  </si>
  <si>
    <t>PM-EVM.md lines 120-125</t>
  </si>
  <si>
    <t>Gantt display tied to WBS baseline dates</t>
  </si>
  <si>
    <t>Existing EVM Charts Gantt uses WBS activities, baseline start/finish and duration</t>
  </si>
  <si>
    <t>EVM Charts!Gantt Schedule</t>
  </si>
  <si>
    <t>PM-EVM.md lines 122-125</t>
  </si>
  <si>
    <t>EVM by reporting period with PV, EV, AC, SV, CV, SPI, CPI, BAC, EAC, ETC, VAC</t>
  </si>
  <si>
    <t>Added EVM reporting table with weekly live formulas</t>
  </si>
  <si>
    <t>EVM!A4:N16</t>
  </si>
  <si>
    <t>PM-EVM.md lines 123-124</t>
  </si>
  <si>
    <t>S-curve shows cumulative PV, EV, and AC over time</t>
  </si>
  <si>
    <t>Existing EVM S-curve chart is sourced from weekly cumulative helper table</t>
  </si>
  <si>
    <t>EVM Charts!EVM S-Curve</t>
  </si>
  <si>
    <t>PM-EVM.md lines 50-54</t>
  </si>
  <si>
    <t>Dashboard summarizes management KPIs and top WBS exceptions</t>
  </si>
  <si>
    <t>Existing dashboard has KPI tiles, WBS table, RAG, variance/status fields</t>
  </si>
  <si>
    <t>EVM Dashboard!A1:P47</t>
  </si>
  <si>
    <t>PM-EVM.md lines 781-785</t>
  </si>
  <si>
    <t>Exception-focused reporting with RAG / traffic-light indicators</t>
  </si>
  <si>
    <t>RAG rules applied across performance indices, progress, variances, and status cells</t>
  </si>
  <si>
    <t>EVM Dashboard, Task Plan, EVM</t>
  </si>
  <si>
    <t>Consistent WBS codes, budgets, dates, and actuals across views</t>
  </si>
  <si>
    <t>Task Plan, EVM, Gantt and dashboard all reference Dim_WBS and fact tables</t>
  </si>
  <si>
    <t>Dim_WBS / Fact_*</t>
  </si>
  <si>
    <t>PM-EVM.md lines 270-274</t>
  </si>
  <si>
    <t>Validate formulas and totals</t>
  </si>
  <si>
    <t>PM-EVM.md lines 783-785</t>
  </si>
  <si>
    <t>Status tie-out</t>
  </si>
  <si>
    <t>Dashboard value</t>
  </si>
  <si>
    <t>Variance</t>
  </si>
  <si>
    <t>PV</t>
  </si>
  <si>
    <t>AC</t>
  </si>
  <si>
    <t>EV</t>
  </si>
  <si>
    <t>Added formula validation and status-date tie-out to dashboard KPIs</t>
  </si>
  <si>
    <t>EVM!H19:M25</t>
  </si>
  <si>
    <t>Project Control Glossary</t>
  </si>
  <si>
    <t>Definitions for the EVM, WBS, Gantt, schedule, cost, and RAG terms used across this workbook.</t>
  </si>
  <si>
    <t>Category</t>
  </si>
  <si>
    <t>Term</t>
  </si>
  <si>
    <t>Abbrev.</t>
  </si>
  <si>
    <t>Definition</t>
  </si>
  <si>
    <t>Workbook reference</t>
  </si>
  <si>
    <t>Project setup</t>
  </si>
  <si>
    <t>Approved start date for the project control baseline.</t>
  </si>
  <si>
    <t>Setup!B7 / Dim_Project!C2</t>
  </si>
  <si>
    <t>Approved planned end date for the project.</t>
  </si>
  <si>
    <t>Setup!B8 / Dim_Project!D2</t>
  </si>
  <si>
    <t>Cut-off date for reported progress, actual costs, and EVM metrics.</t>
  </si>
  <si>
    <t>Setup!B9 / EVM Dashboard!B4</t>
  </si>
  <si>
    <t>Scope / WBS</t>
  </si>
  <si>
    <t>Work Breakdown Structure</t>
  </si>
  <si>
    <t>WBS</t>
  </si>
  <si>
    <t>Hierarchical breakdown of project scope into controllable work packages or activities.</t>
  </si>
  <si>
    <t>Dim_WBS / Task Plan</t>
  </si>
  <si>
    <t>Unique identifier used to connect WBS activities to baseline PV, actual costs, and progress facts.</t>
  </si>
  <si>
    <t>Dim_WBS!A:A</t>
  </si>
  <si>
    <t>Activity / Task</t>
  </si>
  <si>
    <t>A controllable unit of project work with budget, schedule, progress, and cost tracking.</t>
  </si>
  <si>
    <t>Task Plan!C:C</t>
  </si>
  <si>
    <t>Schedule</t>
  </si>
  <si>
    <t>Planned start date for a WBS activity from the approved baseline.</t>
  </si>
  <si>
    <t>Task Plan!E:E</t>
  </si>
  <si>
    <t>Planned finish date for a WBS activity from the approved baseline.</t>
  </si>
  <si>
    <t>Task Plan!F:F</t>
  </si>
  <si>
    <t>Calendar-day span between baseline start and finish dates.</t>
  </si>
  <si>
    <t>Task Plan!G:G</t>
  </si>
  <si>
    <t>Gantt Chart</t>
  </si>
  <si>
    <t>Timeline chart showing planned activity timing and duration by WBS activity.</t>
  </si>
  <si>
    <t>Cost / EVM</t>
  </si>
  <si>
    <t>Budget at Completion</t>
  </si>
  <si>
    <t>Approved total budget for the project or WBS activity.</t>
  </si>
  <si>
    <t>Setup!B11 / Task Plan!H:H</t>
  </si>
  <si>
    <t>Planned Value</t>
  </si>
  <si>
    <t>Budgeted value of work planned to be complete by a given date.</t>
  </si>
  <si>
    <t>Task Plan!I:I / EVM!C:C</t>
  </si>
  <si>
    <t>Actual Cost</t>
  </si>
  <si>
    <t>Actual cost incurred by a given date.</t>
  </si>
  <si>
    <t>Task Plan!J:J / EVM!D:D</t>
  </si>
  <si>
    <t>Physical Progress</t>
  </si>
  <si>
    <t>Latest reported percent complete for each WBS activity as of the status date.</t>
  </si>
  <si>
    <t>Task Plan!K:K</t>
  </si>
  <si>
    <t>Earned Value</t>
  </si>
  <si>
    <t>Budgeted value of the work actually completed; calculated as BAC × progress.</t>
  </si>
  <si>
    <t>Task Plan!L:L / EVM!E:E</t>
  </si>
  <si>
    <t>Schedule Variance</t>
  </si>
  <si>
    <t>EV minus PV; negative means less work completed than planned.</t>
  </si>
  <si>
    <t>Task Plan!M:M / EVM!F:F</t>
  </si>
  <si>
    <t>Cost Variance</t>
  </si>
  <si>
    <t>EV minus AC; negative means cost overrun for completed work.</t>
  </si>
  <si>
    <t>Task Plan!N:N / EVM!G:G</t>
  </si>
  <si>
    <t>Performance index</t>
  </si>
  <si>
    <t>Schedule Performance Index</t>
  </si>
  <si>
    <t>EV divided by PV; below 1.0 indicates unfavorable schedule efficiency.</t>
  </si>
  <si>
    <t>Task Plan!O:O / EVM!H:H</t>
  </si>
  <si>
    <t>Cost Performance Index</t>
  </si>
  <si>
    <t>EV divided by AC; below 1.0 indicates unfavorable cost efficiency.</t>
  </si>
  <si>
    <t>Task Plan!P:P / EVM!I:I</t>
  </si>
  <si>
    <t>Forecast</t>
  </si>
  <si>
    <t>Estimate at Completion</t>
  </si>
  <si>
    <t>Forecast final project or WBS cost, typically BAC divided by CPI.</t>
  </si>
  <si>
    <t>Task Plan!Q:Q / EVM!K:K</t>
  </si>
  <si>
    <t>Estimate to Complete</t>
  </si>
  <si>
    <t>Forecast remaining cost to complete the work; EAC minus AC.</t>
  </si>
  <si>
    <t>Task Plan!R:R / EVM!L:L</t>
  </si>
  <si>
    <t>Variance at Completion</t>
  </si>
  <si>
    <t>Expected budget variance at completion; BAC minus EAC.</t>
  </si>
  <si>
    <t>Task Plan!S:S / EVM!M:M</t>
  </si>
  <si>
    <t>Chart</t>
  </si>
  <si>
    <t>EVM S-Curve</t>
  </si>
  <si>
    <t>Line chart comparing cumulative PV, EV, and AC over time.</t>
  </si>
  <si>
    <t>Good condition: on/above plan, favorable variance, or acceptable performance threshold.</t>
  </si>
  <si>
    <t>Setup!A18:D18</t>
  </si>
  <si>
    <t>Watch condition: close to threshold or mid-progress; monitor closely.</t>
  </si>
  <si>
    <t>Setup!A19:D19</t>
  </si>
  <si>
    <t>Action condition: negative variance, low progress, CPI/SPI below threshold, or overrun.</t>
  </si>
  <si>
    <t>Setup!A20:D20</t>
  </si>
  <si>
    <t>Reporting</t>
  </si>
  <si>
    <t>Dashboard</t>
  </si>
  <si>
    <t>Management summary view showing KPIs, WBS performance, trend data, and RAG status.</t>
  </si>
  <si>
    <t>Tie-out</t>
  </si>
  <si>
    <t>Validation that dashboard KPIs match the detailed EVM reporting table at the status date.</t>
  </si>
  <si>
    <t>Data model</t>
  </si>
  <si>
    <t>Dimension Table</t>
  </si>
  <si>
    <t>Dim</t>
  </si>
  <si>
    <t>Reference table describing projects, WBS, resources, or calendar dates.</t>
  </si>
  <si>
    <t>Dim_Project / Dim_WBS / Dim_Resource / Dim_Calendar</t>
  </si>
  <si>
    <t>Fact Table</t>
  </si>
  <si>
    <t>Fact</t>
  </si>
  <si>
    <t>Transaction or event table containing planned values, actual costs, or progress observations.</t>
  </si>
  <si>
    <t>Fact_Baseline_PV / Fact_Actual_Costs / Fact_Physical_Progress</t>
  </si>
  <si>
    <t>Glossary</t>
  </si>
  <si>
    <t>Definitions for the EVM, WBS, Gantt, schedule, cost, RAG, and data-model terms used in the workbook.</t>
  </si>
  <si>
    <t>Used in charts</t>
  </si>
  <si>
    <t>Good / baseline target</t>
  </si>
  <si>
    <t>Gantt good bars; PV line</t>
  </si>
  <si>
    <t>Watch / earned progress</t>
  </si>
  <si>
    <t>Gantt watch bars; EV line</t>
  </si>
  <si>
    <t>Action / cost exposure</t>
  </si>
  <si>
    <t>Gantt action bars; AC line</t>
  </si>
  <si>
    <t>White</t>
  </si>
  <si>
    <t>Hidden helper</t>
  </si>
  <si>
    <t>Gantt start-offset series</t>
  </si>
  <si>
    <t>Task Plan value</t>
  </si>
  <si>
    <t>Task Plan!I17</t>
  </si>
  <si>
    <t>Task Plan!J17</t>
  </si>
  <si>
    <t>Task Plan!L17</t>
  </si>
  <si>
    <t>Task Plan!O17</t>
  </si>
  <si>
    <t>Task Plan!P17</t>
  </si>
  <si>
    <t>Task Plan!S17</t>
  </si>
  <si>
    <t>Red dotted</t>
  </si>
  <si>
    <t>Status date</t>
  </si>
  <si>
    <t>Vertical marker at 2026-06-30</t>
  </si>
  <si>
    <t>12-Step Project Management Method Roadmap</t>
  </si>
  <si>
    <t>Course method embedded into the workbook: define, list, sequence, estimate, check, Gantt, resource, risk, monitor progress/cost, adjust, and review.</t>
  </si>
  <si>
    <t>Step</t>
  </si>
  <si>
    <t>Method step</t>
  </si>
  <si>
    <t>Primary sheet / range</t>
  </si>
  <si>
    <t>Owner</t>
  </si>
  <si>
    <t>Define the project</t>
  </si>
  <si>
    <t>Create the project definition and controls.</t>
  </si>
  <si>
    <t>PID template added with live project metadata.</t>
  </si>
  <si>
    <t>PID!A1:H50</t>
  </si>
  <si>
    <t>Active</t>
  </si>
  <si>
    <t>1.2 12 Step Process / 2.1.2 PID template</t>
  </si>
  <si>
    <t>List the tasks</t>
  </si>
  <si>
    <t>Capture all tasks without initially worrying about order, cost, or time.</t>
  </si>
  <si>
    <t>Task Capture sheet added; WBS imported from current Dim_WBS and grouped by type.</t>
  </si>
  <si>
    <t>Task Capture!A4:J18</t>
  </si>
  <si>
    <t>Project Team</t>
  </si>
  <si>
    <t>3.1.5 List the Tasks / 4.1 List of Tasks</t>
  </si>
  <si>
    <t>Establish task order</t>
  </si>
  <si>
    <t>Convert brainstormed tasks into planned sequencing.</t>
  </si>
  <si>
    <t>Task Plan and Gantt use WBS order and baseline dates.</t>
  </si>
  <si>
    <t>Planner</t>
  </si>
  <si>
    <t>1.2 12 Step Process</t>
  </si>
  <si>
    <t>Estimate time</t>
  </si>
  <si>
    <t>Estimate duration by task.</t>
  </si>
  <si>
    <t>Baseline start, finish, and duration calculated per WBS.</t>
  </si>
  <si>
    <t>Task Plan!E5:G17</t>
  </si>
  <si>
    <t>Margin check &amp; reality check</t>
  </si>
  <si>
    <t>Check whether dates, budget, and resource assumptions are feasible.</t>
  </si>
  <si>
    <t>Status tie-out, EVM checks, and RAG indicators added.</t>
  </si>
  <si>
    <t>Project Controls</t>
  </si>
  <si>
    <t>Show planned timing and status.</t>
  </si>
  <si>
    <t>Gantt chart with RAG bars and status-date marker exists.</t>
  </si>
  <si>
    <t>8.1.2 Gantt templates</t>
  </si>
  <si>
    <t>Resource allocation</t>
  </si>
  <si>
    <t>Map tasks to people/resources and weekly loading.</t>
  </si>
  <si>
    <t>Resource Grid added with weekly hours and costs by WBS.</t>
  </si>
  <si>
    <t>Resource Grid!A4:Z35</t>
  </si>
  <si>
    <t>Resource Manager</t>
  </si>
  <si>
    <t>8.1.2 Gantt template from garden office</t>
  </si>
  <si>
    <t>Predicting &amp; reducing risk</t>
  </si>
  <si>
    <t>Identify project risks and containment measures.</t>
  </si>
  <si>
    <t>PID risk-control register added.</t>
  </si>
  <si>
    <t>PID!A63:E70</t>
  </si>
  <si>
    <t>Template ready</t>
  </si>
  <si>
    <t>2.1.2 PID template</t>
  </si>
  <si>
    <t>Monitoring progress</t>
  </si>
  <si>
    <t>Track completion against plan.</t>
  </si>
  <si>
    <t>Progress is linked from Fact_Physical_Progress to Task Plan and dashboard.</t>
  </si>
  <si>
    <t>Task Plan!K5:K17</t>
  </si>
  <si>
    <t>Monitoring cost</t>
  </si>
  <si>
    <t>Track actual cost and forecast.</t>
  </si>
  <si>
    <t>EVM reporting monitors AC, CV, CPI, EAC, ETC, VAC.</t>
  </si>
  <si>
    <t>Adjusting the plan</t>
  </si>
  <si>
    <t>Use EVM and RAG exceptions to trigger decisions.</t>
  </si>
  <si>
    <t>Decision/action log added to Review.</t>
  </si>
  <si>
    <t>Review!A20:F28</t>
  </si>
  <si>
    <t>Project Board</t>
  </si>
  <si>
    <t>Review &amp; lessons</t>
  </si>
  <si>
    <t>Capture good, bad, better after delivery.</t>
  </si>
  <si>
    <t>Review sheet added with GOOD / BAD / BETTER structure.</t>
  </si>
  <si>
    <t>Review!A4:F17</t>
  </si>
  <si>
    <t>13.1.2 Review Template</t>
  </si>
  <si>
    <t>Project Initiation Document (PID)</t>
  </si>
  <si>
    <t>PID template from the attached method, prefilled with current workbook metadata where available. Fill yellow cells during project definition.</t>
  </si>
  <si>
    <t>Project header</t>
  </si>
  <si>
    <t>Project Number</t>
  </si>
  <si>
    <t>Project Risk Level</t>
  </si>
  <si>
    <t>H/M/L</t>
  </si>
  <si>
    <t>Prepared by</t>
  </si>
  <si>
    <t>Frank Ellingsen</t>
  </si>
  <si>
    <t>Persons consulted</t>
  </si>
  <si>
    <t>Key Driver</t>
  </si>
  <si>
    <t>Cost / Quality / Time</t>
  </si>
  <si>
    <t>1. Business Case</t>
  </si>
  <si>
    <t>Why this project; why now; options considered; what if we do not do it; benefits; payback period.</t>
  </si>
  <si>
    <t>2.1 In Scope / Included</t>
  </si>
  <si>
    <t>Work and deliverables included in the project.</t>
  </si>
  <si>
    <t>2.2 Out of Scope / Excluded</t>
  </si>
  <si>
    <t>Work explicitly excluded from the project.</t>
  </si>
  <si>
    <t>2.3 Dependencies</t>
  </si>
  <si>
    <t>How the project impacts or is impacted by other projects or programmes.</t>
  </si>
  <si>
    <t>2.4 Constraints</t>
  </si>
  <si>
    <t>Deadlines, budget limits, resource limitations or other delivery constraints.</t>
  </si>
  <si>
    <t>2.5 Assumptions</t>
  </si>
  <si>
    <t>Assumptions currently being used for planning.</t>
  </si>
  <si>
    <t>3. Key Actions Proposed</t>
  </si>
  <si>
    <t>Must include a high-level or detailed Gantt chart.</t>
  </si>
  <si>
    <t>4. Project Controls and Reporting</t>
  </si>
  <si>
    <t>How progress will be reported, frequency, method and responsibility.</t>
  </si>
  <si>
    <t>5. Risk Control</t>
  </si>
  <si>
    <t>Project risks and containment measures.</t>
  </si>
  <si>
    <t>6. Financial Implications</t>
  </si>
  <si>
    <t>Frequency / timing</t>
  </si>
  <si>
    <t>How control is reported</t>
  </si>
  <si>
    <t>Responsibility</t>
  </si>
  <si>
    <t>Next report date</t>
  </si>
  <si>
    <t>EVM Dashboard + EVM Charts</t>
  </si>
  <si>
    <t>Stage end</t>
  </si>
  <si>
    <t>PID / Review pack</t>
  </si>
  <si>
    <t>Planned</t>
  </si>
  <si>
    <t>Monthly</t>
  </si>
  <si>
    <t>Board summary</t>
  </si>
  <si>
    <t>Project Risk</t>
  </si>
  <si>
    <t>Containment Measures</t>
  </si>
  <si>
    <t>Due Date</t>
  </si>
  <si>
    <t>Schedule slippage</t>
  </si>
  <si>
    <t>Monitor SPI and Gantt status line; escalate red WBS tasks.</t>
  </si>
  <si>
    <t>Cost overrun</t>
  </si>
  <si>
    <t>Monitor CPI/CV/EAC and review WBS cost drivers.</t>
  </si>
  <si>
    <t>Resource availability</t>
  </si>
  <si>
    <t>Use weekly Resource Grid to identify conflicts.</t>
  </si>
  <si>
    <t>Scope creep</t>
  </si>
  <si>
    <t>Confirm in/out of scope and change-control route in PID.</t>
  </si>
  <si>
    <t>Quality issue</t>
  </si>
  <si>
    <t>Define acceptance criteria and quality checks by task.</t>
  </si>
  <si>
    <t>Supplier delay</t>
  </si>
  <si>
    <t>Track procurement/material activities and delivery milestones.</t>
  </si>
  <si>
    <t>Amount Year 2</t>
  </si>
  <si>
    <t>Amount Year 3</t>
  </si>
  <si>
    <t>Amount Year 4</t>
  </si>
  <si>
    <t>Amount Year 5</t>
  </si>
  <si>
    <t>Task Capture / List the Tasks</t>
  </si>
  <si>
    <t>Method: first list all tasks without worrying about order, cost, or time; then group into phases and convert into the controlled Task Plan.</t>
  </si>
  <si>
    <t>Phase / Area</t>
  </si>
  <si>
    <t>Task</t>
  </si>
  <si>
    <t>Included?</t>
  </si>
  <si>
    <t>Event / Milestone?</t>
  </si>
  <si>
    <t>Notes</t>
  </si>
  <si>
    <t>Source / next action</t>
  </si>
  <si>
    <t>Mapped to Task Plan</t>
  </si>
  <si>
    <t>Yes</t>
  </si>
  <si>
    <t>Imported from current WBS</t>
  </si>
  <si>
    <t>Brainstorm / new</t>
  </si>
  <si>
    <t>Add new tasks here before sequencing</t>
  </si>
  <si>
    <t>Example task-list method from attachment</t>
  </si>
  <si>
    <t>Garden office example grouped tasks: clear the space, foundations, buy the shed, install shed, legal. Use this area to add unstructured tasks before converting them to WBS.</t>
  </si>
  <si>
    <t>Resource Allocation Grid</t>
  </si>
  <si>
    <t>Weekly hours and cost grid adapted from the attached Gantt template: rows are WBS tasks; columns are reporting weeks; totals are live formulas from actual-cost facts.</t>
  </si>
  <si>
    <t>Resource / Role</t>
  </si>
  <si>
    <t>Measure</t>
  </si>
  <si>
    <t>Wk1</t>
  </si>
  <si>
    <t>Wk2</t>
  </si>
  <si>
    <t>Wk3</t>
  </si>
  <si>
    <t>Wk4</t>
  </si>
  <si>
    <t>Wk5</t>
  </si>
  <si>
    <t>Wk6</t>
  </si>
  <si>
    <t>Wk7</t>
  </si>
  <si>
    <t>Wk8</t>
  </si>
  <si>
    <t>Wk9</t>
  </si>
  <si>
    <t>Wk10</t>
  </si>
  <si>
    <t>Wk11</t>
  </si>
  <si>
    <t>Wk12</t>
  </si>
  <si>
    <t>Total</t>
  </si>
  <si>
    <t>Actual @ Status</t>
  </si>
  <si>
    <t>Remaining BAC</t>
  </si>
  <si>
    <t>Template source</t>
  </si>
  <si>
    <t>Hours</t>
  </si>
  <si>
    <t>Hours row</t>
  </si>
  <si>
    <t>Cost</t>
  </si>
  <si>
    <t>Cost row</t>
  </si>
  <si>
    <t>Gantt of Gantts / monthly workload summary</t>
  </si>
  <si>
    <t>Planned PV</t>
  </si>
  <si>
    <t>8.1.2 Gantt of Gantts template</t>
  </si>
  <si>
    <t>Monthly portfolio-style total from current project PV</t>
  </si>
  <si>
    <t>Monthly portfolio-style total from actual costs</t>
  </si>
  <si>
    <t>Active WBS count</t>
  </si>
  <si>
    <t>Simple monthly activity indicator</t>
  </si>
  <si>
    <t>Project Review &amp; Lessons</t>
  </si>
  <si>
    <t>Review template from attachment: GOOD / BAD / BETTER plus action log for plan adjustments and lessons learned.</t>
  </si>
  <si>
    <t>Project Description</t>
  </si>
  <si>
    <t>Project Period</t>
  </si>
  <si>
    <t>Review Owner</t>
  </si>
  <si>
    <t>Review Date</t>
  </si>
  <si>
    <t>GOOD — what went well that others should repeat?</t>
  </si>
  <si>
    <t>BAD — what mistakes were made or unexpected issues occurred?</t>
  </si>
  <si>
    <t>BETTER / ACTION LOG</t>
  </si>
  <si>
    <t>Due date</t>
  </si>
  <si>
    <t>Decision required?</t>
  </si>
  <si>
    <t>Linked workbook evidence</t>
  </si>
  <si>
    <t>Investigate schedule slippage driving SPI below 1.0</t>
  </si>
  <si>
    <t>EVM Dashboard!J10 / Task Plan!O17</t>
  </si>
  <si>
    <t>Review cost efficiency and current EAC forecast</t>
  </si>
  <si>
    <t>EVM Dashboard!G10 / Task Plan!Q17</t>
  </si>
  <si>
    <t>Confirm mitigation for red WBS activities in Gantt</t>
  </si>
  <si>
    <t>Check future material/subcontractor dependencies</t>
  </si>
  <si>
    <t>No</t>
  </si>
  <si>
    <t>Task Plan / Resource Grid</t>
  </si>
  <si>
    <t>Capture lessons from completed WBS items</t>
  </si>
  <si>
    <t>Task Capture / Review</t>
  </si>
  <si>
    <t>Review source</t>
  </si>
  <si>
    <t>13.1.2 Review Template.pdf</t>
  </si>
  <si>
    <t>Method Roadmap</t>
  </si>
  <si>
    <t>12-step project management method mapped to workbook sheets and current project controls.</t>
  </si>
  <si>
    <t>PID</t>
  </si>
  <si>
    <t>Project Initiation Document template with business case, scope, controls, risk and financial sections.</t>
  </si>
  <si>
    <t>Task Capture</t>
  </si>
  <si>
    <t>Task-list brainstorming sheet based on the attached list-the-tasks method, linked to current WBS.</t>
  </si>
  <si>
    <t>Resource Grid</t>
  </si>
  <si>
    <t>Weekly hours/cost resource allocation grid adapted from the attached Gantt template.</t>
  </si>
  <si>
    <t>Review</t>
  </si>
  <si>
    <t>GOOD / BAD / BETTER review template and action log.</t>
  </si>
  <si>
    <t>Quarterly/annual financial profile adapted from the PID template; Year 1 is linked to the current baseline planned value.</t>
  </si>
  <si>
    <t>Financial Implications</t>
  </si>
  <si>
    <t>Q1</t>
  </si>
  <si>
    <t>Q2</t>
  </si>
  <si>
    <t>Q3</t>
  </si>
  <si>
    <t>Q4</t>
  </si>
  <si>
    <t>Amount Year 1</t>
  </si>
  <si>
    <t>Tab Color Legend</t>
  </si>
  <si>
    <t>Color</t>
  </si>
  <si>
    <t>Sheets</t>
  </si>
  <si>
    <t>Navigation / Reference</t>
  </si>
  <si>
    <t>Cover, Glossary</t>
  </si>
  <si>
    <t>Method / Governance</t>
  </si>
  <si>
    <t>Method Roadmap, PID, PM-EVM Compliance, Review</t>
  </si>
  <si>
    <t>Controls / Planning</t>
  </si>
  <si>
    <t>Setup, Task Plan, Task Capture, Resource Grid</t>
  </si>
  <si>
    <t>Management Outputs</t>
  </si>
  <si>
    <t>EVM Dashboard, EVM, EVM Charts</t>
  </si>
  <si>
    <t>Dimension Data</t>
  </si>
  <si>
    <t>Dim_Project, Dim_WBS, Dim_Resource, Dim_Calendar</t>
  </si>
  <si>
    <t>Fact Data</t>
  </si>
  <si>
    <t>Fact_Baseline_PV, Fact_Actual_Costs, Fact_Physical_Progress</t>
  </si>
  <si>
    <t>Input / Control / Output Classification</t>
  </si>
  <si>
    <t>Class</t>
  </si>
  <si>
    <t>Input</t>
  </si>
  <si>
    <t>Source data or user-entered templates that feed calculations.</t>
  </si>
  <si>
    <t>Dim_Project, Dim_WBS, Dim_Resource, Dim_Calendar, Fact_Baseline_PV, Fact_Actual_Costs, Fact_Physical_Progress, PID, Task Capture, Review</t>
  </si>
  <si>
    <t>Assumptions, governance, validation, methods, and planning logic that manage how inputs are interpreted.</t>
  </si>
  <si>
    <t>Setup, Method Roadmap, PM-EVM Compliance, Task Plan, Resource Grid</t>
  </si>
  <si>
    <t>Output</t>
  </si>
  <si>
    <t>Management-facing reports, charts, dashboards, and reference views produced from inputs and controls.</t>
  </si>
  <si>
    <t>Cover, Glossary, EVM Dashboard, EVM, EVM Charts</t>
  </si>
  <si>
    <t>Reason</t>
  </si>
  <si>
    <t>Cover</t>
  </si>
  <si>
    <t>Workbook navigation and summary.</t>
  </si>
  <si>
    <t>Dim_Project</t>
  </si>
  <si>
    <t>Dim_WBS</t>
  </si>
  <si>
    <t>Dim_Resource</t>
  </si>
  <si>
    <t>Dim_Calendar</t>
  </si>
  <si>
    <t>Fact_Baseline_PV</t>
  </si>
  <si>
    <t>Fact_Actual_Costs</t>
  </si>
  <si>
    <t>Fact_Physical_Progress</t>
  </si>
  <si>
    <t>Workbook classification</t>
  </si>
  <si>
    <t>Source data or user-entered content that feeds project calculations and reports.</t>
  </si>
  <si>
    <t>Cover!D13:H39</t>
  </si>
  <si>
    <t>Assumptions, thresholds, validation, governance, and planning logic used to interpret inputs.</t>
  </si>
  <si>
    <t>Reports, charts, dashboards, and references produced from the input data and control logic.</t>
  </si>
  <si>
    <t>My hours</t>
  </si>
  <si>
    <t>Weekly hours grid</t>
  </si>
  <si>
    <t>Fact_Actual_Costs[Hours_Worked]</t>
  </si>
  <si>
    <t>Total costs</t>
  </si>
  <si>
    <t>Weekly cost grid</t>
  </si>
  <si>
    <t>Fact_Actual_Costs[Actual_Cost]</t>
  </si>
  <si>
    <t>My hours — current project actual hours by WBS / week</t>
  </si>
  <si>
    <t>Role / Type</t>
  </si>
  <si>
    <t>Implemented as</t>
  </si>
  <si>
    <t>my total hours</t>
  </si>
  <si>
    <t>Who / Type</t>
  </si>
  <si>
    <t>my total costs</t>
  </si>
  <si>
    <t>Garden Gantt Model</t>
  </si>
  <si>
    <t>Attached garden-office Gantt template implemented with current project weekly hours and cost data.</t>
  </si>
  <si>
    <t>o</t>
  </si>
  <si>
    <t>Status timeline: 2026-06-30</t>
  </si>
  <si>
    <t>Legend</t>
  </si>
  <si>
    <t>Applied to</t>
  </si>
  <si>
    <t>Red dotted vertical line</t>
  </si>
  <si>
    <t>Status date 2026-06-30</t>
  </si>
  <si>
    <t>Green row</t>
  </si>
  <si>
    <t>Amber row</t>
  </si>
  <si>
    <t>Red row</t>
  </si>
  <si>
    <t>Gantt Model — Office Fit-Out</t>
  </si>
  <si>
    <t>Adapted from the attached Garden Office Gantt template. This sheet is populated from the current workbook WBS, baseline PV, actual cost, actual hours, progress, CPI/RAG status, and status date.</t>
  </si>
  <si>
    <t>Project controls and model mapping</t>
  </si>
  <si>
    <t>Project</t>
  </si>
  <si>
    <t>268,650.00 NOK</t>
  </si>
  <si>
    <t>Current workbook</t>
  </si>
  <si>
    <t>Template element</t>
  </si>
  <si>
    <t>Source table</t>
  </si>
  <si>
    <t>Classification</t>
  </si>
  <si>
    <t>Actual hours by WBS and week; o = planned week with no actual hours yet.</t>
  </si>
  <si>
    <t>Actual cost by WBS and week; o = planned week with no actual cost yet.</t>
  </si>
  <si>
    <t>Total costs — current project actual costs by WBS / week</t>
  </si>
  <si>
    <t>My hours and Total costs grids</t>
  </si>
  <si>
    <t>CPI/SPI &gt;= 1.00 and favorable variance</t>
  </si>
  <si>
    <t>Summary + task totals</t>
  </si>
  <si>
    <t>Behind plan / cost overrun / low index</t>
  </si>
  <si>
    <t>Duration</t>
  </si>
  <si>
    <t>Progress</t>
  </si>
  <si>
    <t>Inferred predecessor(s)</t>
  </si>
  <si>
    <t>START</t>
  </si>
  <si>
    <t>WBS-02 / WBS-03</t>
  </si>
  <si>
    <t>WBS-04 / WBS-05</t>
  </si>
  <si>
    <t>WBS-07 / WBS-08</t>
  </si>
  <si>
    <t>WBS-09 / WBS-10</t>
  </si>
  <si>
    <t>Visio-style PERT Legend</t>
  </si>
  <si>
    <t>On track</t>
  </si>
  <si>
    <t>CPI/SPI/variance favorable</t>
  </si>
  <si>
    <t>Gray</t>
  </si>
  <si>
    <t>Start / Finish</t>
  </si>
  <si>
    <t>Network endpoints</t>
  </si>
  <si>
    <t>PERT Diagram</t>
  </si>
  <si>
    <t>Visio-style PERT network diagram reflecting the current WBS, schedule, progress and RAG status.</t>
  </si>
  <si>
    <t>Swimlane PERT Diagram — Office Fit-Out</t>
  </si>
  <si>
    <t>PERT network grouped into swimlanes by Task Plan type: Labor, Material, and Subcontractor. Status date: 2026-06-30. Node colors use the workbook RAG status.</t>
  </si>
  <si>
    <t>Swimlane view below: dependencies flow left-to-right; each horizontal lane groups work by Task Plan type.</t>
  </si>
  <si>
    <t>May-26</t>
  </si>
  <si>
    <t>Jun-26</t>
  </si>
  <si>
    <t>Jul-26</t>
  </si>
  <si>
    <t>Aug-26</t>
  </si>
  <si>
    <t>Sep-26</t>
  </si>
  <si>
    <t>Oct-26</t>
  </si>
  <si>
    <t>Nov-26</t>
  </si>
  <si>
    <t>Dec-26</t>
  </si>
  <si>
    <t>Column1</t>
  </si>
  <si>
    <t>Check2</t>
  </si>
  <si>
    <t>Source3</t>
  </si>
  <si>
    <t>Column2</t>
  </si>
  <si>
    <t>Workbook Slicer Controls</t>
  </si>
  <si>
    <t>Use this panel to filter the source Excel Tables directly. Slicers are grouped by reporting outputs, source inputs, and governance/control tables.</t>
  </si>
  <si>
    <t>MANAGEMENT OUTPUTS</t>
  </si>
  <si>
    <t>SOURCE INPUTS</t>
  </si>
  <si>
    <t>GOVERNANCE / CONTROL</t>
  </si>
  <si>
    <t>Slicer name</t>
  </si>
  <si>
    <t>Field</t>
  </si>
  <si>
    <t>slc_TaskPlan_Type</t>
  </si>
  <si>
    <t>Task Plan: Type</t>
  </si>
  <si>
    <t>slc_TaskPlan_Status</t>
  </si>
  <si>
    <t>Task Plan: Status</t>
  </si>
  <si>
    <t>slc_TaskPlan_WBSID</t>
  </si>
  <si>
    <t>Task Plan: WBS ID</t>
  </si>
  <si>
    <t>slc_Dashboard_Status</t>
  </si>
  <si>
    <t>Dashboard: Status</t>
  </si>
  <si>
    <t>slc_Dashboard_Type</t>
  </si>
  <si>
    <t>Dashboard: Type</t>
  </si>
  <si>
    <t>slc_Resource_RAG</t>
  </si>
  <si>
    <t>Resource Grid: RAG</t>
  </si>
  <si>
    <t>slc_Resource_Measure</t>
  </si>
  <si>
    <t>Resource Grid: Measure</t>
  </si>
  <si>
    <t>slc_EVM_Week</t>
  </si>
  <si>
    <t>EVM: Week</t>
  </si>
  <si>
    <t>slc_EVM_Status</t>
  </si>
  <si>
    <t>EVM: Status</t>
  </si>
  <si>
    <t>slc_PERT_RAG</t>
  </si>
  <si>
    <t>PERT: RAG</t>
  </si>
  <si>
    <t>slc_DimWBS_Type</t>
  </si>
  <si>
    <t>WBS Master: Type</t>
  </si>
  <si>
    <t>slc_DimWBS_WBSID</t>
  </si>
  <si>
    <t>WBS Master: WBS ID</t>
  </si>
  <si>
    <t>slc_DimResource_Role</t>
  </si>
  <si>
    <t>Resources: Role</t>
  </si>
  <si>
    <t>slc_Calendar_Month</t>
  </si>
  <si>
    <t>Calendar: Month</t>
  </si>
  <si>
    <t>slc_Calendar_Week</t>
  </si>
  <si>
    <t>Calendar: Week</t>
  </si>
  <si>
    <t>slc_BaselinePV_WBSID</t>
  </si>
  <si>
    <t>Baseline PV: WBS ID</t>
  </si>
  <si>
    <t>slc_ActualCosts_WBSID</t>
  </si>
  <si>
    <t>Actual Costs: WBS ID</t>
  </si>
  <si>
    <t>slc_ActualCosts_ResourceID</t>
  </si>
  <si>
    <t>Actual Costs: Resource</t>
  </si>
  <si>
    <t>slc_Progress_WBSID</t>
  </si>
  <si>
    <t>Progress: WBS ID</t>
  </si>
  <si>
    <t>slc_TaskCapture_Type</t>
  </si>
  <si>
    <t>Task Capture: Type</t>
  </si>
  <si>
    <t>slc_Review_RAG</t>
  </si>
  <si>
    <t>Review Actions: RAG</t>
  </si>
  <si>
    <t>slc_Review_Owner</t>
  </si>
  <si>
    <t>Review Actions: Owner</t>
  </si>
  <si>
    <t>slc_PIDRisk_RAG</t>
  </si>
  <si>
    <t>PID Risks: RAG</t>
  </si>
  <si>
    <t>slc_PIDRisk_Owner</t>
  </si>
  <si>
    <t>PID Risks: Owner</t>
  </si>
  <si>
    <t>slc_Method_Status</t>
  </si>
  <si>
    <t>Method Roadmap: Status</t>
  </si>
  <si>
    <t>slc_Method_Owner</t>
  </si>
  <si>
    <t>Method Roadmap: Owner</t>
  </si>
  <si>
    <t>slc_Compliance_Status</t>
  </si>
  <si>
    <t>PM-EVM: Status</t>
  </si>
  <si>
    <t>slc_Glossary_Category</t>
  </si>
  <si>
    <t>Glossary: Category</t>
  </si>
  <si>
    <t>Source area</t>
  </si>
  <si>
    <t>Caption</t>
  </si>
  <si>
    <t>PERT</t>
  </si>
  <si>
    <t>Calendar</t>
  </si>
  <si>
    <t>Resources</t>
  </si>
  <si>
    <t>WBS Master</t>
  </si>
  <si>
    <t>Actual Costs</t>
  </si>
  <si>
    <t>Resource</t>
  </si>
  <si>
    <t>Baseline PV</t>
  </si>
  <si>
    <t>PID Risks</t>
  </si>
  <si>
    <t>Review Actions</t>
  </si>
  <si>
    <t>PM-EVM</t>
  </si>
  <si>
    <t>Red RAG Action Recommendations</t>
  </si>
  <si>
    <t>Focused recovery actions for WBS items and control risks currently flagged Red. Evidence is pulled live from tbl_Task_Plan.</t>
  </si>
  <si>
    <t>STORY IN BRIEF</t>
  </si>
  <si>
    <t>The red status is mainly schedule-driven: Flooring, Fixtures &amp; Furniture, Partitions &amp; Drywall, HVAC, and Electrical Rough-In are the recovery priorities because their SPI and schedule variances are pulling the project off plan. Cost exposure is concentrated in Electrical Rough-In and HVAC, while completed red tasks need closeout variance review rather than delivery acceleration. The recommended response is a short recovery sprint: remove blockers, confirm subcontractor/material readiness, reset near-term dates, and escalate decision items already logged in the Review sheet.</t>
  </si>
  <si>
    <t>Red WBS items</t>
  </si>
  <si>
    <t>Worst red SPI</t>
  </si>
  <si>
    <t>Largest red SV</t>
  </si>
  <si>
    <t>Red forecast overrun</t>
  </si>
  <si>
    <t>Priority</t>
  </si>
  <si>
    <t>Red driver</t>
  </si>
  <si>
    <t>Live evidence</t>
  </si>
  <si>
    <t>Recommended action</t>
  </si>
  <si>
    <t>Schedule / not started</t>
  </si>
  <si>
    <t>Start recovery immediately: confirm all prerequisites from HVAC/drywall, lock crew/material availability, and publish a catch-up start/finish date within the next planning cycle.</t>
  </si>
  <si>
    <t>Low progress / schedule</t>
  </si>
  <si>
    <t>Run a blocker review with electrical rough-in and subcontractor leads; add resources or resequence drylining areas to recover the critical path.</t>
  </si>
  <si>
    <t>Subcontractor schedule + cost</t>
  </si>
  <si>
    <t>Require a subcontractor recovery plan: committed crew levels, daily output targets, and commercial review of cost burn versus earned progress.</t>
  </si>
  <si>
    <t>Cost + schedule</t>
  </si>
  <si>
    <t>Hold a root-cause review on low CPI/SPI; separate scope change from productivity loss, update EAC, and escalate any funding/date decision.</t>
  </si>
  <si>
    <t>Future work at risk</t>
  </si>
  <si>
    <t>Confirm fixture/furniture procurement, delivery slots, and installation dependency on flooring; prepare fallback suppliers if dates slip.</t>
  </si>
  <si>
    <t>Procurement / Planner</t>
  </si>
  <si>
    <t>Management effort behind plan</t>
  </si>
  <si>
    <t>Increase recovery cadence: daily issue log, weekly decision pack, and named owners for every red WBS mitigation.</t>
  </si>
  <si>
    <t>Completed cost variance</t>
  </si>
  <si>
    <t>Close out the small overrun: validate final actuals, code any one-off cost correctly, and prevent it from distorting future forecasts.</t>
  </si>
  <si>
    <t>Close out demolition/prep variance and capture lessons learned for estimate accuracy and crew productivity assumptions.</t>
  </si>
  <si>
    <t>ESCALATE / TRACK</t>
  </si>
  <si>
    <t>Use Review!A21:F23 as the decision log for schedule slippage, EAC/cost review, and red WBS mitigation. Use PID!A64:E65 as the risk register entries for schedule slippage and cost overrun. Refresh this sheet after changing the source Task Plan or thresholds.</t>
  </si>
  <si>
    <t>Red Actions</t>
  </si>
  <si>
    <t>Recommended recovery actions for all current red RAG WBS items and control risks.</t>
  </si>
  <si>
    <t xml:space="preserve"> </t>
  </si>
  <si>
    <t>Row Labels</t>
  </si>
  <si>
    <t>Grand Total</t>
  </si>
  <si>
    <t>Sum of BAC (NOK)</t>
  </si>
  <si>
    <t>High-Level Pivot Summary &amp; Descriptive Statistics</t>
  </si>
  <si>
    <t>Red WBS</t>
  </si>
  <si>
    <t>Total BAC</t>
  </si>
  <si>
    <t>Avg SPI</t>
  </si>
  <si>
    <t>Avg CPI</t>
  </si>
  <si>
    <t>Forecast overrun</t>
  </si>
  <si>
    <t>PivotTables summarize the key project-control tables; descriptive statistics are live formulas linked to the Task Plan source range.</t>
  </si>
  <si>
    <t>The project is under schedule pressure, with red WBS items concentrated in unfinished material/subcontractor and rough-in work. The PivotTables summarize exposure by Type, Status, WBS, and week; the descriptive statistics quantify central tendency and outliers across task-level cost and schedule metrics.</t>
  </si>
  <si>
    <t>DESCRIPTIVE STATISTICS</t>
  </si>
  <si>
    <t>Count</t>
  </si>
  <si>
    <t>Mean</t>
  </si>
  <si>
    <t>Median</t>
  </si>
  <si>
    <t>Std Dev</t>
  </si>
  <si>
    <t>Min</t>
  </si>
  <si>
    <t>Max</t>
  </si>
  <si>
    <t>PIVOT: COST / VALUE BY TYPE</t>
  </si>
  <si>
    <t>PIVOT: COST / VALUE BY STATUS</t>
  </si>
  <si>
    <t>PIVOT: ACTUAL COSTS BY WBS</t>
  </si>
  <si>
    <t>PIVOT: WEEKLY EVM SUMMARY</t>
  </si>
  <si>
    <t>Sum of PV @ Status</t>
  </si>
  <si>
    <t>Sum of AC @ Status</t>
  </si>
  <si>
    <t>Sum of EV @ Status</t>
  </si>
  <si>
    <t>Sum of SV</t>
  </si>
  <si>
    <t>Sum of CV</t>
  </si>
  <si>
    <t>Sum of VAC</t>
  </si>
  <si>
    <t>Sum of Actual_Cost</t>
  </si>
  <si>
    <t>Sum of Hours_Worked</t>
  </si>
  <si>
    <t>Sum of Cum PV</t>
  </si>
  <si>
    <t>Sum of Cum AC</t>
  </si>
  <si>
    <t>Sum of Cum EV</t>
  </si>
  <si>
    <t>Pivot Summary</t>
  </si>
  <si>
    <t>High-level PivotTables and descriptive statistics for project cost, schedule, EVM, and RAG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</si>
</sst>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0.00\ &quot;NOK&quot;"/>
    <numFmt numFmtId="167" formatCode="#,##0\ &quot;NOK&quot;"/>
  </numFmts>
  <fonts count="44" x14ac:knownFonts="1">
    <font>
      <sz val="11"/>
      <color theme="1"/>
      <name val="Calibri"/>
      <family val="2"/>
      <scheme val="minor"/>
    </font>
    <font>
      <b/>
      <sz val="11"/>
      <color theme="1"/>
      <name val="Calibri"/>
      <family val="2"/>
      <scheme val="minor"/>
    </font>
    <font>
      <sz val="11"/>
      <color rgb="FFFFFFFF"/>
      <name val="Calibri"/>
      <family val="2"/>
      <scheme val="minor"/>
    </font>
    <font>
      <b/>
      <sz val="11"/>
      <color rgb="FFFFFFFF"/>
      <name val="Calibri"/>
      <family val="2"/>
      <scheme val="minor"/>
    </font>
    <font>
      <sz val="11"/>
      <color rgb="FF990000"/>
      <name val="Calibri"/>
      <family val="2"/>
      <scheme val="minor"/>
    </font>
    <font>
      <sz val="11"/>
      <color rgb="FF274E13"/>
      <name val="Calibri"/>
      <family val="2"/>
      <scheme val="minor"/>
    </font>
    <font>
      <sz val="11"/>
      <color rgb="FF7F6000"/>
      <name val="Calibri"/>
      <family val="2"/>
      <scheme val="minor"/>
    </font>
    <font>
      <b/>
      <sz val="11"/>
      <color rgb="FF990000"/>
      <name val="Calibri"/>
      <family val="2"/>
      <scheme val="minor"/>
    </font>
    <font>
      <b/>
      <sz val="11"/>
      <color rgb="FF274E13"/>
      <name val="Calibri"/>
      <family val="2"/>
      <scheme val="minor"/>
    </font>
    <font>
      <b/>
      <sz val="11"/>
      <color rgb="FF7F6000"/>
      <name val="Calibri"/>
      <family val="2"/>
      <scheme val="minor"/>
    </font>
    <font>
      <i/>
      <sz val="10"/>
      <color rgb="FF7F8C8D"/>
      <name val="Aptos"/>
    </font>
    <font>
      <b/>
      <sz val="10"/>
      <color rgb="FF000000"/>
      <name val="Aptos"/>
    </font>
    <font>
      <sz val="10"/>
      <color rgb="FF000000"/>
      <name val="Aptos"/>
    </font>
    <font>
      <b/>
      <sz val="10"/>
      <color rgb="FF333333"/>
      <name val="Aptos"/>
    </font>
    <font>
      <b/>
      <sz val="10"/>
      <color rgb="FF2C3E50"/>
      <name val="Aptos"/>
    </font>
    <font>
      <sz val="10"/>
      <color theme="1"/>
      <name val="Aptos"/>
    </font>
    <font>
      <b/>
      <sz val="10"/>
      <color rgb="FFFFFFFF"/>
      <name val="Aptos"/>
    </font>
    <font>
      <b/>
      <sz val="10"/>
      <color rgb="FF274E13"/>
      <name val="Aptos"/>
    </font>
    <font>
      <b/>
      <sz val="10"/>
      <color theme="1"/>
      <name val="Aptos"/>
    </font>
    <font>
      <b/>
      <sz val="10"/>
      <color rgb="FF7F8C8D"/>
      <name val="Aptos"/>
    </font>
    <font>
      <b/>
      <sz val="10"/>
      <color rgb="FF7F6000"/>
      <name val="Aptos"/>
    </font>
    <font>
      <b/>
      <sz val="10"/>
      <color rgb="FF990000"/>
      <name val="Aptos"/>
    </font>
    <font>
      <sz val="10"/>
      <color rgb="FF333333"/>
      <name val="Aptos"/>
    </font>
    <font>
      <b/>
      <sz val="18"/>
      <color rgb="FFFFFFFF"/>
      <name val="Calibri"/>
      <family val="2"/>
      <scheme val="minor"/>
    </font>
    <font>
      <i/>
      <sz val="11"/>
      <color rgb="FF666666"/>
      <name val="Calibri"/>
      <family val="2"/>
      <scheme val="minor"/>
    </font>
    <font>
      <b/>
      <sz val="11"/>
      <color rgb="FF4F6D7A"/>
      <name val="Calibri"/>
      <family val="2"/>
      <scheme val="minor"/>
    </font>
    <font>
      <sz val="11"/>
      <color rgb="FF4F6D7A"/>
      <name val="Calibri"/>
      <family val="2"/>
      <scheme val="minor"/>
    </font>
    <font>
      <b/>
      <sz val="11"/>
      <color rgb="FF000000"/>
      <name val="Calibri"/>
      <family val="2"/>
      <scheme val="minor"/>
    </font>
    <font>
      <b/>
      <sz val="11"/>
      <color rgb="FF666666"/>
      <name val="Calibri"/>
      <family val="2"/>
      <scheme val="minor"/>
    </font>
    <font>
      <b/>
      <sz val="11"/>
      <color rgb="FFC00000"/>
      <name val="Calibri"/>
      <family val="2"/>
      <scheme val="minor"/>
    </font>
    <font>
      <i/>
      <sz val="11"/>
      <color rgb="FF555555"/>
      <name val="Calibri"/>
      <family val="2"/>
      <scheme val="minor"/>
    </font>
    <font>
      <b/>
      <sz val="12"/>
      <color rgb="FFFFFFFF"/>
      <name val="Calibri"/>
      <family val="2"/>
      <scheme val="minor"/>
    </font>
    <font>
      <b/>
      <sz val="9"/>
      <color rgb="FFFFFFFF"/>
      <name val="Calibri"/>
      <family val="2"/>
      <scheme val="minor"/>
    </font>
    <font>
      <sz val="9"/>
      <color theme="1"/>
      <name val="Calibri"/>
      <family val="2"/>
      <scheme val="minor"/>
    </font>
    <font>
      <b/>
      <sz val="18"/>
      <color rgb="FFFFFFFF"/>
      <name val="Calibri"/>
      <scheme val="minor"/>
    </font>
    <font>
      <i/>
      <sz val="11"/>
      <color rgb="FF555555"/>
      <name val="Calibri"/>
      <scheme val="minor"/>
    </font>
    <font>
      <b/>
      <sz val="11"/>
      <color rgb="FFFFFFFF"/>
      <name val="Calibri"/>
      <scheme val="minor"/>
    </font>
    <font>
      <sz val="11"/>
      <color rgb="FF333333"/>
      <name val="Calibri"/>
      <scheme val="minor"/>
    </font>
    <font>
      <b/>
      <sz val="11"/>
      <color rgb="FF7F1D1D"/>
      <name val="Calibri"/>
      <scheme val="minor"/>
    </font>
    <font>
      <sz val="11"/>
      <color rgb="FF7F1D1D"/>
      <name val="Calibri"/>
      <scheme val="minor"/>
    </font>
    <font>
      <b/>
      <sz val="14"/>
      <color rgb="FF7F1D1D"/>
      <name val="Calibri"/>
      <scheme val="minor"/>
    </font>
    <font>
      <sz val="11"/>
      <color theme="1"/>
      <name val="Calibri"/>
      <scheme val="minor"/>
    </font>
    <font>
      <b/>
      <sz val="11"/>
      <color theme="1"/>
      <name val="Calibri"/>
      <scheme val="minor"/>
    </font>
    <font>
      <b/>
      <sz val="12"/>
      <color theme="1"/>
      <name val="Calibri"/>
      <scheme val="minor"/>
    </font>
  </fonts>
  <fills count="27">
    <fill>
      <patternFill patternType="none"/>
    </fill>
    <fill>
      <patternFill patternType="gray125"/>
    </fill>
    <fill>
      <patternFill patternType="solid">
        <fgColor rgb="FFF2F4F4"/>
        <bgColor rgb="FFF2F4F4"/>
      </patternFill>
    </fill>
    <fill>
      <patternFill patternType="solid">
        <fgColor rgb="FFFBFCFC"/>
        <bgColor rgb="FFFBFCFC"/>
      </patternFill>
    </fill>
    <fill>
      <patternFill patternType="solid">
        <fgColor rgb="FF1F4E3D"/>
        <bgColor indexed="64"/>
      </patternFill>
    </fill>
    <fill>
      <patternFill patternType="solid">
        <fgColor rgb="FFF4CCCC"/>
        <bgColor indexed="64"/>
      </patternFill>
    </fill>
    <fill>
      <patternFill patternType="solid">
        <fgColor rgb="FFD9EAD3"/>
        <bgColor indexed="64"/>
      </patternFill>
    </fill>
    <fill>
      <patternFill patternType="solid">
        <fgColor rgb="FFFFF2CC"/>
        <bgColor indexed="64"/>
      </patternFill>
    </fill>
    <fill>
      <patternFill patternType="solid">
        <fgColor rgb="FFF3F6F4"/>
        <bgColor indexed="64"/>
      </patternFill>
    </fill>
    <fill>
      <patternFill patternType="solid">
        <fgColor rgb="FFE2F0D9"/>
        <bgColor indexed="64"/>
      </patternFill>
    </fill>
    <fill>
      <patternFill patternType="solid">
        <fgColor rgb="FF70AD47"/>
        <bgColor indexed="64"/>
      </patternFill>
    </fill>
    <fill>
      <patternFill patternType="solid">
        <fgColor rgb="FFFFC000"/>
        <bgColor indexed="64"/>
      </patternFill>
    </fill>
    <fill>
      <patternFill patternType="solid">
        <fgColor rgb="FFC00000"/>
        <bgColor indexed="64"/>
      </patternFill>
    </fill>
    <fill>
      <patternFill patternType="solid">
        <fgColor rgb="FFFFFFFF"/>
        <bgColor indexed="64"/>
      </patternFill>
    </fill>
    <fill>
      <patternFill patternType="solid">
        <fgColor rgb="FF4F6D7A"/>
        <bgColor indexed="64"/>
      </patternFill>
    </fill>
    <fill>
      <patternFill patternType="solid">
        <fgColor rgb="FFFCE4D6"/>
        <bgColor indexed="64"/>
      </patternFill>
    </fill>
    <fill>
      <patternFill patternType="solid">
        <fgColor rgb="FF7030A0"/>
        <bgColor indexed="64"/>
      </patternFill>
    </fill>
    <fill>
      <patternFill patternType="solid">
        <fgColor rgb="FF5B9BD5"/>
        <bgColor indexed="64"/>
      </patternFill>
    </fill>
    <fill>
      <patternFill patternType="solid">
        <fgColor rgb="FFED7D31"/>
        <bgColor indexed="64"/>
      </patternFill>
    </fill>
    <fill>
      <patternFill patternType="solid">
        <fgColor rgb="FFA6A6A6"/>
        <bgColor indexed="64"/>
      </patternFill>
    </fill>
    <fill>
      <patternFill patternType="solid">
        <fgColor rgb="FFFFD966"/>
        <bgColor indexed="64"/>
      </patternFill>
    </fill>
    <fill>
      <patternFill patternType="solid">
        <fgColor rgb="FF0F172A"/>
        <bgColor indexed="64"/>
      </patternFill>
    </fill>
    <fill>
      <patternFill patternType="solid">
        <fgColor rgb="FF1E3A8A"/>
        <bgColor indexed="64"/>
      </patternFill>
    </fill>
    <fill>
      <patternFill patternType="solid">
        <fgColor rgb="FF7F1D1D"/>
        <bgColor indexed="64"/>
      </patternFill>
    </fill>
    <fill>
      <patternFill patternType="solid">
        <fgColor rgb="FF991B1B"/>
        <bgColor indexed="64"/>
      </patternFill>
    </fill>
    <fill>
      <patternFill patternType="solid">
        <fgColor rgb="FFFEE2E2"/>
        <bgColor indexed="64"/>
      </patternFill>
    </fill>
    <fill>
      <patternFill patternType="solid">
        <fgColor rgb="FFF1F5F9"/>
        <bgColor indexed="64"/>
      </patternFill>
    </fill>
  </fills>
  <borders count="14">
    <border>
      <left/>
      <right/>
      <top/>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rgb="FFB7B7B7"/>
      </left>
      <right/>
      <top/>
      <bottom style="thin">
        <color rgb="FFB7B7B7"/>
      </bottom>
      <diagonal/>
    </border>
    <border>
      <left/>
      <right style="thin">
        <color rgb="FFB7B7B7"/>
      </right>
      <top style="thin">
        <color rgb="FFB7B7B7"/>
      </top>
      <bottom/>
      <diagonal/>
    </border>
    <border>
      <left style="thin">
        <color rgb="FFB7B7B7"/>
      </left>
      <right/>
      <top style="thin">
        <color rgb="FFB7B7B7"/>
      </top>
      <bottom/>
      <diagonal/>
    </border>
    <border>
      <left style="thin">
        <color rgb="FFB7B7B7"/>
      </left>
      <right style="thin">
        <color rgb="FFB7B7B7"/>
      </right>
      <top/>
      <bottom/>
      <diagonal/>
    </border>
    <border>
      <left style="thin">
        <color rgb="FFB7B7B7"/>
      </left>
      <right/>
      <top/>
      <bottom/>
      <diagonal/>
    </border>
    <border>
      <left/>
      <right/>
      <top style="thin">
        <color rgb="FFB7B7B7"/>
      </top>
      <bottom/>
      <diagonal/>
    </border>
  </borders>
  <cellStyleXfs count="1">
    <xf numFmtId="0" fontId="0" fillId="0" borderId="0"/>
  </cellStyleXfs>
  <cellXfs count="273">
    <xf numFmtId="0" fontId="0" fillId="0" borderId="0" xfId="0"/>
    <xf numFmtId="0" fontId="2" fillId="4" borderId="0" xfId="0" applyFont="1" applyFill="1"/>
    <xf numFmtId="0" fontId="0" fillId="0" borderId="3" xfId="0" applyBorder="1"/>
    <xf numFmtId="0" fontId="3" fillId="4" borderId="3" xfId="0" applyFont="1" applyFill="1" applyBorder="1"/>
    <xf numFmtId="0" fontId="5" fillId="6" borderId="3" xfId="0" applyFont="1" applyFill="1" applyBorder="1"/>
    <xf numFmtId="0" fontId="0" fillId="7" borderId="3" xfId="0" applyFill="1" applyBorder="1"/>
    <xf numFmtId="0" fontId="8" fillId="6" borderId="3" xfId="0" applyFont="1" applyFill="1" applyBorder="1"/>
    <xf numFmtId="0" fontId="1" fillId="0" borderId="3" xfId="0" applyFont="1" applyBorder="1"/>
    <xf numFmtId="0" fontId="9" fillId="7" borderId="3" xfId="0" applyFont="1" applyFill="1" applyBorder="1"/>
    <xf numFmtId="0" fontId="7" fillId="5" borderId="3" xfId="0" applyFont="1" applyFill="1" applyBorder="1"/>
    <xf numFmtId="165" fontId="11" fillId="0" borderId="3" xfId="0" applyNumberFormat="1" applyFont="1" applyBorder="1" applyAlignment="1">
      <alignment horizontal="right"/>
    </xf>
    <xf numFmtId="4" fontId="11" fillId="0" borderId="3" xfId="0" applyNumberFormat="1" applyFont="1" applyBorder="1" applyAlignment="1">
      <alignment horizontal="right"/>
    </xf>
    <xf numFmtId="2" fontId="11" fillId="0" borderId="3" xfId="0" applyNumberFormat="1" applyFont="1" applyBorder="1" applyAlignment="1">
      <alignment horizontal="right"/>
    </xf>
    <xf numFmtId="165" fontId="11" fillId="3" borderId="3" xfId="0" applyNumberFormat="1" applyFont="1" applyFill="1" applyBorder="1" applyAlignment="1">
      <alignment horizontal="right"/>
    </xf>
    <xf numFmtId="4" fontId="11" fillId="3" borderId="3" xfId="0" applyNumberFormat="1" applyFont="1" applyFill="1" applyBorder="1" applyAlignment="1">
      <alignment horizontal="right"/>
    </xf>
    <xf numFmtId="2" fontId="11" fillId="3" borderId="3" xfId="0" applyNumberFormat="1" applyFont="1" applyFill="1" applyBorder="1" applyAlignment="1">
      <alignment horizontal="right"/>
    </xf>
    <xf numFmtId="0" fontId="11" fillId="3" borderId="3" xfId="0" applyFont="1" applyFill="1" applyBorder="1" applyAlignment="1">
      <alignment horizontal="center"/>
    </xf>
    <xf numFmtId="0" fontId="18" fillId="0" borderId="3" xfId="0" applyFont="1" applyBorder="1"/>
    <xf numFmtId="0" fontId="15" fillId="0" borderId="4" xfId="0" applyFont="1" applyBorder="1"/>
    <xf numFmtId="0" fontId="15" fillId="0" borderId="2" xfId="0" applyFont="1" applyBorder="1"/>
    <xf numFmtId="4" fontId="12" fillId="0" borderId="1" xfId="0" applyNumberFormat="1" applyFont="1" applyBorder="1" applyAlignment="1">
      <alignment horizontal="right"/>
    </xf>
    <xf numFmtId="4" fontId="11" fillId="3" borderId="1" xfId="0" applyNumberFormat="1" applyFont="1" applyFill="1" applyBorder="1" applyAlignment="1">
      <alignment horizontal="right"/>
    </xf>
    <xf numFmtId="0" fontId="14" fillId="0" borderId="3" xfId="0" applyFont="1" applyBorder="1"/>
    <xf numFmtId="0" fontId="15" fillId="0" borderId="3" xfId="0" applyFont="1" applyBorder="1"/>
    <xf numFmtId="0" fontId="10" fillId="0" borderId="3" xfId="0" applyFont="1" applyBorder="1"/>
    <xf numFmtId="0" fontId="11" fillId="0" borderId="3" xfId="0" applyFont="1" applyBorder="1"/>
    <xf numFmtId="164" fontId="12" fillId="0" borderId="3" xfId="0" applyNumberFormat="1" applyFont="1" applyBorder="1" applyAlignment="1">
      <alignment horizontal="left"/>
    </xf>
    <xf numFmtId="0" fontId="12" fillId="0" borderId="3" xfId="0" applyFont="1" applyBorder="1" applyAlignment="1">
      <alignment horizontal="left"/>
    </xf>
    <xf numFmtId="0" fontId="12" fillId="0" borderId="3" xfId="0" applyFont="1" applyBorder="1"/>
    <xf numFmtId="0" fontId="19" fillId="0" borderId="3" xfId="0" applyFont="1" applyBorder="1"/>
    <xf numFmtId="0" fontId="16" fillId="4" borderId="3" xfId="0" applyFont="1" applyFill="1" applyBorder="1" applyAlignment="1">
      <alignment horizontal="center"/>
    </xf>
    <xf numFmtId="4" fontId="12" fillId="0" borderId="3" xfId="0" applyNumberFormat="1" applyFont="1" applyBorder="1" applyAlignment="1">
      <alignment horizontal="right"/>
    </xf>
    <xf numFmtId="0" fontId="11" fillId="3" borderId="3" xfId="0" applyFont="1" applyFill="1" applyBorder="1" applyAlignment="1">
      <alignment horizontal="left"/>
    </xf>
    <xf numFmtId="0" fontId="11" fillId="3" borderId="3" xfId="0" applyFont="1" applyFill="1" applyBorder="1"/>
    <xf numFmtId="4" fontId="12" fillId="0" borderId="3" xfId="0" applyNumberFormat="1" applyFont="1" applyBorder="1"/>
    <xf numFmtId="2" fontId="12" fillId="0" borderId="3" xfId="0" applyNumberFormat="1" applyFont="1" applyBorder="1"/>
    <xf numFmtId="0" fontId="16" fillId="4" borderId="5" xfId="0" applyFont="1" applyFill="1" applyBorder="1" applyAlignment="1">
      <alignment horizontal="center"/>
    </xf>
    <xf numFmtId="0" fontId="15" fillId="0" borderId="6" xfId="0" applyFont="1" applyBorder="1"/>
    <xf numFmtId="4" fontId="12" fillId="0" borderId="2" xfId="0" applyNumberFormat="1" applyFont="1" applyBorder="1" applyAlignment="1">
      <alignment horizontal="right"/>
    </xf>
    <xf numFmtId="4" fontId="11" fillId="3" borderId="2" xfId="0" applyNumberFormat="1" applyFont="1" applyFill="1" applyBorder="1" applyAlignment="1">
      <alignment horizontal="right"/>
    </xf>
    <xf numFmtId="4" fontId="12" fillId="0" borderId="4" xfId="0" applyNumberFormat="1" applyFont="1" applyBorder="1" applyAlignment="1">
      <alignment horizontal="right"/>
    </xf>
    <xf numFmtId="4" fontId="11" fillId="3" borderId="4" xfId="0" applyNumberFormat="1" applyFont="1" applyFill="1" applyBorder="1" applyAlignment="1">
      <alignment horizontal="right"/>
    </xf>
    <xf numFmtId="0" fontId="15" fillId="0" borderId="5" xfId="0" applyFont="1" applyBorder="1"/>
    <xf numFmtId="0" fontId="23" fillId="4" borderId="0" xfId="0" applyFont="1" applyFill="1"/>
    <xf numFmtId="0" fontId="24" fillId="0" borderId="0" xfId="0" applyFont="1" applyAlignment="1">
      <alignment wrapText="1"/>
    </xf>
    <xf numFmtId="0" fontId="3" fillId="4" borderId="3" xfId="0" applyFont="1" applyFill="1" applyBorder="1" applyAlignment="1">
      <alignment horizontal="center"/>
    </xf>
    <xf numFmtId="164" fontId="0" fillId="0" borderId="3" xfId="0" applyNumberFormat="1" applyBorder="1"/>
    <xf numFmtId="1" fontId="0" fillId="0" borderId="3" xfId="0" applyNumberFormat="1" applyBorder="1"/>
    <xf numFmtId="165" fontId="0" fillId="0" borderId="3" xfId="0" applyNumberFormat="1" applyBorder="1"/>
    <xf numFmtId="4" fontId="0" fillId="0" borderId="3" xfId="0" applyNumberFormat="1" applyBorder="1"/>
    <xf numFmtId="2" fontId="0" fillId="0" borderId="3" xfId="0" applyNumberFormat="1" applyBorder="1"/>
    <xf numFmtId="0" fontId="1" fillId="0" borderId="0" xfId="0" applyFont="1"/>
    <xf numFmtId="0" fontId="7" fillId="5" borderId="0" xfId="0" applyFont="1" applyFill="1"/>
    <xf numFmtId="0" fontId="25" fillId="0" borderId="3" xfId="0" applyFont="1" applyBorder="1"/>
    <xf numFmtId="0" fontId="0" fillId="0" borderId="3" xfId="0" applyBorder="1" applyAlignment="1">
      <alignment wrapText="1"/>
    </xf>
    <xf numFmtId="0" fontId="1" fillId="9" borderId="3" xfId="0" applyFont="1" applyFill="1" applyBorder="1"/>
    <xf numFmtId="164" fontId="1" fillId="9" borderId="3" xfId="0" applyNumberFormat="1" applyFont="1" applyFill="1" applyBorder="1"/>
    <xf numFmtId="1" fontId="1" fillId="9" borderId="3" xfId="0" applyNumberFormat="1" applyFont="1" applyFill="1" applyBorder="1"/>
    <xf numFmtId="4" fontId="1" fillId="9" borderId="3" xfId="0" applyNumberFormat="1" applyFont="1" applyFill="1" applyBorder="1"/>
    <xf numFmtId="165" fontId="1" fillId="9" borderId="3" xfId="0" applyNumberFormat="1" applyFont="1" applyFill="1" applyBorder="1"/>
    <xf numFmtId="2" fontId="1" fillId="9" borderId="3" xfId="0" applyNumberFormat="1" applyFont="1" applyFill="1" applyBorder="1"/>
    <xf numFmtId="0" fontId="0" fillId="0" borderId="0" xfId="0" applyAlignment="1">
      <alignment wrapText="1"/>
    </xf>
    <xf numFmtId="0" fontId="0" fillId="8" borderId="3" xfId="0" applyFill="1" applyBorder="1"/>
    <xf numFmtId="0" fontId="26" fillId="0" borderId="3" xfId="0" applyFont="1" applyBorder="1" applyAlignment="1">
      <alignment wrapText="1"/>
    </xf>
    <xf numFmtId="0" fontId="25" fillId="0" borderId="0" xfId="0" applyFont="1"/>
    <xf numFmtId="0" fontId="3" fillId="10" borderId="3" xfId="0" applyFont="1" applyFill="1" applyBorder="1"/>
    <xf numFmtId="0" fontId="27" fillId="11" borderId="3" xfId="0" applyFont="1" applyFill="1" applyBorder="1"/>
    <xf numFmtId="0" fontId="3" fillId="12" borderId="3" xfId="0" applyFont="1" applyFill="1" applyBorder="1"/>
    <xf numFmtId="0" fontId="28" fillId="13" borderId="3" xfId="0" applyFont="1" applyFill="1" applyBorder="1"/>
    <xf numFmtId="0" fontId="1" fillId="0" borderId="3" xfId="0" applyFont="1" applyBorder="1" applyAlignment="1">
      <alignment wrapText="1"/>
    </xf>
    <xf numFmtId="0" fontId="3" fillId="14" borderId="0" xfId="0" applyFont="1" applyFill="1"/>
    <xf numFmtId="164" fontId="0" fillId="7" borderId="3" xfId="0" applyNumberFormat="1" applyFill="1" applyBorder="1"/>
    <xf numFmtId="0" fontId="3" fillId="14" borderId="3" xfId="0" applyFont="1" applyFill="1" applyBorder="1"/>
    <xf numFmtId="0" fontId="0" fillId="7" borderId="3" xfId="0" applyFill="1" applyBorder="1" applyAlignment="1">
      <alignment wrapText="1"/>
    </xf>
    <xf numFmtId="0" fontId="0" fillId="9" borderId="3" xfId="0" applyFill="1" applyBorder="1"/>
    <xf numFmtId="0" fontId="0" fillId="15" borderId="3" xfId="0" applyFill="1" applyBorder="1"/>
    <xf numFmtId="0" fontId="0" fillId="16" borderId="3" xfId="0" applyFill="1" applyBorder="1"/>
    <xf numFmtId="0" fontId="0" fillId="17" borderId="3" xfId="0" applyFill="1" applyBorder="1"/>
    <xf numFmtId="0" fontId="0" fillId="10" borderId="3" xfId="0" applyFill="1" applyBorder="1"/>
    <xf numFmtId="0" fontId="0" fillId="18" borderId="3" xfId="0" applyFill="1" applyBorder="1"/>
    <xf numFmtId="0" fontId="0" fillId="19" borderId="3" xfId="0" applyFill="1" applyBorder="1"/>
    <xf numFmtId="0" fontId="0" fillId="20" borderId="3" xfId="0" applyFill="1" applyBorder="1"/>
    <xf numFmtId="0" fontId="1" fillId="20" borderId="3" xfId="0" applyFont="1" applyFill="1" applyBorder="1"/>
    <xf numFmtId="0" fontId="1" fillId="10" borderId="3" xfId="0" applyFont="1" applyFill="1" applyBorder="1"/>
    <xf numFmtId="0" fontId="1" fillId="18" borderId="3" xfId="0" applyFont="1" applyFill="1" applyBorder="1"/>
    <xf numFmtId="164" fontId="3" fillId="4" borderId="3" xfId="0" applyNumberFormat="1" applyFont="1" applyFill="1" applyBorder="1" applyAlignment="1">
      <alignment horizontal="center"/>
    </xf>
    <xf numFmtId="2" fontId="7" fillId="5" borderId="3" xfId="0" applyNumberFormat="1" applyFont="1" applyFill="1" applyBorder="1"/>
    <xf numFmtId="4" fontId="7" fillId="5" borderId="3" xfId="0" applyNumberFormat="1" applyFont="1" applyFill="1" applyBorder="1"/>
    <xf numFmtId="2" fontId="8" fillId="6" borderId="3" xfId="0" applyNumberFormat="1" applyFont="1" applyFill="1" applyBorder="1"/>
    <xf numFmtId="4" fontId="8" fillId="6" borderId="3" xfId="0" applyNumberFormat="1" applyFont="1" applyFill="1" applyBorder="1"/>
    <xf numFmtId="2" fontId="0" fillId="15" borderId="3" xfId="0" applyNumberFormat="1" applyFill="1" applyBorder="1"/>
    <xf numFmtId="2" fontId="1" fillId="15" borderId="3" xfId="0" applyNumberFormat="1" applyFont="1" applyFill="1" applyBorder="1"/>
    <xf numFmtId="4" fontId="0" fillId="15" borderId="3" xfId="0" applyNumberFormat="1" applyFill="1" applyBorder="1"/>
    <xf numFmtId="4" fontId="1" fillId="15" borderId="3" xfId="0" applyNumberFormat="1" applyFont="1" applyFill="1" applyBorder="1"/>
    <xf numFmtId="164" fontId="29" fillId="15" borderId="3" xfId="0" applyNumberFormat="1" applyFont="1" applyFill="1" applyBorder="1" applyAlignment="1">
      <alignment horizontal="center"/>
    </xf>
    <xf numFmtId="0" fontId="29" fillId="15" borderId="3" xfId="0" applyFont="1" applyFill="1" applyBorder="1" applyAlignment="1">
      <alignment horizontal="center"/>
    </xf>
    <xf numFmtId="165" fontId="7" fillId="5" borderId="3" xfId="0" applyNumberFormat="1" applyFont="1" applyFill="1" applyBorder="1"/>
    <xf numFmtId="165" fontId="8" fillId="6" borderId="3" xfId="0" applyNumberFormat="1" applyFont="1" applyFill="1" applyBorder="1"/>
    <xf numFmtId="14" fontId="0" fillId="0" borderId="3" xfId="0" applyNumberFormat="1" applyBorder="1"/>
    <xf numFmtId="0" fontId="0" fillId="0" borderId="3" xfId="0" applyBorder="1" applyAlignment="1">
      <alignment wrapText="1"/>
    </xf>
    <xf numFmtId="0" fontId="23" fillId="4" borderId="0" xfId="0" applyFont="1" applyFill="1" applyAlignment="1">
      <alignment horizontal="left"/>
    </xf>
    <xf numFmtId="0" fontId="23" fillId="4" borderId="0" xfId="0" applyFont="1" applyFill="1"/>
    <xf numFmtId="0" fontId="24" fillId="0" borderId="0" xfId="0" applyFont="1" applyAlignment="1">
      <alignment wrapText="1"/>
    </xf>
    <xf numFmtId="0" fontId="3" fillId="4" borderId="3" xfId="0" applyFont="1" applyFill="1" applyBorder="1"/>
    <xf numFmtId="0" fontId="0" fillId="7" borderId="3" xfId="0" applyFill="1" applyBorder="1" applyAlignment="1">
      <alignment wrapText="1"/>
    </xf>
    <xf numFmtId="0" fontId="3" fillId="14" borderId="3" xfId="0" applyFont="1" applyFill="1" applyBorder="1"/>
    <xf numFmtId="0" fontId="3" fillId="14" borderId="0" xfId="0" applyFont="1" applyFill="1"/>
    <xf numFmtId="0" fontId="0" fillId="0" borderId="0" xfId="0" applyAlignment="1">
      <alignment wrapText="1"/>
    </xf>
    <xf numFmtId="166" fontId="14" fillId="3" borderId="3" xfId="0" applyNumberFormat="1" applyFont="1" applyFill="1" applyBorder="1" applyAlignment="1">
      <alignment horizontal="left" vertical="center"/>
    </xf>
    <xf numFmtId="166" fontId="15" fillId="0" borderId="3" xfId="0" applyNumberFormat="1" applyFont="1" applyBorder="1"/>
    <xf numFmtId="166" fontId="18" fillId="0" borderId="3" xfId="0" applyNumberFormat="1" applyFont="1" applyBorder="1"/>
    <xf numFmtId="166" fontId="18" fillId="0" borderId="2" xfId="0" applyNumberFormat="1" applyFont="1" applyBorder="1"/>
    <xf numFmtId="166" fontId="13" fillId="8" borderId="3" xfId="0" applyNumberFormat="1" applyFont="1" applyFill="1" applyBorder="1" applyAlignment="1">
      <alignment horizontal="left" vertical="center"/>
    </xf>
    <xf numFmtId="166" fontId="13" fillId="8" borderId="3" xfId="0" applyNumberFormat="1" applyFont="1" applyFill="1" applyBorder="1"/>
    <xf numFmtId="166" fontId="13" fillId="8" borderId="2" xfId="0" applyNumberFormat="1" applyFont="1" applyFill="1" applyBorder="1"/>
    <xf numFmtId="2" fontId="14" fillId="3" borderId="3" xfId="0" applyNumberFormat="1" applyFont="1" applyFill="1" applyBorder="1" applyAlignment="1">
      <alignment horizontal="left" vertical="center"/>
    </xf>
    <xf numFmtId="2" fontId="18" fillId="0" borderId="3" xfId="0" applyNumberFormat="1" applyFont="1" applyBorder="1"/>
    <xf numFmtId="2" fontId="18" fillId="0" borderId="2" xfId="0" applyNumberFormat="1" applyFont="1" applyBorder="1"/>
    <xf numFmtId="165" fontId="14" fillId="3" borderId="3" xfId="0" applyNumberFormat="1" applyFont="1" applyFill="1" applyBorder="1" applyAlignment="1">
      <alignment horizontal="left" vertical="center"/>
    </xf>
    <xf numFmtId="165" fontId="18" fillId="0" borderId="3" xfId="0" applyNumberFormat="1" applyFont="1" applyBorder="1"/>
    <xf numFmtId="0" fontId="0" fillId="0" borderId="0" xfId="0" applyBorder="1"/>
    <xf numFmtId="14" fontId="0" fillId="0" borderId="0" xfId="0" applyNumberFormat="1" applyBorder="1"/>
    <xf numFmtId="1" fontId="0" fillId="0" borderId="0" xfId="0" applyNumberFormat="1" applyBorder="1"/>
    <xf numFmtId="165" fontId="0" fillId="0" borderId="0" xfId="0" applyNumberFormat="1" applyBorder="1"/>
    <xf numFmtId="2" fontId="0" fillId="0" borderId="0" xfId="0" applyNumberFormat="1" applyBorder="1"/>
    <xf numFmtId="0" fontId="30" fillId="0" borderId="0" xfId="0" applyFont="1" applyAlignment="1">
      <alignment wrapText="1"/>
    </xf>
    <xf numFmtId="0" fontId="3" fillId="4" borderId="6" xfId="0" applyFont="1" applyFill="1" applyBorder="1" applyAlignment="1">
      <alignment horizontal="center"/>
    </xf>
    <xf numFmtId="0" fontId="0" fillId="0" borderId="5" xfId="0" applyBorder="1" applyAlignment="1">
      <alignment wrapText="1"/>
    </xf>
    <xf numFmtId="0" fontId="1" fillId="0" borderId="5" xfId="0" applyFont="1" applyBorder="1" applyAlignment="1">
      <alignment wrapText="1"/>
    </xf>
    <xf numFmtId="0" fontId="3" fillId="4" borderId="4" xfId="0" applyFont="1" applyFill="1" applyBorder="1" applyAlignment="1">
      <alignment horizontal="center"/>
    </xf>
    <xf numFmtId="0" fontId="0" fillId="0" borderId="4" xfId="0" applyBorder="1"/>
    <xf numFmtId="0" fontId="0" fillId="0" borderId="2" xfId="0" applyBorder="1"/>
    <xf numFmtId="0" fontId="3" fillId="4" borderId="7" xfId="0" applyFont="1" applyFill="1" applyBorder="1" applyAlignment="1">
      <alignment horizontal="center"/>
    </xf>
    <xf numFmtId="0" fontId="3" fillId="4" borderId="8" xfId="0" applyFont="1" applyFill="1" applyBorder="1" applyAlignment="1">
      <alignment horizontal="center"/>
    </xf>
    <xf numFmtId="0" fontId="0" fillId="0" borderId="9" xfId="0" applyBorder="1"/>
    <xf numFmtId="0" fontId="0" fillId="0" borderId="5" xfId="0" applyBorder="1"/>
    <xf numFmtId="0" fontId="0" fillId="0" borderId="10" xfId="0" applyBorder="1"/>
    <xf numFmtId="0" fontId="3" fillId="4" borderId="2" xfId="0" applyFont="1" applyFill="1" applyBorder="1"/>
    <xf numFmtId="4" fontId="0" fillId="0" borderId="2" xfId="0" applyNumberFormat="1" applyBorder="1"/>
    <xf numFmtId="0" fontId="3" fillId="4" borderId="7" xfId="0" applyFont="1" applyFill="1" applyBorder="1"/>
    <xf numFmtId="0" fontId="3" fillId="4" borderId="6" xfId="0" applyFont="1" applyFill="1" applyBorder="1"/>
    <xf numFmtId="0" fontId="3" fillId="4" borderId="8" xfId="0" applyFont="1" applyFill="1" applyBorder="1"/>
    <xf numFmtId="4" fontId="0" fillId="0" borderId="5" xfId="0" applyNumberFormat="1" applyBorder="1"/>
    <xf numFmtId="4" fontId="0" fillId="0" borderId="10" xfId="0" applyNumberFormat="1" applyBorder="1"/>
    <xf numFmtId="0" fontId="0" fillId="0" borderId="2" xfId="0" applyBorder="1" applyAlignment="1">
      <alignment wrapText="1"/>
    </xf>
    <xf numFmtId="0" fontId="0" fillId="0" borderId="10" xfId="0" applyBorder="1" applyAlignment="1">
      <alignment wrapText="1"/>
    </xf>
    <xf numFmtId="0" fontId="0" fillId="0" borderId="4" xfId="0" applyBorder="1" applyAlignment="1">
      <alignment wrapText="1"/>
    </xf>
    <xf numFmtId="0" fontId="0" fillId="0" borderId="9" xfId="0" applyBorder="1" applyAlignment="1">
      <alignment wrapText="1"/>
    </xf>
    <xf numFmtId="0" fontId="8" fillId="6" borderId="5" xfId="0" applyFont="1" applyFill="1" applyBorder="1"/>
    <xf numFmtId="164" fontId="0" fillId="0" borderId="2" xfId="0" applyNumberFormat="1" applyBorder="1"/>
    <xf numFmtId="166" fontId="0" fillId="0" borderId="2" xfId="0" applyNumberFormat="1" applyBorder="1"/>
    <xf numFmtId="2" fontId="0" fillId="0" borderId="2" xfId="0" applyNumberFormat="1" applyBorder="1"/>
    <xf numFmtId="2" fontId="0" fillId="0" borderId="10" xfId="0" applyNumberFormat="1" applyBorder="1"/>
    <xf numFmtId="0" fontId="5" fillId="6" borderId="4" xfId="0" applyFont="1" applyFill="1" applyBorder="1"/>
    <xf numFmtId="0" fontId="6" fillId="7" borderId="4" xfId="0" applyFont="1" applyFill="1" applyBorder="1"/>
    <xf numFmtId="0" fontId="4" fillId="5" borderId="4" xfId="0" applyFont="1" applyFill="1" applyBorder="1"/>
    <xf numFmtId="0" fontId="4" fillId="5" borderId="9" xfId="0" applyFont="1" applyFill="1" applyBorder="1"/>
    <xf numFmtId="164" fontId="0" fillId="0" borderId="5" xfId="0" applyNumberFormat="1" applyBorder="1"/>
    <xf numFmtId="1" fontId="0" fillId="0" borderId="5" xfId="0" applyNumberFormat="1" applyBorder="1"/>
    <xf numFmtId="165" fontId="0" fillId="0" borderId="5" xfId="0" applyNumberFormat="1" applyBorder="1"/>
    <xf numFmtId="2" fontId="0" fillId="0" borderId="5" xfId="0" applyNumberFormat="1" applyBorder="1"/>
    <xf numFmtId="0" fontId="0" fillId="7" borderId="4" xfId="0" applyFill="1" applyBorder="1"/>
    <xf numFmtId="0" fontId="0" fillId="7" borderId="2" xfId="0" applyFill="1" applyBorder="1"/>
    <xf numFmtId="0" fontId="0" fillId="7" borderId="9" xfId="0" applyFill="1" applyBorder="1"/>
    <xf numFmtId="0" fontId="0" fillId="7" borderId="5" xfId="0" applyFill="1" applyBorder="1"/>
    <xf numFmtId="0" fontId="0" fillId="7" borderId="5" xfId="0" applyFill="1" applyBorder="1" applyAlignment="1">
      <alignment wrapText="1"/>
    </xf>
    <xf numFmtId="0" fontId="0" fillId="7" borderId="10" xfId="0" applyFill="1" applyBorder="1"/>
    <xf numFmtId="0" fontId="17" fillId="6" borderId="4" xfId="0" applyFont="1" applyFill="1" applyBorder="1"/>
    <xf numFmtId="0" fontId="20" fillId="7" borderId="4" xfId="0" applyFont="1" applyFill="1" applyBorder="1"/>
    <xf numFmtId="0" fontId="18" fillId="0" borderId="2" xfId="0" applyFont="1" applyBorder="1"/>
    <xf numFmtId="0" fontId="16" fillId="4" borderId="7" xfId="0" applyFont="1" applyFill="1" applyBorder="1"/>
    <xf numFmtId="0" fontId="16" fillId="4" borderId="6" xfId="0" applyFont="1" applyFill="1" applyBorder="1"/>
    <xf numFmtId="0" fontId="16" fillId="4" borderId="8" xfId="0" applyFont="1" applyFill="1" applyBorder="1"/>
    <xf numFmtId="0" fontId="21" fillId="5" borderId="9" xfId="0" applyFont="1" applyFill="1" applyBorder="1"/>
    <xf numFmtId="0" fontId="18" fillId="0" borderId="5" xfId="0" applyFont="1" applyBorder="1"/>
    <xf numFmtId="0" fontId="18" fillId="0" borderId="10" xfId="0" applyFont="1" applyBorder="1"/>
    <xf numFmtId="0" fontId="12" fillId="0" borderId="4" xfId="0" applyFont="1" applyBorder="1" applyAlignment="1">
      <alignment horizontal="left"/>
    </xf>
    <xf numFmtId="0" fontId="11" fillId="0" borderId="2" xfId="0" applyFont="1" applyBorder="1" applyAlignment="1">
      <alignment horizontal="center"/>
    </xf>
    <xf numFmtId="0" fontId="13" fillId="2" borderId="7" xfId="0" applyFont="1" applyFill="1" applyBorder="1" applyAlignment="1">
      <alignment horizontal="left"/>
    </xf>
    <xf numFmtId="0" fontId="13" fillId="2" borderId="6" xfId="0" applyFont="1" applyFill="1" applyBorder="1" applyAlignment="1">
      <alignment horizontal="left"/>
    </xf>
    <xf numFmtId="0" fontId="13" fillId="2" borderId="6" xfId="0" applyFont="1" applyFill="1" applyBorder="1" applyAlignment="1">
      <alignment horizontal="right"/>
    </xf>
    <xf numFmtId="0" fontId="13" fillId="2" borderId="11" xfId="0" applyFont="1" applyFill="1" applyBorder="1" applyAlignment="1">
      <alignment horizontal="right"/>
    </xf>
    <xf numFmtId="0" fontId="13" fillId="2" borderId="12" xfId="0" applyFont="1" applyFill="1" applyBorder="1" applyAlignment="1">
      <alignment horizontal="center"/>
    </xf>
    <xf numFmtId="0" fontId="12" fillId="0" borderId="9" xfId="0" applyFont="1" applyBorder="1" applyAlignment="1">
      <alignment horizontal="left"/>
    </xf>
    <xf numFmtId="0" fontId="12" fillId="0" borderId="5" xfId="0" applyFont="1" applyBorder="1" applyAlignment="1">
      <alignment horizontal="left"/>
    </xf>
    <xf numFmtId="4" fontId="12" fillId="0" borderId="5" xfId="0" applyNumberFormat="1" applyFont="1" applyBorder="1" applyAlignment="1">
      <alignment horizontal="right"/>
    </xf>
    <xf numFmtId="4" fontId="12" fillId="0" borderId="10" xfId="0" applyNumberFormat="1" applyFont="1" applyBorder="1" applyAlignment="1">
      <alignment horizontal="right"/>
    </xf>
    <xf numFmtId="165" fontId="11" fillId="0" borderId="5" xfId="0" applyNumberFormat="1" applyFont="1" applyBorder="1" applyAlignment="1">
      <alignment horizontal="right"/>
    </xf>
    <xf numFmtId="4" fontId="12" fillId="0" borderId="13" xfId="0" applyNumberFormat="1" applyFont="1" applyBorder="1" applyAlignment="1">
      <alignment horizontal="right"/>
    </xf>
    <xf numFmtId="4" fontId="11" fillId="0" borderId="5" xfId="0" applyNumberFormat="1" applyFont="1" applyBorder="1" applyAlignment="1">
      <alignment horizontal="right"/>
    </xf>
    <xf numFmtId="2" fontId="11" fillId="0" borderId="5" xfId="0" applyNumberFormat="1" applyFont="1" applyBorder="1" applyAlignment="1">
      <alignment horizontal="right"/>
    </xf>
    <xf numFmtId="4" fontId="12" fillId="0" borderId="9" xfId="0" applyNumberFormat="1" applyFont="1" applyBorder="1" applyAlignment="1">
      <alignment horizontal="right"/>
    </xf>
    <xf numFmtId="0" fontId="11" fillId="0" borderId="10" xfId="0" applyFont="1" applyBorder="1" applyAlignment="1">
      <alignment horizontal="center"/>
    </xf>
    <xf numFmtId="0" fontId="12" fillId="0" borderId="4" xfId="0" applyFont="1" applyBorder="1" applyAlignment="1">
      <alignment horizontal="right"/>
    </xf>
    <xf numFmtId="2" fontId="12" fillId="0" borderId="2" xfId="0" applyNumberFormat="1" applyFont="1" applyBorder="1"/>
    <xf numFmtId="0" fontId="13" fillId="2" borderId="7" xfId="0" applyFont="1" applyFill="1" applyBorder="1" applyAlignment="1">
      <alignment horizontal="right"/>
    </xf>
    <xf numFmtId="0" fontId="13" fillId="2" borderId="8" xfId="0" applyFont="1" applyFill="1" applyBorder="1" applyAlignment="1">
      <alignment horizontal="right"/>
    </xf>
    <xf numFmtId="0" fontId="12" fillId="0" borderId="9" xfId="0" applyFont="1" applyBorder="1" applyAlignment="1">
      <alignment horizontal="right"/>
    </xf>
    <xf numFmtId="164" fontId="12" fillId="0" borderId="5" xfId="0" applyNumberFormat="1" applyFont="1" applyBorder="1" applyAlignment="1">
      <alignment horizontal="left"/>
    </xf>
    <xf numFmtId="4" fontId="12" fillId="0" borderId="5" xfId="0" applyNumberFormat="1" applyFont="1" applyBorder="1"/>
    <xf numFmtId="2" fontId="12" fillId="0" borderId="5" xfId="0" applyNumberFormat="1" applyFont="1" applyBorder="1"/>
    <xf numFmtId="2" fontId="12" fillId="0" borderId="10" xfId="0" applyNumberFormat="1" applyFont="1" applyBorder="1"/>
    <xf numFmtId="17" fontId="3" fillId="4" borderId="6" xfId="0" applyNumberFormat="1" applyFont="1" applyFill="1" applyBorder="1" applyAlignment="1">
      <alignment horizontal="center"/>
    </xf>
    <xf numFmtId="0" fontId="12" fillId="0" borderId="4" xfId="0" applyFont="1" applyBorder="1"/>
    <xf numFmtId="0" fontId="16" fillId="4" borderId="7" xfId="0" applyFont="1" applyFill="1" applyBorder="1" applyAlignment="1">
      <alignment horizontal="center"/>
    </xf>
    <xf numFmtId="0" fontId="16" fillId="4" borderId="6" xfId="0" applyFont="1" applyFill="1" applyBorder="1" applyAlignment="1">
      <alignment horizontal="center"/>
    </xf>
    <xf numFmtId="0" fontId="16" fillId="4" borderId="8" xfId="0" applyFont="1" applyFill="1" applyBorder="1" applyAlignment="1">
      <alignment horizontal="center"/>
    </xf>
    <xf numFmtId="0" fontId="12" fillId="0" borderId="9" xfId="0" applyFont="1" applyBorder="1"/>
    <xf numFmtId="0" fontId="12" fillId="0" borderId="5" xfId="0" applyFont="1" applyBorder="1"/>
    <xf numFmtId="164" fontId="12" fillId="0" borderId="5" xfId="0" applyNumberFormat="1" applyFont="1" applyBorder="1"/>
    <xf numFmtId="164" fontId="21" fillId="5" borderId="5" xfId="0" applyNumberFormat="1" applyFont="1" applyFill="1" applyBorder="1"/>
    <xf numFmtId="4" fontId="22" fillId="8" borderId="5" xfId="0" applyNumberFormat="1" applyFont="1" applyFill="1" applyBorder="1"/>
    <xf numFmtId="0" fontId="12" fillId="0" borderId="10" xfId="0" applyFont="1" applyBorder="1"/>
    <xf numFmtId="4" fontId="12" fillId="0" borderId="2" xfId="0" applyNumberFormat="1" applyFont="1" applyBorder="1"/>
    <xf numFmtId="4" fontId="12" fillId="0" borderId="10" xfId="0" applyNumberFormat="1" applyFont="1" applyBorder="1"/>
    <xf numFmtId="164" fontId="12" fillId="0" borderId="4" xfId="0" applyNumberFormat="1" applyFont="1" applyBorder="1"/>
    <xf numFmtId="1" fontId="12" fillId="0" borderId="2" xfId="0" applyNumberFormat="1" applyFont="1" applyBorder="1"/>
    <xf numFmtId="164" fontId="12" fillId="0" borderId="9" xfId="0" applyNumberFormat="1" applyFont="1" applyBorder="1"/>
    <xf numFmtId="1" fontId="12" fillId="0" borderId="10" xfId="0" applyNumberFormat="1" applyFont="1" applyBorder="1"/>
    <xf numFmtId="165" fontId="12" fillId="0" borderId="2" xfId="0" applyNumberFormat="1" applyFont="1" applyBorder="1"/>
    <xf numFmtId="165" fontId="12" fillId="0" borderId="10" xfId="0" applyNumberFormat="1" applyFont="1" applyBorder="1"/>
    <xf numFmtId="0" fontId="0" fillId="9" borderId="7" xfId="0" applyFill="1" applyBorder="1"/>
    <xf numFmtId="0" fontId="0" fillId="9" borderId="6" xfId="0" applyFill="1" applyBorder="1"/>
    <xf numFmtId="0" fontId="0" fillId="9" borderId="8" xfId="0" applyFill="1" applyBorder="1"/>
    <xf numFmtId="0" fontId="7" fillId="5" borderId="4" xfId="0" applyFont="1" applyFill="1" applyBorder="1"/>
    <xf numFmtId="0" fontId="8" fillId="6" borderId="4" xfId="0" applyFont="1" applyFill="1" applyBorder="1"/>
    <xf numFmtId="0" fontId="7" fillId="5" borderId="2" xfId="0" applyFont="1" applyFill="1" applyBorder="1"/>
    <xf numFmtId="0" fontId="8" fillId="6" borderId="2" xfId="0" applyFont="1" applyFill="1" applyBorder="1"/>
    <xf numFmtId="0" fontId="8" fillId="6" borderId="9" xfId="0" applyFont="1" applyFill="1" applyBorder="1"/>
    <xf numFmtId="4" fontId="8" fillId="6" borderId="5" xfId="0" applyNumberFormat="1" applyFont="1" applyFill="1" applyBorder="1"/>
    <xf numFmtId="165" fontId="8" fillId="6" borderId="5" xfId="0" applyNumberFormat="1" applyFont="1" applyFill="1" applyBorder="1"/>
    <xf numFmtId="2" fontId="8" fillId="6" borderId="5" xfId="0" applyNumberFormat="1" applyFont="1" applyFill="1" applyBorder="1"/>
    <xf numFmtId="0" fontId="8" fillId="6" borderId="10" xfId="0" applyFont="1" applyFill="1" applyBorder="1"/>
    <xf numFmtId="14" fontId="0" fillId="0" borderId="5" xfId="0" applyNumberFormat="1" applyBorder="1"/>
    <xf numFmtId="0" fontId="0" fillId="8" borderId="9" xfId="0" applyFill="1" applyBorder="1"/>
    <xf numFmtId="49" fontId="0" fillId="0" borderId="3" xfId="0" applyNumberFormat="1" applyBorder="1"/>
    <xf numFmtId="0" fontId="23" fillId="21" borderId="0" xfId="0" applyFont="1" applyFill="1"/>
    <xf numFmtId="0" fontId="30" fillId="0" borderId="0" xfId="0" applyFont="1" applyAlignment="1">
      <alignment wrapText="1"/>
    </xf>
    <xf numFmtId="0" fontId="31" fillId="22" borderId="0" xfId="0" applyFont="1" applyFill="1"/>
    <xf numFmtId="0" fontId="31" fillId="22" borderId="0" xfId="0" applyFont="1" applyFill="1"/>
    <xf numFmtId="0" fontId="32" fillId="21" borderId="0" xfId="0" applyFont="1" applyFill="1"/>
    <xf numFmtId="0" fontId="33" fillId="0" borderId="0" xfId="0" applyFont="1"/>
    <xf numFmtId="0" fontId="25" fillId="0" borderId="5" xfId="0" applyFont="1" applyBorder="1"/>
    <xf numFmtId="0" fontId="34" fillId="23" borderId="0" xfId="0" applyFont="1" applyFill="1"/>
    <xf numFmtId="0" fontId="35" fillId="0" borderId="0" xfId="0" applyFont="1" applyAlignment="1">
      <alignment wrapText="1"/>
    </xf>
    <xf numFmtId="0" fontId="36" fillId="24" borderId="0" xfId="0" applyFont="1" applyFill="1"/>
    <xf numFmtId="0" fontId="37" fillId="0" borderId="0" xfId="0" applyFont="1" applyAlignment="1">
      <alignment wrapText="1"/>
    </xf>
    <xf numFmtId="0" fontId="38" fillId="25" borderId="0" xfId="0" applyFont="1" applyFill="1" applyAlignment="1">
      <alignment horizontal="center" vertical="center"/>
    </xf>
    <xf numFmtId="0" fontId="39" fillId="25" borderId="0" xfId="0" applyFont="1" applyFill="1" applyAlignment="1">
      <alignment horizontal="center" vertical="center"/>
    </xf>
    <xf numFmtId="1" fontId="40" fillId="25" borderId="0" xfId="0" applyNumberFormat="1" applyFont="1" applyFill="1" applyAlignment="1">
      <alignment horizontal="center" vertical="center"/>
    </xf>
    <xf numFmtId="2" fontId="40" fillId="25" borderId="0" xfId="0" applyNumberFormat="1" applyFont="1" applyFill="1" applyAlignment="1">
      <alignment horizontal="center" vertical="center"/>
    </xf>
    <xf numFmtId="167" fontId="40" fillId="25" borderId="0" xfId="0" applyNumberFormat="1" applyFont="1" applyFill="1" applyAlignment="1">
      <alignment horizontal="center" vertical="center"/>
    </xf>
    <xf numFmtId="0" fontId="36" fillId="23" borderId="0" xfId="0" applyFont="1" applyFill="1" applyAlignment="1">
      <alignment wrapText="1"/>
    </xf>
    <xf numFmtId="0" fontId="41" fillId="0" borderId="0" xfId="0" applyFont="1" applyAlignment="1">
      <alignment horizontal="center" wrapText="1"/>
    </xf>
    <xf numFmtId="0" fontId="41" fillId="0" borderId="0" xfId="0" applyFont="1" applyAlignment="1">
      <alignment wrapText="1"/>
    </xf>
    <xf numFmtId="164" fontId="41" fillId="0" borderId="0" xfId="0" applyNumberFormat="1" applyFont="1" applyAlignment="1">
      <alignment horizontal="center" wrapText="1"/>
    </xf>
    <xf numFmtId="0" fontId="36" fillId="24" borderId="0" xfId="0" applyFont="1" applyFill="1"/>
    <xf numFmtId="0" fontId="37" fillId="0" borderId="0" xfId="0" applyFont="1" applyAlignment="1">
      <alignment wrapText="1"/>
    </xf>
    <xf numFmtId="0" fontId="41" fillId="0" borderId="0" xfId="0" applyFont="1"/>
    <xf numFmtId="0" fontId="34" fillId="21" borderId="0" xfId="0" applyFont="1" applyFill="1"/>
    <xf numFmtId="0" fontId="35" fillId="0" borderId="0" xfId="0" applyFont="1" applyAlignment="1">
      <alignment wrapText="1"/>
    </xf>
    <xf numFmtId="0" fontId="36" fillId="22" borderId="0" xfId="0" applyFont="1" applyFill="1"/>
    <xf numFmtId="0" fontId="42" fillId="26" borderId="0" xfId="0" applyFont="1" applyFill="1" applyAlignment="1">
      <alignment horizontal="center"/>
    </xf>
    <xf numFmtId="1" fontId="43" fillId="26" borderId="0" xfId="0" applyNumberFormat="1" applyFont="1" applyFill="1" applyAlignment="1">
      <alignment horizontal="center"/>
    </xf>
    <xf numFmtId="167" fontId="43" fillId="26" borderId="0" xfId="0" applyNumberFormat="1" applyFont="1" applyFill="1" applyAlignment="1">
      <alignment horizontal="center"/>
    </xf>
    <xf numFmtId="2" fontId="43" fillId="26" borderId="0" xfId="0" applyNumberFormat="1" applyFont="1" applyFill="1" applyAlignment="1">
      <alignment horizontal="center"/>
    </xf>
    <xf numFmtId="0" fontId="41" fillId="0" borderId="0" xfId="0" pivotButton="1" applyFont="1"/>
    <xf numFmtId="1" fontId="41" fillId="0" borderId="0" xfId="0" applyNumberFormat="1" applyFont="1"/>
    <xf numFmtId="167" fontId="41" fillId="0" borderId="0" xfId="0" applyNumberFormat="1" applyFont="1"/>
    <xf numFmtId="0" fontId="41" fillId="0" borderId="0" xfId="0" applyFont="1" applyAlignment="1">
      <alignment horizontal="left"/>
    </xf>
    <xf numFmtId="4" fontId="41" fillId="0" borderId="0" xfId="0" applyNumberFormat="1" applyFont="1"/>
    <xf numFmtId="165" fontId="41" fillId="0" borderId="0" xfId="0" applyNumberFormat="1" applyFont="1"/>
    <xf numFmtId="2" fontId="41" fillId="0" borderId="0" xfId="0" applyNumberFormat="1" applyFont="1"/>
  </cellXfs>
  <cellStyles count="1">
    <cellStyle name="Normal" xfId="0" builtinId="0"/>
  </cellStyles>
  <dxfs count="582">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numFmt numFmtId="1" formatCode="0"/>
    </dxf>
    <dxf>
      <font>
        <name val="Calibri"/>
      </font>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9"/>
      </font>
      <fill>
        <patternFill patternType="solid">
          <fgColor indexed="64"/>
          <bgColor rgb="FFD9EAF7"/>
        </patternFill>
      </fill>
    </dxf>
    <dxf>
      <font>
        <color rgb="FF1F4E79"/>
      </font>
      <fill>
        <patternFill patternType="solid">
          <fgColor indexed="64"/>
          <bgColor rgb="FFD9EAF7"/>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90000"/>
      </font>
      <fill>
        <patternFill patternType="solid">
          <fgColor indexed="64"/>
          <bgColor rgb="FFF4CC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FFFFFF"/>
      </font>
      <fill>
        <patternFill patternType="solid">
          <fgColor indexed="64"/>
          <bgColor rgb="FF2E7D32"/>
        </patternFill>
      </fill>
    </dxf>
    <dxf>
      <font>
        <color rgb="FF111827"/>
      </font>
      <fill>
        <patternFill patternType="solid">
          <fgColor indexed="64"/>
          <bgColor rgb="FFF59E0B"/>
        </patternFill>
      </fill>
    </dxf>
    <dxf>
      <font>
        <color rgb="FFFFFFFF"/>
      </font>
      <fill>
        <patternFill patternType="solid">
          <fgColor indexed="64"/>
          <bgColor rgb="FFC62828"/>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b/>
        <i val="0"/>
        <color rgb="FFFFFFFF"/>
      </font>
      <fill>
        <patternFill patternType="solid">
          <fgColor indexed="64"/>
          <bgColor rgb="FF2E7D32"/>
        </patternFill>
      </fill>
    </dxf>
    <dxf>
      <font>
        <b/>
        <i val="0"/>
        <color rgb="FF111827"/>
      </font>
      <fill>
        <patternFill patternType="solid">
          <fgColor indexed="64"/>
          <bgColor rgb="FFF59E0B"/>
        </patternFill>
      </fill>
    </dxf>
    <dxf>
      <font>
        <b/>
        <i val="0"/>
        <color rgb="FFFFFFFF"/>
      </font>
      <fill>
        <patternFill patternType="solid">
          <fgColor indexed="64"/>
          <bgColor rgb="FFC62828"/>
        </patternFill>
      </fill>
    </dxf>
    <dxf>
      <font>
        <color rgb="FF990000"/>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name val="Calibri"/>
      </font>
      <numFmt numFmtId="164" formatCode="yyyy\-mm\-dd"/>
      <alignment horizontal="center" wrapText="1"/>
    </dxf>
    <dxf>
      <font>
        <name val="Calibri"/>
      </font>
      <alignment wrapText="1"/>
    </dxf>
    <dxf>
      <font>
        <b/>
        <color rgb="FFFFFFFF"/>
        <name val="Calibri"/>
      </font>
      <fill>
        <patternFill patternType="solid">
          <fgColor indexed="64"/>
          <bgColor rgb="FF7F1D1D"/>
        </patternFill>
      </fill>
      <alignment wrapText="1"/>
    </dxf>
    <dxf>
      <font>
        <name val="Calibri"/>
      </font>
      <alignment wrapText="1"/>
    </dxf>
    <dxf>
      <font>
        <name val="Calibri"/>
      </font>
      <alignment wrapText="1"/>
    </dxf>
    <dxf>
      <font>
        <name val="Calibri"/>
      </font>
      <alignment wrapText="1"/>
    </dxf>
    <dxf>
      <font>
        <name val="Calibri"/>
      </font>
      <alignment wrapText="1"/>
    </dxf>
    <dxf>
      <font>
        <name val="Calibri"/>
      </font>
      <alignment wrapText="1"/>
    </dxf>
    <dxf>
      <font>
        <name val="Calibri"/>
      </font>
      <alignment horizontal="center" wrapText="1"/>
    </dxf>
    <dxf>
      <font>
        <name val="Calibri"/>
      </font>
      <alignment horizontal="center" wrapText="1"/>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165" formatCode="0.0%"/>
      <border diagonalUp="0" diagonalDown="0">
        <left style="thin">
          <color rgb="FFB7B7B7"/>
        </left>
        <right style="thin">
          <color rgb="FFB7B7B7"/>
        </right>
        <top style="thin">
          <color rgb="FFB7B7B7"/>
        </top>
        <bottom style="thin">
          <color rgb="FFB7B7B7"/>
        </bottom>
        <vertical/>
        <horizontal/>
      </border>
    </dxf>
    <dxf>
      <numFmt numFmtId="1" formatCode="0"/>
      <border diagonalUp="0" diagonalDown="0">
        <left style="thin">
          <color rgb="FFB7B7B7"/>
        </left>
        <right style="thin">
          <color rgb="FFB7B7B7"/>
        </right>
        <top style="thin">
          <color rgb="FFB7B7B7"/>
        </top>
        <bottom style="thin">
          <color rgb="FFB7B7B7"/>
        </bottom>
        <vertical/>
        <horizontal/>
      </border>
    </dxf>
    <dxf>
      <numFmt numFmtId="19" formatCode="m/d/yyyy"/>
      <border diagonalUp="0" diagonalDown="0">
        <left style="thin">
          <color rgb="FFB7B7B7"/>
        </left>
        <right style="thin">
          <color rgb="FFB7B7B7"/>
        </right>
        <top style="thin">
          <color rgb="FFB7B7B7"/>
        </top>
        <bottom style="thin">
          <color rgb="FFB7B7B7"/>
        </bottom>
        <vertical/>
        <horizontal/>
      </border>
    </dxf>
    <dxf>
      <numFmt numFmtId="19" formatCode="m/d/yyyy"/>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i val="0"/>
        <strike val="0"/>
        <condense val="0"/>
        <extend val="0"/>
        <outline val="0"/>
        <shadow val="0"/>
        <u val="none"/>
        <vertAlign val="baseline"/>
        <sz val="11"/>
        <color rgb="FF990000"/>
        <name val="Calibri"/>
        <family val="2"/>
        <scheme val="minor"/>
      </font>
      <fill>
        <patternFill patternType="solid">
          <fgColor indexed="64"/>
          <bgColor rgb="FFF4CCCC"/>
        </patternFill>
      </fill>
    </dxf>
    <dxf>
      <font>
        <b/>
        <i val="0"/>
        <strike val="0"/>
        <condense val="0"/>
        <extend val="0"/>
        <outline val="0"/>
        <shadow val="0"/>
        <u val="none"/>
        <vertAlign val="baseline"/>
        <sz val="11"/>
        <color rgb="FF990000"/>
        <name val="Calibri"/>
        <family val="2"/>
        <scheme val="minor"/>
      </font>
      <fill>
        <patternFill patternType="solid">
          <fgColor indexed="64"/>
          <bgColor rgb="FFF4CCCC"/>
        </patternFill>
      </fill>
      <border diagonalUp="0" diagonalDown="0">
        <left style="thin">
          <color rgb="FFB7B7B7"/>
        </left>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2"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2"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4"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4"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4"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165" formatCode="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4"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4"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numFmt numFmtId="4" formatCode="#,##0.00"/>
      <fill>
        <patternFill patternType="solid">
          <fgColor indexed="64"/>
          <bgColor rgb="FFF4CCCC"/>
        </patternFill>
      </fill>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990000"/>
        <name val="Calibri"/>
        <family val="2"/>
        <scheme val="minor"/>
      </font>
      <fill>
        <patternFill patternType="solid">
          <fgColor indexed="64"/>
          <bgColor rgb="FFF4CCCC"/>
        </patternFill>
      </fill>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ill>
        <patternFill patternType="solid">
          <fgColor indexed="64"/>
          <bgColor rgb="FFE2F0D9"/>
        </patternFill>
      </fill>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numFmt numFmtId="2" formatCode="0.00"/>
      <border diagonalUp="0" diagonalDown="0">
        <left style="thin">
          <color rgb="FFB7B7B7"/>
        </left>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164" formatCode="yyyy\-mm\-dd"/>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B7B7B7"/>
        </left>
        <right style="thin">
          <color rgb="FFB7B7B7"/>
        </right>
        <top style="thin">
          <color rgb="FFB7B7B7"/>
        </top>
        <bottom style="thin">
          <color rgb="FFB7B7B7"/>
        </bottom>
        <vertical/>
        <horizontal/>
      </border>
    </dxf>
    <dxf>
      <border outline="0">
        <bottom style="thin">
          <color rgb="FFB7B7B7"/>
        </bottom>
      </border>
    </dxf>
    <dxf>
      <border outline="0">
        <top style="thin">
          <color rgb="FFB7B7B7"/>
        </top>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numFmt numFmtId="165" formatCode="0.0%"/>
      <border diagonalUp="0" diagonalDown="0">
        <left style="thin">
          <color rgb="FFB7B7B7"/>
        </left>
        <right style="thin">
          <color rgb="FFB7B7B7"/>
        </right>
        <top style="thin">
          <color rgb="FFB7B7B7"/>
        </top>
        <bottom style="thin">
          <color rgb="FFB7B7B7"/>
        </bottom>
        <vertical/>
        <horizontal/>
      </border>
    </dxf>
    <dxf>
      <numFmt numFmtId="1" formatCode="0"/>
      <border diagonalUp="0" diagonalDown="0">
        <left style="thin">
          <color rgb="FFB7B7B7"/>
        </left>
        <right style="thin">
          <color rgb="FFB7B7B7"/>
        </right>
        <top style="thin">
          <color rgb="FFB7B7B7"/>
        </top>
        <bottom style="thin">
          <color rgb="FFB7B7B7"/>
        </bottom>
        <vertical/>
        <horizontal/>
      </border>
    </dxf>
    <dxf>
      <numFmt numFmtId="1" formatCode="0"/>
      <border diagonalUp="0" diagonalDown="0">
        <left style="thin">
          <color rgb="FFB7B7B7"/>
        </left>
        <right style="thin">
          <color rgb="FFB7B7B7"/>
        </right>
        <top style="thin">
          <color rgb="FFB7B7B7"/>
        </top>
        <bottom style="thin">
          <color rgb="FFB7B7B7"/>
        </bottom>
        <vertical/>
        <horizontal/>
      </border>
    </dxf>
    <dxf>
      <numFmt numFmtId="164" formatCode="yyyy\-mm\-dd"/>
      <border diagonalUp="0" diagonalDown="0">
        <left style="thin">
          <color rgb="FFB7B7B7"/>
        </left>
        <right style="thin">
          <color rgb="FFB7B7B7"/>
        </right>
        <top style="thin">
          <color rgb="FFB7B7B7"/>
        </top>
        <bottom style="thin">
          <color rgb="FFB7B7B7"/>
        </bottom>
        <vertical/>
        <horizontal/>
      </border>
    </dxf>
    <dxf>
      <numFmt numFmtId="164" formatCode="yyyy\-mm\-dd"/>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left style="thin">
          <color rgb="FFB7B7B7"/>
        </left>
        <right style="thin">
          <color rgb="FFB7B7B7"/>
        </right>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164" formatCode="yyyy\-mm\-dd"/>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numFmt numFmtId="165" formatCode="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164" formatCode="yyyy\-mm\-dd"/>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numFmt numFmtId="2"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164" formatCode="yyyy\-mm\-dd"/>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164" formatCode="yyyy\-mm\-dd"/>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dxf>
    <dxf>
      <font>
        <b val="0"/>
        <i val="0"/>
        <strike val="0"/>
        <condense val="0"/>
        <extend val="0"/>
        <outline val="0"/>
        <shadow val="0"/>
        <u val="none"/>
        <vertAlign val="baseline"/>
        <sz val="10"/>
        <color rgb="FF000000"/>
        <name val="Aptos"/>
        <scheme val="none"/>
      </font>
      <numFmt numFmtId="1" formatCode="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164" formatCode="yyyy\-mm\-dd"/>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border diagonalUp="0" diagonalDown="0">
        <left style="thin">
          <color rgb="FFB7B7B7"/>
        </left>
        <right/>
        <top style="thin">
          <color rgb="FFB7B7B7"/>
        </top>
        <bottom/>
        <vertical/>
        <horizontal/>
      </border>
    </dxf>
    <dxf>
      <font>
        <b val="0"/>
        <i val="0"/>
        <strike val="0"/>
        <condense val="0"/>
        <extend val="0"/>
        <outline val="0"/>
        <shadow val="0"/>
        <u val="none"/>
        <vertAlign val="baseline"/>
        <sz val="10"/>
        <color rgb="FF333333"/>
        <name val="Aptos"/>
        <scheme val="none"/>
      </font>
      <numFmt numFmtId="4" formatCode="#,##0.00"/>
      <fill>
        <patternFill patternType="solid">
          <fgColor indexed="64"/>
          <bgColor rgb="FFF3F6F4"/>
        </patternFill>
      </fill>
      <border diagonalUp="0" diagonalDown="0">
        <left style="thin">
          <color rgb="FFB7B7B7"/>
        </left>
        <right style="thin">
          <color rgb="FFB7B7B7"/>
        </right>
        <top style="thin">
          <color rgb="FFB7B7B7"/>
        </top>
        <bottom/>
        <vertical/>
        <horizontal/>
      </border>
    </dxf>
    <dxf>
      <font>
        <b/>
        <i val="0"/>
        <strike val="0"/>
        <condense val="0"/>
        <extend val="0"/>
        <outline val="0"/>
        <shadow val="0"/>
        <u val="none"/>
        <vertAlign val="baseline"/>
        <sz val="10"/>
        <color rgb="FF990000"/>
        <name val="Aptos"/>
        <scheme val="none"/>
      </font>
      <numFmt numFmtId="164" formatCode="yyyy\-mm\-dd"/>
      <fill>
        <patternFill patternType="solid">
          <fgColor indexed="64"/>
          <bgColor rgb="FFF4CCCC"/>
        </patternFill>
      </fill>
      <border diagonalUp="0" diagonalDown="0">
        <left style="thin">
          <color rgb="FFB7B7B7"/>
        </left>
        <right style="thin">
          <color rgb="FFB7B7B7"/>
        </right>
        <top style="thin">
          <color rgb="FFB7B7B7"/>
        </top>
        <bottom/>
        <vertical/>
        <horizontal/>
      </border>
    </dxf>
    <dxf>
      <font>
        <b val="0"/>
        <i val="0"/>
        <strike val="0"/>
        <condense val="0"/>
        <extend val="0"/>
        <outline val="0"/>
        <shadow val="0"/>
        <u val="none"/>
        <vertAlign val="baseline"/>
        <sz val="10"/>
        <color rgb="FF000000"/>
        <name val="Aptos"/>
        <scheme val="none"/>
      </font>
      <numFmt numFmtId="164" formatCode="yyyy\-mm\-dd"/>
      <border diagonalUp="0" diagonalDown="0">
        <left style="thin">
          <color rgb="FFB7B7B7"/>
        </left>
        <right style="thin">
          <color rgb="FFB7B7B7"/>
        </right>
        <top style="thin">
          <color rgb="FFB7B7B7"/>
        </top>
        <bottom/>
        <vertical/>
        <horizontal/>
      </border>
    </dxf>
    <dxf>
      <font>
        <b val="0"/>
        <i val="0"/>
        <strike val="0"/>
        <condense val="0"/>
        <extend val="0"/>
        <outline val="0"/>
        <shadow val="0"/>
        <u val="none"/>
        <vertAlign val="baseline"/>
        <sz val="10"/>
        <color rgb="FF000000"/>
        <name val="Aptos"/>
        <scheme val="none"/>
      </font>
      <border diagonalUp="0" diagonalDown="0">
        <left style="thin">
          <color rgb="FFB7B7B7"/>
        </left>
        <right style="thin">
          <color rgb="FFB7B7B7"/>
        </right>
        <top style="thin">
          <color rgb="FFB7B7B7"/>
        </top>
        <bottom/>
        <vertical/>
        <horizontal/>
      </border>
    </dxf>
    <dxf>
      <font>
        <b val="0"/>
        <i val="0"/>
        <strike val="0"/>
        <condense val="0"/>
        <extend val="0"/>
        <outline val="0"/>
        <shadow val="0"/>
        <u val="none"/>
        <vertAlign val="baseline"/>
        <sz val="10"/>
        <color rgb="FF000000"/>
        <name val="Aptos"/>
        <scheme val="none"/>
      </font>
      <border diagonalUp="0" diagonalDown="0">
        <left/>
        <right style="thin">
          <color rgb="FFB7B7B7"/>
        </right>
        <top style="thin">
          <color rgb="FFB7B7B7"/>
        </top>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333333"/>
        <name val="Aptos"/>
        <scheme val="none"/>
      </font>
      <fill>
        <patternFill patternType="solid">
          <fgColor rgb="FFF2F4F4"/>
          <bgColor rgb="FFF2F4F4"/>
        </patternFill>
      </fill>
      <alignment horizontal="right"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rgb="FF000000"/>
        <name val="Aptos"/>
        <scheme val="none"/>
      </font>
    </dxf>
    <dxf>
      <font>
        <b val="0"/>
        <i val="0"/>
        <strike val="0"/>
        <condense val="0"/>
        <extend val="0"/>
        <outline val="0"/>
        <shadow val="0"/>
        <u val="none"/>
        <vertAlign val="baseline"/>
        <sz val="10"/>
        <color rgb="FF000000"/>
        <name val="Aptos"/>
        <scheme val="none"/>
      </font>
      <numFmt numFmtId="2"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2"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164" formatCode="yyyy\-mm\-dd"/>
      <alignment horizontal="lef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alignment horizontal="righ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000000"/>
        <name val="Aptos"/>
        <scheme val="none"/>
      </font>
      <alignment horizontal="center" vertical="bottom" textRotation="0" wrapText="0" indent="0" justifyLastLine="0" shrinkToFit="0" readingOrder="0"/>
      <border diagonalUp="0" diagonalDown="0">
        <left style="thin">
          <color rgb="FFB7B7B7"/>
        </left>
        <right/>
        <top style="thin">
          <color rgb="FFB7B7B7"/>
        </top>
        <bottom style="thin">
          <color rgb="FFB7B7B7"/>
        </bottom>
        <vertical/>
        <horizontal/>
      </border>
    </dxf>
    <dxf>
      <font>
        <b/>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font>
        <b/>
        <i val="0"/>
        <strike val="0"/>
        <condense val="0"/>
        <extend val="0"/>
        <outline val="0"/>
        <shadow val="0"/>
        <u val="none"/>
        <vertAlign val="baseline"/>
        <sz val="10"/>
        <color rgb="FF000000"/>
        <name val="Aptos"/>
        <scheme val="none"/>
      </font>
      <numFmt numFmtId="2"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0"/>
        <color rgb="FF000000"/>
        <name val="Aptos"/>
        <scheme val="none"/>
      </font>
      <numFmt numFmtId="2"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right/>
        <top style="thin">
          <color rgb="FFB7B7B7"/>
        </top>
        <bottom style="thin">
          <color rgb="FFB7B7B7"/>
        </bottom>
        <vertical/>
        <horizontal/>
      </border>
    </dxf>
    <dxf>
      <font>
        <b/>
        <i val="0"/>
        <strike val="0"/>
        <condense val="0"/>
        <extend val="0"/>
        <outline val="0"/>
        <shadow val="0"/>
        <u val="none"/>
        <vertAlign val="baseline"/>
        <sz val="10"/>
        <color rgb="FF000000"/>
        <name val="Aptos"/>
        <scheme val="none"/>
      </font>
      <numFmt numFmtId="165" formatCode="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numFmt numFmtId="4" formatCode="#,##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alignment horizontal="lef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alignment horizontal="lef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rgb="FF000000"/>
        <name val="Aptos"/>
        <scheme val="none"/>
      </font>
      <alignment horizontal="lef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0"/>
        <color rgb="FFFFFFFF"/>
        <name val="Aptos"/>
        <scheme val="none"/>
      </font>
      <fill>
        <patternFill patternType="solid">
          <fgColor indexed="64"/>
          <bgColor rgb="FF1F4E3D"/>
        </patternFill>
      </fill>
      <border diagonalUp="0" diagonalDown="0" outline="0">
        <left style="thin">
          <color rgb="FFB7B7B7"/>
        </left>
        <right style="thin">
          <color rgb="FFB7B7B7"/>
        </right>
        <top/>
        <bottom/>
      </border>
    </dxf>
    <dxf>
      <font>
        <b/>
        <i val="0"/>
        <strike val="0"/>
        <condense val="0"/>
        <extend val="0"/>
        <outline val="0"/>
        <shadow val="0"/>
        <u val="none"/>
        <vertAlign val="baseline"/>
        <sz val="10"/>
        <color theme="1"/>
        <name val="Aptos"/>
        <scheme val="none"/>
      </font>
      <border diagonalUp="0" diagonalDown="0">
        <left style="thin">
          <color rgb="FFB7B7B7"/>
        </left>
        <right/>
        <top style="thin">
          <color rgb="FFB7B7B7"/>
        </top>
        <bottom style="thin">
          <color rgb="FFB7B7B7"/>
        </bottom>
        <vertical/>
        <horizontal/>
      </border>
    </dxf>
    <dxf>
      <font>
        <b/>
        <i val="0"/>
        <strike val="0"/>
        <condense val="0"/>
        <extend val="0"/>
        <outline val="0"/>
        <shadow val="0"/>
        <u val="none"/>
        <vertAlign val="baseline"/>
        <sz val="10"/>
        <color theme="1"/>
        <name val="Aptos"/>
        <scheme val="none"/>
      </font>
      <border diagonalUp="0" diagonalDown="0">
        <left style="thin">
          <color rgb="FFB7B7B7"/>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1"/>
        <color rgb="FF274E13"/>
        <name val="Calibri"/>
        <family val="2"/>
        <scheme val="minor"/>
      </font>
      <fill>
        <patternFill patternType="solid">
          <fgColor indexed="64"/>
          <bgColor rgb="FFD9EAD3"/>
        </patternFill>
      </fill>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2"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165" formatCode="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1" formatCode="0"/>
      <border diagonalUp="0" diagonalDown="0">
        <left style="thin">
          <color rgb="FFB7B7B7"/>
        </left>
        <right style="thin">
          <color rgb="FFB7B7B7"/>
        </right>
        <top style="thin">
          <color rgb="FFB7B7B7"/>
        </top>
        <bottom style="thin">
          <color rgb="FFB7B7B7"/>
        </bottom>
        <vertical/>
        <horizontal/>
      </border>
    </dxf>
    <dxf>
      <numFmt numFmtId="164" formatCode="yyyy\-mm\-dd"/>
      <border diagonalUp="0" diagonalDown="0">
        <left style="thin">
          <color rgb="FFB7B7B7"/>
        </left>
        <right style="thin">
          <color rgb="FFB7B7B7"/>
        </right>
        <top style="thin">
          <color rgb="FFB7B7B7"/>
        </top>
        <bottom style="thin">
          <color rgb="FFB7B7B7"/>
        </bottom>
        <vertical/>
        <horizontal/>
      </border>
    </dxf>
    <dxf>
      <numFmt numFmtId="164" formatCode="yyyy\-mm\-dd"/>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numFmt numFmtId="2" formatCode="0.00"/>
      <border diagonalUp="0" diagonalDown="0">
        <left style="thin">
          <color rgb="FFB7B7B7"/>
        </left>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font>
        <b/>
        <i val="0"/>
        <strike val="0"/>
        <condense val="0"/>
        <extend val="0"/>
        <outline val="0"/>
        <shadow val="0"/>
        <u val="none"/>
        <vertAlign val="baseline"/>
        <sz val="11"/>
        <color rgb="FF274E13"/>
        <name val="Calibri"/>
        <family val="2"/>
        <scheme val="minor"/>
      </font>
      <fill>
        <patternFill patternType="solid">
          <fgColor indexed="64"/>
          <bgColor rgb="FFD9EAD3"/>
        </patternFill>
      </fill>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alignment horizontal="general" vertical="bottom" textRotation="0" wrapText="1" indent="0" justifyLastLine="0" shrinkToFit="0" readingOrder="0"/>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border diagonalUp="0" diagonalDown="0" outline="0">
        <left style="thin">
          <color rgb="FFB7B7B7"/>
        </left>
        <right style="thin">
          <color rgb="FFB7B7B7"/>
        </right>
        <top/>
        <bottom/>
      </border>
    </dxf>
    <dxf>
      <numFmt numFmtId="4" formatCode="#,##0.00"/>
      <border diagonalUp="0" diagonalDown="0">
        <left style="thin">
          <color rgb="FFB7B7B7"/>
        </left>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numFmt numFmtId="4" formatCode="#,##0.00"/>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border diagonalUp="0" diagonalDown="0">
        <left style="thin">
          <color rgb="FFB7B7B7"/>
        </left>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style="thin">
          <color rgb="FFB7B7B7"/>
        </left>
        <right style="thin">
          <color rgb="FFB7B7B7"/>
        </right>
        <top style="thin">
          <color rgb="FFB7B7B7"/>
        </top>
        <bottom style="thin">
          <color rgb="FFB7B7B7"/>
        </bottom>
        <vertical/>
        <horizontal/>
      </border>
    </dxf>
    <dxf>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outline="0">
        <bottom style="thin">
          <color rgb="FFB7B7B7"/>
        </bottom>
      </border>
    </dxf>
    <dxf>
      <border outline="0">
        <top style="thin">
          <color rgb="FFB7B7B7"/>
        </top>
        <bottom style="thin">
          <color rgb="FFB7B7B7"/>
        </bottom>
      </border>
    </dxf>
    <dxf>
      <font>
        <b/>
        <i val="0"/>
        <strike val="0"/>
        <condense val="0"/>
        <extend val="0"/>
        <outline val="0"/>
        <shadow val="0"/>
        <u val="none"/>
        <vertAlign val="baseline"/>
        <sz val="11"/>
        <color rgb="FFFFFFFF"/>
        <name val="Calibri"/>
        <family val="2"/>
        <scheme val="minor"/>
      </font>
      <fill>
        <patternFill patternType="solid">
          <fgColor indexed="64"/>
          <bgColor rgb="FF1F4E3D"/>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alignment horizontal="general" vertical="bottom"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i val="0"/>
        <strike val="0"/>
        <condense val="0"/>
        <extend val="0"/>
        <outline val="0"/>
        <shadow val="0"/>
        <u val="none"/>
        <vertAlign val="baseline"/>
        <sz val="11"/>
        <color rgb="FF4F6D7A"/>
        <name val="Calibri"/>
        <family val="2"/>
        <scheme val="minor"/>
      </font>
      <border diagonalUp="0" diagonalDown="0">
        <left style="thin">
          <color rgb="FFB7B7B7"/>
        </left>
        <right style="thin">
          <color rgb="FFB7B7B7"/>
        </right>
        <top style="thin">
          <color rgb="FFB7B7B7"/>
        </top>
        <bottom style="thin">
          <color rgb="FFB7B7B7"/>
        </bottom>
        <vertical/>
        <horizontal/>
      </border>
    </dxf>
    <dxf>
      <border outline="0">
        <bottom style="thin">
          <color rgb="FFB7B7B7"/>
        </bottom>
      </border>
    </dxf>
    <dxf>
      <border outline="0">
        <top style="thin">
          <color rgb="FFB7B7B7"/>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microsoft.com/office/2007/relationships/slicerCache" Target="slicerCaches/slicerCache11.xml"/><Relationship Id="rId21" Type="http://schemas.openxmlformats.org/officeDocument/2006/relationships/worksheet" Target="worksheets/sheet21.xml"/><Relationship Id="rId34" Type="http://schemas.microsoft.com/office/2007/relationships/slicerCache" Target="slicerCaches/slicerCache6.xml"/><Relationship Id="rId42" Type="http://schemas.microsoft.com/office/2007/relationships/slicerCache" Target="slicerCaches/slicerCache14.xml"/><Relationship Id="rId47" Type="http://schemas.microsoft.com/office/2007/relationships/slicerCache" Target="slicerCaches/slicerCache19.xml"/><Relationship Id="rId50" Type="http://schemas.microsoft.com/office/2007/relationships/slicerCache" Target="slicerCaches/slicerCache22.xml"/><Relationship Id="rId55" Type="http://schemas.microsoft.com/office/2007/relationships/slicerCache" Target="slicerCaches/slicerCache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4.xml"/><Relationship Id="rId37" Type="http://schemas.microsoft.com/office/2007/relationships/slicerCache" Target="slicerCaches/slicerCache9.xml"/><Relationship Id="rId40" Type="http://schemas.microsoft.com/office/2007/relationships/slicerCache" Target="slicerCaches/slicerCache12.xml"/><Relationship Id="rId45" Type="http://schemas.microsoft.com/office/2007/relationships/slicerCache" Target="slicerCaches/slicerCache17.xml"/><Relationship Id="rId53" Type="http://schemas.microsoft.com/office/2007/relationships/slicerCache" Target="slicerCaches/slicerCache25.xml"/><Relationship Id="rId58" Type="http://schemas.openxmlformats.org/officeDocument/2006/relationships/styles" Target="styles.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2.xml"/><Relationship Id="rId35" Type="http://schemas.microsoft.com/office/2007/relationships/slicerCache" Target="slicerCaches/slicerCache7.xml"/><Relationship Id="rId43" Type="http://schemas.microsoft.com/office/2007/relationships/slicerCache" Target="slicerCaches/slicerCache15.xml"/><Relationship Id="rId48" Type="http://schemas.microsoft.com/office/2007/relationships/slicerCache" Target="slicerCaches/slicerCache20.xml"/><Relationship Id="rId56" Type="http://schemas.microsoft.com/office/2007/relationships/slicerCache" Target="slicerCaches/slicerCache28.xml"/><Relationship Id="rId8" Type="http://schemas.openxmlformats.org/officeDocument/2006/relationships/worksheet" Target="worksheets/sheet8.xml"/><Relationship Id="rId51" Type="http://schemas.microsoft.com/office/2007/relationships/slicerCache" Target="slicerCaches/slicerCache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5.xml"/><Relationship Id="rId38" Type="http://schemas.microsoft.com/office/2007/relationships/slicerCache" Target="slicerCaches/slicerCache10.xml"/><Relationship Id="rId46" Type="http://schemas.microsoft.com/office/2007/relationships/slicerCache" Target="slicerCaches/slicerCache18.xml"/><Relationship Id="rId59"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13.xml"/><Relationship Id="rId54" Type="http://schemas.microsoft.com/office/2007/relationships/slicerCache" Target="slicerCaches/slicerCache26.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microsoft.com/office/2007/relationships/slicerCache" Target="slicerCaches/slicerCache8.xml"/><Relationship Id="rId49" Type="http://schemas.microsoft.com/office/2007/relationships/slicerCache" Target="slicerCaches/slicerCache21.xml"/><Relationship Id="rId57" Type="http://schemas.openxmlformats.org/officeDocument/2006/relationships/theme" Target="theme/theme1.xml"/><Relationship Id="rId10" Type="http://schemas.openxmlformats.org/officeDocument/2006/relationships/worksheet" Target="worksheets/sheet10.xml"/><Relationship Id="rId31" Type="http://schemas.microsoft.com/office/2007/relationships/slicerCache" Target="slicerCaches/slicerCache3.xml"/><Relationship Id="rId44" Type="http://schemas.microsoft.com/office/2007/relationships/slicerCache" Target="slicerCaches/slicerCache16.xml"/><Relationship Id="rId52" Type="http://schemas.microsoft.com/office/2007/relationships/slicerCache" Target="slicerCaches/slicerCache24.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Baseline Gantt Schedule by WBS — RAG Bars + 2026-06-30 Status Line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bar"/>
        <c:grouping val="stacked"/>
        <c:varyColors val="0"/>
        <c:ser>
          <c:idx val="0"/>
          <c:order val="0"/>
          <c:tx>
            <c:strRef>
              <c:f>'EVM Charts'!$E$4</c:f>
              <c:strCache>
                <c:ptCount val="1"/>
                <c:pt idx="0">
                  <c:v>Start Offset</c:v>
                </c:pt>
              </c:strCache>
            </c:strRef>
          </c:tx>
          <c:spPr>
            <a:solidFill>
              <a:srgbClr val="FFFFFF"/>
            </a:solidFill>
            <a:ln>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'EVM Charts'!$B$5:$B$16</c:f>
              <c:strCache>
                <c:ptCount val="12"/>
                <c:pt idx="0">
                  <c:v>Project Management</c:v>
                </c:pt>
                <c:pt idx="1">
                  <c:v>Site Survey &amp; Mobilization</c:v>
                </c:pt>
                <c:pt idx="2">
                  <c:v>Design &amp; Engineering</c:v>
                </c:pt>
                <c:pt idx="3">
                  <c:v>Procurement - Materials</c:v>
                </c:pt>
                <c:pt idx="4">
                  <c:v>Demolition &amp; Prep</c:v>
                </c:pt>
                <c:pt idx="5">
                  <c:v>Electrical Rough-In</c:v>
                </c:pt>
                <c:pt idx="6">
                  <c:v>HVAC Installation</c:v>
                </c:pt>
                <c:pt idx="7">
                  <c:v>Partitions &amp; Drywall</c:v>
                </c:pt>
                <c:pt idx="8">
                  <c:v>Flooring</c:v>
                </c:pt>
                <c:pt idx="9">
                  <c:v>Fixtures &amp; Furniture</c:v>
                </c:pt>
                <c:pt idx="10">
                  <c:v>Testing / Commissioning</c:v>
                </c:pt>
                <c:pt idx="11">
                  <c:v>Handover &amp; Closeout</c:v>
                </c:pt>
              </c:strCache>
            </c:strRef>
          </c:cat>
          <c:val>
            <c:numRef>
              <c:f>'EVM Charts'!$E$5:$E$16</c:f>
              <c:numCache>
                <c:formatCode>0</c:formatCode>
                <c:ptCount val="12"/>
                <c:pt idx="0">
                  <c:v>0</c:v>
                </c:pt>
                <c:pt idx="1">
                  <c:v>0</c:v>
                </c:pt>
                <c:pt idx="2">
                  <c:v>0</c:v>
                </c:pt>
                <c:pt idx="3">
                  <c:v>7</c:v>
                </c:pt>
                <c:pt idx="4">
                  <c:v>7</c:v>
                </c:pt>
                <c:pt idx="5">
                  <c:v>21</c:v>
                </c:pt>
                <c:pt idx="6">
                  <c:v>28</c:v>
                </c:pt>
                <c:pt idx="7">
                  <c:v>35</c:v>
                </c:pt>
                <c:pt idx="8">
                  <c:v>49</c:v>
                </c:pt>
                <c:pt idx="9">
                  <c:v>56</c:v>
                </c:pt>
                <c:pt idx="10">
                  <c:v>70</c:v>
                </c:pt>
                <c:pt idx="11">
                  <c:v>77</c:v>
                </c:pt>
              </c:numCache>
            </c:numRef>
          </c:val>
          <c:extLst>
            <c:ext xmlns:c16="http://schemas.microsoft.com/office/drawing/2014/chart" uri="{C3380CC4-5D6E-409C-BE32-E72D297353CC}">
              <c16:uniqueId val="{00000000-DC24-4957-89B6-FF2A830001F6}"/>
            </c:ext>
          </c:extLst>
        </c:ser>
        <c:ser>
          <c:idx val="1"/>
          <c:order val="1"/>
          <c:tx>
            <c:strRef>
              <c:f>'EVM Charts'!$F$4</c:f>
              <c:strCache>
                <c:ptCount val="1"/>
                <c:pt idx="0">
                  <c:v>Duration Days</c:v>
                </c:pt>
              </c:strCache>
            </c:strRef>
          </c:tx>
          <c:spPr>
            <a:solidFill>
              <a:schemeClr val="bg1">
                <a:lumMod val="85000"/>
              </a:schemeClr>
            </a:solidFill>
            <a:ln>
              <a:solidFill>
                <a:srgbClr val="666666"/>
              </a:solidFill>
              <a:prstDash val="solid"/>
            </a:ln>
            <a:effectLst/>
          </c:spPr>
          <c:invertIfNegative val="0"/>
          <c:dPt>
            <c:idx val="0"/>
            <c:invertIfNegative val="0"/>
            <c:bubble3D val="0"/>
            <c:spPr>
              <a:solidFill>
                <a:srgbClr val="FFC000"/>
              </a:solidFill>
              <a:ln>
                <a:solidFill>
                  <a:srgbClr val="666666"/>
                </a:solidFill>
                <a:prstDash val="solid"/>
              </a:ln>
              <a:effectLst/>
            </c:spPr>
            <c:extLst>
              <c:ext xmlns:c16="http://schemas.microsoft.com/office/drawing/2014/chart" uri="{C3380CC4-5D6E-409C-BE32-E72D297353CC}">
                <c16:uniqueId val="{00000002-DC24-4957-89B6-FF2A830001F6}"/>
              </c:ext>
            </c:extLst>
          </c:dPt>
          <c:dPt>
            <c:idx val="1"/>
            <c:invertIfNegative val="0"/>
            <c:bubble3D val="0"/>
            <c:spPr>
              <a:solidFill>
                <a:srgbClr val="70AD47"/>
              </a:solidFill>
              <a:ln>
                <a:solidFill>
                  <a:srgbClr val="666666"/>
                </a:solidFill>
                <a:prstDash val="solid"/>
              </a:ln>
              <a:effectLst/>
            </c:spPr>
            <c:extLst>
              <c:ext xmlns:c16="http://schemas.microsoft.com/office/drawing/2014/chart" uri="{C3380CC4-5D6E-409C-BE32-E72D297353CC}">
                <c16:uniqueId val="{00000003-DC24-4957-89B6-FF2A830001F6}"/>
              </c:ext>
            </c:extLst>
          </c:dPt>
          <c:dPt>
            <c:idx val="2"/>
            <c:invertIfNegative val="0"/>
            <c:bubble3D val="0"/>
            <c:spPr>
              <a:solidFill>
                <a:srgbClr val="70AD47"/>
              </a:solidFill>
              <a:ln>
                <a:solidFill>
                  <a:srgbClr val="666666"/>
                </a:solidFill>
                <a:prstDash val="solid"/>
              </a:ln>
              <a:effectLst/>
            </c:spPr>
            <c:extLst>
              <c:ext xmlns:c16="http://schemas.microsoft.com/office/drawing/2014/chart" uri="{C3380CC4-5D6E-409C-BE32-E72D297353CC}">
                <c16:uniqueId val="{00000004-DC24-4957-89B6-FF2A830001F6}"/>
              </c:ext>
            </c:extLst>
          </c:dPt>
          <c:dPt>
            <c:idx val="3"/>
            <c:invertIfNegative val="0"/>
            <c:bubble3D val="0"/>
            <c:spPr>
              <a:solidFill>
                <a:srgbClr val="70AD47"/>
              </a:solidFill>
              <a:ln>
                <a:solidFill>
                  <a:srgbClr val="666666"/>
                </a:solidFill>
                <a:prstDash val="solid"/>
              </a:ln>
              <a:effectLst/>
            </c:spPr>
            <c:extLst>
              <c:ext xmlns:c16="http://schemas.microsoft.com/office/drawing/2014/chart" uri="{C3380CC4-5D6E-409C-BE32-E72D297353CC}">
                <c16:uniqueId val="{00000005-DC24-4957-89B6-FF2A830001F6}"/>
              </c:ext>
            </c:extLst>
          </c:dPt>
          <c:dPt>
            <c:idx val="4"/>
            <c:invertIfNegative val="0"/>
            <c:bubble3D val="0"/>
            <c:spPr>
              <a:solidFill>
                <a:srgbClr val="70AD47"/>
              </a:solidFill>
              <a:ln>
                <a:solidFill>
                  <a:srgbClr val="666666"/>
                </a:solidFill>
                <a:prstDash val="solid"/>
              </a:ln>
              <a:effectLst/>
            </c:spPr>
            <c:extLst>
              <c:ext xmlns:c16="http://schemas.microsoft.com/office/drawing/2014/chart" uri="{C3380CC4-5D6E-409C-BE32-E72D297353CC}">
                <c16:uniqueId val="{00000006-DC24-4957-89B6-FF2A830001F6}"/>
              </c:ext>
            </c:extLst>
          </c:dPt>
          <c:dPt>
            <c:idx val="5"/>
            <c:invertIfNegative val="0"/>
            <c:bubble3D val="0"/>
            <c:spPr>
              <a:solidFill>
                <a:srgbClr val="FFC000"/>
              </a:solidFill>
              <a:ln>
                <a:solidFill>
                  <a:srgbClr val="666666"/>
                </a:solidFill>
                <a:prstDash val="solid"/>
              </a:ln>
              <a:effectLst/>
            </c:spPr>
            <c:extLst>
              <c:ext xmlns:c16="http://schemas.microsoft.com/office/drawing/2014/chart" uri="{C3380CC4-5D6E-409C-BE32-E72D297353CC}">
                <c16:uniqueId val="{00000007-DC24-4957-89B6-FF2A830001F6}"/>
              </c:ext>
            </c:extLst>
          </c:dPt>
          <c:dPt>
            <c:idx val="6"/>
            <c:invertIfNegative val="0"/>
            <c:bubble3D val="0"/>
            <c:spPr>
              <a:solidFill>
                <a:srgbClr val="C00000"/>
              </a:solidFill>
              <a:ln>
                <a:solidFill>
                  <a:srgbClr val="666666"/>
                </a:solidFill>
                <a:prstDash val="solid"/>
              </a:ln>
              <a:effectLst/>
            </c:spPr>
            <c:extLst>
              <c:ext xmlns:c16="http://schemas.microsoft.com/office/drawing/2014/chart" uri="{C3380CC4-5D6E-409C-BE32-E72D297353CC}">
                <c16:uniqueId val="{00000008-DC24-4957-89B6-FF2A830001F6}"/>
              </c:ext>
            </c:extLst>
          </c:dPt>
          <c:dPt>
            <c:idx val="7"/>
            <c:invertIfNegative val="0"/>
            <c:bubble3D val="0"/>
            <c:spPr>
              <a:solidFill>
                <a:srgbClr val="C00000"/>
              </a:solidFill>
              <a:ln>
                <a:solidFill>
                  <a:srgbClr val="666666"/>
                </a:solidFill>
                <a:prstDash val="solid"/>
              </a:ln>
              <a:effectLst/>
            </c:spPr>
            <c:extLst>
              <c:ext xmlns:c16="http://schemas.microsoft.com/office/drawing/2014/chart" uri="{C3380CC4-5D6E-409C-BE32-E72D297353CC}">
                <c16:uniqueId val="{00000009-DC24-4957-89B6-FF2A830001F6}"/>
              </c:ext>
            </c:extLst>
          </c:dPt>
          <c:dPt>
            <c:idx val="8"/>
            <c:invertIfNegative val="0"/>
            <c:bubble3D val="0"/>
            <c:spPr>
              <a:solidFill>
                <a:srgbClr val="C00000"/>
              </a:solidFill>
              <a:ln>
                <a:solidFill>
                  <a:srgbClr val="666666"/>
                </a:solidFill>
                <a:prstDash val="solid"/>
              </a:ln>
              <a:effectLst/>
            </c:spPr>
            <c:extLst>
              <c:ext xmlns:c16="http://schemas.microsoft.com/office/drawing/2014/chart" uri="{C3380CC4-5D6E-409C-BE32-E72D297353CC}">
                <c16:uniqueId val="{0000000A-DC24-4957-89B6-FF2A830001F6}"/>
              </c:ext>
            </c:extLst>
          </c:dPt>
          <c:dPt>
            <c:idx val="9"/>
            <c:invertIfNegative val="0"/>
            <c:bubble3D val="0"/>
            <c:spPr>
              <a:solidFill>
                <a:srgbClr val="C00000"/>
              </a:solidFill>
              <a:ln>
                <a:solidFill>
                  <a:srgbClr val="666666"/>
                </a:solidFill>
                <a:prstDash val="solid"/>
              </a:ln>
              <a:effectLst/>
            </c:spPr>
            <c:extLst>
              <c:ext xmlns:c16="http://schemas.microsoft.com/office/drawing/2014/chart" uri="{C3380CC4-5D6E-409C-BE32-E72D297353CC}">
                <c16:uniqueId val="{0000000B-DC24-4957-89B6-FF2A830001F6}"/>
              </c:ext>
            </c:extLst>
          </c:dPt>
          <c:dPt>
            <c:idx val="10"/>
            <c:invertIfNegative val="0"/>
            <c:bubble3D val="0"/>
            <c:spPr>
              <a:solidFill>
                <a:srgbClr val="C00000"/>
              </a:solidFill>
              <a:ln>
                <a:solidFill>
                  <a:srgbClr val="666666"/>
                </a:solidFill>
                <a:prstDash val="solid"/>
              </a:ln>
              <a:effectLst/>
            </c:spPr>
            <c:extLst>
              <c:ext xmlns:c16="http://schemas.microsoft.com/office/drawing/2014/chart" uri="{C3380CC4-5D6E-409C-BE32-E72D297353CC}">
                <c16:uniqueId val="{0000000C-DC24-4957-89B6-FF2A830001F6}"/>
              </c:ext>
            </c:extLst>
          </c:dPt>
          <c:dPt>
            <c:idx val="11"/>
            <c:invertIfNegative val="0"/>
            <c:bubble3D val="0"/>
            <c:spPr>
              <a:solidFill>
                <a:srgbClr val="C00000"/>
              </a:solidFill>
              <a:ln>
                <a:solidFill>
                  <a:srgbClr val="666666"/>
                </a:solidFill>
                <a:prstDash val="solid"/>
              </a:ln>
              <a:effectLst/>
            </c:spPr>
            <c:extLst>
              <c:ext xmlns:c16="http://schemas.microsoft.com/office/drawing/2014/chart" uri="{C3380CC4-5D6E-409C-BE32-E72D297353CC}">
                <c16:uniqueId val="{0000000D-DC24-4957-89B6-FF2A830001F6}"/>
              </c:ext>
            </c:extLst>
          </c:dPt>
          <c:dLbls>
            <c:delete val="1"/>
          </c:dLbls>
          <c:cat>
            <c:strRef>
              <c:f>'EVM Charts'!$B$5:$B$16</c:f>
              <c:strCache>
                <c:ptCount val="12"/>
                <c:pt idx="0">
                  <c:v>Project Management</c:v>
                </c:pt>
                <c:pt idx="1">
                  <c:v>Site Survey &amp; Mobilization</c:v>
                </c:pt>
                <c:pt idx="2">
                  <c:v>Design &amp; Engineering</c:v>
                </c:pt>
                <c:pt idx="3">
                  <c:v>Procurement - Materials</c:v>
                </c:pt>
                <c:pt idx="4">
                  <c:v>Demolition &amp; Prep</c:v>
                </c:pt>
                <c:pt idx="5">
                  <c:v>Electrical Rough-In</c:v>
                </c:pt>
                <c:pt idx="6">
                  <c:v>HVAC Installation</c:v>
                </c:pt>
                <c:pt idx="7">
                  <c:v>Partitions &amp; Drywall</c:v>
                </c:pt>
                <c:pt idx="8">
                  <c:v>Flooring</c:v>
                </c:pt>
                <c:pt idx="9">
                  <c:v>Fixtures &amp; Furniture</c:v>
                </c:pt>
                <c:pt idx="10">
                  <c:v>Testing / Commissioning</c:v>
                </c:pt>
                <c:pt idx="11">
                  <c:v>Handover &amp; Closeout</c:v>
                </c:pt>
              </c:strCache>
            </c:strRef>
          </c:cat>
          <c:val>
            <c:numRef>
              <c:f>'EVM Charts'!$F$5:$F$16</c:f>
              <c:numCache>
                <c:formatCode>0</c:formatCode>
                <c:ptCount val="12"/>
                <c:pt idx="0">
                  <c:v>84</c:v>
                </c:pt>
                <c:pt idx="1">
                  <c:v>7</c:v>
                </c:pt>
                <c:pt idx="2">
                  <c:v>21</c:v>
                </c:pt>
                <c:pt idx="3">
                  <c:v>28</c:v>
                </c:pt>
                <c:pt idx="4">
                  <c:v>21</c:v>
                </c:pt>
                <c:pt idx="5">
                  <c:v>21</c:v>
                </c:pt>
                <c:pt idx="6">
                  <c:v>28</c:v>
                </c:pt>
                <c:pt idx="7">
                  <c:v>28</c:v>
                </c:pt>
                <c:pt idx="8">
                  <c:v>21</c:v>
                </c:pt>
                <c:pt idx="9">
                  <c:v>21</c:v>
                </c:pt>
                <c:pt idx="10">
                  <c:v>14</c:v>
                </c:pt>
                <c:pt idx="11">
                  <c:v>7</c:v>
                </c:pt>
              </c:numCache>
            </c:numRef>
          </c:val>
          <c:extLst>
            <c:ext xmlns:c16="http://schemas.microsoft.com/office/drawing/2014/chart" uri="{C3380CC4-5D6E-409C-BE32-E72D297353CC}">
              <c16:uniqueId val="{00000001-DC24-4957-89B6-FF2A830001F6}"/>
            </c:ext>
          </c:extLst>
        </c:ser>
        <c:dLbls>
          <c:showLegendKey val="0"/>
          <c:showVal val="1"/>
          <c:showCatName val="0"/>
          <c:showSerName val="0"/>
          <c:showPercent val="0"/>
          <c:showBubbleSize val="0"/>
        </c:dLbls>
        <c:gapWidth val="150"/>
        <c:overlap val="100"/>
        <c:axId val="1694832975"/>
        <c:axId val="1078821968"/>
      </c:barChart>
      <c:catAx>
        <c:axId val="169483297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WBS Activity</a:t>
                </a:r>
              </a:p>
            </c:rich>
          </c:tx>
          <c:layout>
            <c:manualLayout>
              <c:xMode val="edge"/>
              <c:yMode val="edge"/>
              <c:x val="1.1435833418626841E-2"/>
              <c:y val="0.283786397505680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crossAx val="1078821968"/>
        <c:crosses val="autoZero"/>
        <c:auto val="1"/>
        <c:lblAlgn val="ctr"/>
        <c:lblOffset val="100"/>
        <c:noMultiLvlLbl val="0"/>
      </c:catAx>
      <c:valAx>
        <c:axId val="1078821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9483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EVM S-Curve — RAG Lines + 2026-06-30 Status Line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strRef>
              <c:f>'EVM Charts'!$C$23</c:f>
              <c:strCache>
                <c:ptCount val="1"/>
                <c:pt idx="0">
                  <c:v>Cum PV</c:v>
                </c:pt>
              </c:strCache>
            </c:strRef>
          </c:tx>
          <c:spPr>
            <a:ln w="28575" cap="rnd">
              <a:solidFill>
                <a:srgbClr val="70AD47"/>
              </a:solidFill>
              <a:prstDash val="solid"/>
              <a:round/>
            </a:ln>
            <a:effectLst/>
          </c:spPr>
          <c:marker>
            <c:symbol val="none"/>
          </c:marker>
          <c:cat>
            <c:numRef>
              <c:f>'EVM Charts'!$B$24:$B$35</c:f>
              <c:numCache>
                <c:formatCode>yyyy\-mm\-dd</c:formatCode>
                <c:ptCount val="12"/>
                <c:pt idx="0">
                  <c:v>46150</c:v>
                </c:pt>
                <c:pt idx="1">
                  <c:v>46157</c:v>
                </c:pt>
                <c:pt idx="2">
                  <c:v>46164</c:v>
                </c:pt>
                <c:pt idx="3">
                  <c:v>46171</c:v>
                </c:pt>
                <c:pt idx="4">
                  <c:v>46178</c:v>
                </c:pt>
                <c:pt idx="5">
                  <c:v>46185</c:v>
                </c:pt>
                <c:pt idx="6">
                  <c:v>46192</c:v>
                </c:pt>
                <c:pt idx="7">
                  <c:v>46199</c:v>
                </c:pt>
                <c:pt idx="8">
                  <c:v>46206</c:v>
                </c:pt>
                <c:pt idx="9">
                  <c:v>46213</c:v>
                </c:pt>
                <c:pt idx="10">
                  <c:v>46220</c:v>
                </c:pt>
                <c:pt idx="11">
                  <c:v>46227</c:v>
                </c:pt>
              </c:numCache>
            </c:numRef>
          </c:cat>
          <c:val>
            <c:numRef>
              <c:f>'EVM Charts'!$C$24:$C$35</c:f>
              <c:numCache>
                <c:formatCode>#,##0.00</c:formatCode>
                <c:ptCount val="12"/>
                <c:pt idx="0">
                  <c:v>16400</c:v>
                </c:pt>
                <c:pt idx="1">
                  <c:v>39200</c:v>
                </c:pt>
                <c:pt idx="2">
                  <c:v>62000</c:v>
                </c:pt>
                <c:pt idx="3">
                  <c:v>87066.67</c:v>
                </c:pt>
                <c:pt idx="4">
                  <c:v>116733.34</c:v>
                </c:pt>
                <c:pt idx="5">
                  <c:v>142900</c:v>
                </c:pt>
                <c:pt idx="6">
                  <c:v>160400</c:v>
                </c:pt>
                <c:pt idx="7">
                  <c:v>189816.67</c:v>
                </c:pt>
                <c:pt idx="8">
                  <c:v>220233.34000000003</c:v>
                </c:pt>
                <c:pt idx="9">
                  <c:v>243650.00000000003</c:v>
                </c:pt>
                <c:pt idx="10">
                  <c:v>259350.00000000003</c:v>
                </c:pt>
                <c:pt idx="11">
                  <c:v>268650</c:v>
                </c:pt>
              </c:numCache>
            </c:numRef>
          </c:val>
          <c:smooth val="0"/>
          <c:extLst>
            <c:ext xmlns:c16="http://schemas.microsoft.com/office/drawing/2014/chart" uri="{C3380CC4-5D6E-409C-BE32-E72D297353CC}">
              <c16:uniqueId val="{00000000-1E07-49DD-A857-0EAE45E2D037}"/>
            </c:ext>
          </c:extLst>
        </c:ser>
        <c:ser>
          <c:idx val="1"/>
          <c:order val="1"/>
          <c:tx>
            <c:strRef>
              <c:f>'EVM Charts'!$D$23</c:f>
              <c:strCache>
                <c:ptCount val="1"/>
                <c:pt idx="0">
                  <c:v>Cum AC</c:v>
                </c:pt>
              </c:strCache>
            </c:strRef>
          </c:tx>
          <c:spPr>
            <a:ln w="28575" cap="rnd">
              <a:solidFill>
                <a:srgbClr val="C00000"/>
              </a:solidFill>
              <a:prstDash val="solid"/>
              <a:round/>
            </a:ln>
            <a:effectLst/>
          </c:spPr>
          <c:marker>
            <c:symbol val="none"/>
          </c:marker>
          <c:cat>
            <c:numRef>
              <c:f>'EVM Charts'!$B$24:$B$35</c:f>
              <c:numCache>
                <c:formatCode>yyyy\-mm\-dd</c:formatCode>
                <c:ptCount val="12"/>
                <c:pt idx="0">
                  <c:v>46150</c:v>
                </c:pt>
                <c:pt idx="1">
                  <c:v>46157</c:v>
                </c:pt>
                <c:pt idx="2">
                  <c:v>46164</c:v>
                </c:pt>
                <c:pt idx="3">
                  <c:v>46171</c:v>
                </c:pt>
                <c:pt idx="4">
                  <c:v>46178</c:v>
                </c:pt>
                <c:pt idx="5">
                  <c:v>46185</c:v>
                </c:pt>
                <c:pt idx="6">
                  <c:v>46192</c:v>
                </c:pt>
                <c:pt idx="7">
                  <c:v>46199</c:v>
                </c:pt>
                <c:pt idx="8">
                  <c:v>46206</c:v>
                </c:pt>
                <c:pt idx="9">
                  <c:v>46213</c:v>
                </c:pt>
                <c:pt idx="10">
                  <c:v>46220</c:v>
                </c:pt>
                <c:pt idx="11">
                  <c:v>46227</c:v>
                </c:pt>
              </c:numCache>
            </c:numRef>
          </c:cat>
          <c:val>
            <c:numRef>
              <c:f>'EVM Charts'!$D$24:$D$35</c:f>
              <c:numCache>
                <c:formatCode>#,##0.00</c:formatCode>
                <c:ptCount val="12"/>
                <c:pt idx="0">
                  <c:v>16295.04</c:v>
                </c:pt>
                <c:pt idx="1">
                  <c:v>38949.120000000003</c:v>
                </c:pt>
                <c:pt idx="2">
                  <c:v>61603.200000000004</c:v>
                </c:pt>
                <c:pt idx="3">
                  <c:v>86509.440000000017</c:v>
                </c:pt>
                <c:pt idx="4">
                  <c:v>115986.24000000002</c:v>
                </c:pt>
                <c:pt idx="5">
                  <c:v>141985.44</c:v>
                </c:pt>
                <c:pt idx="6">
                  <c:v>141985.44</c:v>
                </c:pt>
                <c:pt idx="7">
                  <c:v>141985.44</c:v>
                </c:pt>
                <c:pt idx="8">
                  <c:v>141985.44</c:v>
                </c:pt>
                <c:pt idx="9">
                  <c:v>141985.44</c:v>
                </c:pt>
                <c:pt idx="10">
                  <c:v>141985.44</c:v>
                </c:pt>
                <c:pt idx="11">
                  <c:v>141985.44</c:v>
                </c:pt>
              </c:numCache>
            </c:numRef>
          </c:val>
          <c:smooth val="0"/>
          <c:extLst>
            <c:ext xmlns:c16="http://schemas.microsoft.com/office/drawing/2014/chart" uri="{C3380CC4-5D6E-409C-BE32-E72D297353CC}">
              <c16:uniqueId val="{00000001-1E07-49DD-A857-0EAE45E2D037}"/>
            </c:ext>
          </c:extLst>
        </c:ser>
        <c:ser>
          <c:idx val="2"/>
          <c:order val="2"/>
          <c:tx>
            <c:strRef>
              <c:f>'EVM Charts'!$E$23</c:f>
              <c:strCache>
                <c:ptCount val="1"/>
                <c:pt idx="0">
                  <c:v>Cum EV</c:v>
                </c:pt>
              </c:strCache>
            </c:strRef>
          </c:tx>
          <c:spPr>
            <a:ln w="31750" cap="rnd">
              <a:solidFill>
                <a:srgbClr val="FFC000"/>
              </a:solidFill>
              <a:prstDash val="solid"/>
              <a:round/>
            </a:ln>
            <a:effectLst/>
          </c:spPr>
          <c:marker>
            <c:symbol val="none"/>
          </c:marker>
          <c:cat>
            <c:numRef>
              <c:f>'EVM Charts'!$B$24:$B$35</c:f>
              <c:numCache>
                <c:formatCode>yyyy\-mm\-dd</c:formatCode>
                <c:ptCount val="12"/>
                <c:pt idx="0">
                  <c:v>46150</c:v>
                </c:pt>
                <c:pt idx="1">
                  <c:v>46157</c:v>
                </c:pt>
                <c:pt idx="2">
                  <c:v>46164</c:v>
                </c:pt>
                <c:pt idx="3">
                  <c:v>46171</c:v>
                </c:pt>
                <c:pt idx="4">
                  <c:v>46178</c:v>
                </c:pt>
                <c:pt idx="5">
                  <c:v>46185</c:v>
                </c:pt>
                <c:pt idx="6">
                  <c:v>46192</c:v>
                </c:pt>
                <c:pt idx="7">
                  <c:v>46199</c:v>
                </c:pt>
                <c:pt idx="8">
                  <c:v>46206</c:v>
                </c:pt>
                <c:pt idx="9">
                  <c:v>46213</c:v>
                </c:pt>
                <c:pt idx="10">
                  <c:v>46220</c:v>
                </c:pt>
                <c:pt idx="11">
                  <c:v>46227</c:v>
                </c:pt>
              </c:numCache>
            </c:numRef>
          </c:cat>
          <c:val>
            <c:numRef>
              <c:f>'EVM Charts'!$E$24:$E$35</c:f>
              <c:numCache>
                <c:formatCode>#,##0.00</c:formatCode>
                <c:ptCount val="12"/>
                <c:pt idx="0">
                  <c:v>15087.994000000001</c:v>
                </c:pt>
                <c:pt idx="1">
                  <c:v>36064.003600000004</c:v>
                </c:pt>
                <c:pt idx="2">
                  <c:v>57040</c:v>
                </c:pt>
                <c:pt idx="3">
                  <c:v>80101.327999999994</c:v>
                </c:pt>
                <c:pt idx="4">
                  <c:v>107394.674</c:v>
                </c:pt>
                <c:pt idx="5">
                  <c:v>131467.99600000001</c:v>
                </c:pt>
                <c:pt idx="6">
                  <c:v>131467.99600000001</c:v>
                </c:pt>
                <c:pt idx="7">
                  <c:v>131467.99600000001</c:v>
                </c:pt>
                <c:pt idx="8">
                  <c:v>131467.99600000001</c:v>
                </c:pt>
                <c:pt idx="9">
                  <c:v>131467.99600000001</c:v>
                </c:pt>
                <c:pt idx="10">
                  <c:v>131467.99600000001</c:v>
                </c:pt>
                <c:pt idx="11">
                  <c:v>131467.99600000001</c:v>
                </c:pt>
              </c:numCache>
            </c:numRef>
          </c:val>
          <c:smooth val="0"/>
          <c:extLst>
            <c:ext xmlns:c16="http://schemas.microsoft.com/office/drawing/2014/chart" uri="{C3380CC4-5D6E-409C-BE32-E72D297353CC}">
              <c16:uniqueId val="{00000002-1E07-49DD-A857-0EAE45E2D037}"/>
            </c:ext>
          </c:extLst>
        </c:ser>
        <c:dLbls>
          <c:showLegendKey val="0"/>
          <c:showVal val="0"/>
          <c:showCatName val="0"/>
          <c:showSerName val="0"/>
          <c:showPercent val="0"/>
          <c:showBubbleSize val="0"/>
        </c:dLbls>
        <c:smooth val="0"/>
        <c:axId val="639690000"/>
        <c:axId val="1078743728"/>
      </c:lineChart>
      <c:dateAx>
        <c:axId val="639690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Week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 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78743728"/>
        <c:crosses val="autoZero"/>
        <c:auto val="0"/>
        <c:lblOffset val="100"/>
        <c:baseTimeUnit val="days"/>
      </c:dateAx>
      <c:valAx>
        <c:axId val="107874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Cumulative NOK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63969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254000</xdr:colOff>
      <xdr:row>1</xdr:row>
      <xdr:rowOff>1035050</xdr:rowOff>
    </xdr:from>
    <xdr:to>
      <xdr:col>1</xdr:col>
      <xdr:colOff>317500</xdr:colOff>
      <xdr:row>11</xdr:row>
      <xdr:rowOff>101600</xdr:rowOff>
    </xdr:to>
    <mc:AlternateContent xmlns:mc="http://schemas.openxmlformats.org/markup-compatibility/2006">
      <mc:Choice xmlns:sle15="http://schemas.microsoft.com/office/drawing/2012/slicer" Requires="sle15">
        <xdr:graphicFrame macro="">
          <xdr:nvGraphicFramePr>
            <xdr:cNvPr id="3" name="slc_TaskPlan_Type">
              <a:extLst>
                <a:ext uri="{FF2B5EF4-FFF2-40B4-BE49-F238E27FC236}">
                  <a16:creationId xmlns:a16="http://schemas.microsoft.com/office/drawing/2014/main" id="{C1BC0B00-A24D-A45A-F34A-EACC713E20BE}"/>
                </a:ext>
              </a:extLst>
            </xdr:cNvPr>
            <xdr:cNvGraphicFramePr/>
          </xdr:nvGraphicFramePr>
          <xdr:xfrm>
            <a:off x="0" y="0"/>
            <a:ext cx="0" cy="0"/>
          </xdr:xfrm>
          <a:graphic>
            <a:graphicData uri="http://schemas.microsoft.com/office/drawing/2010/slicer">
              <sle:slicer xmlns:sle="http://schemas.microsoft.com/office/drawing/2010/slicer" name="slc_TaskPlan_Type"/>
            </a:graphicData>
          </a:graphic>
        </xdr:graphicFrame>
      </mc:Choice>
      <mc:Fallback>
        <xdr:sp macro="" textlink="">
          <xdr:nvSpPr>
            <xdr:cNvPr id="0" name=""/>
            <xdr:cNvSpPr>
              <a:spLocks noTextEdit="1"/>
            </xdr:cNvSpPr>
          </xdr:nvSpPr>
          <xdr:spPr>
            <a:xfrm>
              <a:off x="254000" y="1333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571500</xdr:colOff>
      <xdr:row>1</xdr:row>
      <xdr:rowOff>1035050</xdr:rowOff>
    </xdr:from>
    <xdr:to>
      <xdr:col>2</xdr:col>
      <xdr:colOff>1016000</xdr:colOff>
      <xdr:row>11</xdr:row>
      <xdr:rowOff>101600</xdr:rowOff>
    </xdr:to>
    <mc:AlternateContent xmlns:mc="http://schemas.openxmlformats.org/markup-compatibility/2006">
      <mc:Choice xmlns:sle15="http://schemas.microsoft.com/office/drawing/2012/slicer" Requires="sle15">
        <xdr:graphicFrame macro="">
          <xdr:nvGraphicFramePr>
            <xdr:cNvPr id="4" name="slc_TaskPlan_Status">
              <a:extLst>
                <a:ext uri="{FF2B5EF4-FFF2-40B4-BE49-F238E27FC236}">
                  <a16:creationId xmlns:a16="http://schemas.microsoft.com/office/drawing/2014/main" id="{08BE06BE-0189-087A-344C-8486BBF5E760}"/>
                </a:ext>
              </a:extLst>
            </xdr:cNvPr>
            <xdr:cNvGraphicFramePr/>
          </xdr:nvGraphicFramePr>
          <xdr:xfrm>
            <a:off x="0" y="0"/>
            <a:ext cx="0" cy="0"/>
          </xdr:xfrm>
          <a:graphic>
            <a:graphicData uri="http://schemas.microsoft.com/office/drawing/2010/slicer">
              <sle:slicer xmlns:sle="http://schemas.microsoft.com/office/drawing/2010/slicer" name="slc_TaskPlan_Status"/>
            </a:graphicData>
          </a:graphic>
        </xdr:graphicFrame>
      </mc:Choice>
      <mc:Fallback>
        <xdr:sp macro="" textlink="">
          <xdr:nvSpPr>
            <xdr:cNvPr id="0" name=""/>
            <xdr:cNvSpPr>
              <a:spLocks noTextEdit="1"/>
            </xdr:cNvSpPr>
          </xdr:nvSpPr>
          <xdr:spPr>
            <a:xfrm>
              <a:off x="2476500" y="1333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1270000</xdr:colOff>
      <xdr:row>1</xdr:row>
      <xdr:rowOff>1035050</xdr:rowOff>
    </xdr:from>
    <xdr:to>
      <xdr:col>3</xdr:col>
      <xdr:colOff>1714500</xdr:colOff>
      <xdr:row>11</xdr:row>
      <xdr:rowOff>101600</xdr:rowOff>
    </xdr:to>
    <mc:AlternateContent xmlns:mc="http://schemas.openxmlformats.org/markup-compatibility/2006">
      <mc:Choice xmlns:sle15="http://schemas.microsoft.com/office/drawing/2012/slicer" Requires="sle15">
        <xdr:graphicFrame macro="">
          <xdr:nvGraphicFramePr>
            <xdr:cNvPr id="5" name="slc_TaskPlan_WBSID">
              <a:extLst>
                <a:ext uri="{FF2B5EF4-FFF2-40B4-BE49-F238E27FC236}">
                  <a16:creationId xmlns:a16="http://schemas.microsoft.com/office/drawing/2014/main" id="{E796FB8D-4D5C-534D-B173-6E9822004776}"/>
                </a:ext>
              </a:extLst>
            </xdr:cNvPr>
            <xdr:cNvGraphicFramePr/>
          </xdr:nvGraphicFramePr>
          <xdr:xfrm>
            <a:off x="0" y="0"/>
            <a:ext cx="0" cy="0"/>
          </xdr:xfrm>
          <a:graphic>
            <a:graphicData uri="http://schemas.microsoft.com/office/drawing/2010/slicer">
              <sle:slicer xmlns:sle="http://schemas.microsoft.com/office/drawing/2010/slicer" name="slc_TaskPlan_WBSID"/>
            </a:graphicData>
          </a:graphic>
        </xdr:graphicFrame>
      </mc:Choice>
      <mc:Fallback>
        <xdr:sp macro="" textlink="">
          <xdr:nvSpPr>
            <xdr:cNvPr id="0" name=""/>
            <xdr:cNvSpPr>
              <a:spLocks noTextEdit="1"/>
            </xdr:cNvSpPr>
          </xdr:nvSpPr>
          <xdr:spPr>
            <a:xfrm>
              <a:off x="4699000" y="1333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1968500</xdr:colOff>
      <xdr:row>1</xdr:row>
      <xdr:rowOff>1035050</xdr:rowOff>
    </xdr:from>
    <xdr:to>
      <xdr:col>5</xdr:col>
      <xdr:colOff>571500</xdr:colOff>
      <xdr:row>11</xdr:row>
      <xdr:rowOff>101600</xdr:rowOff>
    </xdr:to>
    <mc:AlternateContent xmlns:mc="http://schemas.openxmlformats.org/markup-compatibility/2006">
      <mc:Choice xmlns:sle15="http://schemas.microsoft.com/office/drawing/2012/slicer" Requires="sle15">
        <xdr:graphicFrame macro="">
          <xdr:nvGraphicFramePr>
            <xdr:cNvPr id="6" name="slc_Dashboard_Status">
              <a:extLst>
                <a:ext uri="{FF2B5EF4-FFF2-40B4-BE49-F238E27FC236}">
                  <a16:creationId xmlns:a16="http://schemas.microsoft.com/office/drawing/2014/main" id="{32C16ED6-E696-AA05-9166-A17780AF3376}"/>
                </a:ext>
              </a:extLst>
            </xdr:cNvPr>
            <xdr:cNvGraphicFramePr/>
          </xdr:nvGraphicFramePr>
          <xdr:xfrm>
            <a:off x="0" y="0"/>
            <a:ext cx="0" cy="0"/>
          </xdr:xfrm>
          <a:graphic>
            <a:graphicData uri="http://schemas.microsoft.com/office/drawing/2010/slicer">
              <sle:slicer xmlns:sle="http://schemas.microsoft.com/office/drawing/2010/slicer" name="slc_Dashboard_Status"/>
            </a:graphicData>
          </a:graphic>
        </xdr:graphicFrame>
      </mc:Choice>
      <mc:Fallback>
        <xdr:sp macro="" textlink="">
          <xdr:nvSpPr>
            <xdr:cNvPr id="0" name=""/>
            <xdr:cNvSpPr>
              <a:spLocks noTextEdit="1"/>
            </xdr:cNvSpPr>
          </xdr:nvSpPr>
          <xdr:spPr>
            <a:xfrm>
              <a:off x="6921500" y="1333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825500</xdr:colOff>
      <xdr:row>1</xdr:row>
      <xdr:rowOff>1035050</xdr:rowOff>
    </xdr:from>
    <xdr:to>
      <xdr:col>7</xdr:col>
      <xdr:colOff>889000</xdr:colOff>
      <xdr:row>11</xdr:row>
      <xdr:rowOff>101600</xdr:rowOff>
    </xdr:to>
    <mc:AlternateContent xmlns:mc="http://schemas.openxmlformats.org/markup-compatibility/2006">
      <mc:Choice xmlns:sle15="http://schemas.microsoft.com/office/drawing/2012/slicer" Requires="sle15">
        <xdr:graphicFrame macro="">
          <xdr:nvGraphicFramePr>
            <xdr:cNvPr id="7" name="slc_Dashboard_Type">
              <a:extLst>
                <a:ext uri="{FF2B5EF4-FFF2-40B4-BE49-F238E27FC236}">
                  <a16:creationId xmlns:a16="http://schemas.microsoft.com/office/drawing/2014/main" id="{4C769D8B-CA11-AC0A-09BF-99668806FA38}"/>
                </a:ext>
              </a:extLst>
            </xdr:cNvPr>
            <xdr:cNvGraphicFramePr/>
          </xdr:nvGraphicFramePr>
          <xdr:xfrm>
            <a:off x="0" y="0"/>
            <a:ext cx="0" cy="0"/>
          </xdr:xfrm>
          <a:graphic>
            <a:graphicData uri="http://schemas.microsoft.com/office/drawing/2010/slicer">
              <sle:slicer xmlns:sle="http://schemas.microsoft.com/office/drawing/2010/slicer" name="slc_Dashboard_Type"/>
            </a:graphicData>
          </a:graphic>
        </xdr:graphicFrame>
      </mc:Choice>
      <mc:Fallback>
        <xdr:sp macro="" textlink="">
          <xdr:nvSpPr>
            <xdr:cNvPr id="0" name=""/>
            <xdr:cNvSpPr>
              <a:spLocks noTextEdit="1"/>
            </xdr:cNvSpPr>
          </xdr:nvSpPr>
          <xdr:spPr>
            <a:xfrm>
              <a:off x="9144000" y="1333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254000</xdr:colOff>
      <xdr:row>13</xdr:row>
      <xdr:rowOff>12700</xdr:rowOff>
    </xdr:from>
    <xdr:to>
      <xdr:col>1</xdr:col>
      <xdr:colOff>317500</xdr:colOff>
      <xdr:row>23</xdr:row>
      <xdr:rowOff>12700</xdr:rowOff>
    </xdr:to>
    <mc:AlternateContent xmlns:mc="http://schemas.openxmlformats.org/markup-compatibility/2006">
      <mc:Choice xmlns:sle15="http://schemas.microsoft.com/office/drawing/2012/slicer" Requires="sle15">
        <xdr:graphicFrame macro="">
          <xdr:nvGraphicFramePr>
            <xdr:cNvPr id="8" name="slc_Resource_RAG">
              <a:extLst>
                <a:ext uri="{FF2B5EF4-FFF2-40B4-BE49-F238E27FC236}">
                  <a16:creationId xmlns:a16="http://schemas.microsoft.com/office/drawing/2014/main" id="{5E06CBB2-4331-9F7C-691D-CCB5F73082F1}"/>
                </a:ext>
              </a:extLst>
            </xdr:cNvPr>
            <xdr:cNvGraphicFramePr/>
          </xdr:nvGraphicFramePr>
          <xdr:xfrm>
            <a:off x="0" y="0"/>
            <a:ext cx="0" cy="0"/>
          </xdr:xfrm>
          <a:graphic>
            <a:graphicData uri="http://schemas.microsoft.com/office/drawing/2010/slicer">
              <sle:slicer xmlns:sle="http://schemas.microsoft.com/office/drawing/2010/slicer" name="slc_Resource_RAG"/>
            </a:graphicData>
          </a:graphic>
        </xdr:graphicFrame>
      </mc:Choice>
      <mc:Fallback>
        <xdr:sp macro="" textlink="">
          <xdr:nvSpPr>
            <xdr:cNvPr id="0" name=""/>
            <xdr:cNvSpPr>
              <a:spLocks noTextEdit="1"/>
            </xdr:cNvSpPr>
          </xdr:nvSpPr>
          <xdr:spPr>
            <a:xfrm>
              <a:off x="254000" y="3454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571500</xdr:colOff>
      <xdr:row>13</xdr:row>
      <xdr:rowOff>12700</xdr:rowOff>
    </xdr:from>
    <xdr:to>
      <xdr:col>2</xdr:col>
      <xdr:colOff>1016000</xdr:colOff>
      <xdr:row>23</xdr:row>
      <xdr:rowOff>12700</xdr:rowOff>
    </xdr:to>
    <mc:AlternateContent xmlns:mc="http://schemas.openxmlformats.org/markup-compatibility/2006">
      <mc:Choice xmlns:sle15="http://schemas.microsoft.com/office/drawing/2012/slicer" Requires="sle15">
        <xdr:graphicFrame macro="">
          <xdr:nvGraphicFramePr>
            <xdr:cNvPr id="9" name="slc_Resource_Measure">
              <a:extLst>
                <a:ext uri="{FF2B5EF4-FFF2-40B4-BE49-F238E27FC236}">
                  <a16:creationId xmlns:a16="http://schemas.microsoft.com/office/drawing/2014/main" id="{DA1EB75A-C140-ED29-10B4-8B431D3CC8D6}"/>
                </a:ext>
              </a:extLst>
            </xdr:cNvPr>
            <xdr:cNvGraphicFramePr/>
          </xdr:nvGraphicFramePr>
          <xdr:xfrm>
            <a:off x="0" y="0"/>
            <a:ext cx="0" cy="0"/>
          </xdr:xfrm>
          <a:graphic>
            <a:graphicData uri="http://schemas.microsoft.com/office/drawing/2010/slicer">
              <sle:slicer xmlns:sle="http://schemas.microsoft.com/office/drawing/2010/slicer" name="slc_Resource_Measure"/>
            </a:graphicData>
          </a:graphic>
        </xdr:graphicFrame>
      </mc:Choice>
      <mc:Fallback>
        <xdr:sp macro="" textlink="">
          <xdr:nvSpPr>
            <xdr:cNvPr id="0" name=""/>
            <xdr:cNvSpPr>
              <a:spLocks noTextEdit="1"/>
            </xdr:cNvSpPr>
          </xdr:nvSpPr>
          <xdr:spPr>
            <a:xfrm>
              <a:off x="2476500" y="3454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1270000</xdr:colOff>
      <xdr:row>13</xdr:row>
      <xdr:rowOff>12700</xdr:rowOff>
    </xdr:from>
    <xdr:to>
      <xdr:col>3</xdr:col>
      <xdr:colOff>1714500</xdr:colOff>
      <xdr:row>23</xdr:row>
      <xdr:rowOff>12700</xdr:rowOff>
    </xdr:to>
    <mc:AlternateContent xmlns:mc="http://schemas.openxmlformats.org/markup-compatibility/2006">
      <mc:Choice xmlns:sle15="http://schemas.microsoft.com/office/drawing/2012/slicer" Requires="sle15">
        <xdr:graphicFrame macro="">
          <xdr:nvGraphicFramePr>
            <xdr:cNvPr id="10" name="slc_EVM_Week">
              <a:extLst>
                <a:ext uri="{FF2B5EF4-FFF2-40B4-BE49-F238E27FC236}">
                  <a16:creationId xmlns:a16="http://schemas.microsoft.com/office/drawing/2014/main" id="{42E9D2D0-B8C5-A537-9643-CCD6B02D768F}"/>
                </a:ext>
              </a:extLst>
            </xdr:cNvPr>
            <xdr:cNvGraphicFramePr/>
          </xdr:nvGraphicFramePr>
          <xdr:xfrm>
            <a:off x="0" y="0"/>
            <a:ext cx="0" cy="0"/>
          </xdr:xfrm>
          <a:graphic>
            <a:graphicData uri="http://schemas.microsoft.com/office/drawing/2010/slicer">
              <sle:slicer xmlns:sle="http://schemas.microsoft.com/office/drawing/2010/slicer" name="slc_EVM_Week"/>
            </a:graphicData>
          </a:graphic>
        </xdr:graphicFrame>
      </mc:Choice>
      <mc:Fallback>
        <xdr:sp macro="" textlink="">
          <xdr:nvSpPr>
            <xdr:cNvPr id="0" name=""/>
            <xdr:cNvSpPr>
              <a:spLocks noTextEdit="1"/>
            </xdr:cNvSpPr>
          </xdr:nvSpPr>
          <xdr:spPr>
            <a:xfrm>
              <a:off x="4699000" y="3454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1968500</xdr:colOff>
      <xdr:row>13</xdr:row>
      <xdr:rowOff>12700</xdr:rowOff>
    </xdr:from>
    <xdr:to>
      <xdr:col>5</xdr:col>
      <xdr:colOff>571500</xdr:colOff>
      <xdr:row>23</xdr:row>
      <xdr:rowOff>12700</xdr:rowOff>
    </xdr:to>
    <mc:AlternateContent xmlns:mc="http://schemas.openxmlformats.org/markup-compatibility/2006">
      <mc:Choice xmlns:sle15="http://schemas.microsoft.com/office/drawing/2012/slicer" Requires="sle15">
        <xdr:graphicFrame macro="">
          <xdr:nvGraphicFramePr>
            <xdr:cNvPr id="11" name="slc_EVM_Status">
              <a:extLst>
                <a:ext uri="{FF2B5EF4-FFF2-40B4-BE49-F238E27FC236}">
                  <a16:creationId xmlns:a16="http://schemas.microsoft.com/office/drawing/2014/main" id="{BD5C4DC8-24E2-17E3-6B8B-17A7C10DF859}"/>
                </a:ext>
              </a:extLst>
            </xdr:cNvPr>
            <xdr:cNvGraphicFramePr/>
          </xdr:nvGraphicFramePr>
          <xdr:xfrm>
            <a:off x="0" y="0"/>
            <a:ext cx="0" cy="0"/>
          </xdr:xfrm>
          <a:graphic>
            <a:graphicData uri="http://schemas.microsoft.com/office/drawing/2010/slicer">
              <sle:slicer xmlns:sle="http://schemas.microsoft.com/office/drawing/2010/slicer" name="slc_EVM_Status"/>
            </a:graphicData>
          </a:graphic>
        </xdr:graphicFrame>
      </mc:Choice>
      <mc:Fallback>
        <xdr:sp macro="" textlink="">
          <xdr:nvSpPr>
            <xdr:cNvPr id="0" name=""/>
            <xdr:cNvSpPr>
              <a:spLocks noTextEdit="1"/>
            </xdr:cNvSpPr>
          </xdr:nvSpPr>
          <xdr:spPr>
            <a:xfrm>
              <a:off x="6921500" y="3454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825500</xdr:colOff>
      <xdr:row>13</xdr:row>
      <xdr:rowOff>12700</xdr:rowOff>
    </xdr:from>
    <xdr:to>
      <xdr:col>7</xdr:col>
      <xdr:colOff>889000</xdr:colOff>
      <xdr:row>23</xdr:row>
      <xdr:rowOff>12700</xdr:rowOff>
    </xdr:to>
    <mc:AlternateContent xmlns:mc="http://schemas.openxmlformats.org/markup-compatibility/2006">
      <mc:Choice xmlns:sle15="http://schemas.microsoft.com/office/drawing/2012/slicer" Requires="sle15">
        <xdr:graphicFrame macro="">
          <xdr:nvGraphicFramePr>
            <xdr:cNvPr id="12" name="slc_PERT_RAG">
              <a:extLst>
                <a:ext uri="{FF2B5EF4-FFF2-40B4-BE49-F238E27FC236}">
                  <a16:creationId xmlns:a16="http://schemas.microsoft.com/office/drawing/2014/main" id="{CAAAFAD9-8D02-369B-F233-E19DF3BEC82A}"/>
                </a:ext>
              </a:extLst>
            </xdr:cNvPr>
            <xdr:cNvGraphicFramePr/>
          </xdr:nvGraphicFramePr>
          <xdr:xfrm>
            <a:off x="0" y="0"/>
            <a:ext cx="0" cy="0"/>
          </xdr:xfrm>
          <a:graphic>
            <a:graphicData uri="http://schemas.microsoft.com/office/drawing/2010/slicer">
              <sle:slicer xmlns:sle="http://schemas.microsoft.com/office/drawing/2010/slicer" name="slc_PERT_RAG"/>
            </a:graphicData>
          </a:graphic>
        </xdr:graphicFrame>
      </mc:Choice>
      <mc:Fallback>
        <xdr:sp macro="" textlink="">
          <xdr:nvSpPr>
            <xdr:cNvPr id="0" name=""/>
            <xdr:cNvSpPr>
              <a:spLocks noTextEdit="1"/>
            </xdr:cNvSpPr>
          </xdr:nvSpPr>
          <xdr:spPr>
            <a:xfrm>
              <a:off x="9144000" y="3454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254000</xdr:colOff>
      <xdr:row>37</xdr:row>
      <xdr:rowOff>0</xdr:rowOff>
    </xdr:from>
    <xdr:to>
      <xdr:col>1</xdr:col>
      <xdr:colOff>317500</xdr:colOff>
      <xdr:row>47</xdr:row>
      <xdr:rowOff>0</xdr:rowOff>
    </xdr:to>
    <mc:AlternateContent xmlns:mc="http://schemas.openxmlformats.org/markup-compatibility/2006">
      <mc:Choice xmlns:sle15="http://schemas.microsoft.com/office/drawing/2012/slicer" Requires="sle15">
        <xdr:graphicFrame macro="">
          <xdr:nvGraphicFramePr>
            <xdr:cNvPr id="13" name="slc_DimWBS_Type">
              <a:extLst>
                <a:ext uri="{FF2B5EF4-FFF2-40B4-BE49-F238E27FC236}">
                  <a16:creationId xmlns:a16="http://schemas.microsoft.com/office/drawing/2014/main" id="{EF8E183B-50F1-6926-5CA9-09356B586425}"/>
                </a:ext>
              </a:extLst>
            </xdr:cNvPr>
            <xdr:cNvGraphicFramePr/>
          </xdr:nvGraphicFramePr>
          <xdr:xfrm>
            <a:off x="0" y="0"/>
            <a:ext cx="0" cy="0"/>
          </xdr:xfrm>
          <a:graphic>
            <a:graphicData uri="http://schemas.microsoft.com/office/drawing/2010/slicer">
              <sle:slicer xmlns:sle="http://schemas.microsoft.com/office/drawing/2010/slicer" name="slc_DimWBS_Type"/>
            </a:graphicData>
          </a:graphic>
        </xdr:graphicFrame>
      </mc:Choice>
      <mc:Fallback>
        <xdr:sp macro="" textlink="">
          <xdr:nvSpPr>
            <xdr:cNvPr id="0" name=""/>
            <xdr:cNvSpPr>
              <a:spLocks noTextEdit="1"/>
            </xdr:cNvSpPr>
          </xdr:nvSpPr>
          <xdr:spPr>
            <a:xfrm>
              <a:off x="254000" y="78740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571500</xdr:colOff>
      <xdr:row>37</xdr:row>
      <xdr:rowOff>0</xdr:rowOff>
    </xdr:from>
    <xdr:to>
      <xdr:col>2</xdr:col>
      <xdr:colOff>1016000</xdr:colOff>
      <xdr:row>47</xdr:row>
      <xdr:rowOff>0</xdr:rowOff>
    </xdr:to>
    <mc:AlternateContent xmlns:mc="http://schemas.openxmlformats.org/markup-compatibility/2006">
      <mc:Choice xmlns:sle15="http://schemas.microsoft.com/office/drawing/2012/slicer" Requires="sle15">
        <xdr:graphicFrame macro="">
          <xdr:nvGraphicFramePr>
            <xdr:cNvPr id="14" name="slc_DimWBS_WBSID">
              <a:extLst>
                <a:ext uri="{FF2B5EF4-FFF2-40B4-BE49-F238E27FC236}">
                  <a16:creationId xmlns:a16="http://schemas.microsoft.com/office/drawing/2014/main" id="{1443964D-D143-A4C4-4967-BAF304BFC0A0}"/>
                </a:ext>
              </a:extLst>
            </xdr:cNvPr>
            <xdr:cNvGraphicFramePr/>
          </xdr:nvGraphicFramePr>
          <xdr:xfrm>
            <a:off x="0" y="0"/>
            <a:ext cx="0" cy="0"/>
          </xdr:xfrm>
          <a:graphic>
            <a:graphicData uri="http://schemas.microsoft.com/office/drawing/2010/slicer">
              <sle:slicer xmlns:sle="http://schemas.microsoft.com/office/drawing/2010/slicer" name="slc_DimWBS_WBSID"/>
            </a:graphicData>
          </a:graphic>
        </xdr:graphicFrame>
      </mc:Choice>
      <mc:Fallback>
        <xdr:sp macro="" textlink="">
          <xdr:nvSpPr>
            <xdr:cNvPr id="0" name=""/>
            <xdr:cNvSpPr>
              <a:spLocks noTextEdit="1"/>
            </xdr:cNvSpPr>
          </xdr:nvSpPr>
          <xdr:spPr>
            <a:xfrm>
              <a:off x="2476500" y="78740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1270000</xdr:colOff>
      <xdr:row>37</xdr:row>
      <xdr:rowOff>0</xdr:rowOff>
    </xdr:from>
    <xdr:to>
      <xdr:col>3</xdr:col>
      <xdr:colOff>1714500</xdr:colOff>
      <xdr:row>47</xdr:row>
      <xdr:rowOff>0</xdr:rowOff>
    </xdr:to>
    <mc:AlternateContent xmlns:mc="http://schemas.openxmlformats.org/markup-compatibility/2006">
      <mc:Choice xmlns:sle15="http://schemas.microsoft.com/office/drawing/2012/slicer" Requires="sle15">
        <xdr:graphicFrame macro="">
          <xdr:nvGraphicFramePr>
            <xdr:cNvPr id="15" name="slc_DimResource_Role">
              <a:extLst>
                <a:ext uri="{FF2B5EF4-FFF2-40B4-BE49-F238E27FC236}">
                  <a16:creationId xmlns:a16="http://schemas.microsoft.com/office/drawing/2014/main" id="{A9EF4722-CF1E-80B4-F183-4252842636CA}"/>
                </a:ext>
              </a:extLst>
            </xdr:cNvPr>
            <xdr:cNvGraphicFramePr/>
          </xdr:nvGraphicFramePr>
          <xdr:xfrm>
            <a:off x="0" y="0"/>
            <a:ext cx="0" cy="0"/>
          </xdr:xfrm>
          <a:graphic>
            <a:graphicData uri="http://schemas.microsoft.com/office/drawing/2010/slicer">
              <sle:slicer xmlns:sle="http://schemas.microsoft.com/office/drawing/2010/slicer" name="slc_DimResource_Role"/>
            </a:graphicData>
          </a:graphic>
        </xdr:graphicFrame>
      </mc:Choice>
      <mc:Fallback>
        <xdr:sp macro="" textlink="">
          <xdr:nvSpPr>
            <xdr:cNvPr id="0" name=""/>
            <xdr:cNvSpPr>
              <a:spLocks noTextEdit="1"/>
            </xdr:cNvSpPr>
          </xdr:nvSpPr>
          <xdr:spPr>
            <a:xfrm>
              <a:off x="4699000" y="78740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1968500</xdr:colOff>
      <xdr:row>37</xdr:row>
      <xdr:rowOff>0</xdr:rowOff>
    </xdr:from>
    <xdr:to>
      <xdr:col>5</xdr:col>
      <xdr:colOff>571500</xdr:colOff>
      <xdr:row>47</xdr:row>
      <xdr:rowOff>0</xdr:rowOff>
    </xdr:to>
    <mc:AlternateContent xmlns:mc="http://schemas.openxmlformats.org/markup-compatibility/2006">
      <mc:Choice xmlns:sle15="http://schemas.microsoft.com/office/drawing/2012/slicer" Requires="sle15">
        <xdr:graphicFrame macro="">
          <xdr:nvGraphicFramePr>
            <xdr:cNvPr id="16" name="slc_Calendar_Month">
              <a:extLst>
                <a:ext uri="{FF2B5EF4-FFF2-40B4-BE49-F238E27FC236}">
                  <a16:creationId xmlns:a16="http://schemas.microsoft.com/office/drawing/2014/main" id="{DF25F261-B241-EBBE-C8B3-40B0F22C0CF5}"/>
                </a:ext>
              </a:extLst>
            </xdr:cNvPr>
            <xdr:cNvGraphicFramePr/>
          </xdr:nvGraphicFramePr>
          <xdr:xfrm>
            <a:off x="0" y="0"/>
            <a:ext cx="0" cy="0"/>
          </xdr:xfrm>
          <a:graphic>
            <a:graphicData uri="http://schemas.microsoft.com/office/drawing/2010/slicer">
              <sle:slicer xmlns:sle="http://schemas.microsoft.com/office/drawing/2010/slicer" name="slc_Calendar_Month"/>
            </a:graphicData>
          </a:graphic>
        </xdr:graphicFrame>
      </mc:Choice>
      <mc:Fallback>
        <xdr:sp macro="" textlink="">
          <xdr:nvSpPr>
            <xdr:cNvPr id="0" name=""/>
            <xdr:cNvSpPr>
              <a:spLocks noTextEdit="1"/>
            </xdr:cNvSpPr>
          </xdr:nvSpPr>
          <xdr:spPr>
            <a:xfrm>
              <a:off x="6921500" y="78740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825500</xdr:colOff>
      <xdr:row>37</xdr:row>
      <xdr:rowOff>0</xdr:rowOff>
    </xdr:from>
    <xdr:to>
      <xdr:col>7</xdr:col>
      <xdr:colOff>889000</xdr:colOff>
      <xdr:row>47</xdr:row>
      <xdr:rowOff>0</xdr:rowOff>
    </xdr:to>
    <mc:AlternateContent xmlns:mc="http://schemas.openxmlformats.org/markup-compatibility/2006">
      <mc:Choice xmlns:sle15="http://schemas.microsoft.com/office/drawing/2012/slicer" Requires="sle15">
        <xdr:graphicFrame macro="">
          <xdr:nvGraphicFramePr>
            <xdr:cNvPr id="17" name="slc_Calendar_Week">
              <a:extLst>
                <a:ext uri="{FF2B5EF4-FFF2-40B4-BE49-F238E27FC236}">
                  <a16:creationId xmlns:a16="http://schemas.microsoft.com/office/drawing/2014/main" id="{3F2E8EE1-DBAC-A714-ADDB-83745268ED0A}"/>
                </a:ext>
              </a:extLst>
            </xdr:cNvPr>
            <xdr:cNvGraphicFramePr/>
          </xdr:nvGraphicFramePr>
          <xdr:xfrm>
            <a:off x="0" y="0"/>
            <a:ext cx="0" cy="0"/>
          </xdr:xfrm>
          <a:graphic>
            <a:graphicData uri="http://schemas.microsoft.com/office/drawing/2010/slicer">
              <sle:slicer xmlns:sle="http://schemas.microsoft.com/office/drawing/2010/slicer" name="slc_Calendar_Week"/>
            </a:graphicData>
          </a:graphic>
        </xdr:graphicFrame>
      </mc:Choice>
      <mc:Fallback>
        <xdr:sp macro="" textlink="">
          <xdr:nvSpPr>
            <xdr:cNvPr id="0" name=""/>
            <xdr:cNvSpPr>
              <a:spLocks noTextEdit="1"/>
            </xdr:cNvSpPr>
          </xdr:nvSpPr>
          <xdr:spPr>
            <a:xfrm>
              <a:off x="9144000" y="78740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254000</xdr:colOff>
      <xdr:row>48</xdr:row>
      <xdr:rowOff>95250</xdr:rowOff>
    </xdr:from>
    <xdr:to>
      <xdr:col>1</xdr:col>
      <xdr:colOff>317500</xdr:colOff>
      <xdr:row>58</xdr:row>
      <xdr:rowOff>82550</xdr:rowOff>
    </xdr:to>
    <mc:AlternateContent xmlns:mc="http://schemas.openxmlformats.org/markup-compatibility/2006">
      <mc:Choice xmlns:sle15="http://schemas.microsoft.com/office/drawing/2012/slicer" Requires="sle15">
        <xdr:graphicFrame macro="">
          <xdr:nvGraphicFramePr>
            <xdr:cNvPr id="18" name="slc_BaselinePV_WBSID">
              <a:extLst>
                <a:ext uri="{FF2B5EF4-FFF2-40B4-BE49-F238E27FC236}">
                  <a16:creationId xmlns:a16="http://schemas.microsoft.com/office/drawing/2014/main" id="{64DEA888-FD39-0922-2E09-67747D8CD7E7}"/>
                </a:ext>
              </a:extLst>
            </xdr:cNvPr>
            <xdr:cNvGraphicFramePr/>
          </xdr:nvGraphicFramePr>
          <xdr:xfrm>
            <a:off x="0" y="0"/>
            <a:ext cx="0" cy="0"/>
          </xdr:xfrm>
          <a:graphic>
            <a:graphicData uri="http://schemas.microsoft.com/office/drawing/2010/slicer">
              <sle:slicer xmlns:sle="http://schemas.microsoft.com/office/drawing/2010/slicer" name="slc_BaselinePV_WBSID"/>
            </a:graphicData>
          </a:graphic>
        </xdr:graphicFrame>
      </mc:Choice>
      <mc:Fallback>
        <xdr:sp macro="" textlink="">
          <xdr:nvSpPr>
            <xdr:cNvPr id="0" name=""/>
            <xdr:cNvSpPr>
              <a:spLocks noTextEdit="1"/>
            </xdr:cNvSpPr>
          </xdr:nvSpPr>
          <xdr:spPr>
            <a:xfrm>
              <a:off x="254000" y="99949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571500</xdr:colOff>
      <xdr:row>48</xdr:row>
      <xdr:rowOff>95250</xdr:rowOff>
    </xdr:from>
    <xdr:to>
      <xdr:col>2</xdr:col>
      <xdr:colOff>1016000</xdr:colOff>
      <xdr:row>58</xdr:row>
      <xdr:rowOff>82550</xdr:rowOff>
    </xdr:to>
    <mc:AlternateContent xmlns:mc="http://schemas.openxmlformats.org/markup-compatibility/2006">
      <mc:Choice xmlns:sle15="http://schemas.microsoft.com/office/drawing/2012/slicer" Requires="sle15">
        <xdr:graphicFrame macro="">
          <xdr:nvGraphicFramePr>
            <xdr:cNvPr id="19" name="slc_ActualCosts_WBSID">
              <a:extLst>
                <a:ext uri="{FF2B5EF4-FFF2-40B4-BE49-F238E27FC236}">
                  <a16:creationId xmlns:a16="http://schemas.microsoft.com/office/drawing/2014/main" id="{0EDB4FCA-CD24-5646-015A-3F5230419261}"/>
                </a:ext>
              </a:extLst>
            </xdr:cNvPr>
            <xdr:cNvGraphicFramePr/>
          </xdr:nvGraphicFramePr>
          <xdr:xfrm>
            <a:off x="0" y="0"/>
            <a:ext cx="0" cy="0"/>
          </xdr:xfrm>
          <a:graphic>
            <a:graphicData uri="http://schemas.microsoft.com/office/drawing/2010/slicer">
              <sle:slicer xmlns:sle="http://schemas.microsoft.com/office/drawing/2010/slicer" name="slc_ActualCosts_WBSID"/>
            </a:graphicData>
          </a:graphic>
        </xdr:graphicFrame>
      </mc:Choice>
      <mc:Fallback>
        <xdr:sp macro="" textlink="">
          <xdr:nvSpPr>
            <xdr:cNvPr id="0" name=""/>
            <xdr:cNvSpPr>
              <a:spLocks noTextEdit="1"/>
            </xdr:cNvSpPr>
          </xdr:nvSpPr>
          <xdr:spPr>
            <a:xfrm>
              <a:off x="2476500" y="99949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1270000</xdr:colOff>
      <xdr:row>48</xdr:row>
      <xdr:rowOff>95250</xdr:rowOff>
    </xdr:from>
    <xdr:to>
      <xdr:col>3</xdr:col>
      <xdr:colOff>1714500</xdr:colOff>
      <xdr:row>58</xdr:row>
      <xdr:rowOff>82550</xdr:rowOff>
    </xdr:to>
    <mc:AlternateContent xmlns:mc="http://schemas.openxmlformats.org/markup-compatibility/2006">
      <mc:Choice xmlns:sle15="http://schemas.microsoft.com/office/drawing/2012/slicer" Requires="sle15">
        <xdr:graphicFrame macro="">
          <xdr:nvGraphicFramePr>
            <xdr:cNvPr id="20" name="slc_ActualCosts_ResourceID">
              <a:extLst>
                <a:ext uri="{FF2B5EF4-FFF2-40B4-BE49-F238E27FC236}">
                  <a16:creationId xmlns:a16="http://schemas.microsoft.com/office/drawing/2014/main" id="{3923944B-9C04-A9A1-CC97-7B3EC75007B5}"/>
                </a:ext>
              </a:extLst>
            </xdr:cNvPr>
            <xdr:cNvGraphicFramePr/>
          </xdr:nvGraphicFramePr>
          <xdr:xfrm>
            <a:off x="0" y="0"/>
            <a:ext cx="0" cy="0"/>
          </xdr:xfrm>
          <a:graphic>
            <a:graphicData uri="http://schemas.microsoft.com/office/drawing/2010/slicer">
              <sle:slicer xmlns:sle="http://schemas.microsoft.com/office/drawing/2010/slicer" name="slc_ActualCosts_ResourceID"/>
            </a:graphicData>
          </a:graphic>
        </xdr:graphicFrame>
      </mc:Choice>
      <mc:Fallback>
        <xdr:sp macro="" textlink="">
          <xdr:nvSpPr>
            <xdr:cNvPr id="0" name=""/>
            <xdr:cNvSpPr>
              <a:spLocks noTextEdit="1"/>
            </xdr:cNvSpPr>
          </xdr:nvSpPr>
          <xdr:spPr>
            <a:xfrm>
              <a:off x="4699000" y="99949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1968500</xdr:colOff>
      <xdr:row>48</xdr:row>
      <xdr:rowOff>95250</xdr:rowOff>
    </xdr:from>
    <xdr:to>
      <xdr:col>5</xdr:col>
      <xdr:colOff>571500</xdr:colOff>
      <xdr:row>58</xdr:row>
      <xdr:rowOff>82550</xdr:rowOff>
    </xdr:to>
    <mc:AlternateContent xmlns:mc="http://schemas.openxmlformats.org/markup-compatibility/2006">
      <mc:Choice xmlns:sle15="http://schemas.microsoft.com/office/drawing/2012/slicer" Requires="sle15">
        <xdr:graphicFrame macro="">
          <xdr:nvGraphicFramePr>
            <xdr:cNvPr id="21" name="slc_Progress_WBSID">
              <a:extLst>
                <a:ext uri="{FF2B5EF4-FFF2-40B4-BE49-F238E27FC236}">
                  <a16:creationId xmlns:a16="http://schemas.microsoft.com/office/drawing/2014/main" id="{B0ADD5E1-1AB1-DA3B-E2E7-2661C553EFF6}"/>
                </a:ext>
              </a:extLst>
            </xdr:cNvPr>
            <xdr:cNvGraphicFramePr/>
          </xdr:nvGraphicFramePr>
          <xdr:xfrm>
            <a:off x="0" y="0"/>
            <a:ext cx="0" cy="0"/>
          </xdr:xfrm>
          <a:graphic>
            <a:graphicData uri="http://schemas.microsoft.com/office/drawing/2010/slicer">
              <sle:slicer xmlns:sle="http://schemas.microsoft.com/office/drawing/2010/slicer" name="slc_Progress_WBSID"/>
            </a:graphicData>
          </a:graphic>
        </xdr:graphicFrame>
      </mc:Choice>
      <mc:Fallback>
        <xdr:sp macro="" textlink="">
          <xdr:nvSpPr>
            <xdr:cNvPr id="0" name=""/>
            <xdr:cNvSpPr>
              <a:spLocks noTextEdit="1"/>
            </xdr:cNvSpPr>
          </xdr:nvSpPr>
          <xdr:spPr>
            <a:xfrm>
              <a:off x="6921500" y="99949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825500</xdr:colOff>
      <xdr:row>48</xdr:row>
      <xdr:rowOff>95250</xdr:rowOff>
    </xdr:from>
    <xdr:to>
      <xdr:col>7</xdr:col>
      <xdr:colOff>889000</xdr:colOff>
      <xdr:row>58</xdr:row>
      <xdr:rowOff>82550</xdr:rowOff>
    </xdr:to>
    <mc:AlternateContent xmlns:mc="http://schemas.openxmlformats.org/markup-compatibility/2006">
      <mc:Choice xmlns:sle15="http://schemas.microsoft.com/office/drawing/2012/slicer" Requires="sle15">
        <xdr:graphicFrame macro="">
          <xdr:nvGraphicFramePr>
            <xdr:cNvPr id="22" name="slc_TaskCapture_Type">
              <a:extLst>
                <a:ext uri="{FF2B5EF4-FFF2-40B4-BE49-F238E27FC236}">
                  <a16:creationId xmlns:a16="http://schemas.microsoft.com/office/drawing/2014/main" id="{5E29E4DE-1781-8DCE-A1D0-203E49B97173}"/>
                </a:ext>
              </a:extLst>
            </xdr:cNvPr>
            <xdr:cNvGraphicFramePr/>
          </xdr:nvGraphicFramePr>
          <xdr:xfrm>
            <a:off x="0" y="0"/>
            <a:ext cx="0" cy="0"/>
          </xdr:xfrm>
          <a:graphic>
            <a:graphicData uri="http://schemas.microsoft.com/office/drawing/2010/slicer">
              <sle:slicer xmlns:sle="http://schemas.microsoft.com/office/drawing/2010/slicer" name="slc_TaskCapture_Type"/>
            </a:graphicData>
          </a:graphic>
        </xdr:graphicFrame>
      </mc:Choice>
      <mc:Fallback>
        <xdr:sp macro="" textlink="">
          <xdr:nvSpPr>
            <xdr:cNvPr id="0" name=""/>
            <xdr:cNvSpPr>
              <a:spLocks noTextEdit="1"/>
            </xdr:cNvSpPr>
          </xdr:nvSpPr>
          <xdr:spPr>
            <a:xfrm>
              <a:off x="9144000" y="99949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254000</xdr:colOff>
      <xdr:row>72</xdr:row>
      <xdr:rowOff>82550</xdr:rowOff>
    </xdr:from>
    <xdr:to>
      <xdr:col>1</xdr:col>
      <xdr:colOff>317500</xdr:colOff>
      <xdr:row>82</xdr:row>
      <xdr:rowOff>82550</xdr:rowOff>
    </xdr:to>
    <mc:AlternateContent xmlns:mc="http://schemas.openxmlformats.org/markup-compatibility/2006">
      <mc:Choice xmlns:sle15="http://schemas.microsoft.com/office/drawing/2012/slicer" Requires="sle15">
        <xdr:graphicFrame macro="">
          <xdr:nvGraphicFramePr>
            <xdr:cNvPr id="23" name="slc_Review_RAG">
              <a:extLst>
                <a:ext uri="{FF2B5EF4-FFF2-40B4-BE49-F238E27FC236}">
                  <a16:creationId xmlns:a16="http://schemas.microsoft.com/office/drawing/2014/main" id="{CAFDF188-2638-15AA-3C49-CBEC22CA47C5}"/>
                </a:ext>
              </a:extLst>
            </xdr:cNvPr>
            <xdr:cNvGraphicFramePr/>
          </xdr:nvGraphicFramePr>
          <xdr:xfrm>
            <a:off x="0" y="0"/>
            <a:ext cx="0" cy="0"/>
          </xdr:xfrm>
          <a:graphic>
            <a:graphicData uri="http://schemas.microsoft.com/office/drawing/2010/slicer">
              <sle:slicer xmlns:sle="http://schemas.microsoft.com/office/drawing/2010/slicer" name="slc_Review_RAG"/>
            </a:graphicData>
          </a:graphic>
        </xdr:graphicFrame>
      </mc:Choice>
      <mc:Fallback>
        <xdr:sp macro="" textlink="">
          <xdr:nvSpPr>
            <xdr:cNvPr id="0" name=""/>
            <xdr:cNvSpPr>
              <a:spLocks noTextEdit="1"/>
            </xdr:cNvSpPr>
          </xdr:nvSpPr>
          <xdr:spPr>
            <a:xfrm>
              <a:off x="254000" y="14414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571500</xdr:colOff>
      <xdr:row>72</xdr:row>
      <xdr:rowOff>82550</xdr:rowOff>
    </xdr:from>
    <xdr:to>
      <xdr:col>2</xdr:col>
      <xdr:colOff>1016000</xdr:colOff>
      <xdr:row>82</xdr:row>
      <xdr:rowOff>82550</xdr:rowOff>
    </xdr:to>
    <mc:AlternateContent xmlns:mc="http://schemas.openxmlformats.org/markup-compatibility/2006">
      <mc:Choice xmlns:sle15="http://schemas.microsoft.com/office/drawing/2012/slicer" Requires="sle15">
        <xdr:graphicFrame macro="">
          <xdr:nvGraphicFramePr>
            <xdr:cNvPr id="24" name="slc_Review_Owner">
              <a:extLst>
                <a:ext uri="{FF2B5EF4-FFF2-40B4-BE49-F238E27FC236}">
                  <a16:creationId xmlns:a16="http://schemas.microsoft.com/office/drawing/2014/main" id="{A817245F-9895-F6B6-1A26-B5CE5C578165}"/>
                </a:ext>
              </a:extLst>
            </xdr:cNvPr>
            <xdr:cNvGraphicFramePr/>
          </xdr:nvGraphicFramePr>
          <xdr:xfrm>
            <a:off x="0" y="0"/>
            <a:ext cx="0" cy="0"/>
          </xdr:xfrm>
          <a:graphic>
            <a:graphicData uri="http://schemas.microsoft.com/office/drawing/2010/slicer">
              <sle:slicer xmlns:sle="http://schemas.microsoft.com/office/drawing/2010/slicer" name="slc_Review_Owner"/>
            </a:graphicData>
          </a:graphic>
        </xdr:graphicFrame>
      </mc:Choice>
      <mc:Fallback>
        <xdr:sp macro="" textlink="">
          <xdr:nvSpPr>
            <xdr:cNvPr id="0" name=""/>
            <xdr:cNvSpPr>
              <a:spLocks noTextEdit="1"/>
            </xdr:cNvSpPr>
          </xdr:nvSpPr>
          <xdr:spPr>
            <a:xfrm>
              <a:off x="2476500" y="14414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1270000</xdr:colOff>
      <xdr:row>72</xdr:row>
      <xdr:rowOff>82550</xdr:rowOff>
    </xdr:from>
    <xdr:to>
      <xdr:col>3</xdr:col>
      <xdr:colOff>1714500</xdr:colOff>
      <xdr:row>82</xdr:row>
      <xdr:rowOff>82550</xdr:rowOff>
    </xdr:to>
    <mc:AlternateContent xmlns:mc="http://schemas.openxmlformats.org/markup-compatibility/2006">
      <mc:Choice xmlns:sle15="http://schemas.microsoft.com/office/drawing/2012/slicer" Requires="sle15">
        <xdr:graphicFrame macro="">
          <xdr:nvGraphicFramePr>
            <xdr:cNvPr id="25" name="slc_PIDRisk_RAG">
              <a:extLst>
                <a:ext uri="{FF2B5EF4-FFF2-40B4-BE49-F238E27FC236}">
                  <a16:creationId xmlns:a16="http://schemas.microsoft.com/office/drawing/2014/main" id="{6D7A507B-20AB-769C-5755-736010D52656}"/>
                </a:ext>
              </a:extLst>
            </xdr:cNvPr>
            <xdr:cNvGraphicFramePr/>
          </xdr:nvGraphicFramePr>
          <xdr:xfrm>
            <a:off x="0" y="0"/>
            <a:ext cx="0" cy="0"/>
          </xdr:xfrm>
          <a:graphic>
            <a:graphicData uri="http://schemas.microsoft.com/office/drawing/2010/slicer">
              <sle:slicer xmlns:sle="http://schemas.microsoft.com/office/drawing/2010/slicer" name="slc_PIDRisk_RAG"/>
            </a:graphicData>
          </a:graphic>
        </xdr:graphicFrame>
      </mc:Choice>
      <mc:Fallback>
        <xdr:sp macro="" textlink="">
          <xdr:nvSpPr>
            <xdr:cNvPr id="0" name=""/>
            <xdr:cNvSpPr>
              <a:spLocks noTextEdit="1"/>
            </xdr:cNvSpPr>
          </xdr:nvSpPr>
          <xdr:spPr>
            <a:xfrm>
              <a:off x="4699000" y="14414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1968500</xdr:colOff>
      <xdr:row>72</xdr:row>
      <xdr:rowOff>82550</xdr:rowOff>
    </xdr:from>
    <xdr:to>
      <xdr:col>5</xdr:col>
      <xdr:colOff>571500</xdr:colOff>
      <xdr:row>82</xdr:row>
      <xdr:rowOff>82550</xdr:rowOff>
    </xdr:to>
    <mc:AlternateContent xmlns:mc="http://schemas.openxmlformats.org/markup-compatibility/2006">
      <mc:Choice xmlns:sle15="http://schemas.microsoft.com/office/drawing/2012/slicer" Requires="sle15">
        <xdr:graphicFrame macro="">
          <xdr:nvGraphicFramePr>
            <xdr:cNvPr id="26" name="slc_PIDRisk_Owner">
              <a:extLst>
                <a:ext uri="{FF2B5EF4-FFF2-40B4-BE49-F238E27FC236}">
                  <a16:creationId xmlns:a16="http://schemas.microsoft.com/office/drawing/2014/main" id="{1330D126-C6FD-F7D8-C368-444EC304B6A3}"/>
                </a:ext>
              </a:extLst>
            </xdr:cNvPr>
            <xdr:cNvGraphicFramePr/>
          </xdr:nvGraphicFramePr>
          <xdr:xfrm>
            <a:off x="0" y="0"/>
            <a:ext cx="0" cy="0"/>
          </xdr:xfrm>
          <a:graphic>
            <a:graphicData uri="http://schemas.microsoft.com/office/drawing/2010/slicer">
              <sle:slicer xmlns:sle="http://schemas.microsoft.com/office/drawing/2010/slicer" name="slc_PIDRisk_Owner"/>
            </a:graphicData>
          </a:graphic>
        </xdr:graphicFrame>
      </mc:Choice>
      <mc:Fallback>
        <xdr:sp macro="" textlink="">
          <xdr:nvSpPr>
            <xdr:cNvPr id="0" name=""/>
            <xdr:cNvSpPr>
              <a:spLocks noTextEdit="1"/>
            </xdr:cNvSpPr>
          </xdr:nvSpPr>
          <xdr:spPr>
            <a:xfrm>
              <a:off x="6921500" y="14414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825500</xdr:colOff>
      <xdr:row>72</xdr:row>
      <xdr:rowOff>82550</xdr:rowOff>
    </xdr:from>
    <xdr:to>
      <xdr:col>7</xdr:col>
      <xdr:colOff>889000</xdr:colOff>
      <xdr:row>82</xdr:row>
      <xdr:rowOff>82550</xdr:rowOff>
    </xdr:to>
    <mc:AlternateContent xmlns:mc="http://schemas.openxmlformats.org/markup-compatibility/2006">
      <mc:Choice xmlns:sle15="http://schemas.microsoft.com/office/drawing/2012/slicer" Requires="sle15">
        <xdr:graphicFrame macro="">
          <xdr:nvGraphicFramePr>
            <xdr:cNvPr id="27" name="slc_Method_Status">
              <a:extLst>
                <a:ext uri="{FF2B5EF4-FFF2-40B4-BE49-F238E27FC236}">
                  <a16:creationId xmlns:a16="http://schemas.microsoft.com/office/drawing/2014/main" id="{0F8C6957-AB30-024D-D72C-05BF43851DF7}"/>
                </a:ext>
              </a:extLst>
            </xdr:cNvPr>
            <xdr:cNvGraphicFramePr/>
          </xdr:nvGraphicFramePr>
          <xdr:xfrm>
            <a:off x="0" y="0"/>
            <a:ext cx="0" cy="0"/>
          </xdr:xfrm>
          <a:graphic>
            <a:graphicData uri="http://schemas.microsoft.com/office/drawing/2010/slicer">
              <sle:slicer xmlns:sle="http://schemas.microsoft.com/office/drawing/2010/slicer" name="slc_Method_Status"/>
            </a:graphicData>
          </a:graphic>
        </xdr:graphicFrame>
      </mc:Choice>
      <mc:Fallback>
        <xdr:sp macro="" textlink="">
          <xdr:nvSpPr>
            <xdr:cNvPr id="0" name=""/>
            <xdr:cNvSpPr>
              <a:spLocks noTextEdit="1"/>
            </xdr:cNvSpPr>
          </xdr:nvSpPr>
          <xdr:spPr>
            <a:xfrm>
              <a:off x="9144000" y="144145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254000</xdr:colOff>
      <xdr:row>83</xdr:row>
      <xdr:rowOff>177800</xdr:rowOff>
    </xdr:from>
    <xdr:to>
      <xdr:col>1</xdr:col>
      <xdr:colOff>317500</xdr:colOff>
      <xdr:row>93</xdr:row>
      <xdr:rowOff>177800</xdr:rowOff>
    </xdr:to>
    <mc:AlternateContent xmlns:mc="http://schemas.openxmlformats.org/markup-compatibility/2006">
      <mc:Choice xmlns:sle15="http://schemas.microsoft.com/office/drawing/2012/slicer" Requires="sle15">
        <xdr:graphicFrame macro="">
          <xdr:nvGraphicFramePr>
            <xdr:cNvPr id="28" name="slc_Method_Owner">
              <a:extLst>
                <a:ext uri="{FF2B5EF4-FFF2-40B4-BE49-F238E27FC236}">
                  <a16:creationId xmlns:a16="http://schemas.microsoft.com/office/drawing/2014/main" id="{33290C3E-331F-AD67-8B02-DD80F055BEC8}"/>
                </a:ext>
              </a:extLst>
            </xdr:cNvPr>
            <xdr:cNvGraphicFramePr/>
          </xdr:nvGraphicFramePr>
          <xdr:xfrm>
            <a:off x="0" y="0"/>
            <a:ext cx="0" cy="0"/>
          </xdr:xfrm>
          <a:graphic>
            <a:graphicData uri="http://schemas.microsoft.com/office/drawing/2010/slicer">
              <sle:slicer xmlns:sle="http://schemas.microsoft.com/office/drawing/2010/slicer" name="slc_Method_Owner"/>
            </a:graphicData>
          </a:graphic>
        </xdr:graphicFrame>
      </mc:Choice>
      <mc:Fallback>
        <xdr:sp macro="" textlink="">
          <xdr:nvSpPr>
            <xdr:cNvPr id="0" name=""/>
            <xdr:cNvSpPr>
              <a:spLocks noTextEdit="1"/>
            </xdr:cNvSpPr>
          </xdr:nvSpPr>
          <xdr:spPr>
            <a:xfrm>
              <a:off x="254000" y="16535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571500</xdr:colOff>
      <xdr:row>83</xdr:row>
      <xdr:rowOff>177800</xdr:rowOff>
    </xdr:from>
    <xdr:to>
      <xdr:col>2</xdr:col>
      <xdr:colOff>1016000</xdr:colOff>
      <xdr:row>93</xdr:row>
      <xdr:rowOff>177800</xdr:rowOff>
    </xdr:to>
    <mc:AlternateContent xmlns:mc="http://schemas.openxmlformats.org/markup-compatibility/2006">
      <mc:Choice xmlns:sle15="http://schemas.microsoft.com/office/drawing/2012/slicer" Requires="sle15">
        <xdr:graphicFrame macro="">
          <xdr:nvGraphicFramePr>
            <xdr:cNvPr id="29" name="slc_Compliance_Status">
              <a:extLst>
                <a:ext uri="{FF2B5EF4-FFF2-40B4-BE49-F238E27FC236}">
                  <a16:creationId xmlns:a16="http://schemas.microsoft.com/office/drawing/2014/main" id="{18CD8260-A6E4-0A18-8E4F-EBFA5B45CCC7}"/>
                </a:ext>
              </a:extLst>
            </xdr:cNvPr>
            <xdr:cNvGraphicFramePr/>
          </xdr:nvGraphicFramePr>
          <xdr:xfrm>
            <a:off x="0" y="0"/>
            <a:ext cx="0" cy="0"/>
          </xdr:xfrm>
          <a:graphic>
            <a:graphicData uri="http://schemas.microsoft.com/office/drawing/2010/slicer">
              <sle:slicer xmlns:sle="http://schemas.microsoft.com/office/drawing/2010/slicer" name="slc_Compliance_Status"/>
            </a:graphicData>
          </a:graphic>
        </xdr:graphicFrame>
      </mc:Choice>
      <mc:Fallback>
        <xdr:sp macro="" textlink="">
          <xdr:nvSpPr>
            <xdr:cNvPr id="0" name=""/>
            <xdr:cNvSpPr>
              <a:spLocks noTextEdit="1"/>
            </xdr:cNvSpPr>
          </xdr:nvSpPr>
          <xdr:spPr>
            <a:xfrm>
              <a:off x="2476500" y="16535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1270000</xdr:colOff>
      <xdr:row>83</xdr:row>
      <xdr:rowOff>177800</xdr:rowOff>
    </xdr:from>
    <xdr:to>
      <xdr:col>3</xdr:col>
      <xdr:colOff>1714500</xdr:colOff>
      <xdr:row>93</xdr:row>
      <xdr:rowOff>177800</xdr:rowOff>
    </xdr:to>
    <mc:AlternateContent xmlns:mc="http://schemas.openxmlformats.org/markup-compatibility/2006">
      <mc:Choice xmlns:sle15="http://schemas.microsoft.com/office/drawing/2012/slicer" Requires="sle15">
        <xdr:graphicFrame macro="">
          <xdr:nvGraphicFramePr>
            <xdr:cNvPr id="30" name="slc_Glossary_Category">
              <a:extLst>
                <a:ext uri="{FF2B5EF4-FFF2-40B4-BE49-F238E27FC236}">
                  <a16:creationId xmlns:a16="http://schemas.microsoft.com/office/drawing/2014/main" id="{9A645CAC-7190-01DA-0EE9-EE6049912289}"/>
                </a:ext>
              </a:extLst>
            </xdr:cNvPr>
            <xdr:cNvGraphicFramePr/>
          </xdr:nvGraphicFramePr>
          <xdr:xfrm>
            <a:off x="0" y="0"/>
            <a:ext cx="0" cy="0"/>
          </xdr:xfrm>
          <a:graphic>
            <a:graphicData uri="http://schemas.microsoft.com/office/drawing/2010/slicer">
              <sle:slicer xmlns:sle="http://schemas.microsoft.com/office/drawing/2010/slicer" name="slc_Glossary_Category"/>
            </a:graphicData>
          </a:graphic>
        </xdr:graphicFrame>
      </mc:Choice>
      <mc:Fallback>
        <xdr:sp macro="" textlink="">
          <xdr:nvSpPr>
            <xdr:cNvPr id="0" name=""/>
            <xdr:cNvSpPr>
              <a:spLocks noTextEdit="1"/>
            </xdr:cNvSpPr>
          </xdr:nvSpPr>
          <xdr:spPr>
            <a:xfrm>
              <a:off x="4699000" y="16535400"/>
              <a:ext cx="1968500" cy="1841500"/>
            </a:xfrm>
            <a:prstGeom prst="rect">
              <a:avLst/>
            </a:prstGeom>
            <a:solidFill>
              <a:prstClr val="white"/>
            </a:solidFill>
            <a:ln w="1">
              <a:solidFill>
                <a:prstClr val="green"/>
              </a:solidFill>
            </a:ln>
          </xdr:spPr>
          <xdr:txBody>
            <a:bodyPr vertOverflow="clip" horzOverflow="clip"/>
            <a:lstStyle/>
            <a:p>
              <a:r>
                <a:rPr lang="nb-N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xdr:row>
      <xdr:rowOff>73025</xdr:rowOff>
    </xdr:from>
    <xdr:to>
      <xdr:col>12</xdr:col>
      <xdr:colOff>161924</xdr:colOff>
      <xdr:row>1</xdr:row>
      <xdr:rowOff>3854450</xdr:rowOff>
    </xdr:to>
    <xdr:graphicFrame macro="">
      <xdr:nvGraphicFramePr>
        <xdr:cNvPr id="4" name="Gantt Schedule">
          <a:extLst>
            <a:ext uri="{FF2B5EF4-FFF2-40B4-BE49-F238E27FC236}">
              <a16:creationId xmlns:a16="http://schemas.microsoft.com/office/drawing/2014/main" id="{766C66C6-7A20-0062-95EE-E83566799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244475</xdr:colOff>
      <xdr:row>1</xdr:row>
      <xdr:rowOff>63500</xdr:rowOff>
    </xdr:from>
    <xdr:to>
      <xdr:col>20</xdr:col>
      <xdr:colOff>133350</xdr:colOff>
      <xdr:row>1</xdr:row>
      <xdr:rowOff>3648075</xdr:rowOff>
    </xdr:to>
    <xdr:graphicFrame macro="">
      <xdr:nvGraphicFramePr>
        <xdr:cNvPr id="5" name="EVM S-Curve">
          <a:extLst>
            <a:ext uri="{FF2B5EF4-FFF2-40B4-BE49-F238E27FC236}">
              <a16:creationId xmlns:a16="http://schemas.microsoft.com/office/drawing/2014/main" id="{7424FC2E-5253-F0CC-BFE2-E2C971896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428969</xdr:colOff>
      <xdr:row>1</xdr:row>
      <xdr:rowOff>754253</xdr:rowOff>
    </xdr:from>
    <xdr:to>
      <xdr:col>10</xdr:col>
      <xdr:colOff>428969</xdr:colOff>
      <xdr:row>1</xdr:row>
      <xdr:rowOff>843153</xdr:rowOff>
    </xdr:to>
    <xdr:cxnSp macro="">
      <xdr:nvCxnSpPr>
        <xdr:cNvPr id="7" name="Status Date Marker - Gantt 01">
          <a:extLst>
            <a:ext uri="{FF2B5EF4-FFF2-40B4-BE49-F238E27FC236}">
              <a16:creationId xmlns:a16="http://schemas.microsoft.com/office/drawing/2014/main" id="{0E22DC34-46CD-42E7-9B16-8BDE98028A0D}"/>
            </a:ext>
          </a:extLst>
        </xdr:cNvPr>
        <xdr:cNvCxnSpPr/>
      </xdr:nvCxnSpPr>
      <xdr:spPr>
        <a:xfrm>
          <a:off x="6969469" y="10463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906653</xdr:rowOff>
    </xdr:from>
    <xdr:to>
      <xdr:col>10</xdr:col>
      <xdr:colOff>428969</xdr:colOff>
      <xdr:row>1</xdr:row>
      <xdr:rowOff>995553</xdr:rowOff>
    </xdr:to>
    <xdr:cxnSp macro="">
      <xdr:nvCxnSpPr>
        <xdr:cNvPr id="8" name="Status Date Marker - Gantt 02">
          <a:extLst>
            <a:ext uri="{FF2B5EF4-FFF2-40B4-BE49-F238E27FC236}">
              <a16:creationId xmlns:a16="http://schemas.microsoft.com/office/drawing/2014/main" id="{93C7FB5B-5562-461A-BEB8-8915388C6003}"/>
            </a:ext>
          </a:extLst>
        </xdr:cNvPr>
        <xdr:cNvCxnSpPr/>
      </xdr:nvCxnSpPr>
      <xdr:spPr>
        <a:xfrm>
          <a:off x="6969469" y="11987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1059053</xdr:rowOff>
    </xdr:from>
    <xdr:to>
      <xdr:col>10</xdr:col>
      <xdr:colOff>428969</xdr:colOff>
      <xdr:row>1</xdr:row>
      <xdr:rowOff>1147953</xdr:rowOff>
    </xdr:to>
    <xdr:cxnSp macro="">
      <xdr:nvCxnSpPr>
        <xdr:cNvPr id="9" name="Status Date Marker - Gantt 03">
          <a:extLst>
            <a:ext uri="{FF2B5EF4-FFF2-40B4-BE49-F238E27FC236}">
              <a16:creationId xmlns:a16="http://schemas.microsoft.com/office/drawing/2014/main" id="{E42A9A31-0C65-4C4B-B401-688F5F79370B}"/>
            </a:ext>
          </a:extLst>
        </xdr:cNvPr>
        <xdr:cNvCxnSpPr/>
      </xdr:nvCxnSpPr>
      <xdr:spPr>
        <a:xfrm>
          <a:off x="6969469" y="13511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1211453</xdr:rowOff>
    </xdr:from>
    <xdr:to>
      <xdr:col>10</xdr:col>
      <xdr:colOff>428969</xdr:colOff>
      <xdr:row>1</xdr:row>
      <xdr:rowOff>1300353</xdr:rowOff>
    </xdr:to>
    <xdr:cxnSp macro="">
      <xdr:nvCxnSpPr>
        <xdr:cNvPr id="10" name="Status Date Marker - Gantt 04">
          <a:extLst>
            <a:ext uri="{FF2B5EF4-FFF2-40B4-BE49-F238E27FC236}">
              <a16:creationId xmlns:a16="http://schemas.microsoft.com/office/drawing/2014/main" id="{50831DFA-4A6E-4FD0-8F7E-3F356CBC6C7D}"/>
            </a:ext>
          </a:extLst>
        </xdr:cNvPr>
        <xdr:cNvCxnSpPr/>
      </xdr:nvCxnSpPr>
      <xdr:spPr>
        <a:xfrm>
          <a:off x="6969469" y="15035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1363852</xdr:rowOff>
    </xdr:from>
    <xdr:to>
      <xdr:col>10</xdr:col>
      <xdr:colOff>428969</xdr:colOff>
      <xdr:row>1</xdr:row>
      <xdr:rowOff>1452752</xdr:rowOff>
    </xdr:to>
    <xdr:cxnSp macro="">
      <xdr:nvCxnSpPr>
        <xdr:cNvPr id="11" name="Status Date Marker - Gantt 05">
          <a:extLst>
            <a:ext uri="{FF2B5EF4-FFF2-40B4-BE49-F238E27FC236}">
              <a16:creationId xmlns:a16="http://schemas.microsoft.com/office/drawing/2014/main" id="{B06E3BD7-57A7-4489-BE6B-1D554173AE35}"/>
            </a:ext>
          </a:extLst>
        </xdr:cNvPr>
        <xdr:cNvCxnSpPr/>
      </xdr:nvCxnSpPr>
      <xdr:spPr>
        <a:xfrm>
          <a:off x="6969469" y="1655952"/>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1516252</xdr:rowOff>
    </xdr:from>
    <xdr:to>
      <xdr:col>10</xdr:col>
      <xdr:colOff>428969</xdr:colOff>
      <xdr:row>1</xdr:row>
      <xdr:rowOff>1605152</xdr:rowOff>
    </xdr:to>
    <xdr:cxnSp macro="">
      <xdr:nvCxnSpPr>
        <xdr:cNvPr id="12" name="Status Date Marker - Gantt 06">
          <a:extLst>
            <a:ext uri="{FF2B5EF4-FFF2-40B4-BE49-F238E27FC236}">
              <a16:creationId xmlns:a16="http://schemas.microsoft.com/office/drawing/2014/main" id="{EBB40F93-744D-44A8-BC93-BA5A180211C2}"/>
            </a:ext>
          </a:extLst>
        </xdr:cNvPr>
        <xdr:cNvCxnSpPr/>
      </xdr:nvCxnSpPr>
      <xdr:spPr>
        <a:xfrm>
          <a:off x="6969469" y="1808352"/>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1668652</xdr:rowOff>
    </xdr:from>
    <xdr:to>
      <xdr:col>10</xdr:col>
      <xdr:colOff>428969</xdr:colOff>
      <xdr:row>1</xdr:row>
      <xdr:rowOff>1757552</xdr:rowOff>
    </xdr:to>
    <xdr:cxnSp macro="">
      <xdr:nvCxnSpPr>
        <xdr:cNvPr id="13" name="Status Date Marker - Gantt 07">
          <a:extLst>
            <a:ext uri="{FF2B5EF4-FFF2-40B4-BE49-F238E27FC236}">
              <a16:creationId xmlns:a16="http://schemas.microsoft.com/office/drawing/2014/main" id="{44DC2490-6D66-4B31-BC39-04D259E7E3F1}"/>
            </a:ext>
          </a:extLst>
        </xdr:cNvPr>
        <xdr:cNvCxnSpPr/>
      </xdr:nvCxnSpPr>
      <xdr:spPr>
        <a:xfrm>
          <a:off x="6969469" y="1960752"/>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1821053</xdr:rowOff>
    </xdr:from>
    <xdr:to>
      <xdr:col>10</xdr:col>
      <xdr:colOff>428969</xdr:colOff>
      <xdr:row>1</xdr:row>
      <xdr:rowOff>1909953</xdr:rowOff>
    </xdr:to>
    <xdr:cxnSp macro="">
      <xdr:nvCxnSpPr>
        <xdr:cNvPr id="14" name="Status Date Marker - Gantt 08">
          <a:extLst>
            <a:ext uri="{FF2B5EF4-FFF2-40B4-BE49-F238E27FC236}">
              <a16:creationId xmlns:a16="http://schemas.microsoft.com/office/drawing/2014/main" id="{283BEC00-CDB8-48C5-9655-BB43A44A2328}"/>
            </a:ext>
          </a:extLst>
        </xdr:cNvPr>
        <xdr:cNvCxnSpPr/>
      </xdr:nvCxnSpPr>
      <xdr:spPr>
        <a:xfrm>
          <a:off x="6969469" y="21131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1973453</xdr:rowOff>
    </xdr:from>
    <xdr:to>
      <xdr:col>10</xdr:col>
      <xdr:colOff>428969</xdr:colOff>
      <xdr:row>1</xdr:row>
      <xdr:rowOff>2062353</xdr:rowOff>
    </xdr:to>
    <xdr:cxnSp macro="">
      <xdr:nvCxnSpPr>
        <xdr:cNvPr id="15" name="Status Date Marker - Gantt 09">
          <a:extLst>
            <a:ext uri="{FF2B5EF4-FFF2-40B4-BE49-F238E27FC236}">
              <a16:creationId xmlns:a16="http://schemas.microsoft.com/office/drawing/2014/main" id="{7539B9AF-F928-4BD7-BB81-7E8F99D1FAE1}"/>
            </a:ext>
          </a:extLst>
        </xdr:cNvPr>
        <xdr:cNvCxnSpPr/>
      </xdr:nvCxnSpPr>
      <xdr:spPr>
        <a:xfrm>
          <a:off x="6969469" y="22655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2125853</xdr:rowOff>
    </xdr:from>
    <xdr:to>
      <xdr:col>10</xdr:col>
      <xdr:colOff>428969</xdr:colOff>
      <xdr:row>1</xdr:row>
      <xdr:rowOff>2214753</xdr:rowOff>
    </xdr:to>
    <xdr:cxnSp macro="">
      <xdr:nvCxnSpPr>
        <xdr:cNvPr id="16" name="Status Date Marker - Gantt 10">
          <a:extLst>
            <a:ext uri="{FF2B5EF4-FFF2-40B4-BE49-F238E27FC236}">
              <a16:creationId xmlns:a16="http://schemas.microsoft.com/office/drawing/2014/main" id="{2318A0D1-9297-43AA-8BA7-57F32ED95399}"/>
            </a:ext>
          </a:extLst>
        </xdr:cNvPr>
        <xdr:cNvCxnSpPr/>
      </xdr:nvCxnSpPr>
      <xdr:spPr>
        <a:xfrm>
          <a:off x="6969469" y="24179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2278253</xdr:rowOff>
    </xdr:from>
    <xdr:to>
      <xdr:col>10</xdr:col>
      <xdr:colOff>428969</xdr:colOff>
      <xdr:row>1</xdr:row>
      <xdr:rowOff>2367153</xdr:rowOff>
    </xdr:to>
    <xdr:cxnSp macro="">
      <xdr:nvCxnSpPr>
        <xdr:cNvPr id="17" name="Status Date Marker - Gantt 11">
          <a:extLst>
            <a:ext uri="{FF2B5EF4-FFF2-40B4-BE49-F238E27FC236}">
              <a16:creationId xmlns:a16="http://schemas.microsoft.com/office/drawing/2014/main" id="{8E0B3FC5-DD65-4054-A928-125F00BCFBA3}"/>
            </a:ext>
          </a:extLst>
        </xdr:cNvPr>
        <xdr:cNvCxnSpPr/>
      </xdr:nvCxnSpPr>
      <xdr:spPr>
        <a:xfrm>
          <a:off x="6969469" y="25703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2430653</xdr:rowOff>
    </xdr:from>
    <xdr:to>
      <xdr:col>10</xdr:col>
      <xdr:colOff>428969</xdr:colOff>
      <xdr:row>1</xdr:row>
      <xdr:rowOff>2519553</xdr:rowOff>
    </xdr:to>
    <xdr:cxnSp macro="">
      <xdr:nvCxnSpPr>
        <xdr:cNvPr id="18" name="Status Date Marker - Gantt 12">
          <a:extLst>
            <a:ext uri="{FF2B5EF4-FFF2-40B4-BE49-F238E27FC236}">
              <a16:creationId xmlns:a16="http://schemas.microsoft.com/office/drawing/2014/main" id="{1E96B294-9647-4FA3-AB8B-3057B3B43FC4}"/>
            </a:ext>
          </a:extLst>
        </xdr:cNvPr>
        <xdr:cNvCxnSpPr/>
      </xdr:nvCxnSpPr>
      <xdr:spPr>
        <a:xfrm>
          <a:off x="6969469" y="27227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2583053</xdr:rowOff>
    </xdr:from>
    <xdr:to>
      <xdr:col>10</xdr:col>
      <xdr:colOff>428969</xdr:colOff>
      <xdr:row>1</xdr:row>
      <xdr:rowOff>2671953</xdr:rowOff>
    </xdr:to>
    <xdr:cxnSp macro="">
      <xdr:nvCxnSpPr>
        <xdr:cNvPr id="19" name="Status Date Marker - Gantt 13">
          <a:extLst>
            <a:ext uri="{FF2B5EF4-FFF2-40B4-BE49-F238E27FC236}">
              <a16:creationId xmlns:a16="http://schemas.microsoft.com/office/drawing/2014/main" id="{89F319F8-E2F5-4105-9361-8D2E2C18DE22}"/>
            </a:ext>
          </a:extLst>
        </xdr:cNvPr>
        <xdr:cNvCxnSpPr/>
      </xdr:nvCxnSpPr>
      <xdr:spPr>
        <a:xfrm>
          <a:off x="6969469" y="28751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2735453</xdr:rowOff>
    </xdr:from>
    <xdr:to>
      <xdr:col>10</xdr:col>
      <xdr:colOff>428969</xdr:colOff>
      <xdr:row>1</xdr:row>
      <xdr:rowOff>2824353</xdr:rowOff>
    </xdr:to>
    <xdr:cxnSp macro="">
      <xdr:nvCxnSpPr>
        <xdr:cNvPr id="20" name="Status Date Marker - Gantt 14">
          <a:extLst>
            <a:ext uri="{FF2B5EF4-FFF2-40B4-BE49-F238E27FC236}">
              <a16:creationId xmlns:a16="http://schemas.microsoft.com/office/drawing/2014/main" id="{2F51C03E-016E-46C2-98B7-20565C66D092}"/>
            </a:ext>
          </a:extLst>
        </xdr:cNvPr>
        <xdr:cNvCxnSpPr/>
      </xdr:nvCxnSpPr>
      <xdr:spPr>
        <a:xfrm>
          <a:off x="6969469" y="30275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2887853</xdr:rowOff>
    </xdr:from>
    <xdr:to>
      <xdr:col>10</xdr:col>
      <xdr:colOff>428969</xdr:colOff>
      <xdr:row>1</xdr:row>
      <xdr:rowOff>2976753</xdr:rowOff>
    </xdr:to>
    <xdr:cxnSp macro="">
      <xdr:nvCxnSpPr>
        <xdr:cNvPr id="21" name="Status Date Marker - Gantt 15">
          <a:extLst>
            <a:ext uri="{FF2B5EF4-FFF2-40B4-BE49-F238E27FC236}">
              <a16:creationId xmlns:a16="http://schemas.microsoft.com/office/drawing/2014/main" id="{C1C013A7-E4FB-49F8-90FD-79A1023837AC}"/>
            </a:ext>
          </a:extLst>
        </xdr:cNvPr>
        <xdr:cNvCxnSpPr/>
      </xdr:nvCxnSpPr>
      <xdr:spPr>
        <a:xfrm>
          <a:off x="6969469" y="31799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3040253</xdr:rowOff>
    </xdr:from>
    <xdr:to>
      <xdr:col>10</xdr:col>
      <xdr:colOff>428969</xdr:colOff>
      <xdr:row>1</xdr:row>
      <xdr:rowOff>3129153</xdr:rowOff>
    </xdr:to>
    <xdr:cxnSp macro="">
      <xdr:nvCxnSpPr>
        <xdr:cNvPr id="22" name="Status Date Marker - Gantt 16">
          <a:extLst>
            <a:ext uri="{FF2B5EF4-FFF2-40B4-BE49-F238E27FC236}">
              <a16:creationId xmlns:a16="http://schemas.microsoft.com/office/drawing/2014/main" id="{E1D93617-4A2B-4E98-BB1D-66026994182E}"/>
            </a:ext>
          </a:extLst>
        </xdr:cNvPr>
        <xdr:cNvCxnSpPr/>
      </xdr:nvCxnSpPr>
      <xdr:spPr>
        <a:xfrm>
          <a:off x="6969469" y="3332353"/>
          <a:ext cx="0" cy="952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428969</xdr:colOff>
      <xdr:row>1</xdr:row>
      <xdr:rowOff>3192653</xdr:rowOff>
    </xdr:from>
    <xdr:to>
      <xdr:col>10</xdr:col>
      <xdr:colOff>428969</xdr:colOff>
      <xdr:row>1</xdr:row>
      <xdr:rowOff>3252089</xdr:rowOff>
    </xdr:to>
    <xdr:cxnSp macro="">
      <xdr:nvCxnSpPr>
        <xdr:cNvPr id="23" name="Status Date Marker - Gantt 17">
          <a:extLst>
            <a:ext uri="{FF2B5EF4-FFF2-40B4-BE49-F238E27FC236}">
              <a16:creationId xmlns:a16="http://schemas.microsoft.com/office/drawing/2014/main" id="{893711C4-855E-41ED-85C5-699C8A70F01C}"/>
            </a:ext>
          </a:extLst>
        </xdr:cNvPr>
        <xdr:cNvCxnSpPr/>
      </xdr:nvCxnSpPr>
      <xdr:spPr>
        <a:xfrm>
          <a:off x="6969469" y="3484753"/>
          <a:ext cx="0" cy="59436"/>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710755</xdr:rowOff>
    </xdr:from>
    <xdr:to>
      <xdr:col>16</xdr:col>
      <xdr:colOff>249173</xdr:colOff>
      <xdr:row>1</xdr:row>
      <xdr:rowOff>799655</xdr:rowOff>
    </xdr:to>
    <xdr:cxnSp macro="">
      <xdr:nvCxnSpPr>
        <xdr:cNvPr id="24" name="Status Date Marker - S-Curve 01">
          <a:extLst>
            <a:ext uri="{FF2B5EF4-FFF2-40B4-BE49-F238E27FC236}">
              <a16:creationId xmlns:a16="http://schemas.microsoft.com/office/drawing/2014/main" id="{CBDB4F96-8D9B-4058-B29F-1E96F70C0771}"/>
            </a:ext>
          </a:extLst>
        </xdr:cNvPr>
        <xdr:cNvCxnSpPr/>
      </xdr:nvCxnSpPr>
      <xdr:spPr>
        <a:xfrm>
          <a:off x="15593948" y="10092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863155</xdr:rowOff>
    </xdr:from>
    <xdr:to>
      <xdr:col>16</xdr:col>
      <xdr:colOff>249173</xdr:colOff>
      <xdr:row>1</xdr:row>
      <xdr:rowOff>952055</xdr:rowOff>
    </xdr:to>
    <xdr:cxnSp macro="">
      <xdr:nvCxnSpPr>
        <xdr:cNvPr id="25" name="Status Date Marker - S-Curve 02">
          <a:extLst>
            <a:ext uri="{FF2B5EF4-FFF2-40B4-BE49-F238E27FC236}">
              <a16:creationId xmlns:a16="http://schemas.microsoft.com/office/drawing/2014/main" id="{80A5B0E0-204A-4C5E-80EB-E72E43B0653C}"/>
            </a:ext>
          </a:extLst>
        </xdr:cNvPr>
        <xdr:cNvCxnSpPr/>
      </xdr:nvCxnSpPr>
      <xdr:spPr>
        <a:xfrm>
          <a:off x="15593948" y="11616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1015555</xdr:rowOff>
    </xdr:from>
    <xdr:to>
      <xdr:col>16</xdr:col>
      <xdr:colOff>249173</xdr:colOff>
      <xdr:row>1</xdr:row>
      <xdr:rowOff>1104455</xdr:rowOff>
    </xdr:to>
    <xdr:cxnSp macro="">
      <xdr:nvCxnSpPr>
        <xdr:cNvPr id="26" name="Status Date Marker - S-Curve 03">
          <a:extLst>
            <a:ext uri="{FF2B5EF4-FFF2-40B4-BE49-F238E27FC236}">
              <a16:creationId xmlns:a16="http://schemas.microsoft.com/office/drawing/2014/main" id="{9B5CB82E-D405-4F08-8D2F-52FBAC40A0D5}"/>
            </a:ext>
          </a:extLst>
        </xdr:cNvPr>
        <xdr:cNvCxnSpPr/>
      </xdr:nvCxnSpPr>
      <xdr:spPr>
        <a:xfrm>
          <a:off x="15593948" y="13140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1167955</xdr:rowOff>
    </xdr:from>
    <xdr:to>
      <xdr:col>16</xdr:col>
      <xdr:colOff>249173</xdr:colOff>
      <xdr:row>1</xdr:row>
      <xdr:rowOff>1256855</xdr:rowOff>
    </xdr:to>
    <xdr:cxnSp macro="">
      <xdr:nvCxnSpPr>
        <xdr:cNvPr id="27" name="Status Date Marker - S-Curve 04">
          <a:extLst>
            <a:ext uri="{FF2B5EF4-FFF2-40B4-BE49-F238E27FC236}">
              <a16:creationId xmlns:a16="http://schemas.microsoft.com/office/drawing/2014/main" id="{6F6D266A-F448-4F80-A38B-9B43C389DA0E}"/>
            </a:ext>
          </a:extLst>
        </xdr:cNvPr>
        <xdr:cNvCxnSpPr/>
      </xdr:nvCxnSpPr>
      <xdr:spPr>
        <a:xfrm>
          <a:off x="15593948" y="14664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1320355</xdr:rowOff>
    </xdr:from>
    <xdr:to>
      <xdr:col>16</xdr:col>
      <xdr:colOff>249173</xdr:colOff>
      <xdr:row>1</xdr:row>
      <xdr:rowOff>1409255</xdr:rowOff>
    </xdr:to>
    <xdr:cxnSp macro="">
      <xdr:nvCxnSpPr>
        <xdr:cNvPr id="28" name="Status Date Marker - S-Curve 05">
          <a:extLst>
            <a:ext uri="{FF2B5EF4-FFF2-40B4-BE49-F238E27FC236}">
              <a16:creationId xmlns:a16="http://schemas.microsoft.com/office/drawing/2014/main" id="{CD862011-9A7D-4377-BF4E-CC88150184A9}"/>
            </a:ext>
          </a:extLst>
        </xdr:cNvPr>
        <xdr:cNvCxnSpPr/>
      </xdr:nvCxnSpPr>
      <xdr:spPr>
        <a:xfrm>
          <a:off x="15593948" y="16188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1472755</xdr:rowOff>
    </xdr:from>
    <xdr:to>
      <xdr:col>16</xdr:col>
      <xdr:colOff>249173</xdr:colOff>
      <xdr:row>1</xdr:row>
      <xdr:rowOff>1561655</xdr:rowOff>
    </xdr:to>
    <xdr:cxnSp macro="">
      <xdr:nvCxnSpPr>
        <xdr:cNvPr id="29" name="Status Date Marker - S-Curve 06">
          <a:extLst>
            <a:ext uri="{FF2B5EF4-FFF2-40B4-BE49-F238E27FC236}">
              <a16:creationId xmlns:a16="http://schemas.microsoft.com/office/drawing/2014/main" id="{A4AB4F76-FDE9-480A-8C0E-CF82ED4A995F}"/>
            </a:ext>
          </a:extLst>
        </xdr:cNvPr>
        <xdr:cNvCxnSpPr/>
      </xdr:nvCxnSpPr>
      <xdr:spPr>
        <a:xfrm>
          <a:off x="15593948" y="17712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1625155</xdr:rowOff>
    </xdr:from>
    <xdr:to>
      <xdr:col>16</xdr:col>
      <xdr:colOff>249173</xdr:colOff>
      <xdr:row>1</xdr:row>
      <xdr:rowOff>1714055</xdr:rowOff>
    </xdr:to>
    <xdr:cxnSp macro="">
      <xdr:nvCxnSpPr>
        <xdr:cNvPr id="30" name="Status Date Marker - S-Curve 07">
          <a:extLst>
            <a:ext uri="{FF2B5EF4-FFF2-40B4-BE49-F238E27FC236}">
              <a16:creationId xmlns:a16="http://schemas.microsoft.com/office/drawing/2014/main" id="{11AFF5BD-569F-4AF2-A659-F8F5DEEC680B}"/>
            </a:ext>
          </a:extLst>
        </xdr:cNvPr>
        <xdr:cNvCxnSpPr/>
      </xdr:nvCxnSpPr>
      <xdr:spPr>
        <a:xfrm>
          <a:off x="15593948" y="19236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1777555</xdr:rowOff>
    </xdr:from>
    <xdr:to>
      <xdr:col>16</xdr:col>
      <xdr:colOff>249173</xdr:colOff>
      <xdr:row>1</xdr:row>
      <xdr:rowOff>1866455</xdr:rowOff>
    </xdr:to>
    <xdr:cxnSp macro="">
      <xdr:nvCxnSpPr>
        <xdr:cNvPr id="31" name="Status Date Marker - S-Curve 08">
          <a:extLst>
            <a:ext uri="{FF2B5EF4-FFF2-40B4-BE49-F238E27FC236}">
              <a16:creationId xmlns:a16="http://schemas.microsoft.com/office/drawing/2014/main" id="{314A8736-56E0-4F06-8CDD-4643DE278DCA}"/>
            </a:ext>
          </a:extLst>
        </xdr:cNvPr>
        <xdr:cNvCxnSpPr/>
      </xdr:nvCxnSpPr>
      <xdr:spPr>
        <a:xfrm>
          <a:off x="15593948" y="20760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1929955</xdr:rowOff>
    </xdr:from>
    <xdr:to>
      <xdr:col>16</xdr:col>
      <xdr:colOff>249173</xdr:colOff>
      <xdr:row>1</xdr:row>
      <xdr:rowOff>2018855</xdr:rowOff>
    </xdr:to>
    <xdr:cxnSp macro="">
      <xdr:nvCxnSpPr>
        <xdr:cNvPr id="32" name="Status Date Marker - S-Curve 09">
          <a:extLst>
            <a:ext uri="{FF2B5EF4-FFF2-40B4-BE49-F238E27FC236}">
              <a16:creationId xmlns:a16="http://schemas.microsoft.com/office/drawing/2014/main" id="{CE2A468B-683D-4D90-8EBD-B9BBABE09340}"/>
            </a:ext>
          </a:extLst>
        </xdr:cNvPr>
        <xdr:cNvCxnSpPr/>
      </xdr:nvCxnSpPr>
      <xdr:spPr>
        <a:xfrm>
          <a:off x="15593948" y="22284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2082355</xdr:rowOff>
    </xdr:from>
    <xdr:to>
      <xdr:col>16</xdr:col>
      <xdr:colOff>249173</xdr:colOff>
      <xdr:row>1</xdr:row>
      <xdr:rowOff>2171255</xdr:rowOff>
    </xdr:to>
    <xdr:cxnSp macro="">
      <xdr:nvCxnSpPr>
        <xdr:cNvPr id="33" name="Status Date Marker - S-Curve 10">
          <a:extLst>
            <a:ext uri="{FF2B5EF4-FFF2-40B4-BE49-F238E27FC236}">
              <a16:creationId xmlns:a16="http://schemas.microsoft.com/office/drawing/2014/main" id="{5089F8CC-77F6-43A1-9A19-A7B61D5D34EC}"/>
            </a:ext>
          </a:extLst>
        </xdr:cNvPr>
        <xdr:cNvCxnSpPr/>
      </xdr:nvCxnSpPr>
      <xdr:spPr>
        <a:xfrm>
          <a:off x="15593948" y="23808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2234755</xdr:rowOff>
    </xdr:from>
    <xdr:to>
      <xdr:col>16</xdr:col>
      <xdr:colOff>249173</xdr:colOff>
      <xdr:row>1</xdr:row>
      <xdr:rowOff>2323655</xdr:rowOff>
    </xdr:to>
    <xdr:cxnSp macro="">
      <xdr:nvCxnSpPr>
        <xdr:cNvPr id="34" name="Status Date Marker - S-Curve 11">
          <a:extLst>
            <a:ext uri="{FF2B5EF4-FFF2-40B4-BE49-F238E27FC236}">
              <a16:creationId xmlns:a16="http://schemas.microsoft.com/office/drawing/2014/main" id="{61DFAD3A-C9F4-447C-8153-7487393BD883}"/>
            </a:ext>
          </a:extLst>
        </xdr:cNvPr>
        <xdr:cNvCxnSpPr/>
      </xdr:nvCxnSpPr>
      <xdr:spPr>
        <a:xfrm>
          <a:off x="15593948" y="25332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2387155</xdr:rowOff>
    </xdr:from>
    <xdr:to>
      <xdr:col>16</xdr:col>
      <xdr:colOff>249173</xdr:colOff>
      <xdr:row>1</xdr:row>
      <xdr:rowOff>2476055</xdr:rowOff>
    </xdr:to>
    <xdr:cxnSp macro="">
      <xdr:nvCxnSpPr>
        <xdr:cNvPr id="35" name="Status Date Marker - S-Curve 12">
          <a:extLst>
            <a:ext uri="{FF2B5EF4-FFF2-40B4-BE49-F238E27FC236}">
              <a16:creationId xmlns:a16="http://schemas.microsoft.com/office/drawing/2014/main" id="{6C708B7B-2455-4AAF-99DF-B111C211D317}"/>
            </a:ext>
          </a:extLst>
        </xdr:cNvPr>
        <xdr:cNvCxnSpPr/>
      </xdr:nvCxnSpPr>
      <xdr:spPr>
        <a:xfrm>
          <a:off x="15593948" y="26856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2539555</xdr:rowOff>
    </xdr:from>
    <xdr:to>
      <xdr:col>16</xdr:col>
      <xdr:colOff>249173</xdr:colOff>
      <xdr:row>1</xdr:row>
      <xdr:rowOff>2628455</xdr:rowOff>
    </xdr:to>
    <xdr:cxnSp macro="">
      <xdr:nvCxnSpPr>
        <xdr:cNvPr id="36" name="Status Date Marker - S-Curve 13">
          <a:extLst>
            <a:ext uri="{FF2B5EF4-FFF2-40B4-BE49-F238E27FC236}">
              <a16:creationId xmlns:a16="http://schemas.microsoft.com/office/drawing/2014/main" id="{FA9DF6D6-F2D8-4FAF-9911-ACD65A6E666C}"/>
            </a:ext>
          </a:extLst>
        </xdr:cNvPr>
        <xdr:cNvCxnSpPr/>
      </xdr:nvCxnSpPr>
      <xdr:spPr>
        <a:xfrm>
          <a:off x="15593948" y="28380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2691955</xdr:rowOff>
    </xdr:from>
    <xdr:to>
      <xdr:col>16</xdr:col>
      <xdr:colOff>249173</xdr:colOff>
      <xdr:row>1</xdr:row>
      <xdr:rowOff>2780855</xdr:rowOff>
    </xdr:to>
    <xdr:cxnSp macro="">
      <xdr:nvCxnSpPr>
        <xdr:cNvPr id="37" name="Status Date Marker - S-Curve 14">
          <a:extLst>
            <a:ext uri="{FF2B5EF4-FFF2-40B4-BE49-F238E27FC236}">
              <a16:creationId xmlns:a16="http://schemas.microsoft.com/office/drawing/2014/main" id="{6DB50BCA-DD06-4AE3-A653-369CB3A2CCA3}"/>
            </a:ext>
          </a:extLst>
        </xdr:cNvPr>
        <xdr:cNvCxnSpPr/>
      </xdr:nvCxnSpPr>
      <xdr:spPr>
        <a:xfrm>
          <a:off x="15593948" y="29904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2844355</xdr:rowOff>
    </xdr:from>
    <xdr:to>
      <xdr:col>16</xdr:col>
      <xdr:colOff>249173</xdr:colOff>
      <xdr:row>1</xdr:row>
      <xdr:rowOff>2933255</xdr:rowOff>
    </xdr:to>
    <xdr:cxnSp macro="">
      <xdr:nvCxnSpPr>
        <xdr:cNvPr id="38" name="Status Date Marker - S-Curve 15">
          <a:extLst>
            <a:ext uri="{FF2B5EF4-FFF2-40B4-BE49-F238E27FC236}">
              <a16:creationId xmlns:a16="http://schemas.microsoft.com/office/drawing/2014/main" id="{5DC3DCE6-69A4-4B6F-97EE-20331CE30399}"/>
            </a:ext>
          </a:extLst>
        </xdr:cNvPr>
        <xdr:cNvCxnSpPr/>
      </xdr:nvCxnSpPr>
      <xdr:spPr>
        <a:xfrm>
          <a:off x="15593948" y="3142805"/>
          <a:ext cx="0" cy="857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249173</xdr:colOff>
      <xdr:row>1</xdr:row>
      <xdr:rowOff>2996755</xdr:rowOff>
    </xdr:from>
    <xdr:to>
      <xdr:col>16</xdr:col>
      <xdr:colOff>249173</xdr:colOff>
      <xdr:row>1</xdr:row>
      <xdr:rowOff>3072383</xdr:rowOff>
    </xdr:to>
    <xdr:cxnSp macro="">
      <xdr:nvCxnSpPr>
        <xdr:cNvPr id="39" name="Status Date Marker - S-Curve 16">
          <a:extLst>
            <a:ext uri="{FF2B5EF4-FFF2-40B4-BE49-F238E27FC236}">
              <a16:creationId xmlns:a16="http://schemas.microsoft.com/office/drawing/2014/main" id="{517D29E2-A195-4D50-A15F-4826AC2EE7A6}"/>
            </a:ext>
          </a:extLst>
        </xdr:cNvPr>
        <xdr:cNvCxnSpPr/>
      </xdr:nvCxnSpPr>
      <xdr:spPr>
        <a:xfrm>
          <a:off x="15593948" y="3295205"/>
          <a:ext cx="0" cy="75628"/>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118835</xdr:colOff>
      <xdr:row>10</xdr:row>
      <xdr:rowOff>19050</xdr:rowOff>
    </xdr:from>
    <xdr:to>
      <xdr:col>10</xdr:col>
      <xdr:colOff>118835</xdr:colOff>
      <xdr:row>10</xdr:row>
      <xdr:rowOff>95250</xdr:rowOff>
    </xdr:to>
    <xdr:cxnSp macro="">
      <xdr:nvCxnSpPr>
        <xdr:cNvPr id="50" name="Garden Status Timeline 01">
          <a:extLst>
            <a:ext uri="{FF2B5EF4-FFF2-40B4-BE49-F238E27FC236}">
              <a16:creationId xmlns:a16="http://schemas.microsoft.com/office/drawing/2014/main" id="{26CE34B1-A1DA-4002-A42C-837304C718FE}"/>
            </a:ext>
          </a:extLst>
        </xdr:cNvPr>
        <xdr:cNvCxnSpPr/>
      </xdr:nvCxnSpPr>
      <xdr:spPr>
        <a:xfrm>
          <a:off x="9056460" y="4533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10</xdr:row>
      <xdr:rowOff>146050</xdr:rowOff>
    </xdr:from>
    <xdr:to>
      <xdr:col>10</xdr:col>
      <xdr:colOff>118835</xdr:colOff>
      <xdr:row>11</xdr:row>
      <xdr:rowOff>41275</xdr:rowOff>
    </xdr:to>
    <xdr:cxnSp macro="">
      <xdr:nvCxnSpPr>
        <xdr:cNvPr id="51" name="Garden Status Timeline 02">
          <a:extLst>
            <a:ext uri="{FF2B5EF4-FFF2-40B4-BE49-F238E27FC236}">
              <a16:creationId xmlns:a16="http://schemas.microsoft.com/office/drawing/2014/main" id="{1F80C1FD-BDC2-4FE4-ACF1-BE3F3F60BCD0}"/>
            </a:ext>
          </a:extLst>
        </xdr:cNvPr>
        <xdr:cNvCxnSpPr/>
      </xdr:nvCxnSpPr>
      <xdr:spPr>
        <a:xfrm>
          <a:off x="9056460" y="4657725"/>
          <a:ext cx="0" cy="825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11</xdr:row>
      <xdr:rowOff>92075</xdr:rowOff>
    </xdr:from>
    <xdr:to>
      <xdr:col>10</xdr:col>
      <xdr:colOff>118835</xdr:colOff>
      <xdr:row>11</xdr:row>
      <xdr:rowOff>168275</xdr:rowOff>
    </xdr:to>
    <xdr:cxnSp macro="">
      <xdr:nvCxnSpPr>
        <xdr:cNvPr id="52" name="Garden Status Timeline 03">
          <a:extLst>
            <a:ext uri="{FF2B5EF4-FFF2-40B4-BE49-F238E27FC236}">
              <a16:creationId xmlns:a16="http://schemas.microsoft.com/office/drawing/2014/main" id="{4EECAD4C-1CCB-4AF5-8C58-1B1BB0A2BAA7}"/>
            </a:ext>
          </a:extLst>
        </xdr:cNvPr>
        <xdr:cNvCxnSpPr/>
      </xdr:nvCxnSpPr>
      <xdr:spPr>
        <a:xfrm>
          <a:off x="9056460" y="4787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12</xdr:row>
      <xdr:rowOff>38100</xdr:rowOff>
    </xdr:from>
    <xdr:to>
      <xdr:col>10</xdr:col>
      <xdr:colOff>118835</xdr:colOff>
      <xdr:row>12</xdr:row>
      <xdr:rowOff>114300</xdr:rowOff>
    </xdr:to>
    <xdr:cxnSp macro="">
      <xdr:nvCxnSpPr>
        <xdr:cNvPr id="53" name="Garden Status Timeline 04">
          <a:extLst>
            <a:ext uri="{FF2B5EF4-FFF2-40B4-BE49-F238E27FC236}">
              <a16:creationId xmlns:a16="http://schemas.microsoft.com/office/drawing/2014/main" id="{0209598A-8D43-488B-A958-42ED04A23ED3}"/>
            </a:ext>
          </a:extLst>
        </xdr:cNvPr>
        <xdr:cNvCxnSpPr/>
      </xdr:nvCxnSpPr>
      <xdr:spPr>
        <a:xfrm>
          <a:off x="9056460" y="4914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12</xdr:row>
      <xdr:rowOff>165100</xdr:rowOff>
    </xdr:from>
    <xdr:to>
      <xdr:col>10</xdr:col>
      <xdr:colOff>118835</xdr:colOff>
      <xdr:row>13</xdr:row>
      <xdr:rowOff>60325</xdr:rowOff>
    </xdr:to>
    <xdr:cxnSp macro="">
      <xdr:nvCxnSpPr>
        <xdr:cNvPr id="54" name="Garden Status Timeline 05">
          <a:extLst>
            <a:ext uri="{FF2B5EF4-FFF2-40B4-BE49-F238E27FC236}">
              <a16:creationId xmlns:a16="http://schemas.microsoft.com/office/drawing/2014/main" id="{36C91C2E-D8A8-4272-B3DB-07182CBCCA93}"/>
            </a:ext>
          </a:extLst>
        </xdr:cNvPr>
        <xdr:cNvCxnSpPr/>
      </xdr:nvCxnSpPr>
      <xdr:spPr>
        <a:xfrm>
          <a:off x="9056460" y="5038725"/>
          <a:ext cx="0" cy="825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13</xdr:row>
      <xdr:rowOff>111125</xdr:rowOff>
    </xdr:from>
    <xdr:to>
      <xdr:col>10</xdr:col>
      <xdr:colOff>118835</xdr:colOff>
      <xdr:row>14</xdr:row>
      <xdr:rowOff>6350</xdr:rowOff>
    </xdr:to>
    <xdr:cxnSp macro="">
      <xdr:nvCxnSpPr>
        <xdr:cNvPr id="55" name="Garden Status Timeline 06">
          <a:extLst>
            <a:ext uri="{FF2B5EF4-FFF2-40B4-BE49-F238E27FC236}">
              <a16:creationId xmlns:a16="http://schemas.microsoft.com/office/drawing/2014/main" id="{C262558C-A840-4D20-97AB-530DDFF29890}"/>
            </a:ext>
          </a:extLst>
        </xdr:cNvPr>
        <xdr:cNvCxnSpPr/>
      </xdr:nvCxnSpPr>
      <xdr:spPr>
        <a:xfrm>
          <a:off x="9056460" y="5168900"/>
          <a:ext cx="0" cy="7937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14</xdr:row>
      <xdr:rowOff>57150</xdr:rowOff>
    </xdr:from>
    <xdr:to>
      <xdr:col>10</xdr:col>
      <xdr:colOff>118835</xdr:colOff>
      <xdr:row>14</xdr:row>
      <xdr:rowOff>133350</xdr:rowOff>
    </xdr:to>
    <xdr:cxnSp macro="">
      <xdr:nvCxnSpPr>
        <xdr:cNvPr id="56" name="Garden Status Timeline 07">
          <a:extLst>
            <a:ext uri="{FF2B5EF4-FFF2-40B4-BE49-F238E27FC236}">
              <a16:creationId xmlns:a16="http://schemas.microsoft.com/office/drawing/2014/main" id="{E36EA80F-6F49-4BAE-A6A4-93DBFD818B31}"/>
            </a:ext>
          </a:extLst>
        </xdr:cNvPr>
        <xdr:cNvCxnSpPr/>
      </xdr:nvCxnSpPr>
      <xdr:spPr>
        <a:xfrm>
          <a:off x="9056460" y="5295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15</xdr:row>
      <xdr:rowOff>3175</xdr:rowOff>
    </xdr:from>
    <xdr:to>
      <xdr:col>10</xdr:col>
      <xdr:colOff>118835</xdr:colOff>
      <xdr:row>15</xdr:row>
      <xdr:rowOff>79375</xdr:rowOff>
    </xdr:to>
    <xdr:cxnSp macro="">
      <xdr:nvCxnSpPr>
        <xdr:cNvPr id="57" name="Garden Status Timeline 08">
          <a:extLst>
            <a:ext uri="{FF2B5EF4-FFF2-40B4-BE49-F238E27FC236}">
              <a16:creationId xmlns:a16="http://schemas.microsoft.com/office/drawing/2014/main" id="{989CB076-67BC-4C5E-9AE5-A53E66BBBCE1}"/>
            </a:ext>
          </a:extLst>
        </xdr:cNvPr>
        <xdr:cNvCxnSpPr/>
      </xdr:nvCxnSpPr>
      <xdr:spPr>
        <a:xfrm>
          <a:off x="9056460" y="5426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15</xdr:row>
      <xdr:rowOff>130175</xdr:rowOff>
    </xdr:from>
    <xdr:to>
      <xdr:col>10</xdr:col>
      <xdr:colOff>118835</xdr:colOff>
      <xdr:row>16</xdr:row>
      <xdr:rowOff>25400</xdr:rowOff>
    </xdr:to>
    <xdr:cxnSp macro="">
      <xdr:nvCxnSpPr>
        <xdr:cNvPr id="58" name="Garden Status Timeline 09">
          <a:extLst>
            <a:ext uri="{FF2B5EF4-FFF2-40B4-BE49-F238E27FC236}">
              <a16:creationId xmlns:a16="http://schemas.microsoft.com/office/drawing/2014/main" id="{F5F86893-28CA-4B07-987B-2F9428471F04}"/>
            </a:ext>
          </a:extLst>
        </xdr:cNvPr>
        <xdr:cNvCxnSpPr/>
      </xdr:nvCxnSpPr>
      <xdr:spPr>
        <a:xfrm>
          <a:off x="9056460" y="5549900"/>
          <a:ext cx="0" cy="7937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16</xdr:row>
      <xdr:rowOff>76200</xdr:rowOff>
    </xdr:from>
    <xdr:to>
      <xdr:col>10</xdr:col>
      <xdr:colOff>118835</xdr:colOff>
      <xdr:row>16</xdr:row>
      <xdr:rowOff>152400</xdr:rowOff>
    </xdr:to>
    <xdr:cxnSp macro="">
      <xdr:nvCxnSpPr>
        <xdr:cNvPr id="59" name="Garden Status Timeline 10">
          <a:extLst>
            <a:ext uri="{FF2B5EF4-FFF2-40B4-BE49-F238E27FC236}">
              <a16:creationId xmlns:a16="http://schemas.microsoft.com/office/drawing/2014/main" id="{7297FFA7-718D-48FA-813D-2E157ACF144D}"/>
            </a:ext>
          </a:extLst>
        </xdr:cNvPr>
        <xdr:cNvCxnSpPr/>
      </xdr:nvCxnSpPr>
      <xdr:spPr>
        <a:xfrm>
          <a:off x="9056460" y="5676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17</xdr:row>
      <xdr:rowOff>22225</xdr:rowOff>
    </xdr:from>
    <xdr:to>
      <xdr:col>10</xdr:col>
      <xdr:colOff>118835</xdr:colOff>
      <xdr:row>17</xdr:row>
      <xdr:rowOff>98425</xdr:rowOff>
    </xdr:to>
    <xdr:cxnSp macro="">
      <xdr:nvCxnSpPr>
        <xdr:cNvPr id="60" name="Garden Status Timeline 11">
          <a:extLst>
            <a:ext uri="{FF2B5EF4-FFF2-40B4-BE49-F238E27FC236}">
              <a16:creationId xmlns:a16="http://schemas.microsoft.com/office/drawing/2014/main" id="{2EE46FC1-EEA4-4726-9CC8-14149EA9C4C1}"/>
            </a:ext>
          </a:extLst>
        </xdr:cNvPr>
        <xdr:cNvCxnSpPr/>
      </xdr:nvCxnSpPr>
      <xdr:spPr>
        <a:xfrm>
          <a:off x="9056460" y="5807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17</xdr:row>
      <xdr:rowOff>149225</xdr:rowOff>
    </xdr:from>
    <xdr:to>
      <xdr:col>10</xdr:col>
      <xdr:colOff>118835</xdr:colOff>
      <xdr:row>18</xdr:row>
      <xdr:rowOff>44450</xdr:rowOff>
    </xdr:to>
    <xdr:cxnSp macro="">
      <xdr:nvCxnSpPr>
        <xdr:cNvPr id="61" name="Garden Status Timeline 12">
          <a:extLst>
            <a:ext uri="{FF2B5EF4-FFF2-40B4-BE49-F238E27FC236}">
              <a16:creationId xmlns:a16="http://schemas.microsoft.com/office/drawing/2014/main" id="{6E834E8B-8665-41C7-A5A7-CAE977EF88C0}"/>
            </a:ext>
          </a:extLst>
        </xdr:cNvPr>
        <xdr:cNvCxnSpPr/>
      </xdr:nvCxnSpPr>
      <xdr:spPr>
        <a:xfrm>
          <a:off x="9056460" y="5930900"/>
          <a:ext cx="0" cy="7937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18</xdr:row>
      <xdr:rowOff>95250</xdr:rowOff>
    </xdr:from>
    <xdr:to>
      <xdr:col>10</xdr:col>
      <xdr:colOff>118835</xdr:colOff>
      <xdr:row>18</xdr:row>
      <xdr:rowOff>171450</xdr:rowOff>
    </xdr:to>
    <xdr:cxnSp macro="">
      <xdr:nvCxnSpPr>
        <xdr:cNvPr id="62" name="Garden Status Timeline 13">
          <a:extLst>
            <a:ext uri="{FF2B5EF4-FFF2-40B4-BE49-F238E27FC236}">
              <a16:creationId xmlns:a16="http://schemas.microsoft.com/office/drawing/2014/main" id="{6CF82B1C-DF52-455E-A50F-A21E466F4BDF}"/>
            </a:ext>
          </a:extLst>
        </xdr:cNvPr>
        <xdr:cNvCxnSpPr/>
      </xdr:nvCxnSpPr>
      <xdr:spPr>
        <a:xfrm>
          <a:off x="9056460" y="6057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19</xdr:row>
      <xdr:rowOff>41275</xdr:rowOff>
    </xdr:from>
    <xdr:to>
      <xdr:col>10</xdr:col>
      <xdr:colOff>118835</xdr:colOff>
      <xdr:row>19</xdr:row>
      <xdr:rowOff>117475</xdr:rowOff>
    </xdr:to>
    <xdr:cxnSp macro="">
      <xdr:nvCxnSpPr>
        <xdr:cNvPr id="63" name="Garden Status Timeline 14">
          <a:extLst>
            <a:ext uri="{FF2B5EF4-FFF2-40B4-BE49-F238E27FC236}">
              <a16:creationId xmlns:a16="http://schemas.microsoft.com/office/drawing/2014/main" id="{F248526B-B7EB-44D5-BFB9-2750C5C4EA99}"/>
            </a:ext>
          </a:extLst>
        </xdr:cNvPr>
        <xdr:cNvCxnSpPr/>
      </xdr:nvCxnSpPr>
      <xdr:spPr>
        <a:xfrm>
          <a:off x="9056460" y="6188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19</xdr:row>
      <xdr:rowOff>168275</xdr:rowOff>
    </xdr:from>
    <xdr:to>
      <xdr:col>10</xdr:col>
      <xdr:colOff>118835</xdr:colOff>
      <xdr:row>20</xdr:row>
      <xdr:rowOff>63500</xdr:rowOff>
    </xdr:to>
    <xdr:cxnSp macro="">
      <xdr:nvCxnSpPr>
        <xdr:cNvPr id="64" name="Garden Status Timeline 15">
          <a:extLst>
            <a:ext uri="{FF2B5EF4-FFF2-40B4-BE49-F238E27FC236}">
              <a16:creationId xmlns:a16="http://schemas.microsoft.com/office/drawing/2014/main" id="{DCFA3771-C3CE-4B16-99FA-8EB8622026A1}"/>
            </a:ext>
          </a:extLst>
        </xdr:cNvPr>
        <xdr:cNvCxnSpPr/>
      </xdr:nvCxnSpPr>
      <xdr:spPr>
        <a:xfrm>
          <a:off x="9056460" y="6311900"/>
          <a:ext cx="0" cy="7937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20</xdr:row>
      <xdr:rowOff>114300</xdr:rowOff>
    </xdr:from>
    <xdr:to>
      <xdr:col>10</xdr:col>
      <xdr:colOff>118835</xdr:colOff>
      <xdr:row>21</xdr:row>
      <xdr:rowOff>9525</xdr:rowOff>
    </xdr:to>
    <xdr:cxnSp macro="">
      <xdr:nvCxnSpPr>
        <xdr:cNvPr id="65" name="Garden Status Timeline 16">
          <a:extLst>
            <a:ext uri="{FF2B5EF4-FFF2-40B4-BE49-F238E27FC236}">
              <a16:creationId xmlns:a16="http://schemas.microsoft.com/office/drawing/2014/main" id="{D7696257-ECDC-452D-9A10-83BFC8361614}"/>
            </a:ext>
          </a:extLst>
        </xdr:cNvPr>
        <xdr:cNvCxnSpPr/>
      </xdr:nvCxnSpPr>
      <xdr:spPr>
        <a:xfrm>
          <a:off x="9056460" y="6438900"/>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21</xdr:row>
      <xdr:rowOff>60325</xdr:rowOff>
    </xdr:from>
    <xdr:to>
      <xdr:col>10</xdr:col>
      <xdr:colOff>118835</xdr:colOff>
      <xdr:row>21</xdr:row>
      <xdr:rowOff>136525</xdr:rowOff>
    </xdr:to>
    <xdr:cxnSp macro="">
      <xdr:nvCxnSpPr>
        <xdr:cNvPr id="66" name="Garden Status Timeline 17">
          <a:extLst>
            <a:ext uri="{FF2B5EF4-FFF2-40B4-BE49-F238E27FC236}">
              <a16:creationId xmlns:a16="http://schemas.microsoft.com/office/drawing/2014/main" id="{5926D695-9D38-43F1-ADB4-55440C60B0E1}"/>
            </a:ext>
          </a:extLst>
        </xdr:cNvPr>
        <xdr:cNvCxnSpPr/>
      </xdr:nvCxnSpPr>
      <xdr:spPr>
        <a:xfrm>
          <a:off x="9056460" y="6569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22</xdr:row>
      <xdr:rowOff>6350</xdr:rowOff>
    </xdr:from>
    <xdr:to>
      <xdr:col>10</xdr:col>
      <xdr:colOff>118835</xdr:colOff>
      <xdr:row>22</xdr:row>
      <xdr:rowOff>82550</xdr:rowOff>
    </xdr:to>
    <xdr:cxnSp macro="">
      <xdr:nvCxnSpPr>
        <xdr:cNvPr id="67" name="Garden Status Timeline 18">
          <a:extLst>
            <a:ext uri="{FF2B5EF4-FFF2-40B4-BE49-F238E27FC236}">
              <a16:creationId xmlns:a16="http://schemas.microsoft.com/office/drawing/2014/main" id="{7BF4758D-D420-4791-AD22-317BCD2904C4}"/>
            </a:ext>
          </a:extLst>
        </xdr:cNvPr>
        <xdr:cNvCxnSpPr/>
      </xdr:nvCxnSpPr>
      <xdr:spPr>
        <a:xfrm>
          <a:off x="9056460" y="6696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22</xdr:row>
      <xdr:rowOff>133350</xdr:rowOff>
    </xdr:from>
    <xdr:to>
      <xdr:col>10</xdr:col>
      <xdr:colOff>118835</xdr:colOff>
      <xdr:row>23</xdr:row>
      <xdr:rowOff>28575</xdr:rowOff>
    </xdr:to>
    <xdr:cxnSp macro="">
      <xdr:nvCxnSpPr>
        <xdr:cNvPr id="68" name="Garden Status Timeline 19">
          <a:extLst>
            <a:ext uri="{FF2B5EF4-FFF2-40B4-BE49-F238E27FC236}">
              <a16:creationId xmlns:a16="http://schemas.microsoft.com/office/drawing/2014/main" id="{D76BA8B0-C478-4ADD-AD8F-82CE154B9C31}"/>
            </a:ext>
          </a:extLst>
        </xdr:cNvPr>
        <xdr:cNvCxnSpPr/>
      </xdr:nvCxnSpPr>
      <xdr:spPr>
        <a:xfrm>
          <a:off x="9056460" y="6819900"/>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23</xdr:row>
      <xdr:rowOff>79375</xdr:rowOff>
    </xdr:from>
    <xdr:to>
      <xdr:col>10</xdr:col>
      <xdr:colOff>118835</xdr:colOff>
      <xdr:row>23</xdr:row>
      <xdr:rowOff>155575</xdr:rowOff>
    </xdr:to>
    <xdr:cxnSp macro="">
      <xdr:nvCxnSpPr>
        <xdr:cNvPr id="69" name="Garden Status Timeline 20">
          <a:extLst>
            <a:ext uri="{FF2B5EF4-FFF2-40B4-BE49-F238E27FC236}">
              <a16:creationId xmlns:a16="http://schemas.microsoft.com/office/drawing/2014/main" id="{1DB2AA0D-9225-47E4-B59F-1E4372A81167}"/>
            </a:ext>
          </a:extLst>
        </xdr:cNvPr>
        <xdr:cNvCxnSpPr/>
      </xdr:nvCxnSpPr>
      <xdr:spPr>
        <a:xfrm>
          <a:off x="9056460" y="6950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24</xdr:row>
      <xdr:rowOff>25400</xdr:rowOff>
    </xdr:from>
    <xdr:to>
      <xdr:col>10</xdr:col>
      <xdr:colOff>118835</xdr:colOff>
      <xdr:row>24</xdr:row>
      <xdr:rowOff>101600</xdr:rowOff>
    </xdr:to>
    <xdr:cxnSp macro="">
      <xdr:nvCxnSpPr>
        <xdr:cNvPr id="70" name="Garden Status Timeline 21">
          <a:extLst>
            <a:ext uri="{FF2B5EF4-FFF2-40B4-BE49-F238E27FC236}">
              <a16:creationId xmlns:a16="http://schemas.microsoft.com/office/drawing/2014/main" id="{EF280CD5-1B6B-4754-84F0-0A9B9E6314BC}"/>
            </a:ext>
          </a:extLst>
        </xdr:cNvPr>
        <xdr:cNvCxnSpPr/>
      </xdr:nvCxnSpPr>
      <xdr:spPr>
        <a:xfrm>
          <a:off x="9056460" y="7077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24</xdr:row>
      <xdr:rowOff>152400</xdr:rowOff>
    </xdr:from>
    <xdr:to>
      <xdr:col>10</xdr:col>
      <xdr:colOff>118835</xdr:colOff>
      <xdr:row>25</xdr:row>
      <xdr:rowOff>47625</xdr:rowOff>
    </xdr:to>
    <xdr:cxnSp macro="">
      <xdr:nvCxnSpPr>
        <xdr:cNvPr id="71" name="Garden Status Timeline 22">
          <a:extLst>
            <a:ext uri="{FF2B5EF4-FFF2-40B4-BE49-F238E27FC236}">
              <a16:creationId xmlns:a16="http://schemas.microsoft.com/office/drawing/2014/main" id="{9D56FBB3-5C07-4B52-A895-2F7FA1702288}"/>
            </a:ext>
          </a:extLst>
        </xdr:cNvPr>
        <xdr:cNvCxnSpPr/>
      </xdr:nvCxnSpPr>
      <xdr:spPr>
        <a:xfrm>
          <a:off x="9056460" y="7200900"/>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25</xdr:row>
      <xdr:rowOff>98425</xdr:rowOff>
    </xdr:from>
    <xdr:to>
      <xdr:col>10</xdr:col>
      <xdr:colOff>118835</xdr:colOff>
      <xdr:row>25</xdr:row>
      <xdr:rowOff>174625</xdr:rowOff>
    </xdr:to>
    <xdr:cxnSp macro="">
      <xdr:nvCxnSpPr>
        <xdr:cNvPr id="72" name="Garden Status Timeline 23">
          <a:extLst>
            <a:ext uri="{FF2B5EF4-FFF2-40B4-BE49-F238E27FC236}">
              <a16:creationId xmlns:a16="http://schemas.microsoft.com/office/drawing/2014/main" id="{5133FC43-C3F3-428E-8A24-A93D6C793173}"/>
            </a:ext>
          </a:extLst>
        </xdr:cNvPr>
        <xdr:cNvCxnSpPr/>
      </xdr:nvCxnSpPr>
      <xdr:spPr>
        <a:xfrm>
          <a:off x="9056460" y="7331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26</xdr:row>
      <xdr:rowOff>44450</xdr:rowOff>
    </xdr:from>
    <xdr:to>
      <xdr:col>10</xdr:col>
      <xdr:colOff>118835</xdr:colOff>
      <xdr:row>26</xdr:row>
      <xdr:rowOff>120650</xdr:rowOff>
    </xdr:to>
    <xdr:cxnSp macro="">
      <xdr:nvCxnSpPr>
        <xdr:cNvPr id="73" name="Garden Status Timeline 24">
          <a:extLst>
            <a:ext uri="{FF2B5EF4-FFF2-40B4-BE49-F238E27FC236}">
              <a16:creationId xmlns:a16="http://schemas.microsoft.com/office/drawing/2014/main" id="{2385193F-C04C-49F9-92EA-8C1214BE37E4}"/>
            </a:ext>
          </a:extLst>
        </xdr:cNvPr>
        <xdr:cNvCxnSpPr/>
      </xdr:nvCxnSpPr>
      <xdr:spPr>
        <a:xfrm>
          <a:off x="9056460" y="7458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26</xdr:row>
      <xdr:rowOff>171450</xdr:rowOff>
    </xdr:from>
    <xdr:to>
      <xdr:col>10</xdr:col>
      <xdr:colOff>118835</xdr:colOff>
      <xdr:row>27</xdr:row>
      <xdr:rowOff>66675</xdr:rowOff>
    </xdr:to>
    <xdr:cxnSp macro="">
      <xdr:nvCxnSpPr>
        <xdr:cNvPr id="74" name="Garden Status Timeline 25">
          <a:extLst>
            <a:ext uri="{FF2B5EF4-FFF2-40B4-BE49-F238E27FC236}">
              <a16:creationId xmlns:a16="http://schemas.microsoft.com/office/drawing/2014/main" id="{CFDFCC7C-8387-4CC3-9B9B-EB932787E4D9}"/>
            </a:ext>
          </a:extLst>
        </xdr:cNvPr>
        <xdr:cNvCxnSpPr/>
      </xdr:nvCxnSpPr>
      <xdr:spPr>
        <a:xfrm>
          <a:off x="9056460" y="7581900"/>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27</xdr:row>
      <xdr:rowOff>117475</xdr:rowOff>
    </xdr:from>
    <xdr:to>
      <xdr:col>10</xdr:col>
      <xdr:colOff>118835</xdr:colOff>
      <xdr:row>28</xdr:row>
      <xdr:rowOff>12700</xdr:rowOff>
    </xdr:to>
    <xdr:cxnSp macro="">
      <xdr:nvCxnSpPr>
        <xdr:cNvPr id="75" name="Garden Status Timeline 26">
          <a:extLst>
            <a:ext uri="{FF2B5EF4-FFF2-40B4-BE49-F238E27FC236}">
              <a16:creationId xmlns:a16="http://schemas.microsoft.com/office/drawing/2014/main" id="{9E665A83-3889-4A44-98A9-C35EA0AAB352}"/>
            </a:ext>
          </a:extLst>
        </xdr:cNvPr>
        <xdr:cNvCxnSpPr/>
      </xdr:nvCxnSpPr>
      <xdr:spPr>
        <a:xfrm>
          <a:off x="9056460" y="7712075"/>
          <a:ext cx="0" cy="698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28</xdr:row>
      <xdr:rowOff>63500</xdr:rowOff>
    </xdr:from>
    <xdr:to>
      <xdr:col>10</xdr:col>
      <xdr:colOff>118835</xdr:colOff>
      <xdr:row>28</xdr:row>
      <xdr:rowOff>139700</xdr:rowOff>
    </xdr:to>
    <xdr:cxnSp macro="">
      <xdr:nvCxnSpPr>
        <xdr:cNvPr id="76" name="Garden Status Timeline 27">
          <a:extLst>
            <a:ext uri="{FF2B5EF4-FFF2-40B4-BE49-F238E27FC236}">
              <a16:creationId xmlns:a16="http://schemas.microsoft.com/office/drawing/2014/main" id="{FB81C5AA-A465-421D-B35C-CD56E3DC67FA}"/>
            </a:ext>
          </a:extLst>
        </xdr:cNvPr>
        <xdr:cNvCxnSpPr/>
      </xdr:nvCxnSpPr>
      <xdr:spPr>
        <a:xfrm>
          <a:off x="9056460" y="7839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29</xdr:row>
      <xdr:rowOff>9525</xdr:rowOff>
    </xdr:from>
    <xdr:to>
      <xdr:col>10</xdr:col>
      <xdr:colOff>118835</xdr:colOff>
      <xdr:row>29</xdr:row>
      <xdr:rowOff>85725</xdr:rowOff>
    </xdr:to>
    <xdr:cxnSp macro="">
      <xdr:nvCxnSpPr>
        <xdr:cNvPr id="77" name="Garden Status Timeline 28">
          <a:extLst>
            <a:ext uri="{FF2B5EF4-FFF2-40B4-BE49-F238E27FC236}">
              <a16:creationId xmlns:a16="http://schemas.microsoft.com/office/drawing/2014/main" id="{69B07645-47BB-48C6-B726-1C499F121F64}"/>
            </a:ext>
          </a:extLst>
        </xdr:cNvPr>
        <xdr:cNvCxnSpPr/>
      </xdr:nvCxnSpPr>
      <xdr:spPr>
        <a:xfrm>
          <a:off x="9056460" y="7959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29</xdr:row>
      <xdr:rowOff>136525</xdr:rowOff>
    </xdr:from>
    <xdr:to>
      <xdr:col>10</xdr:col>
      <xdr:colOff>118835</xdr:colOff>
      <xdr:row>30</xdr:row>
      <xdr:rowOff>31750</xdr:rowOff>
    </xdr:to>
    <xdr:cxnSp macro="">
      <xdr:nvCxnSpPr>
        <xdr:cNvPr id="78" name="Garden Status Timeline 29">
          <a:extLst>
            <a:ext uri="{FF2B5EF4-FFF2-40B4-BE49-F238E27FC236}">
              <a16:creationId xmlns:a16="http://schemas.microsoft.com/office/drawing/2014/main" id="{32C9DB5E-96C0-4723-A8F3-2E56E5E53DC6}"/>
            </a:ext>
          </a:extLst>
        </xdr:cNvPr>
        <xdr:cNvCxnSpPr/>
      </xdr:nvCxnSpPr>
      <xdr:spPr>
        <a:xfrm>
          <a:off x="9056460" y="8093075"/>
          <a:ext cx="0" cy="698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30</xdr:row>
      <xdr:rowOff>82550</xdr:rowOff>
    </xdr:from>
    <xdr:to>
      <xdr:col>10</xdr:col>
      <xdr:colOff>118835</xdr:colOff>
      <xdr:row>30</xdr:row>
      <xdr:rowOff>158750</xdr:rowOff>
    </xdr:to>
    <xdr:cxnSp macro="">
      <xdr:nvCxnSpPr>
        <xdr:cNvPr id="79" name="Garden Status Timeline 30">
          <a:extLst>
            <a:ext uri="{FF2B5EF4-FFF2-40B4-BE49-F238E27FC236}">
              <a16:creationId xmlns:a16="http://schemas.microsoft.com/office/drawing/2014/main" id="{C83D12BA-6EAF-40E8-95EA-05ED56EA7614}"/>
            </a:ext>
          </a:extLst>
        </xdr:cNvPr>
        <xdr:cNvCxnSpPr/>
      </xdr:nvCxnSpPr>
      <xdr:spPr>
        <a:xfrm>
          <a:off x="9056460" y="8220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31</xdr:row>
      <xdr:rowOff>28575</xdr:rowOff>
    </xdr:from>
    <xdr:to>
      <xdr:col>10</xdr:col>
      <xdr:colOff>118835</xdr:colOff>
      <xdr:row>31</xdr:row>
      <xdr:rowOff>104775</xdr:rowOff>
    </xdr:to>
    <xdr:cxnSp macro="">
      <xdr:nvCxnSpPr>
        <xdr:cNvPr id="80" name="Garden Status Timeline 31">
          <a:extLst>
            <a:ext uri="{FF2B5EF4-FFF2-40B4-BE49-F238E27FC236}">
              <a16:creationId xmlns:a16="http://schemas.microsoft.com/office/drawing/2014/main" id="{9AD8D71F-D5BF-4DE2-ABF9-4BCBDCAFE589}"/>
            </a:ext>
          </a:extLst>
        </xdr:cNvPr>
        <xdr:cNvCxnSpPr/>
      </xdr:nvCxnSpPr>
      <xdr:spPr>
        <a:xfrm>
          <a:off x="9056460" y="8340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31</xdr:row>
      <xdr:rowOff>155575</xdr:rowOff>
    </xdr:from>
    <xdr:to>
      <xdr:col>10</xdr:col>
      <xdr:colOff>118835</xdr:colOff>
      <xdr:row>32</xdr:row>
      <xdr:rowOff>50800</xdr:rowOff>
    </xdr:to>
    <xdr:cxnSp macro="">
      <xdr:nvCxnSpPr>
        <xdr:cNvPr id="81" name="Garden Status Timeline 32">
          <a:extLst>
            <a:ext uri="{FF2B5EF4-FFF2-40B4-BE49-F238E27FC236}">
              <a16:creationId xmlns:a16="http://schemas.microsoft.com/office/drawing/2014/main" id="{54D971CB-A8A8-4E65-B7B6-99C4EFFDC481}"/>
            </a:ext>
          </a:extLst>
        </xdr:cNvPr>
        <xdr:cNvCxnSpPr/>
      </xdr:nvCxnSpPr>
      <xdr:spPr>
        <a:xfrm>
          <a:off x="9056460" y="8474075"/>
          <a:ext cx="0" cy="698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32</xdr:row>
      <xdr:rowOff>101600</xdr:rowOff>
    </xdr:from>
    <xdr:to>
      <xdr:col>10</xdr:col>
      <xdr:colOff>118835</xdr:colOff>
      <xdr:row>32</xdr:row>
      <xdr:rowOff>177800</xdr:rowOff>
    </xdr:to>
    <xdr:cxnSp macro="">
      <xdr:nvCxnSpPr>
        <xdr:cNvPr id="82" name="Garden Status Timeline 33">
          <a:extLst>
            <a:ext uri="{FF2B5EF4-FFF2-40B4-BE49-F238E27FC236}">
              <a16:creationId xmlns:a16="http://schemas.microsoft.com/office/drawing/2014/main" id="{8C8918F6-5909-43DC-9DB7-46661705FABB}"/>
            </a:ext>
          </a:extLst>
        </xdr:cNvPr>
        <xdr:cNvCxnSpPr/>
      </xdr:nvCxnSpPr>
      <xdr:spPr>
        <a:xfrm>
          <a:off x="9056460" y="860107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33</xdr:row>
      <xdr:rowOff>47625</xdr:rowOff>
    </xdr:from>
    <xdr:to>
      <xdr:col>10</xdr:col>
      <xdr:colOff>118835</xdr:colOff>
      <xdr:row>33</xdr:row>
      <xdr:rowOff>123825</xdr:rowOff>
    </xdr:to>
    <xdr:cxnSp macro="">
      <xdr:nvCxnSpPr>
        <xdr:cNvPr id="83" name="Garden Status Timeline 34">
          <a:extLst>
            <a:ext uri="{FF2B5EF4-FFF2-40B4-BE49-F238E27FC236}">
              <a16:creationId xmlns:a16="http://schemas.microsoft.com/office/drawing/2014/main" id="{E7F82999-5D8E-4AE5-A5E7-74BFC8078261}"/>
            </a:ext>
          </a:extLst>
        </xdr:cNvPr>
        <xdr:cNvCxnSpPr/>
      </xdr:nvCxnSpPr>
      <xdr:spPr>
        <a:xfrm>
          <a:off x="9056460" y="8721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33</xdr:row>
      <xdr:rowOff>174625</xdr:rowOff>
    </xdr:from>
    <xdr:to>
      <xdr:col>10</xdr:col>
      <xdr:colOff>118835</xdr:colOff>
      <xdr:row>34</xdr:row>
      <xdr:rowOff>69850</xdr:rowOff>
    </xdr:to>
    <xdr:cxnSp macro="">
      <xdr:nvCxnSpPr>
        <xdr:cNvPr id="84" name="Garden Status Timeline 35">
          <a:extLst>
            <a:ext uri="{FF2B5EF4-FFF2-40B4-BE49-F238E27FC236}">
              <a16:creationId xmlns:a16="http://schemas.microsoft.com/office/drawing/2014/main" id="{BD397B1B-64C7-4FC7-979C-6ADB7748CE98}"/>
            </a:ext>
          </a:extLst>
        </xdr:cNvPr>
        <xdr:cNvCxnSpPr/>
      </xdr:nvCxnSpPr>
      <xdr:spPr>
        <a:xfrm>
          <a:off x="9056460" y="8855075"/>
          <a:ext cx="0" cy="6985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34</xdr:row>
      <xdr:rowOff>120650</xdr:rowOff>
    </xdr:from>
    <xdr:to>
      <xdr:col>10</xdr:col>
      <xdr:colOff>118835</xdr:colOff>
      <xdr:row>35</xdr:row>
      <xdr:rowOff>15875</xdr:rowOff>
    </xdr:to>
    <xdr:cxnSp macro="">
      <xdr:nvCxnSpPr>
        <xdr:cNvPr id="85" name="Garden Status Timeline 36">
          <a:extLst>
            <a:ext uri="{FF2B5EF4-FFF2-40B4-BE49-F238E27FC236}">
              <a16:creationId xmlns:a16="http://schemas.microsoft.com/office/drawing/2014/main" id="{75A2ADAD-BB5F-41E9-A0F5-F5AC9649E9F6}"/>
            </a:ext>
          </a:extLst>
        </xdr:cNvPr>
        <xdr:cNvCxnSpPr/>
      </xdr:nvCxnSpPr>
      <xdr:spPr>
        <a:xfrm>
          <a:off x="9056460" y="8982075"/>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35</xdr:row>
      <xdr:rowOff>66675</xdr:rowOff>
    </xdr:from>
    <xdr:to>
      <xdr:col>10</xdr:col>
      <xdr:colOff>118835</xdr:colOff>
      <xdr:row>35</xdr:row>
      <xdr:rowOff>142875</xdr:rowOff>
    </xdr:to>
    <xdr:cxnSp macro="">
      <xdr:nvCxnSpPr>
        <xdr:cNvPr id="86" name="Garden Status Timeline 37">
          <a:extLst>
            <a:ext uri="{FF2B5EF4-FFF2-40B4-BE49-F238E27FC236}">
              <a16:creationId xmlns:a16="http://schemas.microsoft.com/office/drawing/2014/main" id="{820BB0A1-46AE-40E2-A198-3FB3FBDC4BE8}"/>
            </a:ext>
          </a:extLst>
        </xdr:cNvPr>
        <xdr:cNvCxnSpPr/>
      </xdr:nvCxnSpPr>
      <xdr:spPr>
        <a:xfrm>
          <a:off x="9056460" y="9102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36</xdr:row>
      <xdr:rowOff>12700</xdr:rowOff>
    </xdr:from>
    <xdr:to>
      <xdr:col>10</xdr:col>
      <xdr:colOff>118835</xdr:colOff>
      <xdr:row>36</xdr:row>
      <xdr:rowOff>88900</xdr:rowOff>
    </xdr:to>
    <xdr:cxnSp macro="">
      <xdr:nvCxnSpPr>
        <xdr:cNvPr id="87" name="Garden Status Timeline 38">
          <a:extLst>
            <a:ext uri="{FF2B5EF4-FFF2-40B4-BE49-F238E27FC236}">
              <a16:creationId xmlns:a16="http://schemas.microsoft.com/office/drawing/2014/main" id="{B373C564-4642-4EB4-AE91-BE4DA46A72FC}"/>
            </a:ext>
          </a:extLst>
        </xdr:cNvPr>
        <xdr:cNvCxnSpPr/>
      </xdr:nvCxnSpPr>
      <xdr:spPr>
        <a:xfrm>
          <a:off x="9056460" y="9229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36</xdr:row>
      <xdr:rowOff>139700</xdr:rowOff>
    </xdr:from>
    <xdr:to>
      <xdr:col>10</xdr:col>
      <xdr:colOff>118835</xdr:colOff>
      <xdr:row>37</xdr:row>
      <xdr:rowOff>34925</xdr:rowOff>
    </xdr:to>
    <xdr:cxnSp macro="">
      <xdr:nvCxnSpPr>
        <xdr:cNvPr id="88" name="Garden Status Timeline 39">
          <a:extLst>
            <a:ext uri="{FF2B5EF4-FFF2-40B4-BE49-F238E27FC236}">
              <a16:creationId xmlns:a16="http://schemas.microsoft.com/office/drawing/2014/main" id="{AB6EA241-D142-4C96-A392-8D373CCED559}"/>
            </a:ext>
          </a:extLst>
        </xdr:cNvPr>
        <xdr:cNvCxnSpPr/>
      </xdr:nvCxnSpPr>
      <xdr:spPr>
        <a:xfrm>
          <a:off x="9056460" y="9363075"/>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37</xdr:row>
      <xdr:rowOff>85725</xdr:rowOff>
    </xdr:from>
    <xdr:to>
      <xdr:col>10</xdr:col>
      <xdr:colOff>118835</xdr:colOff>
      <xdr:row>37</xdr:row>
      <xdr:rowOff>161925</xdr:rowOff>
    </xdr:to>
    <xdr:cxnSp macro="">
      <xdr:nvCxnSpPr>
        <xdr:cNvPr id="89" name="Garden Status Timeline 40">
          <a:extLst>
            <a:ext uri="{FF2B5EF4-FFF2-40B4-BE49-F238E27FC236}">
              <a16:creationId xmlns:a16="http://schemas.microsoft.com/office/drawing/2014/main" id="{31B7051C-6956-4AC1-8B18-957122EF4E52}"/>
            </a:ext>
          </a:extLst>
        </xdr:cNvPr>
        <xdr:cNvCxnSpPr/>
      </xdr:nvCxnSpPr>
      <xdr:spPr>
        <a:xfrm>
          <a:off x="9056460" y="9483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38</xdr:row>
      <xdr:rowOff>31750</xdr:rowOff>
    </xdr:from>
    <xdr:to>
      <xdr:col>10</xdr:col>
      <xdr:colOff>118835</xdr:colOff>
      <xdr:row>38</xdr:row>
      <xdr:rowOff>107950</xdr:rowOff>
    </xdr:to>
    <xdr:cxnSp macro="">
      <xdr:nvCxnSpPr>
        <xdr:cNvPr id="90" name="Garden Status Timeline 41">
          <a:extLst>
            <a:ext uri="{FF2B5EF4-FFF2-40B4-BE49-F238E27FC236}">
              <a16:creationId xmlns:a16="http://schemas.microsoft.com/office/drawing/2014/main" id="{7D6F8585-BA92-413F-BEC4-9EB450C1DCD8}"/>
            </a:ext>
          </a:extLst>
        </xdr:cNvPr>
        <xdr:cNvCxnSpPr/>
      </xdr:nvCxnSpPr>
      <xdr:spPr>
        <a:xfrm>
          <a:off x="9056460" y="9610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38</xdr:row>
      <xdr:rowOff>158750</xdr:rowOff>
    </xdr:from>
    <xdr:to>
      <xdr:col>10</xdr:col>
      <xdr:colOff>118835</xdr:colOff>
      <xdr:row>39</xdr:row>
      <xdr:rowOff>53975</xdr:rowOff>
    </xdr:to>
    <xdr:cxnSp macro="">
      <xdr:nvCxnSpPr>
        <xdr:cNvPr id="91" name="Garden Status Timeline 42">
          <a:extLst>
            <a:ext uri="{FF2B5EF4-FFF2-40B4-BE49-F238E27FC236}">
              <a16:creationId xmlns:a16="http://schemas.microsoft.com/office/drawing/2014/main" id="{2035B0D7-302A-4EE6-A2EF-2E2F86B0356D}"/>
            </a:ext>
          </a:extLst>
        </xdr:cNvPr>
        <xdr:cNvCxnSpPr/>
      </xdr:nvCxnSpPr>
      <xdr:spPr>
        <a:xfrm>
          <a:off x="9056460" y="9744075"/>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39</xdr:row>
      <xdr:rowOff>104775</xdr:rowOff>
    </xdr:from>
    <xdr:to>
      <xdr:col>10</xdr:col>
      <xdr:colOff>118835</xdr:colOff>
      <xdr:row>40</xdr:row>
      <xdr:rowOff>0</xdr:rowOff>
    </xdr:to>
    <xdr:cxnSp macro="">
      <xdr:nvCxnSpPr>
        <xdr:cNvPr id="92" name="Garden Status Timeline 43">
          <a:extLst>
            <a:ext uri="{FF2B5EF4-FFF2-40B4-BE49-F238E27FC236}">
              <a16:creationId xmlns:a16="http://schemas.microsoft.com/office/drawing/2014/main" id="{9EF7D9E0-7D29-4C0C-9915-04AE6B961483}"/>
            </a:ext>
          </a:extLst>
        </xdr:cNvPr>
        <xdr:cNvCxnSpPr/>
      </xdr:nvCxnSpPr>
      <xdr:spPr>
        <a:xfrm>
          <a:off x="9056460" y="9864725"/>
          <a:ext cx="0" cy="7937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40</xdr:row>
      <xdr:rowOff>50800</xdr:rowOff>
    </xdr:from>
    <xdr:to>
      <xdr:col>10</xdr:col>
      <xdr:colOff>118835</xdr:colOff>
      <xdr:row>40</xdr:row>
      <xdr:rowOff>127000</xdr:rowOff>
    </xdr:to>
    <xdr:cxnSp macro="">
      <xdr:nvCxnSpPr>
        <xdr:cNvPr id="93" name="Garden Status Timeline 44">
          <a:extLst>
            <a:ext uri="{FF2B5EF4-FFF2-40B4-BE49-F238E27FC236}">
              <a16:creationId xmlns:a16="http://schemas.microsoft.com/office/drawing/2014/main" id="{DE17E0B7-AAD3-4E7E-93B0-D00DCE6A63DC}"/>
            </a:ext>
          </a:extLst>
        </xdr:cNvPr>
        <xdr:cNvCxnSpPr/>
      </xdr:nvCxnSpPr>
      <xdr:spPr>
        <a:xfrm>
          <a:off x="9056460" y="9991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40</xdr:row>
      <xdr:rowOff>177800</xdr:rowOff>
    </xdr:from>
    <xdr:to>
      <xdr:col>10</xdr:col>
      <xdr:colOff>118835</xdr:colOff>
      <xdr:row>41</xdr:row>
      <xdr:rowOff>73025</xdr:rowOff>
    </xdr:to>
    <xdr:cxnSp macro="">
      <xdr:nvCxnSpPr>
        <xdr:cNvPr id="94" name="Garden Status Timeline 45">
          <a:extLst>
            <a:ext uri="{FF2B5EF4-FFF2-40B4-BE49-F238E27FC236}">
              <a16:creationId xmlns:a16="http://schemas.microsoft.com/office/drawing/2014/main" id="{7BE16492-C832-4A10-AA7C-BEBD8666F913}"/>
            </a:ext>
          </a:extLst>
        </xdr:cNvPr>
        <xdr:cNvCxnSpPr/>
      </xdr:nvCxnSpPr>
      <xdr:spPr>
        <a:xfrm>
          <a:off x="9056460" y="10125075"/>
          <a:ext cx="0" cy="7302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41</xdr:row>
      <xdr:rowOff>123825</xdr:rowOff>
    </xdr:from>
    <xdr:to>
      <xdr:col>10</xdr:col>
      <xdr:colOff>118835</xdr:colOff>
      <xdr:row>42</xdr:row>
      <xdr:rowOff>19050</xdr:rowOff>
    </xdr:to>
    <xdr:cxnSp macro="">
      <xdr:nvCxnSpPr>
        <xdr:cNvPr id="95" name="Garden Status Timeline 46">
          <a:extLst>
            <a:ext uri="{FF2B5EF4-FFF2-40B4-BE49-F238E27FC236}">
              <a16:creationId xmlns:a16="http://schemas.microsoft.com/office/drawing/2014/main" id="{A849A445-CCC4-4C58-BF45-6BD16F3999EB}"/>
            </a:ext>
          </a:extLst>
        </xdr:cNvPr>
        <xdr:cNvCxnSpPr/>
      </xdr:nvCxnSpPr>
      <xdr:spPr>
        <a:xfrm>
          <a:off x="9056460" y="10245725"/>
          <a:ext cx="0" cy="79375"/>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42</xdr:row>
      <xdr:rowOff>69850</xdr:rowOff>
    </xdr:from>
    <xdr:to>
      <xdr:col>10</xdr:col>
      <xdr:colOff>118835</xdr:colOff>
      <xdr:row>42</xdr:row>
      <xdr:rowOff>146050</xdr:rowOff>
    </xdr:to>
    <xdr:cxnSp macro="">
      <xdr:nvCxnSpPr>
        <xdr:cNvPr id="96" name="Garden Status Timeline 47">
          <a:extLst>
            <a:ext uri="{FF2B5EF4-FFF2-40B4-BE49-F238E27FC236}">
              <a16:creationId xmlns:a16="http://schemas.microsoft.com/office/drawing/2014/main" id="{2F97796D-A14A-417C-85B0-618F1E7CFDDB}"/>
            </a:ext>
          </a:extLst>
        </xdr:cNvPr>
        <xdr:cNvCxnSpPr/>
      </xdr:nvCxnSpPr>
      <xdr:spPr>
        <a:xfrm>
          <a:off x="9056460" y="10372725"/>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118835</xdr:colOff>
      <xdr:row>43</xdr:row>
      <xdr:rowOff>15875</xdr:rowOff>
    </xdr:from>
    <xdr:to>
      <xdr:col>10</xdr:col>
      <xdr:colOff>118835</xdr:colOff>
      <xdr:row>43</xdr:row>
      <xdr:rowOff>92075</xdr:rowOff>
    </xdr:to>
    <xdr:cxnSp macro="">
      <xdr:nvCxnSpPr>
        <xdr:cNvPr id="97" name="Garden Status Timeline 48">
          <a:extLst>
            <a:ext uri="{FF2B5EF4-FFF2-40B4-BE49-F238E27FC236}">
              <a16:creationId xmlns:a16="http://schemas.microsoft.com/office/drawing/2014/main" id="{1FB18641-E6DC-4E51-8189-F632D05416DB}"/>
            </a:ext>
          </a:extLst>
        </xdr:cNvPr>
        <xdr:cNvCxnSpPr/>
      </xdr:nvCxnSpPr>
      <xdr:spPr>
        <a:xfrm>
          <a:off x="9056460" y="10502900"/>
          <a:ext cx="0" cy="76200"/>
        </a:xfrm>
        <a:prstGeom prst="straightConnector1">
          <a:avLst/>
        </a:prstGeom>
        <a:noFill/>
        <a:ln w="9525" cap="flat" cmpd="sng" algn="ctr">
          <a:solidFill>
            <a:srgbClr val="C00000"/>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447675</xdr:colOff>
      <xdr:row>22</xdr:row>
      <xdr:rowOff>134471</xdr:rowOff>
    </xdr:from>
    <xdr:to>
      <xdr:col>17</xdr:col>
      <xdr:colOff>8031</xdr:colOff>
      <xdr:row>37</xdr:row>
      <xdr:rowOff>175559</xdr:rowOff>
    </xdr:to>
    <xdr:sp macro="" textlink="">
      <xdr:nvSpPr>
        <xdr:cNvPr id="46" name="Swimlane Labor Background">
          <a:extLst>
            <a:ext uri="{FF2B5EF4-FFF2-40B4-BE49-F238E27FC236}">
              <a16:creationId xmlns:a16="http://schemas.microsoft.com/office/drawing/2014/main" id="{E7A4BD9C-B05B-4A1F-9E99-3DF390BDA7B5}"/>
            </a:ext>
          </a:extLst>
        </xdr:cNvPr>
        <xdr:cNvSpPr/>
      </xdr:nvSpPr>
      <xdr:spPr>
        <a:xfrm>
          <a:off x="444500" y="4191000"/>
          <a:ext cx="19177000" cy="2733675"/>
        </a:xfrm>
        <a:prstGeom prst="rect">
          <a:avLst/>
        </a:prstGeom>
        <a:solidFill>
          <a:srgbClr val="F8FAFC"/>
        </a:solidFill>
        <a:ln w="25400" cap="flat" cmpd="sng" algn="ctr">
          <a:solidFill>
            <a:srgbClr val="CBD5E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nb-NO" sz="1000" b="0" i="0" u="none" strike="noStrike" kern="0" cap="none" spc="0" normalizeH="0" baseline="0" noProof="0">
            <a:ln>
              <a:noFill/>
            </a:ln>
            <a:solidFill>
              <a:srgbClr val="111827"/>
            </a:solidFill>
            <a:effectLst/>
            <a:uLnTx/>
            <a:uFillTx/>
            <a:latin typeface="Calibri"/>
          </a:endParaRPr>
        </a:p>
      </xdr:txBody>
    </xdr:sp>
    <xdr:clientData/>
  </xdr:twoCellAnchor>
  <xdr:twoCellAnchor>
    <xdr:from>
      <xdr:col>0</xdr:col>
      <xdr:colOff>447675</xdr:colOff>
      <xdr:row>22</xdr:row>
      <xdr:rowOff>134471</xdr:rowOff>
    </xdr:from>
    <xdr:to>
      <xdr:col>1</xdr:col>
      <xdr:colOff>1019175</xdr:colOff>
      <xdr:row>37</xdr:row>
      <xdr:rowOff>175559</xdr:rowOff>
    </xdr:to>
    <xdr:sp macro="" textlink="">
      <xdr:nvSpPr>
        <xdr:cNvPr id="47" name="Swimlane Labor Label">
          <a:extLst>
            <a:ext uri="{FF2B5EF4-FFF2-40B4-BE49-F238E27FC236}">
              <a16:creationId xmlns:a16="http://schemas.microsoft.com/office/drawing/2014/main" id="{5352BF90-F9A7-4940-8430-F208ABC1EE3F}"/>
            </a:ext>
          </a:extLst>
        </xdr:cNvPr>
        <xdr:cNvSpPr/>
      </xdr:nvSpPr>
      <xdr:spPr>
        <a:xfrm>
          <a:off x="444500" y="4191000"/>
          <a:ext cx="1524000" cy="2733675"/>
        </a:xfrm>
        <a:prstGeom prst="rect">
          <a:avLst/>
        </a:prstGeom>
        <a:solidFill>
          <a:srgbClr val="1E3A8A"/>
        </a:solidFill>
        <a:ln w="25400" cap="flat" cmpd="sng" algn="ctr">
          <a:solidFill>
            <a:srgbClr val="1E3A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400" b="1" i="0" u="none" strike="noStrike" kern="0" cap="none" spc="0" normalizeH="0" baseline="0" noProof="0">
              <a:ln>
                <a:noFill/>
              </a:ln>
              <a:solidFill>
                <a:srgbClr val="FFFFFF"/>
              </a:solidFill>
              <a:effectLst/>
              <a:uLnTx/>
              <a:uFillTx/>
              <a:latin typeface="Calibri"/>
            </a:rPr>
            <a:t>Labor</a:t>
          </a:r>
        </a:p>
      </xdr:txBody>
    </xdr:sp>
    <xdr:clientData/>
  </xdr:twoCellAnchor>
  <xdr:twoCellAnchor>
    <xdr:from>
      <xdr:col>0</xdr:col>
      <xdr:colOff>447675</xdr:colOff>
      <xdr:row>38</xdr:row>
      <xdr:rowOff>59765</xdr:rowOff>
    </xdr:from>
    <xdr:to>
      <xdr:col>17</xdr:col>
      <xdr:colOff>8031</xdr:colOff>
      <xdr:row>47</xdr:row>
      <xdr:rowOff>160618</xdr:rowOff>
    </xdr:to>
    <xdr:sp macro="" textlink="">
      <xdr:nvSpPr>
        <xdr:cNvPr id="48" name="Swimlane Material Background">
          <a:extLst>
            <a:ext uri="{FF2B5EF4-FFF2-40B4-BE49-F238E27FC236}">
              <a16:creationId xmlns:a16="http://schemas.microsoft.com/office/drawing/2014/main" id="{CF9F0928-5425-417F-8D7F-F28A3431047B}"/>
            </a:ext>
          </a:extLst>
        </xdr:cNvPr>
        <xdr:cNvSpPr/>
      </xdr:nvSpPr>
      <xdr:spPr>
        <a:xfrm>
          <a:off x="444500" y="6985000"/>
          <a:ext cx="19177000" cy="1717675"/>
        </a:xfrm>
        <a:prstGeom prst="rect">
          <a:avLst/>
        </a:prstGeom>
        <a:solidFill>
          <a:srgbClr val="FFF7ED"/>
        </a:solidFill>
        <a:ln w="25400" cap="flat" cmpd="sng" algn="ctr">
          <a:solidFill>
            <a:srgbClr val="CBD5E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nb-NO" sz="1000" b="0" i="0" u="none" strike="noStrike" kern="0" cap="none" spc="0" normalizeH="0" baseline="0" noProof="0">
            <a:ln>
              <a:noFill/>
            </a:ln>
            <a:solidFill>
              <a:srgbClr val="111827"/>
            </a:solidFill>
            <a:effectLst/>
            <a:uLnTx/>
            <a:uFillTx/>
            <a:latin typeface="Calibri"/>
          </a:endParaRPr>
        </a:p>
      </xdr:txBody>
    </xdr:sp>
    <xdr:clientData/>
  </xdr:twoCellAnchor>
  <xdr:twoCellAnchor>
    <xdr:from>
      <xdr:col>0</xdr:col>
      <xdr:colOff>447675</xdr:colOff>
      <xdr:row>38</xdr:row>
      <xdr:rowOff>59765</xdr:rowOff>
    </xdr:from>
    <xdr:to>
      <xdr:col>1</xdr:col>
      <xdr:colOff>1019175</xdr:colOff>
      <xdr:row>47</xdr:row>
      <xdr:rowOff>160618</xdr:rowOff>
    </xdr:to>
    <xdr:sp macro="" textlink="">
      <xdr:nvSpPr>
        <xdr:cNvPr id="49" name="Swimlane Material Label">
          <a:extLst>
            <a:ext uri="{FF2B5EF4-FFF2-40B4-BE49-F238E27FC236}">
              <a16:creationId xmlns:a16="http://schemas.microsoft.com/office/drawing/2014/main" id="{DB783640-CD3F-4738-AA1B-C33F08E28C7A}"/>
            </a:ext>
          </a:extLst>
        </xdr:cNvPr>
        <xdr:cNvSpPr/>
      </xdr:nvSpPr>
      <xdr:spPr>
        <a:xfrm>
          <a:off x="444500" y="6985000"/>
          <a:ext cx="1524000" cy="1717675"/>
        </a:xfrm>
        <a:prstGeom prst="rect">
          <a:avLst/>
        </a:prstGeom>
        <a:solidFill>
          <a:srgbClr val="1E3A8A"/>
        </a:solidFill>
        <a:ln w="25400" cap="flat" cmpd="sng" algn="ctr">
          <a:solidFill>
            <a:srgbClr val="1E3A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400" b="1" i="0" u="none" strike="noStrike" kern="0" cap="none" spc="0" normalizeH="0" baseline="0" noProof="0">
              <a:ln>
                <a:noFill/>
              </a:ln>
              <a:solidFill>
                <a:srgbClr val="FFFFFF"/>
              </a:solidFill>
              <a:effectLst/>
              <a:uLnTx/>
              <a:uFillTx/>
              <a:latin typeface="Calibri"/>
            </a:rPr>
            <a:t>Material</a:t>
          </a:r>
        </a:p>
      </xdr:txBody>
    </xdr:sp>
    <xdr:clientData/>
  </xdr:twoCellAnchor>
  <xdr:twoCellAnchor>
    <xdr:from>
      <xdr:col>0</xdr:col>
      <xdr:colOff>447675</xdr:colOff>
      <xdr:row>48</xdr:row>
      <xdr:rowOff>44824</xdr:rowOff>
    </xdr:from>
    <xdr:to>
      <xdr:col>17</xdr:col>
      <xdr:colOff>8031</xdr:colOff>
      <xdr:row>57</xdr:row>
      <xdr:rowOff>145676</xdr:rowOff>
    </xdr:to>
    <xdr:sp macro="" textlink="">
      <xdr:nvSpPr>
        <xdr:cNvPr id="50" name="Swimlane Subcontractor Background">
          <a:extLst>
            <a:ext uri="{FF2B5EF4-FFF2-40B4-BE49-F238E27FC236}">
              <a16:creationId xmlns:a16="http://schemas.microsoft.com/office/drawing/2014/main" id="{68FF8A8A-F29C-48F9-BFB7-85FBABCC1FF8}"/>
            </a:ext>
          </a:extLst>
        </xdr:cNvPr>
        <xdr:cNvSpPr/>
      </xdr:nvSpPr>
      <xdr:spPr>
        <a:xfrm>
          <a:off x="444500" y="8766175"/>
          <a:ext cx="19177000" cy="1708150"/>
        </a:xfrm>
        <a:prstGeom prst="rect">
          <a:avLst/>
        </a:prstGeom>
        <a:solidFill>
          <a:srgbClr val="F0F9FF"/>
        </a:solidFill>
        <a:ln w="25400" cap="flat" cmpd="sng" algn="ctr">
          <a:solidFill>
            <a:srgbClr val="CBD5E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nb-NO" sz="1000" b="0" i="0" u="none" strike="noStrike" kern="0" cap="none" spc="0" normalizeH="0" baseline="0" noProof="0">
            <a:ln>
              <a:noFill/>
            </a:ln>
            <a:solidFill>
              <a:srgbClr val="111827"/>
            </a:solidFill>
            <a:effectLst/>
            <a:uLnTx/>
            <a:uFillTx/>
            <a:latin typeface="Calibri"/>
          </a:endParaRPr>
        </a:p>
      </xdr:txBody>
    </xdr:sp>
    <xdr:clientData/>
  </xdr:twoCellAnchor>
  <xdr:twoCellAnchor>
    <xdr:from>
      <xdr:col>0</xdr:col>
      <xdr:colOff>447675</xdr:colOff>
      <xdr:row>48</xdr:row>
      <xdr:rowOff>44824</xdr:rowOff>
    </xdr:from>
    <xdr:to>
      <xdr:col>1</xdr:col>
      <xdr:colOff>1019175</xdr:colOff>
      <xdr:row>57</xdr:row>
      <xdr:rowOff>145676</xdr:rowOff>
    </xdr:to>
    <xdr:sp macro="" textlink="">
      <xdr:nvSpPr>
        <xdr:cNvPr id="51" name="Swimlane Subcontractor Label">
          <a:extLst>
            <a:ext uri="{FF2B5EF4-FFF2-40B4-BE49-F238E27FC236}">
              <a16:creationId xmlns:a16="http://schemas.microsoft.com/office/drawing/2014/main" id="{91D40A1A-BA2D-45AB-8BC9-76C1A0749FFF}"/>
            </a:ext>
          </a:extLst>
        </xdr:cNvPr>
        <xdr:cNvSpPr/>
      </xdr:nvSpPr>
      <xdr:spPr>
        <a:xfrm>
          <a:off x="444500" y="8766175"/>
          <a:ext cx="1524000" cy="1708150"/>
        </a:xfrm>
        <a:prstGeom prst="rect">
          <a:avLst/>
        </a:prstGeom>
        <a:solidFill>
          <a:srgbClr val="1E3A8A"/>
        </a:solidFill>
        <a:ln w="25400" cap="flat" cmpd="sng" algn="ctr">
          <a:solidFill>
            <a:srgbClr val="1E3A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400" b="1" i="0" u="none" strike="noStrike" kern="0" cap="none" spc="0" normalizeH="0" baseline="0" noProof="0">
              <a:ln>
                <a:noFill/>
              </a:ln>
              <a:solidFill>
                <a:srgbClr val="FFFFFF"/>
              </a:solidFill>
              <a:effectLst/>
              <a:uLnTx/>
              <a:uFillTx/>
              <a:latin typeface="Calibri"/>
            </a:rPr>
            <a:t>Subcontractor</a:t>
          </a:r>
        </a:p>
      </xdr:txBody>
    </xdr:sp>
    <xdr:clientData/>
  </xdr:twoCellAnchor>
  <xdr:twoCellAnchor>
    <xdr:from>
      <xdr:col>0</xdr:col>
      <xdr:colOff>447675</xdr:colOff>
      <xdr:row>19</xdr:row>
      <xdr:rowOff>145303</xdr:rowOff>
    </xdr:from>
    <xdr:to>
      <xdr:col>17</xdr:col>
      <xdr:colOff>8031</xdr:colOff>
      <xdr:row>21</xdr:row>
      <xdr:rowOff>167715</xdr:rowOff>
    </xdr:to>
    <xdr:sp macro="" textlink="">
      <xdr:nvSpPr>
        <xdr:cNvPr id="52" name="Swimlane Header">
          <a:extLst>
            <a:ext uri="{FF2B5EF4-FFF2-40B4-BE49-F238E27FC236}">
              <a16:creationId xmlns:a16="http://schemas.microsoft.com/office/drawing/2014/main" id="{FB01DB20-9E15-49B8-8C3A-00074BFA58D3}"/>
            </a:ext>
          </a:extLst>
        </xdr:cNvPr>
        <xdr:cNvSpPr/>
      </xdr:nvSpPr>
      <xdr:spPr>
        <a:xfrm>
          <a:off x="444500" y="3660775"/>
          <a:ext cx="19177000" cy="381000"/>
        </a:xfrm>
        <a:prstGeom prst="rect">
          <a:avLst/>
        </a:prstGeom>
        <a:solidFill>
          <a:srgbClr val="0F172A"/>
        </a:solidFill>
        <a:ln w="25400" cap="flat" cmpd="sng" algn="ctr">
          <a:solidFill>
            <a:srgbClr val="0F172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400" b="1" i="0" u="none" strike="noStrike" kern="0" cap="none" spc="0" normalizeH="0" baseline="0" noProof="0">
              <a:ln>
                <a:noFill/>
              </a:ln>
              <a:solidFill>
                <a:srgbClr val="FFFFFF"/>
              </a:solidFill>
              <a:effectLst/>
              <a:uLnTx/>
              <a:uFillTx/>
              <a:latin typeface="Calibri"/>
            </a:rPr>
            <a:t>Task-type swimlane PERT network</a:t>
          </a:r>
        </a:p>
      </xdr:txBody>
    </xdr:sp>
    <xdr:clientData/>
  </xdr:twoCellAnchor>
  <xdr:twoCellAnchor>
    <xdr:from>
      <xdr:col>1</xdr:col>
      <xdr:colOff>800100</xdr:colOff>
      <xdr:row>25</xdr:row>
      <xdr:rowOff>174438</xdr:rowOff>
    </xdr:from>
    <xdr:to>
      <xdr:col>1</xdr:col>
      <xdr:colOff>1270000</xdr:colOff>
      <xdr:row>42</xdr:row>
      <xdr:rowOff>72838</xdr:rowOff>
    </xdr:to>
    <xdr:cxnSp macro="">
      <xdr:nvCxnSpPr>
        <xdr:cNvPr id="53" name="Swimlane Link 01 START to WBS-01">
          <a:extLst>
            <a:ext uri="{FF2B5EF4-FFF2-40B4-BE49-F238E27FC236}">
              <a16:creationId xmlns:a16="http://schemas.microsoft.com/office/drawing/2014/main" id="{CC94C73B-E44C-4369-9657-788F6339E1BE}"/>
            </a:ext>
          </a:extLst>
        </xdr:cNvPr>
        <xdr:cNvCxnSpPr/>
      </xdr:nvCxnSpPr>
      <xdr:spPr>
        <a:xfrm flipV="1">
          <a:off x="1752600" y="4768850"/>
          <a:ext cx="466725" cy="2943225"/>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800100</xdr:colOff>
      <xdr:row>30</xdr:row>
      <xdr:rowOff>103468</xdr:rowOff>
    </xdr:from>
    <xdr:to>
      <xdr:col>1</xdr:col>
      <xdr:colOff>1270000</xdr:colOff>
      <xdr:row>42</xdr:row>
      <xdr:rowOff>72838</xdr:rowOff>
    </xdr:to>
    <xdr:cxnSp macro="">
      <xdr:nvCxnSpPr>
        <xdr:cNvPr id="54" name="Swimlane Link 02 START to WBS-02">
          <a:extLst>
            <a:ext uri="{FF2B5EF4-FFF2-40B4-BE49-F238E27FC236}">
              <a16:creationId xmlns:a16="http://schemas.microsoft.com/office/drawing/2014/main" id="{7D24CEFB-4B09-4251-8443-4B58C3CDA8C6}"/>
            </a:ext>
          </a:extLst>
        </xdr:cNvPr>
        <xdr:cNvCxnSpPr/>
      </xdr:nvCxnSpPr>
      <xdr:spPr>
        <a:xfrm flipV="1">
          <a:off x="1752600" y="5597525"/>
          <a:ext cx="466725" cy="211455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800100</xdr:colOff>
      <xdr:row>35</xdr:row>
      <xdr:rowOff>32497</xdr:rowOff>
    </xdr:from>
    <xdr:to>
      <xdr:col>1</xdr:col>
      <xdr:colOff>1270000</xdr:colOff>
      <xdr:row>42</xdr:row>
      <xdr:rowOff>72838</xdr:rowOff>
    </xdr:to>
    <xdr:cxnSp macro="">
      <xdr:nvCxnSpPr>
        <xdr:cNvPr id="55" name="Swimlane Link 03 START to WBS-03">
          <a:extLst>
            <a:ext uri="{FF2B5EF4-FFF2-40B4-BE49-F238E27FC236}">
              <a16:creationId xmlns:a16="http://schemas.microsoft.com/office/drawing/2014/main" id="{EAD215F0-3901-4415-96EA-88A0432A2C82}"/>
            </a:ext>
          </a:extLst>
        </xdr:cNvPr>
        <xdr:cNvCxnSpPr/>
      </xdr:nvCxnSpPr>
      <xdr:spPr>
        <a:xfrm flipV="1">
          <a:off x="1752600" y="6416675"/>
          <a:ext cx="466725" cy="129540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758265</xdr:colOff>
      <xdr:row>30</xdr:row>
      <xdr:rowOff>103468</xdr:rowOff>
    </xdr:from>
    <xdr:to>
      <xdr:col>2</xdr:col>
      <xdr:colOff>1139265</xdr:colOff>
      <xdr:row>41</xdr:row>
      <xdr:rowOff>99732</xdr:rowOff>
    </xdr:to>
    <xdr:cxnSp macro="">
      <xdr:nvCxnSpPr>
        <xdr:cNvPr id="56" name="Swimlane Link 04 WBS-02 to WBS-04">
          <a:extLst>
            <a:ext uri="{FF2B5EF4-FFF2-40B4-BE49-F238E27FC236}">
              <a16:creationId xmlns:a16="http://schemas.microsoft.com/office/drawing/2014/main" id="{4ACB5B2F-CA7B-4FE9-BD7D-EF2A5AC91B7F}"/>
            </a:ext>
          </a:extLst>
        </xdr:cNvPr>
        <xdr:cNvCxnSpPr/>
      </xdr:nvCxnSpPr>
      <xdr:spPr>
        <a:xfrm>
          <a:off x="4060825" y="5597525"/>
          <a:ext cx="381000" cy="196850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758265</xdr:colOff>
      <xdr:row>35</xdr:row>
      <xdr:rowOff>32497</xdr:rowOff>
    </xdr:from>
    <xdr:to>
      <xdr:col>2</xdr:col>
      <xdr:colOff>1139265</xdr:colOff>
      <xdr:row>41</xdr:row>
      <xdr:rowOff>99732</xdr:rowOff>
    </xdr:to>
    <xdr:cxnSp macro="">
      <xdr:nvCxnSpPr>
        <xdr:cNvPr id="57" name="Swimlane Link 05 WBS-03 to WBS-04">
          <a:extLst>
            <a:ext uri="{FF2B5EF4-FFF2-40B4-BE49-F238E27FC236}">
              <a16:creationId xmlns:a16="http://schemas.microsoft.com/office/drawing/2014/main" id="{8979DC18-096D-4B0A-A040-46731256D71B}"/>
            </a:ext>
          </a:extLst>
        </xdr:cNvPr>
        <xdr:cNvCxnSpPr/>
      </xdr:nvCxnSpPr>
      <xdr:spPr>
        <a:xfrm>
          <a:off x="4060825" y="6416675"/>
          <a:ext cx="381000" cy="114935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758265</xdr:colOff>
      <xdr:row>30</xdr:row>
      <xdr:rowOff>103468</xdr:rowOff>
    </xdr:from>
    <xdr:to>
      <xdr:col>2</xdr:col>
      <xdr:colOff>1139265</xdr:colOff>
      <xdr:row>30</xdr:row>
      <xdr:rowOff>103468</xdr:rowOff>
    </xdr:to>
    <xdr:cxnSp macro="">
      <xdr:nvCxnSpPr>
        <xdr:cNvPr id="58" name="Swimlane Link 06 WBS-02 to WBS-05">
          <a:extLst>
            <a:ext uri="{FF2B5EF4-FFF2-40B4-BE49-F238E27FC236}">
              <a16:creationId xmlns:a16="http://schemas.microsoft.com/office/drawing/2014/main" id="{5BC533A4-EF19-44ED-8A45-0662190F91DF}"/>
            </a:ext>
          </a:extLst>
        </xdr:cNvPr>
        <xdr:cNvCxnSpPr/>
      </xdr:nvCxnSpPr>
      <xdr:spPr>
        <a:xfrm>
          <a:off x="4060825" y="5597525"/>
          <a:ext cx="381000" cy="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758265</xdr:colOff>
      <xdr:row>30</xdr:row>
      <xdr:rowOff>103468</xdr:rowOff>
    </xdr:from>
    <xdr:to>
      <xdr:col>2</xdr:col>
      <xdr:colOff>1139265</xdr:colOff>
      <xdr:row>35</xdr:row>
      <xdr:rowOff>32497</xdr:rowOff>
    </xdr:to>
    <xdr:cxnSp macro="">
      <xdr:nvCxnSpPr>
        <xdr:cNvPr id="59" name="Swimlane Link 07 WBS-03 to WBS-05">
          <a:extLst>
            <a:ext uri="{FF2B5EF4-FFF2-40B4-BE49-F238E27FC236}">
              <a16:creationId xmlns:a16="http://schemas.microsoft.com/office/drawing/2014/main" id="{E200D2D6-D5E1-4F63-8F4C-9390C39ADD5C}"/>
            </a:ext>
          </a:extLst>
        </xdr:cNvPr>
        <xdr:cNvCxnSpPr/>
      </xdr:nvCxnSpPr>
      <xdr:spPr>
        <a:xfrm flipV="1">
          <a:off x="4060825" y="5597525"/>
          <a:ext cx="381000" cy="81915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560294</xdr:colOff>
      <xdr:row>30</xdr:row>
      <xdr:rowOff>103468</xdr:rowOff>
    </xdr:from>
    <xdr:to>
      <xdr:col>4</xdr:col>
      <xdr:colOff>941294</xdr:colOff>
      <xdr:row>41</xdr:row>
      <xdr:rowOff>99732</xdr:rowOff>
    </xdr:to>
    <xdr:cxnSp macro="">
      <xdr:nvCxnSpPr>
        <xdr:cNvPr id="60" name="Swimlane Link 08 WBS-04 to WBS-06">
          <a:extLst>
            <a:ext uri="{FF2B5EF4-FFF2-40B4-BE49-F238E27FC236}">
              <a16:creationId xmlns:a16="http://schemas.microsoft.com/office/drawing/2014/main" id="{39A5F9F6-AE57-46F9-B2CF-15652C419A57}"/>
            </a:ext>
          </a:extLst>
        </xdr:cNvPr>
        <xdr:cNvCxnSpPr/>
      </xdr:nvCxnSpPr>
      <xdr:spPr>
        <a:xfrm flipV="1">
          <a:off x="6289675" y="5597525"/>
          <a:ext cx="381000" cy="196850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560294</xdr:colOff>
      <xdr:row>30</xdr:row>
      <xdr:rowOff>103468</xdr:rowOff>
    </xdr:from>
    <xdr:to>
      <xdr:col>4</xdr:col>
      <xdr:colOff>941294</xdr:colOff>
      <xdr:row>30</xdr:row>
      <xdr:rowOff>103468</xdr:rowOff>
    </xdr:to>
    <xdr:cxnSp macro="">
      <xdr:nvCxnSpPr>
        <xdr:cNvPr id="61" name="Swimlane Link 09 WBS-05 to WBS-06">
          <a:extLst>
            <a:ext uri="{FF2B5EF4-FFF2-40B4-BE49-F238E27FC236}">
              <a16:creationId xmlns:a16="http://schemas.microsoft.com/office/drawing/2014/main" id="{6DE45528-3686-4D7D-AA59-ACA699D36A17}"/>
            </a:ext>
          </a:extLst>
        </xdr:cNvPr>
        <xdr:cNvCxnSpPr/>
      </xdr:nvCxnSpPr>
      <xdr:spPr>
        <a:xfrm>
          <a:off x="6289675" y="5597525"/>
          <a:ext cx="381000" cy="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362324</xdr:colOff>
      <xdr:row>30</xdr:row>
      <xdr:rowOff>103468</xdr:rowOff>
    </xdr:from>
    <xdr:to>
      <xdr:col>6</xdr:col>
      <xdr:colOff>743324</xdr:colOff>
      <xdr:row>51</xdr:row>
      <xdr:rowOff>84791</xdr:rowOff>
    </xdr:to>
    <xdr:cxnSp macro="">
      <xdr:nvCxnSpPr>
        <xdr:cNvPr id="62" name="Swimlane Link 10 WBS-06 to WBS-07">
          <a:extLst>
            <a:ext uri="{FF2B5EF4-FFF2-40B4-BE49-F238E27FC236}">
              <a16:creationId xmlns:a16="http://schemas.microsoft.com/office/drawing/2014/main" id="{11793369-B28B-4F3E-AC03-B3A5D826B887}"/>
            </a:ext>
          </a:extLst>
        </xdr:cNvPr>
        <xdr:cNvCxnSpPr/>
      </xdr:nvCxnSpPr>
      <xdr:spPr>
        <a:xfrm>
          <a:off x="8509000" y="5597525"/>
          <a:ext cx="381000" cy="374650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362324</xdr:colOff>
      <xdr:row>30</xdr:row>
      <xdr:rowOff>103468</xdr:rowOff>
    </xdr:from>
    <xdr:to>
      <xdr:col>6</xdr:col>
      <xdr:colOff>743324</xdr:colOff>
      <xdr:row>55</xdr:row>
      <xdr:rowOff>129615</xdr:rowOff>
    </xdr:to>
    <xdr:cxnSp macro="">
      <xdr:nvCxnSpPr>
        <xdr:cNvPr id="63" name="Swimlane Link 11 WBS-06 to WBS-08">
          <a:extLst>
            <a:ext uri="{FF2B5EF4-FFF2-40B4-BE49-F238E27FC236}">
              <a16:creationId xmlns:a16="http://schemas.microsoft.com/office/drawing/2014/main" id="{78DCFF16-FDF1-4061-A2E2-434A7C92C03B}"/>
            </a:ext>
          </a:extLst>
        </xdr:cNvPr>
        <xdr:cNvCxnSpPr/>
      </xdr:nvCxnSpPr>
      <xdr:spPr>
        <a:xfrm>
          <a:off x="8509000" y="5597525"/>
          <a:ext cx="381000" cy="450215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164353</xdr:colOff>
      <xdr:row>41</xdr:row>
      <xdr:rowOff>99732</xdr:rowOff>
    </xdr:from>
    <xdr:to>
      <xdr:col>8</xdr:col>
      <xdr:colOff>545353</xdr:colOff>
      <xdr:row>51</xdr:row>
      <xdr:rowOff>84791</xdr:rowOff>
    </xdr:to>
    <xdr:cxnSp macro="">
      <xdr:nvCxnSpPr>
        <xdr:cNvPr id="64" name="Swimlane Link 12 WBS-07 to WBS-09">
          <a:extLst>
            <a:ext uri="{FF2B5EF4-FFF2-40B4-BE49-F238E27FC236}">
              <a16:creationId xmlns:a16="http://schemas.microsoft.com/office/drawing/2014/main" id="{1B63BAEB-8484-4DE8-B35F-019E238FFBF5}"/>
            </a:ext>
          </a:extLst>
        </xdr:cNvPr>
        <xdr:cNvCxnSpPr/>
      </xdr:nvCxnSpPr>
      <xdr:spPr>
        <a:xfrm flipV="1">
          <a:off x="10728325" y="7566025"/>
          <a:ext cx="381000" cy="177800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164353</xdr:colOff>
      <xdr:row>41</xdr:row>
      <xdr:rowOff>99732</xdr:rowOff>
    </xdr:from>
    <xdr:to>
      <xdr:col>8</xdr:col>
      <xdr:colOff>545353</xdr:colOff>
      <xdr:row>55</xdr:row>
      <xdr:rowOff>129615</xdr:rowOff>
    </xdr:to>
    <xdr:cxnSp macro="">
      <xdr:nvCxnSpPr>
        <xdr:cNvPr id="65" name="Swimlane Link 13 WBS-08 to WBS-09">
          <a:extLst>
            <a:ext uri="{FF2B5EF4-FFF2-40B4-BE49-F238E27FC236}">
              <a16:creationId xmlns:a16="http://schemas.microsoft.com/office/drawing/2014/main" id="{2EA02F5B-BE24-417C-AC1D-FDCB2F5EC663}"/>
            </a:ext>
          </a:extLst>
        </xdr:cNvPr>
        <xdr:cNvCxnSpPr/>
      </xdr:nvCxnSpPr>
      <xdr:spPr>
        <a:xfrm flipV="1">
          <a:off x="10728325" y="7566025"/>
          <a:ext cx="381000" cy="253365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164353</xdr:colOff>
      <xdr:row>45</xdr:row>
      <xdr:rowOff>144556</xdr:rowOff>
    </xdr:from>
    <xdr:to>
      <xdr:col>8</xdr:col>
      <xdr:colOff>545353</xdr:colOff>
      <xdr:row>51</xdr:row>
      <xdr:rowOff>84791</xdr:rowOff>
    </xdr:to>
    <xdr:cxnSp macro="">
      <xdr:nvCxnSpPr>
        <xdr:cNvPr id="66" name="Swimlane Link 14 WBS-07 to WBS-10">
          <a:extLst>
            <a:ext uri="{FF2B5EF4-FFF2-40B4-BE49-F238E27FC236}">
              <a16:creationId xmlns:a16="http://schemas.microsoft.com/office/drawing/2014/main" id="{B1FE432B-EA59-4C8E-A3C2-EC372B06D176}"/>
            </a:ext>
          </a:extLst>
        </xdr:cNvPr>
        <xdr:cNvCxnSpPr/>
      </xdr:nvCxnSpPr>
      <xdr:spPr>
        <a:xfrm flipV="1">
          <a:off x="10728325" y="8321675"/>
          <a:ext cx="381000" cy="102235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164353</xdr:colOff>
      <xdr:row>45</xdr:row>
      <xdr:rowOff>144556</xdr:rowOff>
    </xdr:from>
    <xdr:to>
      <xdr:col>8</xdr:col>
      <xdr:colOff>545353</xdr:colOff>
      <xdr:row>55</xdr:row>
      <xdr:rowOff>129615</xdr:rowOff>
    </xdr:to>
    <xdr:cxnSp macro="">
      <xdr:nvCxnSpPr>
        <xdr:cNvPr id="67" name="Swimlane Link 15 WBS-08 to WBS-10">
          <a:extLst>
            <a:ext uri="{FF2B5EF4-FFF2-40B4-BE49-F238E27FC236}">
              <a16:creationId xmlns:a16="http://schemas.microsoft.com/office/drawing/2014/main" id="{989D2A0B-9E40-44CF-9F02-C5644F243FBA}"/>
            </a:ext>
          </a:extLst>
        </xdr:cNvPr>
        <xdr:cNvCxnSpPr/>
      </xdr:nvCxnSpPr>
      <xdr:spPr>
        <a:xfrm flipV="1">
          <a:off x="10728325" y="8321675"/>
          <a:ext cx="381000" cy="1778000"/>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1176618</xdr:colOff>
      <xdr:row>25</xdr:row>
      <xdr:rowOff>174438</xdr:rowOff>
    </xdr:from>
    <xdr:to>
      <xdr:col>10</xdr:col>
      <xdr:colOff>347382</xdr:colOff>
      <xdr:row>41</xdr:row>
      <xdr:rowOff>99732</xdr:rowOff>
    </xdr:to>
    <xdr:cxnSp macro="">
      <xdr:nvCxnSpPr>
        <xdr:cNvPr id="68" name="Swimlane Link 16 WBS-09 to WBS-11">
          <a:extLst>
            <a:ext uri="{FF2B5EF4-FFF2-40B4-BE49-F238E27FC236}">
              <a16:creationId xmlns:a16="http://schemas.microsoft.com/office/drawing/2014/main" id="{6EEEAA14-7EF8-413F-B7F4-8D9CDCD8313A}"/>
            </a:ext>
          </a:extLst>
        </xdr:cNvPr>
        <xdr:cNvCxnSpPr/>
      </xdr:nvCxnSpPr>
      <xdr:spPr>
        <a:xfrm flipV="1">
          <a:off x="12950825" y="4768850"/>
          <a:ext cx="387350" cy="2797175"/>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1176618</xdr:colOff>
      <xdr:row>25</xdr:row>
      <xdr:rowOff>174438</xdr:rowOff>
    </xdr:from>
    <xdr:to>
      <xdr:col>10</xdr:col>
      <xdr:colOff>347382</xdr:colOff>
      <xdr:row>45</xdr:row>
      <xdr:rowOff>144556</xdr:rowOff>
    </xdr:to>
    <xdr:cxnSp macro="">
      <xdr:nvCxnSpPr>
        <xdr:cNvPr id="69" name="Swimlane Link 17 WBS-10 to WBS-11">
          <a:extLst>
            <a:ext uri="{FF2B5EF4-FFF2-40B4-BE49-F238E27FC236}">
              <a16:creationId xmlns:a16="http://schemas.microsoft.com/office/drawing/2014/main" id="{2572A757-BAFF-4D0D-9FD8-1731510B3853}"/>
            </a:ext>
          </a:extLst>
        </xdr:cNvPr>
        <xdr:cNvCxnSpPr/>
      </xdr:nvCxnSpPr>
      <xdr:spPr>
        <a:xfrm flipV="1">
          <a:off x="12950825" y="4768850"/>
          <a:ext cx="387350" cy="3552825"/>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183029</xdr:colOff>
      <xdr:row>25</xdr:row>
      <xdr:rowOff>174438</xdr:rowOff>
    </xdr:from>
    <xdr:to>
      <xdr:col>12</xdr:col>
      <xdr:colOff>564029</xdr:colOff>
      <xdr:row>30</xdr:row>
      <xdr:rowOff>103468</xdr:rowOff>
    </xdr:to>
    <xdr:cxnSp macro="">
      <xdr:nvCxnSpPr>
        <xdr:cNvPr id="70" name="Swimlane Link 18 WBS-11 to WBS-12">
          <a:extLst>
            <a:ext uri="{FF2B5EF4-FFF2-40B4-BE49-F238E27FC236}">
              <a16:creationId xmlns:a16="http://schemas.microsoft.com/office/drawing/2014/main" id="{13F37F6E-AB01-417A-99B5-E104C70BA19D}"/>
            </a:ext>
          </a:extLst>
        </xdr:cNvPr>
        <xdr:cNvCxnSpPr/>
      </xdr:nvCxnSpPr>
      <xdr:spPr>
        <a:xfrm>
          <a:off x="15173325" y="4768850"/>
          <a:ext cx="381000" cy="828675"/>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1004794</xdr:colOff>
      <xdr:row>30</xdr:row>
      <xdr:rowOff>39968</xdr:rowOff>
    </xdr:from>
    <xdr:to>
      <xdr:col>14</xdr:col>
      <xdr:colOff>239059</xdr:colOff>
      <xdr:row>30</xdr:row>
      <xdr:rowOff>103468</xdr:rowOff>
    </xdr:to>
    <xdr:cxnSp macro="">
      <xdr:nvCxnSpPr>
        <xdr:cNvPr id="71" name="Swimlane Link 19 WBS-12 to FINISH">
          <a:extLst>
            <a:ext uri="{FF2B5EF4-FFF2-40B4-BE49-F238E27FC236}">
              <a16:creationId xmlns:a16="http://schemas.microsoft.com/office/drawing/2014/main" id="{D762FAA1-4956-4578-9771-246A12C07447}"/>
            </a:ext>
          </a:extLst>
        </xdr:cNvPr>
        <xdr:cNvCxnSpPr/>
      </xdr:nvCxnSpPr>
      <xdr:spPr>
        <a:xfrm flipV="1">
          <a:off x="17395825" y="5530850"/>
          <a:ext cx="635000" cy="66675"/>
        </a:xfrm>
        <a:prstGeom prst="straightConnector1">
          <a:avLst/>
        </a:prstGeom>
        <a:noFill/>
        <a:ln w="9525" cap="flat" cmpd="sng" algn="ctr">
          <a:solidFill>
            <a:srgbClr val="64748B"/>
          </a:solidFill>
          <a:prstDash val="solid"/>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676275</xdr:colOff>
      <xdr:row>40</xdr:row>
      <xdr:rowOff>145676</xdr:rowOff>
    </xdr:from>
    <xdr:to>
      <xdr:col>1</xdr:col>
      <xdr:colOff>800100</xdr:colOff>
      <xdr:row>44</xdr:row>
      <xdr:rowOff>0</xdr:rowOff>
    </xdr:to>
    <xdr:sp macro="" textlink="">
      <xdr:nvSpPr>
        <xdr:cNvPr id="72" name="Swimlane Node - START">
          <a:extLst>
            <a:ext uri="{FF2B5EF4-FFF2-40B4-BE49-F238E27FC236}">
              <a16:creationId xmlns:a16="http://schemas.microsoft.com/office/drawing/2014/main" id="{8D7CAB73-A836-40C4-BEC3-00D518E082FA}"/>
            </a:ext>
          </a:extLst>
        </xdr:cNvPr>
        <xdr:cNvSpPr/>
      </xdr:nvSpPr>
      <xdr:spPr>
        <a:xfrm>
          <a:off x="673100" y="7426325"/>
          <a:ext cx="1079500" cy="574675"/>
        </a:xfrm>
        <a:prstGeom prst="rect">
          <a:avLst/>
        </a:prstGeom>
        <a:solidFill>
          <a:srgbClr val="64748B"/>
        </a:solidFill>
        <a:ln w="25400" cap="flat" cmpd="sng" algn="ctr">
          <a:solidFill>
            <a:srgbClr val="334155"/>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100" b="1" i="0" u="none" strike="noStrike" kern="0" cap="none" spc="0" normalizeH="0" baseline="0" noProof="0">
              <a:ln>
                <a:noFill/>
              </a:ln>
              <a:solidFill>
                <a:srgbClr val="FFFFFF"/>
              </a:solidFill>
              <a:effectLst/>
              <a:uLnTx/>
              <a:uFillTx/>
              <a:latin typeface="Calibri"/>
            </a:rPr>
            <a:t>START</a:t>
          </a:r>
        </a:p>
      </xdr:txBody>
    </xdr:sp>
    <xdr:clientData/>
  </xdr:twoCellAnchor>
  <xdr:twoCellAnchor>
    <xdr:from>
      <xdr:col>14</xdr:col>
      <xdr:colOff>235884</xdr:colOff>
      <xdr:row>28</xdr:row>
      <xdr:rowOff>112806</xdr:rowOff>
    </xdr:from>
    <xdr:to>
      <xdr:col>16</xdr:col>
      <xdr:colOff>105149</xdr:colOff>
      <xdr:row>31</xdr:row>
      <xdr:rowOff>146424</xdr:rowOff>
    </xdr:to>
    <xdr:sp macro="" textlink="">
      <xdr:nvSpPr>
        <xdr:cNvPr id="73" name="Swimlane Node - FINISH">
          <a:extLst>
            <a:ext uri="{FF2B5EF4-FFF2-40B4-BE49-F238E27FC236}">
              <a16:creationId xmlns:a16="http://schemas.microsoft.com/office/drawing/2014/main" id="{BA888B26-95F7-4BDD-B160-D0F46E81B2ED}"/>
            </a:ext>
          </a:extLst>
        </xdr:cNvPr>
        <xdr:cNvSpPr/>
      </xdr:nvSpPr>
      <xdr:spPr>
        <a:xfrm>
          <a:off x="18034000" y="5245100"/>
          <a:ext cx="1073150" cy="568325"/>
        </a:xfrm>
        <a:prstGeom prst="rect">
          <a:avLst/>
        </a:prstGeom>
        <a:solidFill>
          <a:srgbClr val="64748B"/>
        </a:solidFill>
        <a:ln w="25400" cap="flat" cmpd="sng" algn="ctr">
          <a:solidFill>
            <a:srgbClr val="334155"/>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100" b="1" i="0" u="none" strike="noStrike" kern="0" cap="none" spc="0" normalizeH="0" baseline="0" noProof="0">
              <a:ln>
                <a:noFill/>
              </a:ln>
              <a:solidFill>
                <a:srgbClr val="FFFFFF"/>
              </a:solidFill>
              <a:effectLst/>
              <a:uLnTx/>
              <a:uFillTx/>
              <a:latin typeface="Calibri"/>
            </a:rPr>
            <a:t>FINISH</a:t>
          </a:r>
        </a:p>
      </xdr:txBody>
    </xdr:sp>
    <xdr:clientData/>
  </xdr:twoCellAnchor>
  <xdr:twoCellAnchor>
    <xdr:from>
      <xdr:col>1</xdr:col>
      <xdr:colOff>1266825</xdr:colOff>
      <xdr:row>24</xdr:row>
      <xdr:rowOff>10832</xdr:rowOff>
    </xdr:from>
    <xdr:to>
      <xdr:col>2</xdr:col>
      <xdr:colOff>755090</xdr:colOff>
      <xdr:row>27</xdr:row>
      <xdr:rowOff>171450</xdr:rowOff>
    </xdr:to>
    <xdr:sp macro="" textlink="">
      <xdr:nvSpPr>
        <xdr:cNvPr id="74" name="Swimlane Node - WBS-01">
          <a:extLst>
            <a:ext uri="{FF2B5EF4-FFF2-40B4-BE49-F238E27FC236}">
              <a16:creationId xmlns:a16="http://schemas.microsoft.com/office/drawing/2014/main" id="{69EA0362-AF39-41C4-8843-C5FD44F15FB5}"/>
            </a:ext>
          </a:extLst>
        </xdr:cNvPr>
        <xdr:cNvSpPr/>
      </xdr:nvSpPr>
      <xdr:spPr>
        <a:xfrm>
          <a:off x="2216150" y="4422775"/>
          <a:ext cx="1841500" cy="701675"/>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WBS-01
Project Management
50% | SPI 0.67 | CPI 0.94</a:t>
          </a:r>
        </a:p>
      </xdr:txBody>
    </xdr:sp>
    <xdr:clientData/>
  </xdr:twoCellAnchor>
  <xdr:twoCellAnchor>
    <xdr:from>
      <xdr:col>1</xdr:col>
      <xdr:colOff>1266825</xdr:colOff>
      <xdr:row>28</xdr:row>
      <xdr:rowOff>112806</xdr:rowOff>
    </xdr:from>
    <xdr:to>
      <xdr:col>2</xdr:col>
      <xdr:colOff>755090</xdr:colOff>
      <xdr:row>32</xdr:row>
      <xdr:rowOff>94129</xdr:rowOff>
    </xdr:to>
    <xdr:sp macro="" textlink="">
      <xdr:nvSpPr>
        <xdr:cNvPr id="75" name="Swimlane Node - WBS-02">
          <a:extLst>
            <a:ext uri="{FF2B5EF4-FFF2-40B4-BE49-F238E27FC236}">
              <a16:creationId xmlns:a16="http://schemas.microsoft.com/office/drawing/2014/main" id="{5AF04879-E4DB-4C40-9FBF-5E4DD2525662}"/>
            </a:ext>
          </a:extLst>
        </xdr:cNvPr>
        <xdr:cNvSpPr/>
      </xdr:nvSpPr>
      <xdr:spPr>
        <a:xfrm>
          <a:off x="2216150" y="5245100"/>
          <a:ext cx="184150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WBS-02
Site Survey
100% | SPI 1.00 | CPI 0.98</a:t>
          </a:r>
        </a:p>
      </xdr:txBody>
    </xdr:sp>
    <xdr:clientData/>
  </xdr:twoCellAnchor>
  <xdr:twoCellAnchor>
    <xdr:from>
      <xdr:col>1</xdr:col>
      <xdr:colOff>1266825</xdr:colOff>
      <xdr:row>33</xdr:row>
      <xdr:rowOff>48185</xdr:rowOff>
    </xdr:from>
    <xdr:to>
      <xdr:col>2</xdr:col>
      <xdr:colOff>755090</xdr:colOff>
      <xdr:row>37</xdr:row>
      <xdr:rowOff>29509</xdr:rowOff>
    </xdr:to>
    <xdr:sp macro="" textlink="">
      <xdr:nvSpPr>
        <xdr:cNvPr id="76" name="Swimlane Node - WBS-03">
          <a:extLst>
            <a:ext uri="{FF2B5EF4-FFF2-40B4-BE49-F238E27FC236}">
              <a16:creationId xmlns:a16="http://schemas.microsoft.com/office/drawing/2014/main" id="{652FC59A-239E-4B60-A0F4-F05B77254FAE}"/>
            </a:ext>
          </a:extLst>
        </xdr:cNvPr>
        <xdr:cNvSpPr/>
      </xdr:nvSpPr>
      <xdr:spPr>
        <a:xfrm>
          <a:off x="2216150" y="6073775"/>
          <a:ext cx="1841500" cy="698500"/>
        </a:xfrm>
        <a:prstGeom prst="rect">
          <a:avLst/>
        </a:prstGeom>
        <a:solidFill>
          <a:srgbClr val="2E7D32"/>
        </a:solidFill>
        <a:ln w="25400" cap="flat" cmpd="sng" algn="ctr">
          <a:solidFill>
            <a:srgbClr val="14532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WBS-03
Design &amp; Engineering
100% | SPI 1.00 | CPI 1.06</a:t>
          </a:r>
        </a:p>
      </xdr:txBody>
    </xdr:sp>
    <xdr:clientData/>
  </xdr:twoCellAnchor>
  <xdr:twoCellAnchor>
    <xdr:from>
      <xdr:col>2</xdr:col>
      <xdr:colOff>1136090</xdr:colOff>
      <xdr:row>39</xdr:row>
      <xdr:rowOff>102721</xdr:rowOff>
    </xdr:from>
    <xdr:to>
      <xdr:col>4</xdr:col>
      <xdr:colOff>553944</xdr:colOff>
      <xdr:row>43</xdr:row>
      <xdr:rowOff>84044</xdr:rowOff>
    </xdr:to>
    <xdr:sp macro="" textlink="">
      <xdr:nvSpPr>
        <xdr:cNvPr id="77" name="Swimlane Node - WBS-04">
          <a:extLst>
            <a:ext uri="{FF2B5EF4-FFF2-40B4-BE49-F238E27FC236}">
              <a16:creationId xmlns:a16="http://schemas.microsoft.com/office/drawing/2014/main" id="{120985B5-2C46-43A6-A04F-7689B714E7EA}"/>
            </a:ext>
          </a:extLst>
        </xdr:cNvPr>
        <xdr:cNvSpPr/>
      </xdr:nvSpPr>
      <xdr:spPr>
        <a:xfrm>
          <a:off x="4438650" y="7210425"/>
          <a:ext cx="1841500" cy="698500"/>
        </a:xfrm>
        <a:prstGeom prst="rect">
          <a:avLst/>
        </a:prstGeom>
        <a:solidFill>
          <a:srgbClr val="2E7D32"/>
        </a:solidFill>
        <a:ln w="25400" cap="flat" cmpd="sng" algn="ctr">
          <a:solidFill>
            <a:srgbClr val="14532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WBS-04
Procurement
100% | SPI 1.00 | CPI 1.02</a:t>
          </a:r>
        </a:p>
      </xdr:txBody>
    </xdr:sp>
    <xdr:clientData/>
  </xdr:twoCellAnchor>
  <xdr:twoCellAnchor>
    <xdr:from>
      <xdr:col>2</xdr:col>
      <xdr:colOff>1136090</xdr:colOff>
      <xdr:row>28</xdr:row>
      <xdr:rowOff>112806</xdr:rowOff>
    </xdr:from>
    <xdr:to>
      <xdr:col>4</xdr:col>
      <xdr:colOff>553944</xdr:colOff>
      <xdr:row>32</xdr:row>
      <xdr:rowOff>94129</xdr:rowOff>
    </xdr:to>
    <xdr:sp macro="" textlink="">
      <xdr:nvSpPr>
        <xdr:cNvPr id="78" name="Swimlane Node - WBS-05">
          <a:extLst>
            <a:ext uri="{FF2B5EF4-FFF2-40B4-BE49-F238E27FC236}">
              <a16:creationId xmlns:a16="http://schemas.microsoft.com/office/drawing/2014/main" id="{BD5969E6-69CF-4CD7-99D1-0008A064847F}"/>
            </a:ext>
          </a:extLst>
        </xdr:cNvPr>
        <xdr:cNvSpPr/>
      </xdr:nvSpPr>
      <xdr:spPr>
        <a:xfrm>
          <a:off x="4438650" y="5245100"/>
          <a:ext cx="184150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WBS-05
Demolition &amp; Prep
100% | SPI 1.00 | CPI 0.98</a:t>
          </a:r>
        </a:p>
      </xdr:txBody>
    </xdr:sp>
    <xdr:clientData/>
  </xdr:twoCellAnchor>
  <xdr:twoCellAnchor>
    <xdr:from>
      <xdr:col>4</xdr:col>
      <xdr:colOff>944469</xdr:colOff>
      <xdr:row>28</xdr:row>
      <xdr:rowOff>112806</xdr:rowOff>
    </xdr:from>
    <xdr:to>
      <xdr:col>6</xdr:col>
      <xdr:colOff>362324</xdr:colOff>
      <xdr:row>32</xdr:row>
      <xdr:rowOff>94129</xdr:rowOff>
    </xdr:to>
    <xdr:sp macro="" textlink="">
      <xdr:nvSpPr>
        <xdr:cNvPr id="79" name="Swimlane Node - WBS-06">
          <a:extLst>
            <a:ext uri="{FF2B5EF4-FFF2-40B4-BE49-F238E27FC236}">
              <a16:creationId xmlns:a16="http://schemas.microsoft.com/office/drawing/2014/main" id="{546812FA-F7C0-4948-A9EA-4862E32FF114}"/>
            </a:ext>
          </a:extLst>
        </xdr:cNvPr>
        <xdr:cNvSpPr/>
      </xdr:nvSpPr>
      <xdr:spPr>
        <a:xfrm>
          <a:off x="6667500" y="5245100"/>
          <a:ext cx="184150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WBS-06
Electrical Rough-In
70% | SPI 0.70 | CPI 0.69</a:t>
          </a:r>
        </a:p>
      </xdr:txBody>
    </xdr:sp>
    <xdr:clientData/>
  </xdr:twoCellAnchor>
  <xdr:twoCellAnchor>
    <xdr:from>
      <xdr:col>6</xdr:col>
      <xdr:colOff>743324</xdr:colOff>
      <xdr:row>49</xdr:row>
      <xdr:rowOff>94129</xdr:rowOff>
    </xdr:from>
    <xdr:to>
      <xdr:col>8</xdr:col>
      <xdr:colOff>161178</xdr:colOff>
      <xdr:row>53</xdr:row>
      <xdr:rowOff>75453</xdr:rowOff>
    </xdr:to>
    <xdr:sp macro="" textlink="">
      <xdr:nvSpPr>
        <xdr:cNvPr id="80" name="Swimlane Node - WBS-07">
          <a:extLst>
            <a:ext uri="{FF2B5EF4-FFF2-40B4-BE49-F238E27FC236}">
              <a16:creationId xmlns:a16="http://schemas.microsoft.com/office/drawing/2014/main" id="{310797AA-A658-4BA4-AE40-FE0408BA5DE9}"/>
            </a:ext>
          </a:extLst>
        </xdr:cNvPr>
        <xdr:cNvSpPr/>
      </xdr:nvSpPr>
      <xdr:spPr>
        <a:xfrm>
          <a:off x="8890000" y="8991600"/>
          <a:ext cx="184150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WBS-07
HVAC Installation
40% | SPI 0.40 | CPI 0.82</a:t>
          </a:r>
        </a:p>
      </xdr:txBody>
    </xdr:sp>
    <xdr:clientData/>
  </xdr:twoCellAnchor>
  <xdr:twoCellAnchor>
    <xdr:from>
      <xdr:col>6</xdr:col>
      <xdr:colOff>743324</xdr:colOff>
      <xdr:row>53</xdr:row>
      <xdr:rowOff>145303</xdr:rowOff>
    </xdr:from>
    <xdr:to>
      <xdr:col>8</xdr:col>
      <xdr:colOff>161178</xdr:colOff>
      <xdr:row>57</xdr:row>
      <xdr:rowOff>126626</xdr:rowOff>
    </xdr:to>
    <xdr:sp macro="" textlink="">
      <xdr:nvSpPr>
        <xdr:cNvPr id="81" name="Swimlane Node - WBS-08">
          <a:extLst>
            <a:ext uri="{FF2B5EF4-FFF2-40B4-BE49-F238E27FC236}">
              <a16:creationId xmlns:a16="http://schemas.microsoft.com/office/drawing/2014/main" id="{B486148F-49E5-466C-94B6-1B94005D12BB}"/>
            </a:ext>
          </a:extLst>
        </xdr:cNvPr>
        <xdr:cNvSpPr/>
      </xdr:nvSpPr>
      <xdr:spPr>
        <a:xfrm>
          <a:off x="8890000" y="9756775"/>
          <a:ext cx="184150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WBS-08
Partitions &amp; Drywall
25% | SPI 0.25 | CPI 0.98</a:t>
          </a:r>
        </a:p>
      </xdr:txBody>
    </xdr:sp>
    <xdr:clientData/>
  </xdr:twoCellAnchor>
  <xdr:twoCellAnchor>
    <xdr:from>
      <xdr:col>8</xdr:col>
      <xdr:colOff>542178</xdr:colOff>
      <xdr:row>39</xdr:row>
      <xdr:rowOff>102721</xdr:rowOff>
    </xdr:from>
    <xdr:to>
      <xdr:col>9</xdr:col>
      <xdr:colOff>1173443</xdr:colOff>
      <xdr:row>43</xdr:row>
      <xdr:rowOff>84044</xdr:rowOff>
    </xdr:to>
    <xdr:sp macro="" textlink="">
      <xdr:nvSpPr>
        <xdr:cNvPr id="82" name="Swimlane Node - WBS-09">
          <a:extLst>
            <a:ext uri="{FF2B5EF4-FFF2-40B4-BE49-F238E27FC236}">
              <a16:creationId xmlns:a16="http://schemas.microsoft.com/office/drawing/2014/main" id="{4C599A46-F29E-459D-8E56-C4F6B34B8749}"/>
            </a:ext>
          </a:extLst>
        </xdr:cNvPr>
        <xdr:cNvSpPr/>
      </xdr:nvSpPr>
      <xdr:spPr>
        <a:xfrm>
          <a:off x="11112500" y="7210425"/>
          <a:ext cx="183515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WBS-09
Flooring
0% | SPI 0.00 | CPI 1.00</a:t>
          </a:r>
        </a:p>
      </xdr:txBody>
    </xdr:sp>
    <xdr:clientData/>
  </xdr:twoCellAnchor>
  <xdr:twoCellAnchor>
    <xdr:from>
      <xdr:col>8</xdr:col>
      <xdr:colOff>542178</xdr:colOff>
      <xdr:row>43</xdr:row>
      <xdr:rowOff>153894</xdr:rowOff>
    </xdr:from>
    <xdr:to>
      <xdr:col>9</xdr:col>
      <xdr:colOff>1173443</xdr:colOff>
      <xdr:row>47</xdr:row>
      <xdr:rowOff>135218</xdr:rowOff>
    </xdr:to>
    <xdr:sp macro="" textlink="">
      <xdr:nvSpPr>
        <xdr:cNvPr id="83" name="Swimlane Node - WBS-10">
          <a:extLst>
            <a:ext uri="{FF2B5EF4-FFF2-40B4-BE49-F238E27FC236}">
              <a16:creationId xmlns:a16="http://schemas.microsoft.com/office/drawing/2014/main" id="{895E7CA7-0FB7-4D8E-B86C-C564EBF935BF}"/>
            </a:ext>
          </a:extLst>
        </xdr:cNvPr>
        <xdr:cNvSpPr/>
      </xdr:nvSpPr>
      <xdr:spPr>
        <a:xfrm>
          <a:off x="11112500" y="7975600"/>
          <a:ext cx="1835150" cy="6985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WBS-10
Fixtures &amp; Furniture
0% | SPI 0.00 | CPI 1.00</a:t>
          </a:r>
        </a:p>
      </xdr:txBody>
    </xdr:sp>
    <xdr:clientData/>
  </xdr:twoCellAnchor>
  <xdr:twoCellAnchor>
    <xdr:from>
      <xdr:col>10</xdr:col>
      <xdr:colOff>350557</xdr:colOff>
      <xdr:row>24</xdr:row>
      <xdr:rowOff>10832</xdr:rowOff>
    </xdr:from>
    <xdr:to>
      <xdr:col>12</xdr:col>
      <xdr:colOff>189379</xdr:colOff>
      <xdr:row>27</xdr:row>
      <xdr:rowOff>171450</xdr:rowOff>
    </xdr:to>
    <xdr:sp macro="" textlink="">
      <xdr:nvSpPr>
        <xdr:cNvPr id="84" name="Swimlane Node - WBS-11">
          <a:extLst>
            <a:ext uri="{FF2B5EF4-FFF2-40B4-BE49-F238E27FC236}">
              <a16:creationId xmlns:a16="http://schemas.microsoft.com/office/drawing/2014/main" id="{28FD8000-9E63-4CBA-8753-56EE26DA5830}"/>
            </a:ext>
          </a:extLst>
        </xdr:cNvPr>
        <xdr:cNvSpPr/>
      </xdr:nvSpPr>
      <xdr:spPr>
        <a:xfrm>
          <a:off x="13341350" y="4422775"/>
          <a:ext cx="1841500" cy="701675"/>
        </a:xfrm>
        <a:prstGeom prst="rect">
          <a:avLst/>
        </a:prstGeom>
        <a:solidFill>
          <a:srgbClr val="2E7D32"/>
        </a:solidFill>
        <a:ln w="25400" cap="flat" cmpd="sng" algn="ctr">
          <a:solidFill>
            <a:srgbClr val="14532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WBS-11
Testing
0% | SPI 1.00 | CPI 1.00</a:t>
          </a:r>
        </a:p>
      </xdr:txBody>
    </xdr:sp>
    <xdr:clientData/>
  </xdr:twoCellAnchor>
  <xdr:twoCellAnchor>
    <xdr:from>
      <xdr:col>12</xdr:col>
      <xdr:colOff>560854</xdr:colOff>
      <xdr:row>28</xdr:row>
      <xdr:rowOff>112806</xdr:rowOff>
    </xdr:from>
    <xdr:to>
      <xdr:col>13</xdr:col>
      <xdr:colOff>1001619</xdr:colOff>
      <xdr:row>32</xdr:row>
      <xdr:rowOff>94129</xdr:rowOff>
    </xdr:to>
    <xdr:sp macro="" textlink="">
      <xdr:nvSpPr>
        <xdr:cNvPr id="85" name="Swimlane Node - WBS-12">
          <a:extLst>
            <a:ext uri="{FF2B5EF4-FFF2-40B4-BE49-F238E27FC236}">
              <a16:creationId xmlns:a16="http://schemas.microsoft.com/office/drawing/2014/main" id="{254ED217-42CE-4285-A6ED-70C0B613A0F2}"/>
            </a:ext>
          </a:extLst>
        </xdr:cNvPr>
        <xdr:cNvSpPr/>
      </xdr:nvSpPr>
      <xdr:spPr>
        <a:xfrm>
          <a:off x="15557500" y="5245100"/>
          <a:ext cx="1835150" cy="698500"/>
        </a:xfrm>
        <a:prstGeom prst="rect">
          <a:avLst/>
        </a:prstGeom>
        <a:solidFill>
          <a:srgbClr val="2E7D32"/>
        </a:solidFill>
        <a:ln w="25400" cap="flat" cmpd="sng" algn="ctr">
          <a:solidFill>
            <a:srgbClr val="14532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850" b="1" i="0" u="none" strike="noStrike" kern="0" cap="none" spc="0" normalizeH="0" baseline="0" noProof="0">
              <a:ln>
                <a:noFill/>
              </a:ln>
              <a:solidFill>
                <a:srgbClr val="FFFFFF"/>
              </a:solidFill>
              <a:effectLst/>
              <a:uLnTx/>
              <a:uFillTx/>
              <a:latin typeface="Calibri"/>
            </a:rPr>
            <a:t>WBS-12
Handover &amp; Closeout
0% | SPI 1.00 | CPI 1.00</a:t>
          </a:r>
        </a:p>
      </xdr:txBody>
    </xdr:sp>
    <xdr:clientData/>
  </xdr:twoCellAnchor>
  <xdr:twoCellAnchor>
    <xdr:from>
      <xdr:col>0</xdr:col>
      <xdr:colOff>447675</xdr:colOff>
      <xdr:row>59</xdr:row>
      <xdr:rowOff>104588</xdr:rowOff>
    </xdr:from>
    <xdr:to>
      <xdr:col>1</xdr:col>
      <xdr:colOff>2286000</xdr:colOff>
      <xdr:row>61</xdr:row>
      <xdr:rowOff>50800</xdr:rowOff>
    </xdr:to>
    <xdr:sp macro="" textlink="">
      <xdr:nvSpPr>
        <xdr:cNvPr id="86" name="Swimlane Legend Header">
          <a:extLst>
            <a:ext uri="{FF2B5EF4-FFF2-40B4-BE49-F238E27FC236}">
              <a16:creationId xmlns:a16="http://schemas.microsoft.com/office/drawing/2014/main" id="{D78F20DF-342E-4BE1-8E6F-314ABC3333FA}"/>
            </a:ext>
          </a:extLst>
        </xdr:cNvPr>
        <xdr:cNvSpPr/>
      </xdr:nvSpPr>
      <xdr:spPr>
        <a:xfrm>
          <a:off x="444500" y="10798175"/>
          <a:ext cx="2794000" cy="298450"/>
        </a:xfrm>
        <a:prstGeom prst="rect">
          <a:avLst/>
        </a:prstGeom>
        <a:solidFill>
          <a:srgbClr val="0F172A"/>
        </a:solidFill>
        <a:ln w="25400" cap="flat" cmpd="sng" algn="ctr">
          <a:solidFill>
            <a:srgbClr val="0F172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100" b="1" i="0" u="none" strike="noStrike" kern="0" cap="none" spc="0" normalizeH="0" baseline="0" noProof="0">
              <a:ln>
                <a:noFill/>
              </a:ln>
              <a:solidFill>
                <a:srgbClr val="FFFFFF"/>
              </a:solidFill>
              <a:effectLst/>
              <a:uLnTx/>
              <a:uFillTx/>
              <a:latin typeface="Calibri"/>
            </a:rPr>
            <a:t>Legend</a:t>
          </a:r>
        </a:p>
      </xdr:txBody>
    </xdr:sp>
    <xdr:clientData/>
  </xdr:twoCellAnchor>
  <xdr:twoCellAnchor>
    <xdr:from>
      <xdr:col>0</xdr:col>
      <xdr:colOff>447675</xdr:colOff>
      <xdr:row>61</xdr:row>
      <xdr:rowOff>120650</xdr:rowOff>
    </xdr:from>
    <xdr:to>
      <xdr:col>1</xdr:col>
      <xdr:colOff>314325</xdr:colOff>
      <xdr:row>63</xdr:row>
      <xdr:rowOff>41462</xdr:rowOff>
    </xdr:to>
    <xdr:sp macro="" textlink="">
      <xdr:nvSpPr>
        <xdr:cNvPr id="87" name="Swimlane Legend Red">
          <a:extLst>
            <a:ext uri="{FF2B5EF4-FFF2-40B4-BE49-F238E27FC236}">
              <a16:creationId xmlns:a16="http://schemas.microsoft.com/office/drawing/2014/main" id="{A0BCF91A-0921-4FAC-B728-10001470A67B}"/>
            </a:ext>
          </a:extLst>
        </xdr:cNvPr>
        <xdr:cNvSpPr/>
      </xdr:nvSpPr>
      <xdr:spPr>
        <a:xfrm>
          <a:off x="444500" y="11172825"/>
          <a:ext cx="819150" cy="279400"/>
        </a:xfrm>
        <a:prstGeom prst="rect">
          <a:avLst/>
        </a:prstGeom>
        <a:solidFill>
          <a:srgbClr val="C62828"/>
        </a:solidFill>
        <a:ln w="25400" cap="flat" cmpd="sng" algn="ctr">
          <a:solidFill>
            <a:srgbClr val="7F1D1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900" b="1" i="0" u="none" strike="noStrike" kern="0" cap="none" spc="0" normalizeH="0" baseline="0" noProof="0">
              <a:ln>
                <a:noFill/>
              </a:ln>
              <a:solidFill>
                <a:srgbClr val="FFFFFF"/>
              </a:solidFill>
              <a:effectLst/>
              <a:uLnTx/>
              <a:uFillTx/>
              <a:latin typeface="Calibri"/>
            </a:rPr>
            <a:t>Red</a:t>
          </a:r>
        </a:p>
      </xdr:txBody>
    </xdr:sp>
    <xdr:clientData/>
  </xdr:twoCellAnchor>
  <xdr:twoCellAnchor>
    <xdr:from>
      <xdr:col>1</xdr:col>
      <xdr:colOff>447675</xdr:colOff>
      <xdr:row>61</xdr:row>
      <xdr:rowOff>120650</xdr:rowOff>
    </xdr:from>
    <xdr:to>
      <xdr:col>1</xdr:col>
      <xdr:colOff>1266825</xdr:colOff>
      <xdr:row>63</xdr:row>
      <xdr:rowOff>41462</xdr:rowOff>
    </xdr:to>
    <xdr:sp macro="" textlink="">
      <xdr:nvSpPr>
        <xdr:cNvPr id="88" name="Swimlane Legend Amber">
          <a:extLst>
            <a:ext uri="{FF2B5EF4-FFF2-40B4-BE49-F238E27FC236}">
              <a16:creationId xmlns:a16="http://schemas.microsoft.com/office/drawing/2014/main" id="{EBE054BC-839A-4F0F-8F3D-9F30E73AFB32}"/>
            </a:ext>
          </a:extLst>
        </xdr:cNvPr>
        <xdr:cNvSpPr/>
      </xdr:nvSpPr>
      <xdr:spPr>
        <a:xfrm>
          <a:off x="1397000" y="11172825"/>
          <a:ext cx="819150" cy="279400"/>
        </a:xfrm>
        <a:prstGeom prst="rect">
          <a:avLst/>
        </a:prstGeom>
        <a:solidFill>
          <a:srgbClr val="F59E0B"/>
        </a:solidFill>
        <a:ln w="25400" cap="flat" cmpd="sng" algn="ctr">
          <a:solidFill>
            <a:srgbClr val="92400E"/>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900" b="1" i="0" u="none" strike="noStrike" kern="0" cap="none" spc="0" normalizeH="0" baseline="0" noProof="0">
              <a:ln>
                <a:noFill/>
              </a:ln>
              <a:solidFill>
                <a:srgbClr val="111827"/>
              </a:solidFill>
              <a:effectLst/>
              <a:uLnTx/>
              <a:uFillTx/>
              <a:latin typeface="Calibri"/>
            </a:rPr>
            <a:t>Amber</a:t>
          </a:r>
        </a:p>
      </xdr:txBody>
    </xdr:sp>
    <xdr:clientData/>
  </xdr:twoCellAnchor>
  <xdr:twoCellAnchor>
    <xdr:from>
      <xdr:col>1</xdr:col>
      <xdr:colOff>1400175</xdr:colOff>
      <xdr:row>61</xdr:row>
      <xdr:rowOff>120650</xdr:rowOff>
    </xdr:from>
    <xdr:to>
      <xdr:col>1</xdr:col>
      <xdr:colOff>2219325</xdr:colOff>
      <xdr:row>63</xdr:row>
      <xdr:rowOff>41462</xdr:rowOff>
    </xdr:to>
    <xdr:sp macro="" textlink="">
      <xdr:nvSpPr>
        <xdr:cNvPr id="89" name="Swimlane Legend Green">
          <a:extLst>
            <a:ext uri="{FF2B5EF4-FFF2-40B4-BE49-F238E27FC236}">
              <a16:creationId xmlns:a16="http://schemas.microsoft.com/office/drawing/2014/main" id="{5AA3BAD4-F770-457E-8219-938D873EC981}"/>
            </a:ext>
          </a:extLst>
        </xdr:cNvPr>
        <xdr:cNvSpPr/>
      </xdr:nvSpPr>
      <xdr:spPr>
        <a:xfrm>
          <a:off x="2349500" y="11172825"/>
          <a:ext cx="819150" cy="279400"/>
        </a:xfrm>
        <a:prstGeom prst="rect">
          <a:avLst/>
        </a:prstGeom>
        <a:solidFill>
          <a:srgbClr val="2E7D32"/>
        </a:solidFill>
        <a:ln w="25400" cap="flat" cmpd="sng" algn="ctr">
          <a:solidFill>
            <a:srgbClr val="14532D"/>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900" b="1" i="0" u="none" strike="noStrike" kern="0" cap="none" spc="0" normalizeH="0" baseline="0" noProof="0">
              <a:ln>
                <a:noFill/>
              </a:ln>
              <a:solidFill>
                <a:srgbClr val="FFFFFF"/>
              </a:solidFill>
              <a:effectLst/>
              <a:uLnTx/>
              <a:uFillTx/>
              <a:latin typeface="Calibri"/>
            </a:rPr>
            <a:t>Green</a:t>
          </a:r>
        </a:p>
      </xdr:txBody>
    </xdr:sp>
    <xdr:clientData/>
  </xdr:twoCellAnchor>
  <xdr:twoCellAnchor>
    <xdr:from>
      <xdr:col>2</xdr:col>
      <xdr:colOff>316940</xdr:colOff>
      <xdr:row>59</xdr:row>
      <xdr:rowOff>104588</xdr:rowOff>
    </xdr:from>
    <xdr:to>
      <xdr:col>9</xdr:col>
      <xdr:colOff>859118</xdr:colOff>
      <xdr:row>63</xdr:row>
      <xdr:rowOff>47812</xdr:rowOff>
    </xdr:to>
    <xdr:sp macro="" textlink="">
      <xdr:nvSpPr>
        <xdr:cNvPr id="90" name="Swimlane Dependency Note">
          <a:extLst>
            <a:ext uri="{FF2B5EF4-FFF2-40B4-BE49-F238E27FC236}">
              <a16:creationId xmlns:a16="http://schemas.microsoft.com/office/drawing/2014/main" id="{19FFA555-DBAB-42AE-B9D2-0B01713DDB79}"/>
            </a:ext>
          </a:extLst>
        </xdr:cNvPr>
        <xdr:cNvSpPr/>
      </xdr:nvSpPr>
      <xdr:spPr>
        <a:xfrm>
          <a:off x="3619500" y="10798175"/>
          <a:ext cx="9017000" cy="654050"/>
        </a:xfrm>
        <a:prstGeom prst="rect">
          <a:avLst/>
        </a:prstGeom>
        <a:solidFill>
          <a:srgbClr val="F8FAFC"/>
        </a:solidFill>
        <a:ln w="25400" cap="flat" cmpd="sng" algn="ctr">
          <a:solidFill>
            <a:srgbClr val="CBD5E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nb-NO" sz="1000" b="0" i="0" u="none" strike="noStrike" kern="0" cap="none" spc="0" normalizeH="0" baseline="0" noProof="0">
              <a:ln>
                <a:noFill/>
              </a:ln>
              <a:solidFill>
                <a:srgbClr val="334155"/>
              </a:solidFill>
              <a:effectLst/>
              <a:uLnTx/>
              <a:uFillTx/>
              <a:latin typeface="Calibri"/>
            </a:rPr>
            <a:t>Dependency assumption: predecessor links follow the baseline sequence already inferred in the original PERT diagram.</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Ellingsen" refreshedDate="46238.837876851852" createdVersion="8" refreshedVersion="8" minRefreshableVersion="3" recordCount="12" xr:uid="{423BB410-CBD9-4C17-8B4B-7762707F0789}">
  <cacheSource type="worksheet">
    <worksheetSource ref="A4:T16" sheet="Task Plan"/>
  </cacheSource>
  <cacheFields count="20">
    <cacheField name="WBS ID" numFmtId="0">
      <sharedItems/>
    </cacheField>
    <cacheField name="WBS Code" numFmtId="0">
      <sharedItems containsSemiMixedTypes="0" containsString="0" containsNumber="1" containsInteger="1" minValue="1" maxValue="12"/>
    </cacheField>
    <cacheField name="Task / Activity" numFmtId="0">
      <sharedItems/>
    </cacheField>
    <cacheField name="Type" numFmtId="0">
      <sharedItems count="3">
        <s v="Labor"/>
        <s v="Material"/>
        <s v="Subcontractor"/>
      </sharedItems>
    </cacheField>
    <cacheField name="Baseline Start" numFmtId="164">
      <sharedItems containsSemiMixedTypes="0" containsNonDate="0" containsDate="1" containsString="0" minDate="2026-05-04T00:00:00" maxDate="2026-07-21T00:00:00"/>
    </cacheField>
    <cacheField name="Baseline Finish" numFmtId="164">
      <sharedItems containsSemiMixedTypes="0" containsNonDate="0" containsDate="1" containsString="0" minDate="2026-05-10T00:00:00" maxDate="2026-07-27T00:00:00"/>
    </cacheField>
    <cacheField name="Duration Days" numFmtId="1">
      <sharedItems containsSemiMixedTypes="0" containsString="0" containsNumber="1" containsInteger="1" minValue="7" maxValue="84"/>
    </cacheField>
    <cacheField name="BAC (NOK)" numFmtId="4">
      <sharedItems containsSemiMixedTypes="0" containsString="0" containsNumber="1" containsInteger="1" minValue="3600" maxValue="42000"/>
    </cacheField>
    <cacheField name="PV @ Status" numFmtId="4">
      <sharedItems containsSemiMixedTypes="0" containsString="0" containsNumber="1" minValue="0" maxValue="42000"/>
    </cacheField>
    <cacheField name="AC @ Status" numFmtId="4">
      <sharedItems containsSemiMixedTypes="0" containsString="0" containsNumber="1" minValue="0" maxValue="41300"/>
    </cacheField>
    <cacheField name="Progress %" numFmtId="165">
      <sharedItems containsSemiMixedTypes="0" containsString="0" containsNumber="1" minValue="0" maxValue="1"/>
    </cacheField>
    <cacheField name="EV @ Status" numFmtId="4">
      <sharedItems containsSemiMixedTypes="0" containsString="0" containsNumber="1" minValue="0" maxValue="42000"/>
    </cacheField>
    <cacheField name="SV" numFmtId="4">
      <sharedItems containsSemiMixedTypes="0" containsString="0" containsNumber="1" minValue="-23833.34" maxValue="0"/>
    </cacheField>
    <cacheField name="CV" numFmtId="4">
      <sharedItems containsSemiMixedTypes="0" containsString="0" containsNumber="1" minValue="-8006.239999999998" maxValue="1004.9599999999991"/>
    </cacheField>
    <cacheField name="SPI" numFmtId="2">
      <sharedItems containsSemiMixedTypes="0" containsString="0" containsNumber="1" minValue="0" maxValue="1"/>
    </cacheField>
    <cacheField name="CPI" numFmtId="2">
      <sharedItems containsSemiMixedTypes="0" containsString="0" containsNumber="1" minValue="0.69449108303976459" maxValue="1.055232634827953"/>
    </cacheField>
    <cacheField name="EAC" numFmtId="4">
      <sharedItems containsSemiMixedTypes="0" containsString="0" containsNumber="1" minValue="3600" maxValue="43692"/>
    </cacheField>
    <cacheField name="ETC" numFmtId="4">
      <sharedItems containsSemiMixedTypes="0" containsString="0" containsNumber="1" minValue="0" maxValue="35750"/>
    </cacheField>
    <cacheField name="VAC" numFmtId="4">
      <sharedItems containsSemiMixedTypes="0" containsString="0" containsNumber="1" minValue="-11437.485714285714" maxValue="1004.9599999999991"/>
    </cacheField>
    <cacheField name="Status" numFmtId="0">
      <sharedItems count="2">
        <s v="Red"/>
        <s v="Gree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Ellingsen" refreshedDate="46238.837911226852" createdVersion="8" refreshedVersion="8" minRefreshableVersion="3" recordCount="99" xr:uid="{692ECF81-4A67-4008-81B9-B7785AB4B4E2}">
  <cacheSource type="worksheet">
    <worksheetSource ref="A1:E100" sheet="Fact_Actual_Costs"/>
  </cacheSource>
  <cacheFields count="5">
    <cacheField name="Date" numFmtId="164">
      <sharedItems containsSemiMixedTypes="0" containsNonDate="0" containsDate="1" containsString="0" minDate="2026-05-04T00:00:00" maxDate="2026-06-13T00:00:00"/>
    </cacheField>
    <cacheField name="WBS_ID" numFmtId="0">
      <sharedItems count="8">
        <s v="WBS-01"/>
        <s v="WBS-02"/>
        <s v="WBS-03"/>
        <s v="WBS-04"/>
        <s v="WBS-05"/>
        <s v="WBS-06"/>
        <s v="WBS-07"/>
        <s v="WBS-08"/>
      </sharedItems>
    </cacheField>
    <cacheField name="Resource_ID" numFmtId="0">
      <sharedItems/>
    </cacheField>
    <cacheField name="Actual_Cost" numFmtId="4">
      <sharedItems containsSemiMixedTypes="0" containsString="0" containsNumber="1" minValue="320" maxValue="10500"/>
    </cacheField>
    <cacheField name="Hours_Worked" numFmtId="2">
      <sharedItems containsSemiMixedTypes="0" containsString="0" containsNumber="1" minValue="0" maxValue="0.7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Ellingsen" refreshedDate="46238.837918865742" createdVersion="8" refreshedVersion="8" minRefreshableVersion="3" recordCount="12" xr:uid="{A4EA40DC-C238-49BD-93FE-F6B07CF6F478}">
  <cacheSource type="worksheet">
    <worksheetSource ref="A4:N16" sheet="EVM"/>
  </cacheSource>
  <cacheFields count="14">
    <cacheField name="Week" numFmtId="0">
      <sharedItems containsSemiMixedTypes="0" containsString="0" containsNumber="1" containsInteger="1" minValue="1" maxValue="12" count="12">
        <n v="1"/>
        <n v="2"/>
        <n v="3"/>
        <n v="4"/>
        <n v="5"/>
        <n v="6"/>
        <n v="7"/>
        <n v="8"/>
        <n v="9"/>
        <n v="10"/>
        <n v="11"/>
        <n v="12"/>
      </sharedItems>
    </cacheField>
    <cacheField name="Week Date" numFmtId="164">
      <sharedItems containsSemiMixedTypes="0" containsNonDate="0" containsDate="1" containsString="0" minDate="2026-05-08T00:00:00" maxDate="2026-07-25T00:00:00"/>
    </cacheField>
    <cacheField name="Cum PV" numFmtId="4">
      <sharedItems containsSemiMixedTypes="0" containsString="0" containsNumber="1" minValue="16400" maxValue="268650"/>
    </cacheField>
    <cacheField name="Cum AC" numFmtId="4">
      <sharedItems containsSemiMixedTypes="0" containsString="0" containsNumber="1" minValue="16295.04" maxValue="141985.44"/>
    </cacheField>
    <cacheField name="Cum EV" numFmtId="4">
      <sharedItems containsSemiMixedTypes="0" containsString="0" containsNumber="1" minValue="15087.994000000001" maxValue="131467.99600000001"/>
    </cacheField>
    <cacheField name="SV" numFmtId="4">
      <sharedItems containsSemiMixedTypes="0" containsString="0" containsNumber="1" minValue="-137182.00399999999" maxValue="-1312.0059999999994"/>
    </cacheField>
    <cacheField name="CV" numFmtId="4">
      <sharedItems containsSemiMixedTypes="0" containsString="0" containsNumber="1" minValue="-10517.443999999989" maxValue="-1207.0460000000003"/>
    </cacheField>
    <cacheField name="SPI" numFmtId="2">
      <sharedItems containsSemiMixedTypes="0" containsString="0" containsNumber="1" minValue="0.48936533035548119" maxValue="0.92000009183673481"/>
    </cacheField>
    <cacheField name="CPI" numFmtId="2">
      <sharedItems containsSemiMixedTypes="0" containsString="0" containsNumber="1" minValue="0.92592555771572205" maxValue="0.92592601835420163"/>
    </cacheField>
    <cacheField name="BAC" numFmtId="4">
      <sharedItems containsSemiMixedTypes="0" containsString="0" containsNumber="1" containsInteger="1" minValue="268650" maxValue="268650"/>
    </cacheField>
    <cacheField name="EAC" numFmtId="4">
      <sharedItems containsSemiMixedTypes="0" containsString="0" containsNumber="1" minValue="290141.97103729215" maxValue="290142.11537995044"/>
    </cacheField>
    <cacheField name="ETC" numFmtId="4">
      <sharedItems containsSemiMixedTypes="0" containsString="0" containsNumber="1" minValue="148156.56882776058" maxValue="273847.07537995046"/>
    </cacheField>
    <cacheField name="VAC" numFmtId="4">
      <sharedItems containsSemiMixedTypes="0" containsString="0" containsNumber="1" minValue="-21492.115379950439" maxValue="-21491.971037292155"/>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WBS-01"/>
    <n v="1"/>
    <s v="Project Management"/>
    <x v="0"/>
    <d v="2026-05-04T00:00:00"/>
    <d v="2026-07-26T00:00:00"/>
    <n v="84"/>
    <n v="18000"/>
    <n v="13500"/>
    <n v="9600"/>
    <n v="0.5"/>
    <n v="9000"/>
    <n v="-4500"/>
    <n v="-600"/>
    <n v="0.66666666666666663"/>
    <n v="0.9375"/>
    <n v="19200"/>
    <n v="9600"/>
    <n v="-1200"/>
    <x v="0"/>
  </r>
  <r>
    <s v="WBS-02"/>
    <n v="2"/>
    <s v="Site Survey &amp; Mobilization"/>
    <x v="0"/>
    <d v="2026-05-04T00:00:00"/>
    <d v="2026-05-10T00:00:00"/>
    <n v="7"/>
    <n v="8500"/>
    <n v="8500"/>
    <n v="8700"/>
    <n v="1"/>
    <n v="8500"/>
    <n v="0"/>
    <n v="-200"/>
    <n v="1"/>
    <n v="0.97701149425287359"/>
    <n v="8700"/>
    <n v="0"/>
    <n v="-200"/>
    <x v="0"/>
  </r>
  <r>
    <s v="WBS-03"/>
    <n v="3"/>
    <s v="Design &amp; Engineering"/>
    <x v="0"/>
    <d v="2026-05-04T00:00:00"/>
    <d v="2026-05-24T00:00:00"/>
    <n v="21"/>
    <n v="19200"/>
    <n v="19200"/>
    <n v="18195.04"/>
    <n v="1"/>
    <n v="19200"/>
    <n v="0"/>
    <n v="1004.9599999999991"/>
    <n v="1"/>
    <n v="1.055232634827953"/>
    <n v="18195.04"/>
    <n v="0"/>
    <n v="1004.9599999999991"/>
    <x v="1"/>
  </r>
  <r>
    <s v="WBS-04"/>
    <n v="4"/>
    <s v="Procurement - Materials"/>
    <x v="1"/>
    <d v="2026-05-11T00:00:00"/>
    <d v="2026-06-07T00:00:00"/>
    <n v="28"/>
    <n v="42000"/>
    <n v="42000"/>
    <n v="41300"/>
    <n v="1"/>
    <n v="42000"/>
    <n v="0"/>
    <n v="700"/>
    <n v="1"/>
    <n v="1.0169491525423728"/>
    <n v="41300"/>
    <n v="0"/>
    <n v="700"/>
    <x v="1"/>
  </r>
  <r>
    <s v="WBS-05"/>
    <n v="5"/>
    <s v="Demolition &amp; Prep"/>
    <x v="0"/>
    <d v="2026-05-11T00:00:00"/>
    <d v="2026-05-31T00:00:00"/>
    <n v="21"/>
    <n v="13200"/>
    <n v="13200"/>
    <n v="13408.159999999998"/>
    <n v="1"/>
    <n v="13200"/>
    <n v="0"/>
    <n v="-208.15999999999804"/>
    <n v="1"/>
    <n v="0.98447512559516015"/>
    <n v="13408.159999999998"/>
    <n v="0"/>
    <n v="-208.15999999999804"/>
    <x v="0"/>
  </r>
  <r>
    <s v="WBS-06"/>
    <n v="6"/>
    <s v="Electrical Rough-In"/>
    <x v="0"/>
    <d v="2026-05-25T00:00:00"/>
    <d v="2026-06-14T00:00:00"/>
    <n v="21"/>
    <n v="26000"/>
    <n v="26000"/>
    <n v="26206.239999999998"/>
    <n v="0.7"/>
    <n v="18200"/>
    <n v="-7800"/>
    <n v="-8006.239999999998"/>
    <n v="0.7"/>
    <n v="0.69449108303976459"/>
    <n v="37437.485714285714"/>
    <n v="11231.245714285717"/>
    <n v="-11437.485714285714"/>
    <x v="0"/>
  </r>
  <r>
    <s v="WBS-07"/>
    <n v="7"/>
    <s v="HVAC Installation"/>
    <x v="2"/>
    <d v="2026-06-01T00:00:00"/>
    <d v="2026-06-28T00:00:00"/>
    <n v="28"/>
    <n v="36000"/>
    <n v="36000"/>
    <n v="17476.8"/>
    <n v="0.4"/>
    <n v="14400"/>
    <n v="-21600"/>
    <n v="-3076.7999999999993"/>
    <n v="0.4"/>
    <n v="0.82394946443284811"/>
    <n v="43692"/>
    <n v="26215.200000000001"/>
    <n v="-7692"/>
    <x v="0"/>
  </r>
  <r>
    <s v="WBS-08"/>
    <n v="8"/>
    <s v="Partitions &amp; Drywall"/>
    <x v="2"/>
    <d v="2026-06-08T00:00:00"/>
    <d v="2026-07-05T00:00:00"/>
    <n v="28"/>
    <n v="28000"/>
    <n v="28000"/>
    <n v="7099.2"/>
    <n v="0.24885699999999999"/>
    <n v="6967.9960000000001"/>
    <n v="-21032.004000000001"/>
    <n v="-131.20399999999972"/>
    <n v="0.24885699999999999"/>
    <n v="0.98151848095560068"/>
    <n v="28527.226479464109"/>
    <n v="21428.026479464108"/>
    <n v="-527.22647946410871"/>
    <x v="0"/>
  </r>
  <r>
    <s v="WBS-09"/>
    <n v="9"/>
    <s v="Flooring"/>
    <x v="1"/>
    <d v="2026-06-22T00:00:00"/>
    <d v="2026-07-12T00:00:00"/>
    <n v="21"/>
    <n v="35750"/>
    <n v="23833.34"/>
    <n v="0"/>
    <n v="0"/>
    <n v="0"/>
    <n v="-23833.34"/>
    <n v="0"/>
    <n v="0"/>
    <n v="1"/>
    <n v="35750"/>
    <n v="35750"/>
    <n v="0"/>
    <x v="0"/>
  </r>
  <r>
    <s v="WBS-10"/>
    <n v="10"/>
    <s v="Fixtures &amp; Furniture"/>
    <x v="1"/>
    <d v="2026-06-29T00:00:00"/>
    <d v="2026-07-19T00:00:00"/>
    <n v="21"/>
    <n v="30000"/>
    <n v="10000"/>
    <n v="0"/>
    <n v="0"/>
    <n v="0"/>
    <n v="-10000"/>
    <n v="0"/>
    <n v="0"/>
    <n v="1"/>
    <n v="30000"/>
    <n v="30000"/>
    <n v="0"/>
    <x v="0"/>
  </r>
  <r>
    <s v="WBS-11"/>
    <n v="11"/>
    <s v="Testing / Commissioning"/>
    <x v="0"/>
    <d v="2026-07-13T00:00:00"/>
    <d v="2026-07-26T00:00:00"/>
    <n v="14"/>
    <n v="8400"/>
    <n v="0"/>
    <n v="0"/>
    <n v="0"/>
    <n v="0"/>
    <n v="0"/>
    <n v="0"/>
    <n v="1"/>
    <n v="1"/>
    <n v="8400"/>
    <n v="8400"/>
    <n v="0"/>
    <x v="1"/>
  </r>
  <r>
    <s v="WBS-12"/>
    <n v="12"/>
    <s v="Handover &amp; Closeout"/>
    <x v="0"/>
    <d v="2026-07-20T00:00:00"/>
    <d v="2026-07-26T00:00:00"/>
    <n v="7"/>
    <n v="3600"/>
    <n v="0"/>
    <n v="0"/>
    <n v="0"/>
    <n v="0"/>
    <n v="0"/>
    <n v="0"/>
    <n v="1"/>
    <n v="1"/>
    <n v="3600"/>
    <n v="360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d v="2026-05-04T00:00:00"/>
    <x v="0"/>
    <s v="R01"/>
    <n v="320"/>
    <n v="0.21"/>
  </r>
  <r>
    <d v="2026-05-05T00:00:00"/>
    <x v="0"/>
    <s v="R01"/>
    <n v="320"/>
    <n v="0.21"/>
  </r>
  <r>
    <d v="2026-05-06T00:00:00"/>
    <x v="0"/>
    <s v="R01"/>
    <n v="320"/>
    <n v="0.21"/>
  </r>
  <r>
    <d v="2026-05-07T00:00:00"/>
    <x v="0"/>
    <s v="R01"/>
    <n v="320"/>
    <n v="0.21"/>
  </r>
  <r>
    <d v="2026-05-08T00:00:00"/>
    <x v="0"/>
    <s v="R01"/>
    <n v="320"/>
    <n v="0.21"/>
  </r>
  <r>
    <d v="2026-05-04T00:00:00"/>
    <x v="1"/>
    <s v="R04"/>
    <n v="1740"/>
    <n v="0.79"/>
  </r>
  <r>
    <d v="2026-05-05T00:00:00"/>
    <x v="1"/>
    <s v="R04"/>
    <n v="1740"/>
    <n v="0.79"/>
  </r>
  <r>
    <d v="2026-05-06T00:00:00"/>
    <x v="1"/>
    <s v="R04"/>
    <n v="1740"/>
    <n v="0.79"/>
  </r>
  <r>
    <d v="2026-05-07T00:00:00"/>
    <x v="1"/>
    <s v="R04"/>
    <n v="1740"/>
    <n v="0.79"/>
  </r>
  <r>
    <d v="2026-05-08T00:00:00"/>
    <x v="1"/>
    <s v="R04"/>
    <n v="1740"/>
    <n v="0.79"/>
  </r>
  <r>
    <d v="2026-05-04T00:00:00"/>
    <x v="2"/>
    <s v="R02"/>
    <n v="1199.01"/>
    <n v="0.5"/>
  </r>
  <r>
    <d v="2026-05-05T00:00:00"/>
    <x v="2"/>
    <s v="R02"/>
    <n v="1199.01"/>
    <n v="0.5"/>
  </r>
  <r>
    <d v="2026-05-06T00:00:00"/>
    <x v="2"/>
    <s v="R02"/>
    <n v="1199.01"/>
    <n v="0.5"/>
  </r>
  <r>
    <d v="2026-05-07T00:00:00"/>
    <x v="2"/>
    <s v="R02"/>
    <n v="1199.01"/>
    <n v="0.5"/>
  </r>
  <r>
    <d v="2026-05-08T00:00:00"/>
    <x v="2"/>
    <s v="R02"/>
    <n v="1199"/>
    <n v="0.5"/>
  </r>
  <r>
    <d v="2026-05-11T00:00:00"/>
    <x v="0"/>
    <s v="R01"/>
    <n v="320"/>
    <n v="0.21"/>
  </r>
  <r>
    <d v="2026-05-12T00:00:00"/>
    <x v="0"/>
    <s v="R01"/>
    <n v="320"/>
    <n v="0.21"/>
  </r>
  <r>
    <d v="2026-05-13T00:00:00"/>
    <x v="0"/>
    <s v="R01"/>
    <n v="320"/>
    <n v="0.21"/>
  </r>
  <r>
    <d v="2026-05-14T00:00:00"/>
    <x v="0"/>
    <s v="R01"/>
    <n v="320"/>
    <n v="0.21"/>
  </r>
  <r>
    <d v="2026-05-15T00:00:00"/>
    <x v="0"/>
    <s v="R01"/>
    <n v="320"/>
    <n v="0.21"/>
  </r>
  <r>
    <d v="2026-05-11T00:00:00"/>
    <x v="2"/>
    <s v="R02"/>
    <n v="1200"/>
    <n v="0.5"/>
  </r>
  <r>
    <d v="2026-05-12T00:00:00"/>
    <x v="2"/>
    <s v="R02"/>
    <n v="1200"/>
    <n v="0.5"/>
  </r>
  <r>
    <d v="2026-05-13T00:00:00"/>
    <x v="2"/>
    <s v="R02"/>
    <n v="1200"/>
    <n v="0.5"/>
  </r>
  <r>
    <d v="2026-05-14T00:00:00"/>
    <x v="2"/>
    <s v="R02"/>
    <n v="1200"/>
    <n v="0.5"/>
  </r>
  <r>
    <d v="2026-05-15T00:00:00"/>
    <x v="2"/>
    <s v="R02"/>
    <n v="1200"/>
    <n v="0.5"/>
  </r>
  <r>
    <d v="2026-05-13T00:00:00"/>
    <x v="3"/>
    <s v="R07"/>
    <n v="10500"/>
    <n v="0"/>
  </r>
  <r>
    <d v="2026-05-11T00:00:00"/>
    <x v="4"/>
    <s v="R04"/>
    <n v="910.82"/>
    <n v="0.41"/>
  </r>
  <r>
    <d v="2026-05-12T00:00:00"/>
    <x v="4"/>
    <s v="R04"/>
    <n v="910.82"/>
    <n v="0.41"/>
  </r>
  <r>
    <d v="2026-05-13T00:00:00"/>
    <x v="4"/>
    <s v="R04"/>
    <n v="910.82"/>
    <n v="0.41"/>
  </r>
  <r>
    <d v="2026-05-14T00:00:00"/>
    <x v="4"/>
    <s v="R04"/>
    <n v="910.82"/>
    <n v="0.41"/>
  </r>
  <r>
    <d v="2026-05-15T00:00:00"/>
    <x v="4"/>
    <s v="R04"/>
    <n v="910.8"/>
    <n v="0.41"/>
  </r>
  <r>
    <d v="2026-05-18T00:00:00"/>
    <x v="0"/>
    <s v="R01"/>
    <n v="320"/>
    <n v="0.21"/>
  </r>
  <r>
    <d v="2026-05-19T00:00:00"/>
    <x v="0"/>
    <s v="R01"/>
    <n v="320"/>
    <n v="0.21"/>
  </r>
  <r>
    <d v="2026-05-20T00:00:00"/>
    <x v="0"/>
    <s v="R01"/>
    <n v="320"/>
    <n v="0.21"/>
  </r>
  <r>
    <d v="2026-05-21T00:00:00"/>
    <x v="0"/>
    <s v="R01"/>
    <n v="320"/>
    <n v="0.21"/>
  </r>
  <r>
    <d v="2026-05-22T00:00:00"/>
    <x v="0"/>
    <s v="R01"/>
    <n v="320"/>
    <n v="0.21"/>
  </r>
  <r>
    <d v="2026-05-18T00:00:00"/>
    <x v="2"/>
    <s v="R02"/>
    <n v="1240"/>
    <n v="0.52"/>
  </r>
  <r>
    <d v="2026-05-19T00:00:00"/>
    <x v="2"/>
    <s v="R02"/>
    <n v="1240"/>
    <n v="0.52"/>
  </r>
  <r>
    <d v="2026-05-20T00:00:00"/>
    <x v="2"/>
    <s v="R02"/>
    <n v="1240"/>
    <n v="0.52"/>
  </r>
  <r>
    <d v="2026-05-21T00:00:00"/>
    <x v="2"/>
    <s v="R02"/>
    <n v="1240"/>
    <n v="0.52"/>
  </r>
  <r>
    <d v="2026-05-22T00:00:00"/>
    <x v="2"/>
    <s v="R02"/>
    <n v="1240"/>
    <n v="0.52"/>
  </r>
  <r>
    <d v="2026-05-20T00:00:00"/>
    <x v="3"/>
    <s v="R07"/>
    <n v="10200"/>
    <n v="0"/>
  </r>
  <r>
    <d v="2026-05-18T00:00:00"/>
    <x v="4"/>
    <s v="R04"/>
    <n v="930.82"/>
    <n v="0.42"/>
  </r>
  <r>
    <d v="2026-05-19T00:00:00"/>
    <x v="4"/>
    <s v="R04"/>
    <n v="930.82"/>
    <n v="0.42"/>
  </r>
  <r>
    <d v="2026-05-20T00:00:00"/>
    <x v="4"/>
    <s v="R04"/>
    <n v="930.82"/>
    <n v="0.42"/>
  </r>
  <r>
    <d v="2026-05-21T00:00:00"/>
    <x v="4"/>
    <s v="R04"/>
    <n v="930.82"/>
    <n v="0.42"/>
  </r>
  <r>
    <d v="2026-05-22T00:00:00"/>
    <x v="4"/>
    <s v="R04"/>
    <n v="930.8"/>
    <n v="0.42"/>
  </r>
  <r>
    <d v="2026-05-25T00:00:00"/>
    <x v="0"/>
    <s v="R01"/>
    <n v="320"/>
    <n v="0.21"/>
  </r>
  <r>
    <d v="2026-05-26T00:00:00"/>
    <x v="0"/>
    <s v="R01"/>
    <n v="320"/>
    <n v="0.21"/>
  </r>
  <r>
    <d v="2026-05-27T00:00:00"/>
    <x v="0"/>
    <s v="R01"/>
    <n v="320"/>
    <n v="0.21"/>
  </r>
  <r>
    <d v="2026-05-28T00:00:00"/>
    <x v="0"/>
    <s v="R01"/>
    <n v="320"/>
    <n v="0.21"/>
  </r>
  <r>
    <d v="2026-05-29T00:00:00"/>
    <x v="0"/>
    <s v="R01"/>
    <n v="320"/>
    <n v="0.21"/>
  </r>
  <r>
    <d v="2026-05-27T00:00:00"/>
    <x v="3"/>
    <s v="R07"/>
    <n v="10200"/>
    <n v="0"/>
  </r>
  <r>
    <d v="2026-05-25T00:00:00"/>
    <x v="4"/>
    <s v="R04"/>
    <n v="840"/>
    <n v="0.38"/>
  </r>
  <r>
    <d v="2026-05-26T00:00:00"/>
    <x v="4"/>
    <s v="R04"/>
    <n v="840"/>
    <n v="0.38"/>
  </r>
  <r>
    <d v="2026-05-27T00:00:00"/>
    <x v="4"/>
    <s v="R04"/>
    <n v="840"/>
    <n v="0.38"/>
  </r>
  <r>
    <d v="2026-05-28T00:00:00"/>
    <x v="4"/>
    <s v="R04"/>
    <n v="840"/>
    <n v="0.38"/>
  </r>
  <r>
    <d v="2026-05-29T00:00:00"/>
    <x v="4"/>
    <s v="R04"/>
    <n v="840"/>
    <n v="0.38"/>
  </r>
  <r>
    <d v="2026-05-25T00:00:00"/>
    <x v="5"/>
    <s v="R03"/>
    <n v="1781.25"/>
    <n v="0.69"/>
  </r>
  <r>
    <d v="2026-05-26T00:00:00"/>
    <x v="5"/>
    <s v="R03"/>
    <n v="1781.25"/>
    <n v="0.69"/>
  </r>
  <r>
    <d v="2026-05-27T00:00:00"/>
    <x v="5"/>
    <s v="R03"/>
    <n v="1781.25"/>
    <n v="0.69"/>
  </r>
  <r>
    <d v="2026-05-28T00:00:00"/>
    <x v="5"/>
    <s v="R03"/>
    <n v="1781.25"/>
    <n v="0.69"/>
  </r>
  <r>
    <d v="2026-05-29T00:00:00"/>
    <x v="5"/>
    <s v="R03"/>
    <n v="1781.24"/>
    <n v="0.69"/>
  </r>
  <r>
    <d v="2026-06-01T00:00:00"/>
    <x v="0"/>
    <s v="R01"/>
    <n v="320"/>
    <n v="0.21"/>
  </r>
  <r>
    <d v="2026-06-02T00:00:00"/>
    <x v="0"/>
    <s v="R01"/>
    <n v="320"/>
    <n v="0.21"/>
  </r>
  <r>
    <d v="2026-06-03T00:00:00"/>
    <x v="0"/>
    <s v="R01"/>
    <n v="320"/>
    <n v="0.21"/>
  </r>
  <r>
    <d v="2026-06-04T00:00:00"/>
    <x v="0"/>
    <s v="R01"/>
    <n v="320"/>
    <n v="0.21"/>
  </r>
  <r>
    <d v="2026-06-05T00:00:00"/>
    <x v="0"/>
    <s v="R01"/>
    <n v="320"/>
    <n v="0.21"/>
  </r>
  <r>
    <d v="2026-06-03T00:00:00"/>
    <x v="3"/>
    <s v="R07"/>
    <n v="10400"/>
    <n v="0"/>
  </r>
  <r>
    <d v="2026-06-01T00:00:00"/>
    <x v="5"/>
    <s v="R03"/>
    <n v="1760"/>
    <n v="0.68"/>
  </r>
  <r>
    <d v="2026-06-02T00:00:00"/>
    <x v="5"/>
    <s v="R03"/>
    <n v="1760"/>
    <n v="0.68"/>
  </r>
  <r>
    <d v="2026-06-03T00:00:00"/>
    <x v="5"/>
    <s v="R03"/>
    <n v="1760"/>
    <n v="0.68"/>
  </r>
  <r>
    <d v="2026-06-04T00:00:00"/>
    <x v="5"/>
    <s v="R03"/>
    <n v="1760"/>
    <n v="0.68"/>
  </r>
  <r>
    <d v="2026-06-05T00:00:00"/>
    <x v="5"/>
    <s v="R03"/>
    <n v="1760"/>
    <n v="0.68"/>
  </r>
  <r>
    <d v="2026-06-01T00:00:00"/>
    <x v="6"/>
    <s v="R08"/>
    <n v="1735.36"/>
    <n v="0"/>
  </r>
  <r>
    <d v="2026-06-02T00:00:00"/>
    <x v="6"/>
    <s v="R08"/>
    <n v="1735.36"/>
    <n v="0"/>
  </r>
  <r>
    <d v="2026-06-03T00:00:00"/>
    <x v="6"/>
    <s v="R08"/>
    <n v="1735.36"/>
    <n v="0"/>
  </r>
  <r>
    <d v="2026-06-04T00:00:00"/>
    <x v="6"/>
    <s v="R08"/>
    <n v="1735.36"/>
    <n v="0"/>
  </r>
  <r>
    <d v="2026-06-05T00:00:00"/>
    <x v="6"/>
    <s v="R08"/>
    <n v="1735.36"/>
    <n v="0"/>
  </r>
  <r>
    <d v="2026-06-08T00:00:00"/>
    <x v="0"/>
    <s v="R01"/>
    <n v="320"/>
    <n v="0.21"/>
  </r>
  <r>
    <d v="2026-06-09T00:00:00"/>
    <x v="0"/>
    <s v="R01"/>
    <n v="320"/>
    <n v="0.21"/>
  </r>
  <r>
    <d v="2026-06-10T00:00:00"/>
    <x v="0"/>
    <s v="R01"/>
    <n v="320"/>
    <n v="0.21"/>
  </r>
  <r>
    <d v="2026-06-11T00:00:00"/>
    <x v="0"/>
    <s v="R01"/>
    <n v="320"/>
    <n v="0.21"/>
  </r>
  <r>
    <d v="2026-06-12T00:00:00"/>
    <x v="0"/>
    <s v="R01"/>
    <n v="320"/>
    <n v="0.21"/>
  </r>
  <r>
    <d v="2026-06-08T00:00:00"/>
    <x v="5"/>
    <s v="R03"/>
    <n v="1700"/>
    <n v="0.65"/>
  </r>
  <r>
    <d v="2026-06-09T00:00:00"/>
    <x v="5"/>
    <s v="R03"/>
    <n v="1700"/>
    <n v="0.65"/>
  </r>
  <r>
    <d v="2026-06-10T00:00:00"/>
    <x v="5"/>
    <s v="R03"/>
    <n v="1700"/>
    <n v="0.65"/>
  </r>
  <r>
    <d v="2026-06-11T00:00:00"/>
    <x v="5"/>
    <s v="R03"/>
    <n v="1700"/>
    <n v="0.65"/>
  </r>
  <r>
    <d v="2026-06-12T00:00:00"/>
    <x v="5"/>
    <s v="R03"/>
    <n v="1700"/>
    <n v="0.65"/>
  </r>
  <r>
    <d v="2026-06-08T00:00:00"/>
    <x v="6"/>
    <s v="R08"/>
    <n v="1760"/>
    <n v="0"/>
  </r>
  <r>
    <d v="2026-06-09T00:00:00"/>
    <x v="6"/>
    <s v="R08"/>
    <n v="1760"/>
    <n v="0"/>
  </r>
  <r>
    <d v="2026-06-10T00:00:00"/>
    <x v="6"/>
    <s v="R08"/>
    <n v="1760"/>
    <n v="0"/>
  </r>
  <r>
    <d v="2026-06-11T00:00:00"/>
    <x v="6"/>
    <s v="R08"/>
    <n v="1760"/>
    <n v="0"/>
  </r>
  <r>
    <d v="2026-06-12T00:00:00"/>
    <x v="6"/>
    <s v="R08"/>
    <n v="1760"/>
    <n v="0"/>
  </r>
  <r>
    <d v="2026-06-08T00:00:00"/>
    <x v="7"/>
    <s v="R09"/>
    <n v="1419.84"/>
    <n v="0"/>
  </r>
  <r>
    <d v="2026-06-09T00:00:00"/>
    <x v="7"/>
    <s v="R09"/>
    <n v="1419.84"/>
    <n v="0"/>
  </r>
  <r>
    <d v="2026-06-10T00:00:00"/>
    <x v="7"/>
    <s v="R09"/>
    <n v="1419.84"/>
    <n v="0"/>
  </r>
  <r>
    <d v="2026-06-11T00:00:00"/>
    <x v="7"/>
    <s v="R09"/>
    <n v="1419.84"/>
    <n v="0"/>
  </r>
  <r>
    <d v="2026-06-12T00:00:00"/>
    <x v="7"/>
    <s v="R09"/>
    <n v="1419.84"/>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d v="2026-05-08T00:00:00"/>
    <n v="16400"/>
    <n v="16295.04"/>
    <n v="15087.994000000001"/>
    <n v="-1312.0059999999994"/>
    <n v="-1207.0460000000003"/>
    <n v="0.91999963414634145"/>
    <n v="0.92592555771572205"/>
    <n v="268650"/>
    <n v="290142.11537995044"/>
    <n v="273847.07537995046"/>
    <n v="-21492.115379950439"/>
    <s v="Red"/>
  </r>
  <r>
    <x v="1"/>
    <d v="2026-05-15T00:00:00"/>
    <n v="39200"/>
    <n v="38949.120000000003"/>
    <n v="36064.003600000004"/>
    <n v="-3135.9963999999964"/>
    <n v="-2885.116399999999"/>
    <n v="0.92000009183673481"/>
    <n v="0.92592601835420163"/>
    <n v="268650"/>
    <n v="290141.97103729215"/>
    <n v="251192.85103729216"/>
    <n v="-21491.971037292155"/>
    <s v="Red"/>
  </r>
  <r>
    <x v="2"/>
    <d v="2026-05-22T00:00:00"/>
    <n v="62000"/>
    <n v="61603.200000000004"/>
    <n v="57040"/>
    <n v="-4960"/>
    <n v="-4563.2000000000044"/>
    <n v="0.92"/>
    <n v="0.92592592592592582"/>
    <n v="268650"/>
    <n v="290142.00000000006"/>
    <n v="228538.80000000005"/>
    <n v="-21492.000000000058"/>
    <s v="Red"/>
  </r>
  <r>
    <x v="3"/>
    <d v="2026-05-29T00:00:00"/>
    <n v="87066.67"/>
    <n v="86509.440000000017"/>
    <n v="80101.327999999994"/>
    <n v="-6965.3420000000042"/>
    <n v="-6408.1120000000228"/>
    <n v="0.91999990352220884"/>
    <n v="0.92592586427562096"/>
    <n v="268650"/>
    <n v="290142.0193183315"/>
    <n v="203632.5793183315"/>
    <n v="-21492.019318331499"/>
    <s v="Red"/>
  </r>
  <r>
    <x v="4"/>
    <d v="2026-06-05T00:00:00"/>
    <n v="116733.34"/>
    <n v="115986.24000000002"/>
    <n v="107394.674"/>
    <n v="-9338.6659999999974"/>
    <n v="-8591.5660000000207"/>
    <n v="0.92000001027983958"/>
    <n v="0.92592598915181645"/>
    <n v="268650"/>
    <n v="290141.98018795613"/>
    <n v="174155.74018795611"/>
    <n v="-21491.980187956127"/>
    <s v="Red"/>
  </r>
  <r>
    <x v="5"/>
    <d v="2026-06-12T00:00:00"/>
    <n v="142900"/>
    <n v="141985.44"/>
    <n v="131467.99600000001"/>
    <n v="-11432.003999999986"/>
    <n v="-10517.443999999989"/>
    <n v="0.91999997200839756"/>
    <n v="0.92592589775402334"/>
    <n v="268650"/>
    <n v="290142.00882776058"/>
    <n v="148156.56882776058"/>
    <n v="-21492.008827760583"/>
    <s v="Red"/>
  </r>
  <r>
    <x v="6"/>
    <d v="2026-06-19T00:00:00"/>
    <n v="160400"/>
    <n v="141985.44"/>
    <n v="131467.99600000001"/>
    <n v="-28932.003999999986"/>
    <n v="-10517.443999999989"/>
    <n v="0.81962591022443898"/>
    <n v="0.92592589775402334"/>
    <n v="268650"/>
    <n v="290142.00882776058"/>
    <n v="148156.56882776058"/>
    <n v="-21492.008827760583"/>
    <s v="Red"/>
  </r>
  <r>
    <x v="7"/>
    <d v="2026-06-26T00:00:00"/>
    <n v="189816.67"/>
    <n v="141985.44"/>
    <n v="131467.99600000001"/>
    <n v="-58348.673999999999"/>
    <n v="-10517.443999999989"/>
    <n v="0.69260511207998754"/>
    <n v="0.92592589775402334"/>
    <n v="268650"/>
    <n v="290142.00882776058"/>
    <n v="148156.56882776058"/>
    <n v="-21492.008827760583"/>
    <s v="Red"/>
  </r>
  <r>
    <x v="8"/>
    <d v="2026-07-03T00:00:00"/>
    <n v="220233.34000000003"/>
    <n v="141985.44"/>
    <n v="131467.99600000001"/>
    <n v="-88765.344000000012"/>
    <n v="-10517.443999999989"/>
    <n v="0.59694865454976076"/>
    <n v="0.92592589775402334"/>
    <n v="268650"/>
    <n v="290142.00882776058"/>
    <n v="148156.56882776058"/>
    <n v="-21492.008827760583"/>
    <s v="Red"/>
  </r>
  <r>
    <x v="9"/>
    <d v="2026-07-10T00:00:00"/>
    <n v="243650.00000000003"/>
    <n v="141985.44"/>
    <n v="131467.99600000001"/>
    <n v="-112182.00400000002"/>
    <n v="-10517.443999999989"/>
    <n v="0.5395772460496614"/>
    <n v="0.92592589775402334"/>
    <n v="268650"/>
    <n v="290142.00882776058"/>
    <n v="148156.56882776058"/>
    <n v="-21492.008827760583"/>
    <s v="Red"/>
  </r>
  <r>
    <x v="10"/>
    <d v="2026-07-17T00:00:00"/>
    <n v="259350.00000000003"/>
    <n v="141985.44"/>
    <n v="131467.99600000001"/>
    <n v="-127882.00400000002"/>
    <n v="-10517.443999999989"/>
    <n v="0.50691342201657996"/>
    <n v="0.92592589775402334"/>
    <n v="268650"/>
    <n v="290142.00882776058"/>
    <n v="148156.56882776058"/>
    <n v="-21492.008827760583"/>
    <s v="Red"/>
  </r>
  <r>
    <x v="11"/>
    <d v="2026-07-24T00:00:00"/>
    <n v="268650"/>
    <n v="141985.44"/>
    <n v="131467.99600000001"/>
    <n v="-137182.00399999999"/>
    <n v="-10517.443999999989"/>
    <n v="0.48936533035548119"/>
    <n v="0.92592589775402334"/>
    <n v="268650"/>
    <n v="290142.00882776058"/>
    <n v="148156.56882776058"/>
    <n v="-21492.008827760583"/>
    <s v="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3D1FCF-6AF2-4C9D-9423-07FE672399E3}" name="pt_Weekly_EVM"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G76" firstHeaderRow="0" firstDataRow="1" firstDataCol="1"/>
  <pivotFields count="14">
    <pivotField axis="axisRow" showAll="0">
      <items count="13">
        <item x="0"/>
        <item x="1"/>
        <item x="2"/>
        <item x="3"/>
        <item x="4"/>
        <item x="5"/>
        <item x="6"/>
        <item x="7"/>
        <item x="8"/>
        <item x="9"/>
        <item x="10"/>
        <item x="11"/>
        <item t="default"/>
      </items>
    </pivotField>
    <pivotField numFmtId="164" showAll="0"/>
    <pivotField dataField="1" numFmtId="4" showAll="0"/>
    <pivotField dataField="1" numFmtId="4" showAll="0"/>
    <pivotField dataField="1" numFmtId="4" showAll="0"/>
    <pivotField dataField="1" numFmtId="4" showAll="0"/>
    <pivotField dataField="1" numFmtId="4" showAll="0"/>
    <pivotField numFmtId="2" showAll="0"/>
    <pivotField numFmtId="2" showAll="0"/>
    <pivotField numFmtId="4" showAll="0"/>
    <pivotField numFmtId="4" showAll="0"/>
    <pivotField numFmtId="4" showAll="0"/>
    <pivotField dataField="1" numFmtId="4" showAll="0"/>
    <pivotField showAll="0"/>
  </pivotFields>
  <rowFields count="1">
    <field x="0"/>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Cum PV" fld="2" baseField="0" baseItem="0" numFmtId="4"/>
    <dataField name="Sum of Cum AC" fld="3" baseField="0" baseItem="0" numFmtId="4"/>
    <dataField name="Sum of Cum EV" fld="4" baseField="0" baseItem="0" numFmtId="4"/>
    <dataField name="Sum of SV" fld="5" baseField="0" baseItem="0" numFmtId="4"/>
    <dataField name="Sum of CV" fld="6" baseField="0" baseItem="0" numFmtId="4"/>
    <dataField name="Sum of VAC" fld="12" baseField="0" baseItem="0" numFmtId="4"/>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C4E76-B063-4147-9257-6043B1E8671F}" name="pt_ActualCosts_By_WBS"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5:C54" firstHeaderRow="0" firstDataRow="1" firstDataCol="1"/>
  <pivotFields count="5">
    <pivotField numFmtId="164" showAll="0"/>
    <pivotField axis="axisRow" showAll="0">
      <items count="9">
        <item x="0"/>
        <item x="1"/>
        <item x="2"/>
        <item x="3"/>
        <item x="4"/>
        <item x="5"/>
        <item x="6"/>
        <item x="7"/>
        <item t="default"/>
      </items>
    </pivotField>
    <pivotField showAll="0"/>
    <pivotField dataField="1" numFmtId="4" showAll="0"/>
    <pivotField dataField="1" numFmtId="2"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Actual_Cost" fld="3" baseField="0" baseItem="0" numFmtId="4"/>
    <dataField name="Sum of Hours_Worked" fld="4" baseField="0" baseItem="0" numFmtId="2"/>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9FF7B-7E07-4B89-8206-6D39120270AC}" name="pt_Status_Cost_Value"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H39" firstHeaderRow="0" firstDataRow="1" firstDataCol="1"/>
  <pivotFields count="20">
    <pivotField showAll="0"/>
    <pivotField showAll="0"/>
    <pivotField showAll="0"/>
    <pivotField showAll="0"/>
    <pivotField numFmtId="164" showAll="0"/>
    <pivotField numFmtId="164" showAll="0"/>
    <pivotField numFmtId="1" showAll="0"/>
    <pivotField dataField="1" numFmtId="4" showAll="0"/>
    <pivotField dataField="1" numFmtId="4" showAll="0"/>
    <pivotField dataField="1" numFmtId="4" showAll="0"/>
    <pivotField numFmtId="165" showAll="0"/>
    <pivotField dataField="1" numFmtId="4" showAll="0"/>
    <pivotField dataField="1" numFmtId="4" showAll="0"/>
    <pivotField dataField="1" numFmtId="4" showAll="0"/>
    <pivotField numFmtId="2" showAll="0"/>
    <pivotField numFmtId="2" showAll="0"/>
    <pivotField numFmtId="4" showAll="0"/>
    <pivotField numFmtId="4" showAll="0"/>
    <pivotField dataField="1" numFmtId="4" showAll="0"/>
    <pivotField axis="axisRow" showAll="0">
      <items count="3">
        <item x="1"/>
        <item x="0"/>
        <item t="default"/>
      </items>
    </pivotField>
  </pivotFields>
  <rowFields count="1">
    <field x="19"/>
  </rowFields>
  <rowItems count="3">
    <i>
      <x/>
    </i>
    <i>
      <x v="1"/>
    </i>
    <i t="grand">
      <x/>
    </i>
  </rowItems>
  <colFields count="1">
    <field x="-2"/>
  </colFields>
  <colItems count="7">
    <i>
      <x/>
    </i>
    <i i="1">
      <x v="1"/>
    </i>
    <i i="2">
      <x v="2"/>
    </i>
    <i i="3">
      <x v="3"/>
    </i>
    <i i="4">
      <x v="4"/>
    </i>
    <i i="5">
      <x v="5"/>
    </i>
    <i i="6">
      <x v="6"/>
    </i>
  </colItems>
  <dataFields count="7">
    <dataField name="Sum of BAC (NOK)" fld="7" baseField="0" baseItem="0" numFmtId="4"/>
    <dataField name="Sum of PV @ Status" fld="8" baseField="0" baseItem="0" numFmtId="4"/>
    <dataField name="Sum of AC @ Status" fld="9" baseField="0" baseItem="0" numFmtId="4"/>
    <dataField name="Sum of EV @ Status" fld="11" baseField="0" baseItem="0" numFmtId="4"/>
    <dataField name="Sum of SV" fld="12" baseField="0" baseItem="0" numFmtId="4"/>
    <dataField name="Sum of CV" fld="13" baseField="0" baseItem="0" numFmtId="4"/>
    <dataField name="Sum of VAC" fld="18" baseField="0" baseItem="0" numFmtId="4"/>
  </dataFields>
  <formats count="6">
    <format dxfId="11">
      <pivotArea type="all" dataOnly="0" outline="0" fieldPosition="0"/>
    </format>
    <format dxfId="10">
      <pivotArea outline="0" collapsedLevelsAreSubtotals="1" fieldPosition="0"/>
    </format>
    <format dxfId="9">
      <pivotArea field="19" type="button" dataOnly="0" labelOnly="1" outline="0" axis="axisRow" fieldPosition="0"/>
    </format>
    <format dxfId="8">
      <pivotArea dataOnly="0" labelOnly="1" fieldPosition="0">
        <references count="1">
          <reference field="19" count="0"/>
        </references>
      </pivotArea>
    </format>
    <format dxfId="7">
      <pivotArea dataOnly="0" labelOnly="1" grandRow="1" outline="0" fieldPosition="0"/>
    </format>
    <format dxfId="6">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4D0C0-C2E1-4C4F-968C-C34944FB832D}" name="pt_Type_Cost_Value"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7:H31" firstHeaderRow="0" firstDataRow="1" firstDataCol="1"/>
  <pivotFields count="20">
    <pivotField showAll="0"/>
    <pivotField showAll="0"/>
    <pivotField showAll="0"/>
    <pivotField axis="axisRow" showAll="0">
      <items count="4">
        <item x="0"/>
        <item x="1"/>
        <item x="2"/>
        <item t="default"/>
      </items>
    </pivotField>
    <pivotField numFmtId="164" showAll="0"/>
    <pivotField numFmtId="164" showAll="0"/>
    <pivotField numFmtId="1" showAll="0"/>
    <pivotField dataField="1" numFmtId="4" showAll="0"/>
    <pivotField dataField="1" numFmtId="4" showAll="0"/>
    <pivotField dataField="1" numFmtId="4" showAll="0"/>
    <pivotField numFmtId="165" showAll="0"/>
    <pivotField dataField="1" numFmtId="4" showAll="0"/>
    <pivotField dataField="1" numFmtId="4" showAll="0"/>
    <pivotField dataField="1" numFmtId="4" showAll="0"/>
    <pivotField numFmtId="2" showAll="0"/>
    <pivotField numFmtId="2" showAll="0"/>
    <pivotField numFmtId="4" showAll="0"/>
    <pivotField numFmtId="4" showAll="0"/>
    <pivotField dataField="1" numFmtId="4" showAll="0"/>
    <pivotField showAll="0"/>
  </pivotFields>
  <rowFields count="1">
    <field x="3"/>
  </rowFields>
  <rowItems count="4">
    <i>
      <x/>
    </i>
    <i>
      <x v="1"/>
    </i>
    <i>
      <x v="2"/>
    </i>
    <i t="grand">
      <x/>
    </i>
  </rowItems>
  <colFields count="1">
    <field x="-2"/>
  </colFields>
  <colItems count="7">
    <i>
      <x/>
    </i>
    <i i="1">
      <x v="1"/>
    </i>
    <i i="2">
      <x v="2"/>
    </i>
    <i i="3">
      <x v="3"/>
    </i>
    <i i="4">
      <x v="4"/>
    </i>
    <i i="5">
      <x v="5"/>
    </i>
    <i i="6">
      <x v="6"/>
    </i>
  </colItems>
  <dataFields count="7">
    <dataField name="Sum of BAC (NOK)" fld="7" baseField="0" baseItem="0" numFmtId="4"/>
    <dataField name="Sum of PV @ Status" fld="8" baseField="0" baseItem="0" numFmtId="4"/>
    <dataField name="Sum of AC @ Status" fld="9" baseField="0" baseItem="0" numFmtId="4"/>
    <dataField name="Sum of EV @ Status" fld="11" baseField="0" baseItem="0" numFmtId="4"/>
    <dataField name="Sum of SV" fld="12" baseField="0" baseItem="0" numFmtId="4"/>
    <dataField name="Sum of CV" fld="13" baseField="0" baseItem="0" numFmtId="4"/>
    <dataField name="Sum of VAC" fld="18" baseField="0" baseItem="0" numFmtId="4"/>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E4BC6B8-0583-4506-A5D9-7D56ED8EC9F2}" sourceName="Type">
  <extLst>
    <x:ext xmlns:x15="http://schemas.microsoft.com/office/spreadsheetml/2010/11/main" uri="{2F2917AC-EB37-4324-AD4E-5DD8C200BD13}">
      <x15:tableSlicerCache tableId="1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4B411B4-5846-4554-9F15-3A3F36559DCD}" sourceName="Status">
  <extLst>
    <x:ext xmlns:x15="http://schemas.microsoft.com/office/spreadsheetml/2010/11/main" uri="{2F2917AC-EB37-4324-AD4E-5DD8C200BD13}">
      <x15:tableSlicerCache tableId="11" column="2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BS_ID" xr10:uid="{4EC9ED76-FCD7-498E-9F2E-AFEA90D58E43}" sourceName="WBS ID">
  <extLst>
    <x:ext xmlns:x15="http://schemas.microsoft.com/office/spreadsheetml/2010/11/main" uri="{2F2917AC-EB37-4324-AD4E-5DD8C200BD13}">
      <x15:tableSlicerCache tableId="1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618CBF74-8548-4015-9FE4-B7382B246FC0}" sourceName="Status">
  <extLst>
    <x:ext xmlns:x15="http://schemas.microsoft.com/office/spreadsheetml/2010/11/main" uri="{2F2917AC-EB37-4324-AD4E-5DD8C200BD13}">
      <x15:tableSlicerCache tableId="14" column="1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101EC8BE-934F-4EF0-8C94-C282C56A1203}" sourceName="Type">
  <extLst>
    <x:ext xmlns:x15="http://schemas.microsoft.com/office/spreadsheetml/2010/11/main" uri="{2F2917AC-EB37-4324-AD4E-5DD8C200BD13}">
      <x15:tableSlicerCache tableId="14"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G" xr10:uid="{BB080E1F-2730-4C53-AAAA-2E08AD0802FB}" sourceName="RAG">
  <extLst>
    <x:ext xmlns:x15="http://schemas.microsoft.com/office/spreadsheetml/2010/11/main" uri="{2F2917AC-EB37-4324-AD4E-5DD8C200BD13}">
      <x15:tableSlicerCache tableId="16" column="2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sure" xr10:uid="{4999F85A-2223-4679-9645-EE02A3E6D24F}" sourceName="Measure">
  <extLst>
    <x:ext xmlns:x15="http://schemas.microsoft.com/office/spreadsheetml/2010/11/main" uri="{2F2917AC-EB37-4324-AD4E-5DD8C200BD13}">
      <x15:tableSlicerCache tableId="16"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3114BF9-F5C9-42AE-BB7D-446F3CFFCD61}" sourceName="Week">
  <extLst>
    <x:ext xmlns:x15="http://schemas.microsoft.com/office/spreadsheetml/2010/11/main" uri="{2F2917AC-EB37-4324-AD4E-5DD8C200BD13}">
      <x15:tableSlicerCache tableId="25"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2" xr10:uid="{EB06CEF1-22AB-45ED-91CC-0C52C0841FCA}" sourceName="Status">
  <extLst>
    <x:ext xmlns:x15="http://schemas.microsoft.com/office/spreadsheetml/2010/11/main" uri="{2F2917AC-EB37-4324-AD4E-5DD8C200BD13}">
      <x15:tableSlicerCache tableId="25" column="1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G1" xr10:uid="{C63C3325-7164-4CEE-A39F-9B999FC55418}" sourceName="RAG">
  <extLst>
    <x:ext xmlns:x15="http://schemas.microsoft.com/office/spreadsheetml/2010/11/main" uri="{2F2917AC-EB37-4324-AD4E-5DD8C200BD13}">
      <x15:tableSlicerCache tableId="33" column="9"/>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2" xr10:uid="{4FA7DAD9-D8BD-4403-9079-18D3CFFF2816}" sourceName="Type">
  <extLst>
    <x:ext xmlns:x15="http://schemas.microsoft.com/office/spreadsheetml/2010/11/main" uri="{2F2917AC-EB37-4324-AD4E-5DD8C200BD13}">
      <x15:tableSlicerCache tableId="19" column="4"/>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BS_ID1" xr10:uid="{B5852258-DEF0-4DC6-AE0E-5C5E37F0CAA2}" sourceName="WBS_ID">
  <extLst>
    <x:ext xmlns:x15="http://schemas.microsoft.com/office/spreadsheetml/2010/11/main" uri="{2F2917AC-EB37-4324-AD4E-5DD8C200BD13}">
      <x15:tableSlicerCache tableId="19" column="1"/>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3E70C9D4-6D9F-4F82-9679-1882EDAF3136}" sourceName="Role">
  <extLst>
    <x:ext xmlns:x15="http://schemas.microsoft.com/office/spreadsheetml/2010/11/main" uri="{2F2917AC-EB37-4324-AD4E-5DD8C200BD13}">
      <x15:tableSlicerCache tableId="20" column="3"/>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5ABA07D-0575-49CC-8591-402F90EFADFE}" sourceName="Month_Name">
  <extLst>
    <x:ext xmlns:x15="http://schemas.microsoft.com/office/spreadsheetml/2010/11/main" uri="{2F2917AC-EB37-4324-AD4E-5DD8C200BD13}">
      <x15:tableSlicerCache tableId="21" column="4"/>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umber" xr10:uid="{1CC86596-4EF7-45BA-9FDB-642713F3AE85}" sourceName="Week_Number">
  <extLst>
    <x:ext xmlns:x15="http://schemas.microsoft.com/office/spreadsheetml/2010/11/main" uri="{2F2917AC-EB37-4324-AD4E-5DD8C200BD13}">
      <x15:tableSlicerCache tableId="21" column="6"/>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BS_ID2" xr10:uid="{43BBB9FA-70F3-4583-AF80-31A7CAE92636}" sourceName="WBS_ID">
  <extLst>
    <x:ext xmlns:x15="http://schemas.microsoft.com/office/spreadsheetml/2010/11/main" uri="{2F2917AC-EB37-4324-AD4E-5DD8C200BD13}">
      <x15:tableSlicerCache tableId="22" column="2"/>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BS_ID3" xr10:uid="{AC3E8B5C-4337-44CD-9E7D-313538454A98}" sourceName="WBS_ID">
  <extLst>
    <x:ext xmlns:x15="http://schemas.microsoft.com/office/spreadsheetml/2010/11/main" uri="{2F2917AC-EB37-4324-AD4E-5DD8C200BD13}">
      <x15:tableSlicerCache tableId="23" column="2"/>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_ID" xr10:uid="{F65B7058-2295-4555-8550-3971863C2CC8}" sourceName="Resource_ID">
  <extLst>
    <x:ext xmlns:x15="http://schemas.microsoft.com/office/spreadsheetml/2010/11/main" uri="{2F2917AC-EB37-4324-AD4E-5DD8C200BD13}">
      <x15:tableSlicerCache tableId="23" column="3"/>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BS_ID4" xr10:uid="{B3F3DEF3-ECA3-4DF4-8E96-B9169CD35992}" sourceName="WBS_ID">
  <extLst>
    <x:ext xmlns:x15="http://schemas.microsoft.com/office/spreadsheetml/2010/11/main" uri="{2F2917AC-EB37-4324-AD4E-5DD8C200BD13}">
      <x15:tableSlicerCache tableId="24" column="2"/>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3" xr10:uid="{029D5D03-637D-4228-83FE-1FAA591D6F32}" sourceName="Type">
  <extLst>
    <x:ext xmlns:x15="http://schemas.microsoft.com/office/spreadsheetml/2010/11/main" uri="{2F2917AC-EB37-4324-AD4E-5DD8C200BD13}">
      <x15:tableSlicerCache tableId="12" column="4"/>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G2" xr10:uid="{AFD1565D-6FB6-4CA3-965E-87C6D0E170D4}" sourceName="RAG">
  <extLst>
    <x:ext xmlns:x15="http://schemas.microsoft.com/office/spreadsheetml/2010/11/main" uri="{2F2917AC-EB37-4324-AD4E-5DD8C200BD13}">
      <x15:tableSlicerCache tableId="3" column="5"/>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71BCD2B0-1E00-493A-89E1-9ADF0D9AD054}" sourceName="Owner">
  <extLst>
    <x:ext xmlns:x15="http://schemas.microsoft.com/office/spreadsheetml/2010/11/main" uri="{2F2917AC-EB37-4324-AD4E-5DD8C200BD13}">
      <x15:tableSlicerCache tableId="3" column="2"/>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G3" xr10:uid="{C3D7DC63-6929-4EFD-9810-CAFB78D1537B}" sourceName="RAG">
  <extLst>
    <x:ext xmlns:x15="http://schemas.microsoft.com/office/spreadsheetml/2010/11/main" uri="{2F2917AC-EB37-4324-AD4E-5DD8C200BD13}">
      <x15:tableSlicerCache tableId="5" column="5"/>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1" xr10:uid="{8A2A33FE-0528-4A16-94E4-CB629ABFDEA1}" sourceName="Owner">
  <extLst>
    <x:ext xmlns:x15="http://schemas.microsoft.com/office/spreadsheetml/2010/11/main" uri="{2F2917AC-EB37-4324-AD4E-5DD8C200BD13}">
      <x15:tableSlicerCache tableId="5" column="3"/>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3" xr10:uid="{F21B997F-66EA-4402-8782-66859560CB72}" sourceName="Status">
  <extLst>
    <x:ext xmlns:x15="http://schemas.microsoft.com/office/spreadsheetml/2010/11/main" uri="{2F2917AC-EB37-4324-AD4E-5DD8C200BD13}">
      <x15:tableSlicerCache tableId="7" column="7"/>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2" xr10:uid="{06D0C0C1-3947-4FA6-8EA7-35E4F8848911}" sourceName="Owner">
  <extLst>
    <x:ext xmlns:x15="http://schemas.microsoft.com/office/spreadsheetml/2010/11/main" uri="{2F2917AC-EB37-4324-AD4E-5DD8C200BD13}">
      <x15:tableSlicerCache tableId="7" column="6"/>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4" xr10:uid="{7C04AAE1-9669-4D4C-8D21-AAA7CB48AE8A}" sourceName="Status">
  <extLst>
    <x:ext xmlns:x15="http://schemas.microsoft.com/office/spreadsheetml/2010/11/main" uri="{2F2917AC-EB37-4324-AD4E-5DD8C200BD13}">
      <x15:tableSlicerCache tableId="8" column="4"/>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C3B18E-8E92-4571-9E28-4AE44F988BEA}" sourceName="Category">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_TaskPlan_Type" xr10:uid="{D0485D3C-CA07-462D-879B-2269DE455693}" cache="Slicer_Type" caption="Task Plan: Type" rowHeight="241300"/>
  <slicer name="slc_TaskPlan_Status" xr10:uid="{F985E0EC-2105-41B6-AAB2-75782993E703}" cache="Slicer_Status" caption="Task Plan: Status" rowHeight="241300"/>
  <slicer name="slc_TaskPlan_WBSID" xr10:uid="{7C41216C-B028-4A28-BDA0-B88291BF08FE}" cache="Slicer_WBS_ID" caption="Task Plan: WBS ID" rowHeight="241300"/>
  <slicer name="slc_Dashboard_Status" xr10:uid="{F7D2E437-B07C-4472-A694-23B701B65B36}" cache="Slicer_Status1" caption="Dashboard: Status" rowHeight="241300"/>
  <slicer name="slc_Dashboard_Type" xr10:uid="{FDB03EB0-0AB3-4A8E-9B24-56B241788AA0}" cache="Slicer_Type1" caption="Dashboard: Type" rowHeight="241300"/>
  <slicer name="slc_Resource_RAG" xr10:uid="{E631FDE2-034A-40F1-9F8D-7C646901B760}" cache="Slicer_RAG" caption="Resource Grid: RAG" rowHeight="241300"/>
  <slicer name="slc_Resource_Measure" xr10:uid="{8B634F5E-8E8A-4348-8A1A-0EC5452641F3}" cache="Slicer_Measure" caption="Resource Grid: Measure" rowHeight="241300"/>
  <slicer name="slc_EVM_Week" xr10:uid="{5A538365-CB4C-42BA-9A7D-2A3E84EBBD99}" cache="Slicer_Week" caption="EVM: Week" rowHeight="241300"/>
  <slicer name="slc_EVM_Status" xr10:uid="{5CBCD400-2AB3-4C91-85D1-31919BE3F276}" cache="Slicer_Status2" caption="EVM: Status" rowHeight="241300"/>
  <slicer name="slc_PERT_RAG" xr10:uid="{BD796967-D8E5-4601-BE7E-BBFEBB2264ED}" cache="Slicer_RAG1" caption="PERT: RAG" rowHeight="241300"/>
  <slicer name="slc_DimWBS_Type" xr10:uid="{B13671C0-ED4B-4F27-9978-0E29B780187D}" cache="Slicer_Type2" caption="WBS Master: Type" rowHeight="241300"/>
  <slicer name="slc_DimWBS_WBSID" xr10:uid="{A7D4159B-D7D4-43F4-8F7A-83B4CCF6A7E1}" cache="Slicer_WBS_ID1" caption="WBS Master: WBS ID" rowHeight="241300"/>
  <slicer name="slc_DimResource_Role" xr10:uid="{7A0757D2-E285-46BF-98C3-AE065B50BE21}" cache="Slicer_Role" caption="Resources: Role" rowHeight="241300"/>
  <slicer name="slc_Calendar_Month" xr10:uid="{72AA4E8E-88A9-4E71-913C-0C1E4DBEE64D}" cache="Slicer_Month_Name" caption="Calendar: Month" rowHeight="241300"/>
  <slicer name="slc_Calendar_Week" xr10:uid="{FB4F892D-4834-4D35-AEAC-00DCA2C9BD07}" cache="Slicer_Week_Number" caption="Calendar: Week" rowHeight="241300"/>
  <slicer name="slc_BaselinePV_WBSID" xr10:uid="{ECBFD552-F096-4735-BD33-20176B68E79A}" cache="Slicer_WBS_ID2" caption="Baseline PV: WBS ID" rowHeight="241300"/>
  <slicer name="slc_ActualCosts_WBSID" xr10:uid="{D801AEC2-169A-484F-9BFE-234228B437F2}" cache="Slicer_WBS_ID3" caption="Actual Costs: WBS ID" rowHeight="241300"/>
  <slicer name="slc_ActualCosts_ResourceID" xr10:uid="{4BA97FB0-8381-4FC6-9199-A03D8B8021D9}" cache="Slicer_Resource_ID" caption="Actual Costs: Resource" rowHeight="241300"/>
  <slicer name="slc_Progress_WBSID" xr10:uid="{131C383D-9E4B-4C24-AA41-F2F8CFAB37C3}" cache="Slicer_WBS_ID4" caption="Progress: WBS ID" rowHeight="241300"/>
  <slicer name="slc_TaskCapture_Type" xr10:uid="{A7C9FC9F-E719-420D-A765-47FBFA45B352}" cache="Slicer_Type3" caption="Task Capture: Type" rowHeight="241300"/>
  <slicer name="slc_Review_RAG" xr10:uid="{3D96E271-EBC7-4838-9DBC-8F2B43EEA4FB}" cache="Slicer_RAG2" caption="Review Actions: RAG" rowHeight="241300"/>
  <slicer name="slc_Review_Owner" xr10:uid="{D2AE88EA-F1CC-4F9D-806E-8B22F8F5C7F9}" cache="Slicer_Owner" caption="Review Actions: Owner" rowHeight="241300"/>
  <slicer name="slc_PIDRisk_RAG" xr10:uid="{3EB1BFC6-BBCE-439A-922B-B7465E2835C5}" cache="Slicer_RAG3" caption="PID Risks: RAG" rowHeight="241300"/>
  <slicer name="slc_PIDRisk_Owner" xr10:uid="{E8F4E54E-7F50-4702-9787-37897AC55D90}" cache="Slicer_Owner1" caption="PID Risks: Owner" rowHeight="241300"/>
  <slicer name="slc_Method_Status" xr10:uid="{8BD45337-A9B4-4AE2-A888-C3765B9F8B22}" cache="Slicer_Status3" caption="Method Roadmap: Status" rowHeight="241300"/>
  <slicer name="slc_Method_Owner" xr10:uid="{ECE2624D-A3D8-4D85-AE83-C4186C301FFA}" cache="Slicer_Owner2" caption="Method Roadmap: Owner" rowHeight="241300"/>
  <slicer name="slc_Compliance_Status" xr10:uid="{48706280-C9C0-45C3-919E-650096EDF6B8}" cache="Slicer_Status4" caption="PM-EVM: Status" rowHeight="241300"/>
  <slicer name="slc_Glossary_Category" xr10:uid="{4431F9AC-A85E-454F-9EC3-4E434CF7C40F}" cache="Slicer_Category" caption="Glossary: Category"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ADBFD-3557-4A8F-BEE6-67A7B4945B2D}" name="tbl_Cover_Contents" displayName="tbl_Cover_Contents" ref="A4:B21" totalsRowShown="0" headerRowDxfId="577" headerRowBorderDxfId="580" tableBorderDxfId="581">
  <autoFilter ref="A4:B21" xr:uid="{555ADBFD-3557-4A8F-BEE6-67A7B4945B2D}"/>
  <tableColumns count="2">
    <tableColumn id="1" xr3:uid="{9AA1F57E-2631-4871-BCB3-6091EDF83276}" name="Sheet" dataDxfId="579"/>
    <tableColumn id="2" xr3:uid="{8662DF81-8A84-47BF-982E-EE4E9096C1D2}" name="Purpose" dataDxfId="57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880F2F-2461-4202-B79D-A647D070322B}" name="tbl_Glossary" displayName="tbl_Glossary" ref="A4:E38" totalsRowShown="0" headerRowDxfId="568" dataDxfId="569" headerRowBorderDxfId="575" tableBorderDxfId="576">
  <autoFilter ref="A4:E38" xr:uid="{80880F2F-2461-4202-B79D-A647D070322B}"/>
  <tableColumns count="5">
    <tableColumn id="1" xr3:uid="{D04566AD-88AE-429C-83D0-8E7DE9C9DE24}" name="Category" dataDxfId="574"/>
    <tableColumn id="2" xr3:uid="{FF0A71EB-4E1F-42DF-8598-1EC5DE3AAC83}" name="Term" dataDxfId="573"/>
    <tableColumn id="3" xr3:uid="{30F5852F-1ADA-473C-A0B4-556DB51BC6A6}" name="Abbrev." dataDxfId="572"/>
    <tableColumn id="4" xr3:uid="{193C72F6-EF49-4325-ADCE-A372EE15560D}" name="Definition" dataDxfId="571"/>
    <tableColumn id="5" xr3:uid="{04207D49-DE5C-478D-A105-48054BA896B0}" name="Workbook reference" dataDxfId="57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B17E8D-EB0A-4ADC-9CAF-BA6A272B17EF}" name="tbl_Review_ActionLog" displayName="tbl_Review_ActionLog" ref="A20:F25" totalsRowShown="0" headerRowDxfId="558" headerRowBorderDxfId="566" tableBorderDxfId="567" totalsRowBorderDxfId="565">
  <autoFilter ref="A20:F25" xr:uid="{C4B17E8D-EB0A-4ADC-9CAF-BA6A272B17EF}"/>
  <tableColumns count="6">
    <tableColumn id="1" xr3:uid="{D2B6F38F-44C5-4463-A7C0-9DF402F8C1F7}" name="BETTER / ACTION LOG" dataDxfId="564"/>
    <tableColumn id="2" xr3:uid="{8692DE21-F670-4074-A914-6DCA6F5B2A90}" name="Owner" dataDxfId="563"/>
    <tableColumn id="3" xr3:uid="{18E27CD5-F643-4564-AF16-9674C664C8D5}" name="Due date" dataDxfId="562"/>
    <tableColumn id="4" xr3:uid="{63FF924B-5664-4C72-8A72-F14B850E0A9A}" name="Decision required?" dataDxfId="561"/>
    <tableColumn id="5" xr3:uid="{A6461FDC-1D0A-40E2-9A96-C53525095797}" name="RAG" dataDxfId="560"/>
    <tableColumn id="6" xr3:uid="{AABF7162-D6E5-4C28-9EC5-B23725514229}" name="Linked workbook evidence" dataDxfId="559"/>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6BC125-2632-486E-A210-381A2A8A056D}" name="tbl_PID_ProjectControls" displayName="tbl_PID_ProjectControls" ref="A53:E56" totalsRowShown="0" headerRowDxfId="549" headerRowBorderDxfId="556" tableBorderDxfId="557" totalsRowBorderDxfId="555">
  <autoFilter ref="A53:E56" xr:uid="{1F6BC125-2632-486E-A210-381A2A8A056D}"/>
  <tableColumns count="5">
    <tableColumn id="1" xr3:uid="{7B221DD2-2499-477D-82D8-0EE2165FEB06}" name="Frequency / timing" dataDxfId="554"/>
    <tableColumn id="2" xr3:uid="{2D214F6F-A316-4259-9CBC-B71989AA16F8}" name="How control is reported" dataDxfId="553"/>
    <tableColumn id="3" xr3:uid="{40F2D768-84DB-4EDB-8BD8-86207FFF63AC}" name="Responsibility" dataDxfId="552"/>
    <tableColumn id="4" xr3:uid="{28C3C607-FFF9-4209-99E8-45BB8F8EE10B}" name="Next report date" dataDxfId="551"/>
    <tableColumn id="5" xr3:uid="{A1ED75B9-AFEE-48E3-84A4-852AFA126B53}" name="Status" dataDxfId="550"/>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1A6BA7-1D52-46AE-BC79-A3B345AB747A}" name="tbl_PID_RiskControl" displayName="tbl_PID_RiskControl" ref="A63:E69" totalsRowShown="0" headerRowDxfId="540" headerRowBorderDxfId="547" tableBorderDxfId="548" totalsRowBorderDxfId="546">
  <autoFilter ref="A63:E69" xr:uid="{551A6BA7-1D52-46AE-BC79-A3B345AB747A}"/>
  <tableColumns count="5">
    <tableColumn id="1" xr3:uid="{82575EA4-6D7F-4B44-AE84-DE3CC5A831A2}" name="Project Risk" dataDxfId="545"/>
    <tableColumn id="2" xr3:uid="{831D2B18-D128-4F5A-BAE1-2850C23915A2}" name="Containment Measures" dataDxfId="544"/>
    <tableColumn id="3" xr3:uid="{3B56A36E-5F26-45A6-98ED-FF0E2AE383AB}" name="Owner" dataDxfId="543"/>
    <tableColumn id="4" xr3:uid="{34EA0782-FE13-466F-AEF2-79E31A2389EA}" name="Due Date" dataDxfId="542"/>
    <tableColumn id="5" xr3:uid="{7D4E1AB4-DE67-42C4-9243-8C49BA74E91A}" name="RAG" dataDxfId="541"/>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8AC8D0-1D6F-4D35-9EC3-512BC9FF6838}" name="tbl_PID_Financials" displayName="tbl_PID_Financials" ref="A74:F79" totalsRowShown="0" headerRowDxfId="530" headerRowBorderDxfId="538" tableBorderDxfId="539" totalsRowBorderDxfId="537">
  <autoFilter ref="A74:F79" xr:uid="{408AC8D0-1D6F-4D35-9EC3-512BC9FF6838}"/>
  <tableColumns count="6">
    <tableColumn id="1" xr3:uid="{26B5D6A3-ADA3-4D0F-BE1D-215649C92814}" name="Financial Implications" dataDxfId="536"/>
    <tableColumn id="2" xr3:uid="{9516D424-C3BD-4156-8FCB-E09437CCC702}" name="Q1" dataDxfId="535"/>
    <tableColumn id="3" xr3:uid="{5FFF61B3-B688-4E67-8512-A1E790CACA8D}" name="Q2" dataDxfId="534"/>
    <tableColumn id="4" xr3:uid="{0FA2EF72-651F-429E-B4D1-41377B8F2795}" name="Q3" dataDxfId="533"/>
    <tableColumn id="5" xr3:uid="{FBCCB272-E0E8-4075-88CE-BEE79020AAAD}" name="Q4" dataDxfId="532"/>
    <tableColumn id="6" xr3:uid="{F97F513B-FD08-439B-8A92-52B94C9D36A3}" name="Total" dataDxfId="531">
      <calculatedColumnFormula>SUM(B75:E75)</calculatedColumnFormula>
    </tableColum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C6895C-84A2-4640-84DA-93A2C2847D2D}" name="tbl_Method_Roadmap" displayName="tbl_Method_Roadmap" ref="A4:H16" totalsRowShown="0" headerRowDxfId="518" headerRowBorderDxfId="528" tableBorderDxfId="529" totalsRowBorderDxfId="527">
  <autoFilter ref="A4:H16" xr:uid="{13C6895C-84A2-4640-84DA-93A2C2847D2D}"/>
  <tableColumns count="8">
    <tableColumn id="1" xr3:uid="{BC0A3C32-135B-4423-9145-3B36E0BCBF9B}" name="Step" dataDxfId="526"/>
    <tableColumn id="2" xr3:uid="{24A3EA31-F972-4B99-9D76-178ACCF81D94}" name="Method step" dataDxfId="525"/>
    <tableColumn id="3" xr3:uid="{019DB3BD-F1BD-4A96-9F30-84D2085ED41A}" name="Purpose" dataDxfId="524"/>
    <tableColumn id="4" xr3:uid="{5E81FC3A-F390-4AC6-93F0-308673B90888}" name="Workbook implementation" dataDxfId="523"/>
    <tableColumn id="5" xr3:uid="{E51CAA23-CB28-4DC1-A181-5D05949F1668}" name="Primary sheet / range" dataDxfId="522"/>
    <tableColumn id="6" xr3:uid="{EB5C66C1-8117-49D2-A518-4CD1614A892C}" name="Owner" dataDxfId="521"/>
    <tableColumn id="7" xr3:uid="{076B14A6-A8B2-48FE-8B90-022278A59165}" name="Status" dataDxfId="520"/>
    <tableColumn id="8" xr3:uid="{DE33989E-224C-4B1F-A467-8BFD82CB0F72}" name="Source" dataDxfId="519"/>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6A79AD-09F9-4F30-BE67-3FE15742DCE6}" name="tbl_PMEVM_Compliance" displayName="tbl_PMEVM_Compliance" ref="A4:E13" totalsRowShown="0" headerRowDxfId="509" headerRowBorderDxfId="516" tableBorderDxfId="517" totalsRowBorderDxfId="515">
  <autoFilter ref="A4:E13" xr:uid="{C46A79AD-09F9-4F30-BE67-3FE15742DCE6}"/>
  <tableColumns count="5">
    <tableColumn id="1" xr3:uid="{D3C0AA4C-9369-440C-B0F3-FBCE17EEA70A}" name="Guideline requirement" dataDxfId="514"/>
    <tableColumn id="2" xr3:uid="{B332FECF-D19B-48A6-9995-2A3F1ECEAB01}" name="Workbook implementation" dataDxfId="513"/>
    <tableColumn id="3" xr3:uid="{080860FF-9F7A-4B0B-B4A9-991DAD17BEFC}" name="Location" dataDxfId="512"/>
    <tableColumn id="4" xr3:uid="{524B4B6D-B193-4D62-A0C7-2A8254F2D6B0}" name="Status" dataDxfId="511"/>
    <tableColumn id="5" xr3:uid="{D10E3896-5A0D-4392-B20A-C6B39359BD04}" name="Evidence" dataDxfId="510"/>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5AC3B5-5152-41F6-AE96-23FD0BB48108}" name="tbl_Setup_Controls" displayName="tbl_Setup_Controls" ref="A4:B15" totalsRowShown="0" headerRowDxfId="503" headerRowBorderDxfId="507" tableBorderDxfId="508" totalsRowBorderDxfId="506">
  <autoFilter ref="A4:B15" xr:uid="{CC5AC3B5-5152-41F6-AE96-23FD0BB48108}"/>
  <tableColumns count="2">
    <tableColumn id="1" xr3:uid="{AB30D5E6-BB65-4079-BDD1-4B0D131DCB8F}" name="Control" dataDxfId="505"/>
    <tableColumn id="2" xr3:uid="{54C17390-64A8-4705-BD56-C87D393D8878}" name="Value" dataDxfId="504"/>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C741553-B9D6-42BA-B965-A1DF0A66EE13}" name="tbl_Setup_RAG" displayName="tbl_Setup_RAG" ref="A17:D20" totalsRowShown="0" headerRowDxfId="496" headerRowBorderDxfId="501" tableBorderDxfId="502" totalsRowBorderDxfId="500">
  <autoFilter ref="A17:D20" xr:uid="{7C741553-B9D6-42BA-B965-A1DF0A66EE13}"/>
  <tableColumns count="4">
    <tableColumn id="1" xr3:uid="{6B8A04B2-4CCC-4474-AE41-72536D5C7D64}" name="RAG"/>
    <tableColumn id="2" xr3:uid="{D3250E46-61FA-4811-93C7-194FBBCC579B}" name="Metric" dataDxfId="499"/>
    <tableColumn id="3" xr3:uid="{8DC7554D-BFAA-4B81-9B07-E209C53089C5}" name="Rule" dataDxfId="498"/>
    <tableColumn id="4" xr3:uid="{BFA27579-3E67-41D6-B7F2-025F4FA94C3B}" name="Interpretation" dataDxfId="497"/>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8B73ED7-EC1B-4344-9374-361737D95087}" name="tbl_Task_Plan" displayName="tbl_Task_Plan" ref="A4:T16" totalsRowShown="0" headerRowDxfId="472" headerRowBorderDxfId="494" tableBorderDxfId="495" totalsRowBorderDxfId="493">
  <autoFilter ref="A4:T16" xr:uid="{A8B73ED7-EC1B-4344-9374-361737D95087}"/>
  <tableColumns count="20">
    <tableColumn id="1" xr3:uid="{23AF37AD-ABCA-4160-B904-E0A30B9EEFCE}" name="WBS ID" dataDxfId="492">
      <calculatedColumnFormula>Dim_WBS!A2</calculatedColumnFormula>
    </tableColumn>
    <tableColumn id="2" xr3:uid="{1A6806B3-7848-4BF9-B831-348C7D10947B}" name="WBS Code" dataDxfId="491">
      <calculatedColumnFormula>Dim_WBS!B2</calculatedColumnFormula>
    </tableColumn>
    <tableColumn id="3" xr3:uid="{289C04DB-27E8-419A-A941-A58EDF555A37}" name="Task / Activity" dataDxfId="490">
      <calculatedColumnFormula>Dim_WBS!C2</calculatedColumnFormula>
    </tableColumn>
    <tableColumn id="4" xr3:uid="{5C1706FB-A7F8-4E77-BB80-2B4DD2275A83}" name="Type" dataDxfId="489">
      <calculatedColumnFormula>Dim_WBS!D2</calculatedColumnFormula>
    </tableColumn>
    <tableColumn id="5" xr3:uid="{EE696BC4-506B-4CB3-A14F-8E2B19C22116}" name="Baseline Start" dataDxfId="488">
      <calculatedColumnFormula>_xlfn.MINIFS(Fact_Baseline_PV!$A:$A,Fact_Baseline_PV!$B:$B,A5)</calculatedColumnFormula>
    </tableColumn>
    <tableColumn id="6" xr3:uid="{1E35814E-DD4E-4710-BD8B-06AAB42A3936}" name="Baseline Finish" dataDxfId="487">
      <calculatedColumnFormula>_xlfn.MAXIFS(Fact_Baseline_PV!$A:$A,Fact_Baseline_PV!$B:$B,A5)+6</calculatedColumnFormula>
    </tableColumn>
    <tableColumn id="7" xr3:uid="{041B9B3A-19EA-4997-B567-73A44CB42353}" name="Duration Days" dataDxfId="486">
      <calculatedColumnFormula>F5-E5+1</calculatedColumnFormula>
    </tableColumn>
    <tableColumn id="8" xr3:uid="{96977600-613F-4569-B1FB-9EBF15B38AB6}" name="BAC (NOK)" dataDxfId="485">
      <calculatedColumnFormula>Dim_WBS!E2</calculatedColumnFormula>
    </tableColumn>
    <tableColumn id="9" xr3:uid="{25D00855-87F4-47E5-8BA6-766F142CB407}" name="PV @ Status" dataDxfId="484">
      <calculatedColumnFormula>SUMIFS(Fact_Baseline_PV!$C:$C,Fact_Baseline_PV!$B:$B,A5,Fact_Baseline_PV!$A:$A,"&lt;="&amp;Setup!$B$9)</calculatedColumnFormula>
    </tableColumn>
    <tableColumn id="10" xr3:uid="{9821D54A-3763-4755-903E-E294902CADED}" name="AC @ Status" dataDxfId="483">
      <calculatedColumnFormula>SUMIFS(Fact_Actual_Costs!$D:$D,Fact_Actual_Costs!$B:$B,A5,Fact_Actual_Costs!$A:$A,"&lt;="&amp;Setup!$B$9)</calculatedColumnFormula>
    </tableColumn>
    <tableColumn id="11" xr3:uid="{526732E3-85B3-4161-B9D8-8850C3C9187B}" name="Progress %" dataDxfId="482">
      <calculatedColumnFormula array="1">IFERROR(LOOKUP(2,1/(Fact_Physical_Progress!$B$2:$B$35=A5)/(Fact_Physical_Progress!$A$2:$A$35&lt;=Setup!$B$9),Fact_Physical_Progress!$C$2:$C$35),0)</calculatedColumnFormula>
    </tableColumn>
    <tableColumn id="12" xr3:uid="{14BDAAA5-ED97-44DB-AE4F-CB36990388DA}" name="EV @ Status" dataDxfId="481">
      <calculatedColumnFormula>H5*K5</calculatedColumnFormula>
    </tableColumn>
    <tableColumn id="13" xr3:uid="{78D50F99-E327-444B-987F-1152D5D327B3}" name="SV" dataDxfId="480">
      <calculatedColumnFormula>L5-I5</calculatedColumnFormula>
    </tableColumn>
    <tableColumn id="14" xr3:uid="{5258C306-778F-403E-B1D6-332A6D4186C6}" name="CV" dataDxfId="479">
      <calculatedColumnFormula>L5-J5</calculatedColumnFormula>
    </tableColumn>
    <tableColumn id="15" xr3:uid="{13EDB876-33BD-48A2-8F60-003A16A6D520}" name="SPI" dataDxfId="478">
      <calculatedColumnFormula>IFERROR(L5/I5,1)</calculatedColumnFormula>
    </tableColumn>
    <tableColumn id="16" xr3:uid="{100517D0-3346-4E63-89D5-5407EF7C0667}" name="CPI" dataDxfId="477">
      <calculatedColumnFormula>IFERROR(L5/J5,1)</calculatedColumnFormula>
    </tableColumn>
    <tableColumn id="17" xr3:uid="{A9E5EF02-0A45-4AF9-B4C8-9A64DA54AD18}" name="EAC" dataDxfId="476">
      <calculatedColumnFormula>IF(P5&gt;0,H5/P5,H5)</calculatedColumnFormula>
    </tableColumn>
    <tableColumn id="18" xr3:uid="{AC1B4B9D-D921-437C-BF59-CED73FBD2299}" name="ETC" dataDxfId="475">
      <calculatedColumnFormula>Q5-J5</calculatedColumnFormula>
    </tableColumn>
    <tableColumn id="19" xr3:uid="{E8EFA183-1170-4AA7-B624-19A927A1EB95}" name="VAC" dataDxfId="474">
      <calculatedColumnFormula>H5-Q5</calculatedColumnFormula>
    </tableColumn>
    <tableColumn id="20" xr3:uid="{6D9A8211-DA22-4946-B401-0EFF30CA809F}" name="Status" dataDxfId="473">
      <calculatedColumnFormula>IF(OR(N5&lt;0,P5&lt;Setup!$B$12,O5&lt;Setup!$B$12),"Red",IF(OR(P5&lt;Setup!$B$13,O5&lt;Setup!$B$13),"Amber","Green"))</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B3BF1FC-3521-4498-9DC7-B614449C4B9E}" name="tbl_Task_Capture" displayName="tbl_Task_Capture" ref="A4:J18" totalsRowShown="0" headerRowDxfId="458" headerRowBorderDxfId="470" tableBorderDxfId="471" totalsRowBorderDxfId="469">
  <autoFilter ref="A4:J18" xr:uid="{8B3BF1FC-3521-4498-9DC7-B614449C4B9E}"/>
  <tableColumns count="10">
    <tableColumn id="1" xr3:uid="{73949DBC-63B5-4F11-BA64-EB32BEA63E9D}" name="Phase / Area" dataDxfId="468"/>
    <tableColumn id="2" xr3:uid="{F4131EF2-F218-4109-8189-B6745F8F1B3E}" name="Task" dataDxfId="467"/>
    <tableColumn id="3" xr3:uid="{88A2F2D0-BC75-4A71-B3DD-D7DB6C366B42}" name="WBS ID" dataDxfId="466"/>
    <tableColumn id="4" xr3:uid="{81F701EA-E496-4918-9004-5AC1D4B7A8E4}" name="Type" dataDxfId="465"/>
    <tableColumn id="5" xr3:uid="{44964691-EB52-4D0C-A8D1-A7FB37F3E792}" name="Included?" dataDxfId="464"/>
    <tableColumn id="6" xr3:uid="{0C103FE4-5098-4AA5-95F9-1611A6FE0D8B}" name="Event / Milestone?" dataDxfId="463"/>
    <tableColumn id="7" xr3:uid="{9EB72AA6-03CA-43A5-AB07-F0FBCFF13267}" name="Owner" dataDxfId="462"/>
    <tableColumn id="8" xr3:uid="{81D3280F-F26B-445B-ACAD-0FB017D23506}" name="Notes" dataDxfId="461"/>
    <tableColumn id="9" xr3:uid="{5353B1FF-B0F7-446A-917A-7E4185560206}" name="Source / next action" dataDxfId="460"/>
    <tableColumn id="10" xr3:uid="{9CD533E0-BF57-4657-9ED2-B761DA497648}" name="Mapped to Task Plan" dataDxfId="459"/>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3CB3B27-F20F-4656-84AD-F1B8341751E2}" name="tbl_Dashboard_RAGLegend" displayName="tbl_Dashboard_RAGLegend" ref="N4:P7" totalsRowShown="0" headerRowDxfId="452" headerRowBorderDxfId="456" tableBorderDxfId="457" totalsRowBorderDxfId="455">
  <autoFilter ref="N4:P7" xr:uid="{F3CB3B27-F20F-4656-84AD-F1B8341751E2}"/>
  <tableColumns count="3">
    <tableColumn id="1" xr3:uid="{BEB52EA8-46E6-44F4-BA2C-1420CA9942F8}" name="RAG Legend"/>
    <tableColumn id="2" xr3:uid="{30BF6AFC-D7E0-4650-83FD-78E502FEAEC2}" name="Rule" dataDxfId="454"/>
    <tableColumn id="3" xr3:uid="{173226B8-4D7C-45E6-B9FE-EF7479F2AB34}" name="Meaning" dataDxfId="45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383144B-B157-4D70-8F19-284C74128CC0}" name="tbl_Dashboard_WBSPerformance" displayName="tbl_Dashboard_WBSPerformance" ref="A17:P29" totalsRowShown="0" tableBorderDxfId="451">
  <autoFilter ref="A17:P29" xr:uid="{4383144B-B157-4D70-8F19-284C74128CC0}"/>
  <tableColumns count="16">
    <tableColumn id="1" xr3:uid="{63E440F4-AC53-41AB-B621-0B2D59B0E21A}" name="WBS ID" dataDxfId="450">
      <calculatedColumnFormula>'Task Plan'!A5</calculatedColumnFormula>
    </tableColumn>
    <tableColumn id="2" xr3:uid="{101BE563-ECD8-4A4F-8DF8-797A88851792}" name="Activity Name" dataDxfId="449">
      <calculatedColumnFormula>'Task Plan'!C5</calculatedColumnFormula>
    </tableColumn>
    <tableColumn id="3" xr3:uid="{357B49B9-DA06-4109-A947-8DCCEFE7706D}" name="Type" dataDxfId="448">
      <calculatedColumnFormula>'Task Plan'!D5</calculatedColumnFormula>
    </tableColumn>
    <tableColumn id="4" xr3:uid="{5877DC7D-F4E5-46A6-9644-07C485403C17}" name="Budget (BAC)" dataDxfId="447">
      <calculatedColumnFormula>'Task Plan'!H5</calculatedColumnFormula>
    </tableColumn>
    <tableColumn id="5" xr3:uid="{F730ADE1-ABC0-43BA-95F8-0ED40DC3232B}" name="Planned Value (PV)" dataDxfId="446">
      <calculatedColumnFormula>'Task Plan'!I5</calculatedColumnFormula>
    </tableColumn>
    <tableColumn id="6" xr3:uid="{AD3D309E-B687-46EC-A327-7F8C6EA3767B}" name="Actual Cost (AC)" dataDxfId="445">
      <calculatedColumnFormula>'Task Plan'!J5</calculatedColumnFormula>
    </tableColumn>
    <tableColumn id="7" xr3:uid="{42FE61E0-F814-425A-AA60-208DB51F63CA}" name="Progress %" dataDxfId="444">
      <calculatedColumnFormula>'Task Plan'!K5</calculatedColumnFormula>
    </tableColumn>
    <tableColumn id="8" xr3:uid="{76712897-F274-4D82-9E65-BB0AB6E81B98}" name="Earned Value (EV)" dataDxfId="443">
      <calculatedColumnFormula>'Task Plan'!L5</calculatedColumnFormula>
    </tableColumn>
    <tableColumn id="9" xr3:uid="{E7E8E15A-B7BB-42C8-9BEA-F230F5952B28}" name="CV" dataDxfId="442">
      <calculatedColumnFormula>'Task Plan'!N5</calculatedColumnFormula>
    </tableColumn>
    <tableColumn id="10" xr3:uid="{AE72A5A6-87CE-4EB9-8571-D293129DD8F1}" name="SV" dataDxfId="441">
      <calculatedColumnFormula>'Task Plan'!M5</calculatedColumnFormula>
    </tableColumn>
    <tableColumn id="11" xr3:uid="{526D7A01-48D5-4137-8935-EC2EB284619D}" name="CPI" dataDxfId="440">
      <calculatedColumnFormula>'Task Plan'!P5</calculatedColumnFormula>
    </tableColumn>
    <tableColumn id="12" xr3:uid="{4294318B-A4EC-4C31-BD07-AFD36E3E0589}" name="SPI" dataDxfId="439">
      <calculatedColumnFormula>'Task Plan'!O5</calculatedColumnFormula>
    </tableColumn>
    <tableColumn id="13" xr3:uid="{D1958483-F25F-42F2-92D9-C13F9BB723C2}" name="EAC" dataDxfId="438">
      <calculatedColumnFormula>'Task Plan'!Q5</calculatedColumnFormula>
    </tableColumn>
    <tableColumn id="14" xr3:uid="{E436CED5-DD3D-4E51-996C-013FCB0235C8}" name="ETC" dataDxfId="437">
      <calculatedColumnFormula>'Task Plan'!R5</calculatedColumnFormula>
    </tableColumn>
    <tableColumn id="15" xr3:uid="{97AF8667-6081-4A7F-9B3E-6622D4AF8292}" name="VAC" dataDxfId="436">
      <calculatedColumnFormula>'Task Plan'!S5</calculatedColumnFormula>
    </tableColumn>
    <tableColumn id="16" xr3:uid="{3E0059EC-C20C-46A3-9EA0-E51A6F7C8CCB}" name="Status" dataDxfId="435">
      <calculatedColumnFormula>IF('Task Plan'!T5="Red","🔴 Overrun",IF('Task Plan'!T5="Amber","🟡 Warning","On Track"))</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160B2D-7E1F-48F1-AE1F-19E9CA6863F0}" name="tbl_Dashboard_WeeklyTrends" displayName="tbl_Dashboard_WeeklyTrends" ref="A35:K47" totalsRowShown="0" headerRowDxfId="419" dataDxfId="420" headerRowBorderDxfId="433" tableBorderDxfId="434" totalsRowBorderDxfId="432">
  <autoFilter ref="A35:K47" xr:uid="{85160B2D-7E1F-48F1-AE1F-19E9CA6863F0}"/>
  <tableColumns count="11">
    <tableColumn id="1" xr3:uid="{0E62C4CF-326C-494A-8CA0-C9C6F921BBAF}" name="Week" dataDxfId="431"/>
    <tableColumn id="2" xr3:uid="{40CD302F-7B13-45D5-8426-C4215C59B752}" name="Week Date" dataDxfId="430"/>
    <tableColumn id="3" xr3:uid="{083EB43E-686C-418A-9992-08D310779B8D}" name="Weekly PV" dataDxfId="429">
      <calculatedColumnFormula>SUMIFS(Fact_Baseline_PV!C:C, Fact_Baseline_PV!A:A, B36)</calculatedColumnFormula>
    </tableColumn>
    <tableColumn id="4" xr3:uid="{D8C685D7-2854-4941-933F-E5D3C3767412}" name="Cum PV" dataDxfId="428">
      <calculatedColumnFormula>SUM(C$36:C36)</calculatedColumnFormula>
    </tableColumn>
    <tableColumn id="5" xr3:uid="{0F2E92BD-495B-496D-BCB6-602F0B52B2D4}" name="Weekly AC" dataDxfId="427">
      <calculatedColumnFormula>SUMIFS(Fact_Actual_Costs!D:D, Fact_Actual_Costs!A:A, "&gt;="&amp;B36, Fact_Actual_Costs!A:A, "&lt;="&amp;B36+6)</calculatedColumnFormula>
    </tableColumn>
    <tableColumn id="6" xr3:uid="{55BCDD1C-10CC-4086-BA13-A16742434F8F}" name="Cum AC" dataDxfId="426">
      <calculatedColumnFormula>SUM(E$36:E36)</calculatedColumnFormula>
    </tableColumn>
    <tableColumn id="7" xr3:uid="{D9BC8EAA-2F51-4375-8B72-75F7C9C5D9A1}" name="Cum EV" dataDxfId="425">
      <calculatedColumnFormula>SUMPRODUCT(Dim_WBS!$E$2:$E$13, SUMIFS(Fact_Physical_Progress!$C$2:$C$100, Fact_Physical_Progress!$B$2:$B$100, Dim_WBS!$A$2:$A$13, Fact_Physical_Progress!$A$2:$A$100, "&lt;="&amp;B36+4))</calculatedColumnFormula>
    </tableColumn>
    <tableColumn id="8" xr3:uid="{05772D4E-B117-42BE-962B-938D5EB41C8B}" name="CV" dataDxfId="424">
      <calculatedColumnFormula>G36-F36</calculatedColumnFormula>
    </tableColumn>
    <tableColumn id="9" xr3:uid="{ADB1378F-8EC5-4885-ABF2-E04A1540E334}" name="SV" dataDxfId="423">
      <calculatedColumnFormula>G36-D36</calculatedColumnFormula>
    </tableColumn>
    <tableColumn id="10" xr3:uid="{AF16E6CC-C970-469C-B045-33269BA7C832}" name="CPI" dataDxfId="422">
      <calculatedColumnFormula>IF(F36&gt;0, G36/F36, 1)</calculatedColumnFormula>
    </tableColumn>
    <tableColumn id="11" xr3:uid="{C84ABD42-DF5E-4036-BA58-CEF141D95FF5}" name="SPI" dataDxfId="421">
      <calculatedColumnFormula>IF(D36&gt;0, G36/D36, 1)</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B2CA311-73CD-4B25-943B-DF60907580B5}" name="tbl_Red_Action_Recommendations" displayName="tbl_Red_Action_Recommendations" ref="A13:H21" totalsRowShown="0" headerRowDxfId="202" dataDxfId="201">
  <autoFilter ref="A13:H21" xr:uid="{1B2CA311-73CD-4B25-943B-DF60907580B5}"/>
  <tableColumns count="8">
    <tableColumn id="1" xr3:uid="{3072F26D-7902-40F8-92D9-FB1F9716F983}" name="Priority" dataDxfId="209"/>
    <tableColumn id="2" xr3:uid="{1AAA22FB-7326-45F5-B070-7300D7FA7F6F}" name="WBS ID" dataDxfId="208"/>
    <tableColumn id="3" xr3:uid="{52265D79-A7DB-4588-B390-2636FC8936D7}" name="Activity" dataDxfId="207">
      <calculatedColumnFormula>_xlfn.XLOOKUP(B14,tbl_Task_Plan[WBS ID],tbl_Task_Plan[Task / Activity],"")</calculatedColumnFormula>
    </tableColumn>
    <tableColumn id="4" xr3:uid="{000994A5-2AF2-4D98-A03B-49BD085189ED}" name="Red driver" dataDxfId="206"/>
    <tableColumn id="5" xr3:uid="{28A0E975-2B58-4EEC-B00D-1F21D6D86E0D}" name="Live evidence" dataDxfId="205">
      <calculatedColumnFormula>TEXT(_xlfn.XLOOKUP(B14,tbl_Task_Plan[WBS ID],tbl_Task_Plan[Progress %]),"0%")&amp;" complete; SPI "&amp;TEXT(_xlfn.XLOOKUP(B14,tbl_Task_Plan[WBS ID],tbl_Task_Plan[SPI]),"0.00")&amp;"; CPI "&amp;TEXT(_xlfn.XLOOKUP(B14,tbl_Task_Plan[WBS ID],tbl_Task_Plan[CPI]),"0.00")&amp;"; SV "&amp;TEXT(_xlfn.XLOOKUP(B14,tbl_Task_Plan[WBS ID],tbl_Task_Plan[SV]),"#,##0")&amp;" NOK"</calculatedColumnFormula>
    </tableColumn>
    <tableColumn id="6" xr3:uid="{A23DA49E-44EC-4CD1-82DF-FB70B8DBF219}" name="Recommended action" dataDxfId="204"/>
    <tableColumn id="7" xr3:uid="{885C4AD9-9187-4411-B3D1-CB05A084715C}" name="Owner" dataDxfId="203"/>
    <tableColumn id="8" xr3:uid="{77239A96-1404-4D36-8F05-9C937A61EE8A}" name="Due date" dataDxfId="200"/>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3885176-F0A8-40D4-8AE6-7E0CB3234F01}" name="tbl_Pivot_DescriptiveStats" displayName="tbl_Pivot_DescriptiveStats" ref="A13:G23" totalsRowShown="0" headerRowDxfId="25" dataDxfId="24">
  <autoFilter ref="A13:G23" xr:uid="{A3885176-F0A8-40D4-8AE6-7E0CB3234F01}"/>
  <tableColumns count="7">
    <tableColumn id="1" xr3:uid="{AB975420-CE6C-4AB5-81B9-B1D193E54982}" name="Metric" dataDxfId="32"/>
    <tableColumn id="2" xr3:uid="{FED4432F-E16E-4CA7-89E7-2F5D6DD2E60C}" name="Count" dataDxfId="31"/>
    <tableColumn id="3" xr3:uid="{AF9F5F22-870F-4871-93B0-2CBFC4DD7177}" name="Mean" dataDxfId="30"/>
    <tableColumn id="4" xr3:uid="{ABE12FC9-4D20-4524-9240-EA9B0296E103}" name="Median" dataDxfId="29"/>
    <tableColumn id="5" xr3:uid="{63C00985-564E-4E34-AE41-54519B55AD85}" name="Std Dev" dataDxfId="28"/>
    <tableColumn id="6" xr3:uid="{AB806B6C-510C-45A2-9087-DA8BE777FB00}" name="Min" dataDxfId="27"/>
    <tableColumn id="7" xr3:uid="{F63290EE-C223-484C-A0E6-AB16C34713B8}" name="Max" dataDxfId="2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9C3E4F6-D288-45A4-8815-80B321FA6545}" name="tbl_Resource_WeeklyGrid" displayName="tbl_Resource_WeeklyGrid" ref="A4:X28" totalsRowShown="0" headerRowDxfId="391" headerRowBorderDxfId="417" tableBorderDxfId="418" totalsRowBorderDxfId="416">
  <autoFilter ref="A4:X28" xr:uid="{49C3E4F6-D288-45A4-8815-80B321FA6545}"/>
  <tableColumns count="24">
    <tableColumn id="1" xr3:uid="{E5BE5374-8E2D-4FEE-8B19-9328C4649BD8}" name="WBS ID" dataDxfId="415"/>
    <tableColumn id="2" xr3:uid="{EB1B1CEB-A5EE-4455-9691-B1787ED6533F}" name="Activity" dataDxfId="414"/>
    <tableColumn id="3" xr3:uid="{5CF953F5-20E3-457B-B519-E3844EBECF7E}" name="Resource / Role" dataDxfId="413"/>
    <tableColumn id="4" xr3:uid="{EF4E4D33-6B09-4A39-A99D-A7EF16FF790E}" name="Measure" dataDxfId="412"/>
    <tableColumn id="5" xr3:uid="{B0DA2526-A159-40E9-BE39-1D251444BE26}" name="Wk1" dataDxfId="411"/>
    <tableColumn id="6" xr3:uid="{B5510C82-F659-4EF1-9B8F-5B7B06E9F03D}" name="Wk2" dataDxfId="410"/>
    <tableColumn id="7" xr3:uid="{DC2072A6-6E22-478B-98A2-D7621187ECCD}" name="Wk3" dataDxfId="409"/>
    <tableColumn id="8" xr3:uid="{C46CFC79-37EF-4F2F-85EF-73FC383FA50B}" name="Wk4" dataDxfId="408"/>
    <tableColumn id="9" xr3:uid="{59D1BB76-6639-46FE-A844-255E948EDEA8}" name="Wk5" dataDxfId="407"/>
    <tableColumn id="10" xr3:uid="{3AE9AAFB-BAE9-4006-9299-5A9A74B9D270}" name="Wk6" dataDxfId="406"/>
    <tableColumn id="11" xr3:uid="{1C67762F-D5EF-4C48-8E60-709953AAF371}" name="Wk7" dataDxfId="405"/>
    <tableColumn id="12" xr3:uid="{DD22856D-C622-465A-B7AC-99CB4E74FE15}" name="Wk8" dataDxfId="404"/>
    <tableColumn id="13" xr3:uid="{04DE52A5-40FE-434A-A205-2404B82D9DB3}" name="Wk9" dataDxfId="403"/>
    <tableColumn id="14" xr3:uid="{BA7A7505-6199-4C05-91B0-BFD0C14B3CC1}" name="Wk10" dataDxfId="402"/>
    <tableColumn id="15" xr3:uid="{1D0FF835-6E8B-4A88-9253-070C2A1DCDA7}" name="Wk11" dataDxfId="401"/>
    <tableColumn id="16" xr3:uid="{6A7BE63B-13D9-4228-91A3-B22936FDCA43}" name="Wk12" dataDxfId="400"/>
    <tableColumn id="17" xr3:uid="{14337CA9-CBC7-4281-9EEB-11F5456EF844}" name="Total" dataDxfId="399">
      <calculatedColumnFormula>SUM(E5:P5)</calculatedColumnFormula>
    </tableColumn>
    <tableColumn id="18" xr3:uid="{15DD165B-0668-4BF3-9D97-A037EF721A7A}" name="BAC" dataDxfId="398">
      <calculatedColumnFormula>VLOOKUP(A5,Dim_WBS!$A$2:$E$13,5,FALSE)</calculatedColumnFormula>
    </tableColumn>
    <tableColumn id="19" xr3:uid="{5BC5EF28-E0B9-4295-AD3E-8FB26C3146D6}" name="Actual @ Status" dataDxfId="397">
      <calculatedColumnFormula>SUMIFS(Fact_Actual_Costs!$D$2:$D$100,Fact_Actual_Costs!$B$2:$B$100,A5,Fact_Actual_Costs!$A$2:$A$100,"&lt;="&amp;Setup!$B$9)</calculatedColumnFormula>
    </tableColumn>
    <tableColumn id="20" xr3:uid="{11E6295A-01A9-4743-BE5D-A169B66A1934}" name="Remaining BAC" dataDxfId="396">
      <calculatedColumnFormula>R5-S5</calculatedColumnFormula>
    </tableColumn>
    <tableColumn id="21" xr3:uid="{361C1527-A75F-4C1E-BDB9-2D38E2503F44}" name="CPI" dataDxfId="395">
      <calculatedColumnFormula>IFERROR((R5*VLOOKUP(A5,'Task Plan'!$A$5:$K$16,11,FALSE))/S5,1)</calculatedColumnFormula>
    </tableColumn>
    <tableColumn id="22" xr3:uid="{AA8FDF36-B751-4EF7-A48A-D91868F4186C}" name="RAG" dataDxfId="394">
      <calculatedColumnFormula>IF(U5&lt;Setup!$B$12,"Red",IF(U5&lt;Setup!$B$13,"Amber","Green"))</calculatedColumnFormula>
    </tableColumn>
    <tableColumn id="23" xr3:uid="{A035732A-C0A6-4098-984C-816C485438B2}" name="Template source" dataDxfId="393"/>
    <tableColumn id="24" xr3:uid="{21980770-601B-4E50-8455-38C3C95D184C}" name="Notes" dataDxfId="392"/>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BEF208-B803-4E9B-A255-D74005F51AB9}" name="tbl_Resource_MonthlySummary" displayName="tbl_Resource_MonthlySummary" ref="A31:L34" totalsRowShown="0" headerRowDxfId="384" headerRowBorderDxfId="389" tableBorderDxfId="390" totalsRowBorderDxfId="388">
  <autoFilter ref="A31:L34" xr:uid="{C6BEF208-B803-4E9B-A255-D74005F51AB9}"/>
  <tableColumns count="12">
    <tableColumn id="1" xr3:uid="{0A2385E8-42A2-41CC-A5D7-52E711BFA94E}" name="Gantt of Gantts / monthly workload summary" dataDxfId="387"/>
    <tableColumn id="2" xr3:uid="{E6F53B5F-72B0-453D-A250-0E4C45F5481C}" name="May-26"/>
    <tableColumn id="3" xr3:uid="{7D7DC900-18F3-4C44-BEAF-88F9161E8532}" name="Jun-26"/>
    <tableColumn id="4" xr3:uid="{11FBABB4-89FF-481D-B92A-7A62E3D9688A}" name="Jul-26"/>
    <tableColumn id="5" xr3:uid="{528C178A-EFB5-4566-AF5A-B363B0E2E0E9}" name="Aug-26"/>
    <tableColumn id="6" xr3:uid="{4EBF7CEB-767A-41E7-A4C0-0FF8DFA279FD}" name="Sep-26"/>
    <tableColumn id="7" xr3:uid="{005481C6-D28F-4D3D-9D4A-253EBB102E1E}" name="Oct-26"/>
    <tableColumn id="8" xr3:uid="{F932EBB3-0AAD-4E2C-B898-4ABE3152DBC0}" name="Nov-26"/>
    <tableColumn id="9" xr3:uid="{4986EE24-FB88-46D9-9188-92A7DFE0D45E}" name="Dec-26"/>
    <tableColumn id="10" xr3:uid="{DF2A96D8-959B-4149-9B97-5C6BE5663039}" name="Total">
      <calculatedColumnFormula>SUM(B32:I32)</calculatedColumnFormula>
    </tableColumn>
    <tableColumn id="11" xr3:uid="{7D41336D-8688-43E2-B58B-83C9086E0C10}" name="Source" dataDxfId="386"/>
    <tableColumn id="12" xr3:uid="{2B32D31B-360B-48EB-BB66-F3446F94EF84}" name="Interpretation" dataDxfId="385"/>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5548631-F36D-4DF8-9C26-C089DEDFAA75}" name="tbl_Dim_Project" displayName="tbl_Dim_Project" ref="A1:F2" totalsRowShown="0" headerRowDxfId="374" headerRowBorderDxfId="382" tableBorderDxfId="383" totalsRowBorderDxfId="381">
  <autoFilter ref="A1:F2" xr:uid="{45548631-F36D-4DF8-9C26-C089DEDFAA75}"/>
  <tableColumns count="6">
    <tableColumn id="1" xr3:uid="{58E177C0-F555-46BF-94E0-8568B5581120}" name="Project_ID" dataDxfId="380"/>
    <tableColumn id="2" xr3:uid="{90FA7E89-3861-448B-93B3-4E29E2E7956D}" name="Project_Name" dataDxfId="379"/>
    <tableColumn id="3" xr3:uid="{FB0E24EA-5E61-4EF1-A384-548C3D698818}" name="Start_Date" dataDxfId="378"/>
    <tableColumn id="4" xr3:uid="{0FE8D642-E6E9-4EFE-A5AC-4353DB34B3B7}" name="End_Date" dataDxfId="377"/>
    <tableColumn id="5" xr3:uid="{011D8C79-734C-45D2-921F-FF56CE554C36}" name="BAC" dataDxfId="376"/>
    <tableColumn id="6" xr3:uid="{B605BDB2-1585-4CAC-BB69-9942C1B47EF4}" name="Sector" dataDxfId="375"/>
  </tableColumns>
  <tableStyleInfo name="TableStyleMedium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8B991B3-2C78-4276-9A95-E4F8AE5F9E14}" name="tbl_Dim_WBS" displayName="tbl_Dim_WBS" ref="A1:E13" totalsRowShown="0" headerRowDxfId="364" dataDxfId="365" headerRowBorderDxfId="372" tableBorderDxfId="373" totalsRowBorderDxfId="371">
  <autoFilter ref="A1:E13" xr:uid="{68B991B3-2C78-4276-9A95-E4F8AE5F9E14}"/>
  <tableColumns count="5">
    <tableColumn id="1" xr3:uid="{C88F14CB-02EC-4F6B-8B31-F187BDD50FEA}" name="WBS_ID" dataDxfId="370"/>
    <tableColumn id="2" xr3:uid="{30F44137-8B54-4C1E-B2DA-24E80F3470BD}" name="WBS_Code" dataDxfId="369"/>
    <tableColumn id="3" xr3:uid="{558AA701-5A3A-4C4B-B3DF-68648A6E6A53}" name="Activity_Name" dataDxfId="368"/>
    <tableColumn id="4" xr3:uid="{D1A4426B-B32B-447E-B864-0F4C6D246126}" name="Type" dataDxfId="367"/>
    <tableColumn id="5" xr3:uid="{1E99831F-7805-4823-87B7-6FFADB7D4AA0}" name="Total_Budget" dataDxfId="366"/>
  </tableColumns>
  <tableStyleInfo name="TableStyleMedium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B415CB4-1A41-4E0F-A765-C1818EF8B2E0}" name="tbl_Dim_Resource" displayName="tbl_Dim_Resource" ref="A1:D12" totalsRowShown="0" headerRowDxfId="356" headerRowBorderDxfId="362" tableBorderDxfId="363" totalsRowBorderDxfId="361">
  <autoFilter ref="A1:D12" xr:uid="{8B415CB4-1A41-4E0F-A765-C1818EF8B2E0}"/>
  <tableColumns count="4">
    <tableColumn id="1" xr3:uid="{3941EE15-1B8E-4020-AA56-CC383565093C}" name="Resource_ID" dataDxfId="360"/>
    <tableColumn id="2" xr3:uid="{C2BB1597-C78D-4929-A6B9-4C25EB0B31A7}" name="Resource_Name" dataDxfId="359"/>
    <tableColumn id="3" xr3:uid="{E80642AA-345C-4B60-8BD9-EDA06EC07646}" name="Role" dataDxfId="358"/>
    <tableColumn id="4" xr3:uid="{676C8AFC-C410-41CE-89FE-FA6A61CF45BA}" name="Hourly_Rate" dataDxfId="357"/>
  </tableColumns>
  <tableStyleInfo name="TableStyleMedium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B7D0403-6A3C-465D-BC73-D8778EF62100}" name="tbl_Dim_Calendar" displayName="tbl_Dim_Calendar" ref="A1:G85" totalsRowShown="0" headerRowDxfId="344" dataDxfId="345" headerRowBorderDxfId="354" tableBorderDxfId="355" totalsRowBorderDxfId="353">
  <autoFilter ref="A1:G85" xr:uid="{8B7D0403-6A3C-465D-BC73-D8778EF62100}"/>
  <tableColumns count="7">
    <tableColumn id="1" xr3:uid="{502C0E28-99EF-49CA-81B8-7CDA4F397F52}" name="Date" dataDxfId="352"/>
    <tableColumn id="2" xr3:uid="{AF63F136-4467-4F7E-B949-9269F4EB6540}" name="Year" dataDxfId="351"/>
    <tableColumn id="3" xr3:uid="{FAD4C9C6-395F-4C50-A361-3C2C824C0685}" name="Month" dataDxfId="350"/>
    <tableColumn id="4" xr3:uid="{002EE210-8DBC-4548-B8AC-8F81C3DBC6FA}" name="Month_Name" dataDxfId="349"/>
    <tableColumn id="5" xr3:uid="{7D79FD0D-2A07-459C-8D26-48D94F818390}" name="Quarter" dataDxfId="348"/>
    <tableColumn id="6" xr3:uid="{0CD19DBA-19E6-4F38-A632-07AB6BEE824B}" name="Week_Number" dataDxfId="347"/>
    <tableColumn id="7" xr3:uid="{7649A6BC-1C4A-4153-B759-5AF7480B27F4}" name="Is_Weekday" dataDxfId="346"/>
  </tableColumns>
  <tableStyleInfo name="TableStyleMedium4"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09F261B-467C-429F-ABE3-22D6875C401D}" name="tbl_Fact_Baseline_PV" displayName="tbl_Fact_Baseline_PV" ref="A1:C44" totalsRowShown="0" headerRowDxfId="337" headerRowBorderDxfId="342" tableBorderDxfId="343" totalsRowBorderDxfId="341">
  <autoFilter ref="A1:C44" xr:uid="{509F261B-467C-429F-ABE3-22D6875C401D}"/>
  <tableColumns count="3">
    <tableColumn id="1" xr3:uid="{9DE05CEC-9905-488D-95CE-A776544DEF06}" name="Date" dataDxfId="340"/>
    <tableColumn id="2" xr3:uid="{6583A8D6-347A-45C7-A899-AB70CFE5ADAB}" name="WBS_ID" dataDxfId="339"/>
    <tableColumn id="3" xr3:uid="{4848B361-10C7-4C87-B36D-E3648D951247}" name="Planned_Value" dataDxfId="338"/>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5931ED2-B2D5-4023-A762-3BB68E473202}" name="tbl_Fact_Actual_Costs" displayName="tbl_Fact_Actual_Costs" ref="A1:E100" totalsRowShown="0" headerRowDxfId="328" headerRowBorderDxfId="335" tableBorderDxfId="336" totalsRowBorderDxfId="334">
  <autoFilter ref="A1:E100" xr:uid="{75931ED2-B2D5-4023-A762-3BB68E473202}"/>
  <tableColumns count="5">
    <tableColumn id="1" xr3:uid="{922A5224-E73F-47C5-9B75-8232B17B55FE}" name="Date" dataDxfId="333"/>
    <tableColumn id="2" xr3:uid="{9D20BF13-3E79-4E81-8D07-53E9EC6CF621}" name="WBS_ID" dataDxfId="332"/>
    <tableColumn id="3" xr3:uid="{BF861C91-499E-4CC8-822B-7A3217AD0C1D}" name="Resource_ID" dataDxfId="331"/>
    <tableColumn id="4" xr3:uid="{6E89722D-431B-4209-AFA7-6452A8115DCD}" name="Actual_Cost" dataDxfId="330"/>
    <tableColumn id="5" xr3:uid="{6CCA9203-B816-4551-96B3-CCAAFEDDD480}" name="Hours_Worked" dataDxfId="329"/>
  </tableColumns>
  <tableStyleInfo name="TableStyleMedium4"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87C1B7A-2AE1-4C92-BE60-4ABDA047E0A1}" name="tbl_Fact_Physical_Progress" displayName="tbl_Fact_Physical_Progress" ref="A1:C35" totalsRowShown="0" headerRowDxfId="321" headerRowBorderDxfId="326" tableBorderDxfId="327" totalsRowBorderDxfId="325">
  <autoFilter ref="A1:C35" xr:uid="{087C1B7A-2AE1-4C92-BE60-4ABDA047E0A1}"/>
  <tableColumns count="3">
    <tableColumn id="1" xr3:uid="{CB1CFE52-C628-47AA-B2A5-1AFFFE8CAD8F}" name="Date" dataDxfId="324"/>
    <tableColumn id="2" xr3:uid="{CE0EB7A1-09BF-478B-A6FE-8B47C123608A}" name="WBS_ID" dataDxfId="323"/>
    <tableColumn id="3" xr3:uid="{AC5CA707-CCCF-4D9E-AF08-D7EED625E81F}" name="Physical_Progress_Pct" dataDxfId="322"/>
  </tableColumns>
  <tableStyleInfo name="TableStyleMedium4"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4D59126-65A5-4A9A-B905-484E41E55122}" name="tbl_EVM_Weekly" displayName="tbl_EVM_Weekly" ref="A4:N16" totalsRowShown="0" headerRowDxfId="303" headerRowBorderDxfId="319" tableBorderDxfId="320" totalsRowBorderDxfId="318">
  <autoFilter ref="A4:N16" xr:uid="{54D59126-65A5-4A9A-B905-484E41E55122}"/>
  <tableColumns count="14">
    <tableColumn id="1" xr3:uid="{4D90004E-8112-4623-B8D2-C5853B72B545}" name="Week" dataDxfId="317"/>
    <tableColumn id="2" xr3:uid="{22867E80-2CC5-4C8B-9BD9-336C4A65C654}" name="Week Date" dataDxfId="316"/>
    <tableColumn id="3" xr3:uid="{01FA8F81-62A6-47C0-B16A-A28BB7386984}" name="Cum PV" dataDxfId="315">
      <calculatedColumnFormula>SUMIFS(Fact_Baseline_PV!$C:$C,Fact_Baseline_PV!$A:$A,"&lt;="&amp;B5)</calculatedColumnFormula>
    </tableColumn>
    <tableColumn id="4" xr3:uid="{FD929823-BF3F-4838-9FE4-E985015FF9F1}" name="Cum AC" dataDxfId="314">
      <calculatedColumnFormula>SUMIFS(Fact_Actual_Costs!$D:$D,Fact_Actual_Costs!$A:$A,"&lt;="&amp;B5)</calculatedColumnFormula>
    </tableColumn>
    <tableColumn id="5" xr3:uid="{E2293B04-F8F5-4C4C-83EB-CDBB131697EE}" name="Cum EV" dataDxfId="313">
      <calculatedColumnFormula array="1">SUM(IFERROR(LOOKUP(2,1/(Fact_Physical_Progress!$B$2:$B$35=Dim_WBS!$A$2)/(Fact_Physical_Progress!$A$2:$A$35&lt;=B5),Fact_Physical_Progress!$C$2:$C$35),0)*Dim_WBS!$E$2,IFERROR(LOOKUP(2,1/(Fact_Physical_Progress!$B$2:$B$35=Dim_WBS!$A$3)/(Fact_Physical_Progress!$A$2:$A$35&lt;=B5),Fact_Physical_Progress!$C$2:$C$35),0)*Dim_WBS!$E$3,IFERROR(LOOKUP(2,1/(Fact_Physical_Progress!$B$2:$B$35=Dim_WBS!$A$4)/(Fact_Physical_Progress!$A$2:$A$35&lt;=B5),Fact_Physical_Progress!$C$2:$C$35),0)*Dim_WBS!$E$4,IFERROR(LOOKUP(2,1/(Fact_Physical_Progress!$B$2:$B$35=Dim_WBS!$A$5)/(Fact_Physical_Progress!$A$2:$A$35&lt;=B5),Fact_Physical_Progress!$C$2:$C$35),0)*Dim_WBS!$E$5,IFERROR(LOOKUP(2,1/(Fact_Physical_Progress!$B$2:$B$35=Dim_WBS!$A$6)/(Fact_Physical_Progress!$A$2:$A$35&lt;=B5),Fact_Physical_Progress!$C$2:$C$35),0)*Dim_WBS!$E$6,IFERROR(LOOKUP(2,1/(Fact_Physical_Progress!$B$2:$B$35=Dim_WBS!$A$7)/(Fact_Physical_Progress!$A$2:$A$35&lt;=B5),Fact_Physical_Progress!$C$2:$C$35),0)*Dim_WBS!$E$7,IFERROR(LOOKUP(2,1/(Fact_Physical_Progress!$B$2:$B$35=Dim_WBS!$A$8)/(Fact_Physical_Progress!$A$2:$A$35&lt;=B5),Fact_Physical_Progress!$C$2:$C$35),0)*Dim_WBS!$E$8,IFERROR(LOOKUP(2,1/(Fact_Physical_Progress!$B$2:$B$35=Dim_WBS!$A$9)/(Fact_Physical_Progress!$A$2:$A$35&lt;=B5),Fact_Physical_Progress!$C$2:$C$35),0)*Dim_WBS!$E$9,IFERROR(LOOKUP(2,1/(Fact_Physical_Progress!$B$2:$B$35=Dim_WBS!$A$10)/(Fact_Physical_Progress!$A$2:$A$35&lt;=B5),Fact_Physical_Progress!$C$2:$C$35),0)*Dim_WBS!$E$10,IFERROR(LOOKUP(2,1/(Fact_Physical_Progress!$B$2:$B$35=Dim_WBS!$A$11)/(Fact_Physical_Progress!$A$2:$A$35&lt;=B5),Fact_Physical_Progress!$C$2:$C$35),0)*Dim_WBS!$E$11,IFERROR(LOOKUP(2,1/(Fact_Physical_Progress!$B$2:$B$35=Dim_WBS!$A$12)/(Fact_Physical_Progress!$A$2:$A$35&lt;=B5),Fact_Physical_Progress!$C$2:$C$35),0)*Dim_WBS!$E$12,IFERROR(LOOKUP(2,1/(Fact_Physical_Progress!$B$2:$B$35=Dim_WBS!$A$13)/(Fact_Physical_Progress!$A$2:$A$35&lt;=B5),Fact_Physical_Progress!$C$2:$C$35),0)*Dim_WBS!$E$13)</calculatedColumnFormula>
    </tableColumn>
    <tableColumn id="6" xr3:uid="{C638DB90-9B78-437D-A75C-F817B676D0CA}" name="SV" dataDxfId="312">
      <calculatedColumnFormula>E5-C5</calculatedColumnFormula>
    </tableColumn>
    <tableColumn id="7" xr3:uid="{2140CF5B-790A-4E85-8F58-1FFA4CF48677}" name="CV" dataDxfId="311">
      <calculatedColumnFormula>E5-D5</calculatedColumnFormula>
    </tableColumn>
    <tableColumn id="8" xr3:uid="{3C35C441-D4DA-4572-A619-8D74E5F0150F}" name="SPI" dataDxfId="310">
      <calculatedColumnFormula>IFERROR(E5/C5,1)</calculatedColumnFormula>
    </tableColumn>
    <tableColumn id="9" xr3:uid="{220239BE-B906-4B46-A36D-77FEB438B06D}" name="CPI" dataDxfId="309">
      <calculatedColumnFormula>IFERROR(E5/D5,1)</calculatedColumnFormula>
    </tableColumn>
    <tableColumn id="10" xr3:uid="{B5D183A5-A63F-44AA-8783-D6E783648752}" name="BAC" dataDxfId="308">
      <calculatedColumnFormula>Setup!$B$11</calculatedColumnFormula>
    </tableColumn>
    <tableColumn id="11" xr3:uid="{F7D66FE6-8D18-40EB-A49D-A7C250271503}" name="EAC" dataDxfId="307">
      <calculatedColumnFormula>IF(I5&gt;0,J5/I5,J5)</calculatedColumnFormula>
    </tableColumn>
    <tableColumn id="12" xr3:uid="{6A3CD91D-6193-4C85-BF1D-B361E8600615}" name="ETC" dataDxfId="306">
      <calculatedColumnFormula>K5-D5</calculatedColumnFormula>
    </tableColumn>
    <tableColumn id="13" xr3:uid="{FB759A96-3AA2-42EA-8279-DEE44F9B7F0A}" name="VAC" dataDxfId="305">
      <calculatedColumnFormula>J5-K5</calculatedColumnFormula>
    </tableColumn>
    <tableColumn id="14" xr3:uid="{81EA028B-08C9-4E2C-8796-669ED2EF63ED}" name="Status" dataDxfId="304">
      <calculatedColumnFormula>IF(OR(F5&lt;0,G5&lt;0,H5&lt;Setup!$B$12,I5&lt;Setup!$B$12),"Red",IF(OR(H5&lt;Setup!$B$13,I5&lt;Setup!$B$13),"Amber","Green"))</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4A3B1D6-7C37-4220-8159-8F0246E7E51F}" name="tbl_EVM_Validation" displayName="tbl_EVM_Validation" ref="A19:M25" totalsRowShown="0" headerRowDxfId="289" tableBorderDxfId="302">
  <autoFilter ref="A19:M25" xr:uid="{54A3B1D6-7C37-4220-8159-8F0246E7E51F}"/>
  <tableColumns count="13">
    <tableColumn id="1" xr3:uid="{CBB51418-A210-4C03-8969-FE9E46663CB9}" name="Formula" dataDxfId="301"/>
    <tableColumn id="2" xr3:uid="{0CBFF7F1-B28B-43DC-8CDD-3B26514AE180}" name="Workbook implementation" dataDxfId="300"/>
    <tableColumn id="3" xr3:uid="{7F1DD3CC-2B48-4B10-AACD-3F6E220960E7}" name="Guideline meaning" dataDxfId="299"/>
    <tableColumn id="4" xr3:uid="{185D1C48-9ACB-4BC0-A2E1-45684AB6BD0D}" name="Current status-date value" dataDxfId="298">
      <calculatedColumnFormula>B20</calculatedColumnFormula>
    </tableColumn>
    <tableColumn id="5" xr3:uid="{87C8CF2C-3E9C-42FD-A084-EDE7276A2EDB}" name="Check" dataDxfId="297"/>
    <tableColumn id="6" xr3:uid="{0AA337AE-DCEA-4224-8A5D-12C9F49AB941}" name="Source" dataDxfId="296"/>
    <tableColumn id="7" xr3:uid="{20106AD1-4FAC-4417-AAD6-86906CBF14A3}" name="Column1"/>
    <tableColumn id="8" xr3:uid="{75DFE91D-F0DA-453F-B478-5973BA420739}" name="Status tie-out" dataDxfId="295"/>
    <tableColumn id="9" xr3:uid="{ABF2A366-4E2D-47F2-B8A6-211C776AB960}" name="Dashboard value" dataDxfId="294"/>
    <tableColumn id="10" xr3:uid="{EBDF7AAA-A226-483F-94F5-1D1905C82D9B}" name="Task Plan value" dataDxfId="293"/>
    <tableColumn id="11" xr3:uid="{EB3CEDBA-D775-4AA9-8EDB-D39AA2545EC8}" name="Variance" dataDxfId="292">
      <calculatedColumnFormula>J20-I20</calculatedColumnFormula>
    </tableColumn>
    <tableColumn id="12" xr3:uid="{D971C9E0-5873-4CA3-AB0C-38D153505185}" name="Check2" dataDxfId="291">
      <calculatedColumnFormula>IF(ABS(K20)&lt;0.01,"OK","Review")</calculatedColumnFormula>
    </tableColumn>
    <tableColumn id="13" xr3:uid="{4915D32F-D8A1-4443-BD9D-365AE0278F8C}" name="Source3" dataDxfId="29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FC3F128-C4DA-485B-8D79-95B49A669203}" name="tbl_Charts_GanttHelper" displayName="tbl_Charts_GanttHelper" ref="A4:H16" totalsRowShown="0" headerRowDxfId="277" headerRowBorderDxfId="287" tableBorderDxfId="288" totalsRowBorderDxfId="286">
  <autoFilter ref="A4:H16" xr:uid="{1FC3F128-C4DA-485B-8D79-95B49A669203}"/>
  <tableColumns count="8">
    <tableColumn id="1" xr3:uid="{34AA42EC-F595-46EE-A812-21DED62EFD61}" name="WBS ID" dataDxfId="285">
      <calculatedColumnFormula>Dim_WBS!A2</calculatedColumnFormula>
    </tableColumn>
    <tableColumn id="2" xr3:uid="{9B2BCC33-14D3-49ED-B8E6-BC985FC79A1F}" name="Activity" dataDxfId="284">
      <calculatedColumnFormula>Dim_WBS!C2</calculatedColumnFormula>
    </tableColumn>
    <tableColumn id="3" xr3:uid="{DDFEECD6-618B-4CC7-80B4-C0A8297B9783}" name="Start" dataDxfId="283">
      <calculatedColumnFormula>_xlfn.MINIFS(Fact_Baseline_PV!$A:$A,Fact_Baseline_PV!$B:$B,A5)</calculatedColumnFormula>
    </tableColumn>
    <tableColumn id="4" xr3:uid="{5BF3994A-625B-4698-94E7-E30329C5C2FE}" name="Finish" dataDxfId="282">
      <calculatedColumnFormula>_xlfn.MAXIFS(Fact_Baseline_PV!$A:$A,Fact_Baseline_PV!$B:$B,A5)+6</calculatedColumnFormula>
    </tableColumn>
    <tableColumn id="5" xr3:uid="{D1BDE4B7-A1AF-4F72-8EF6-0528260E655D}" name="Start Offset" dataDxfId="281">
      <calculatedColumnFormula>C5-$O$1</calculatedColumnFormula>
    </tableColumn>
    <tableColumn id="6" xr3:uid="{35203C84-3DA7-4D1C-A280-9709C56055BC}" name="Duration Days" dataDxfId="280">
      <calculatedColumnFormula>D5-C5+1</calculatedColumnFormula>
    </tableColumn>
    <tableColumn id="7" xr3:uid="{4002CD52-CE47-4865-91BC-7D6214F6FA39}" name="Progress %" dataDxfId="279">
      <calculatedColumnFormula array="1">IFERROR(LOOKUP(2,1/(Fact_Physical_Progress!$B$2:$B$35=A5)/(Fact_Physical_Progress!$A$2:$A$35&lt;=$O$3),Fact_Physical_Progress!$C$2:$C$35),0)</calculatedColumnFormula>
    </tableColumn>
    <tableColumn id="8" xr3:uid="{2D457ED1-B18B-4FC8-B70D-2FF639860A0A}" name="RAG" dataDxfId="278">
      <calculatedColumnFormula>IF(G5&lt;0.5,"Red",IF(G5&lt;0.8,"Amber","Green"))</calculatedColumnFormula>
    </tableColumn>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DBF4601-9428-4C9B-B2F7-2A28CEDFD317}" name="tbl_Charts_RAGLegend" displayName="tbl_Charts_RAGLegend" ref="N5:P10" totalsRowShown="0" headerRowDxfId="272" headerRowBorderDxfId="275" tableBorderDxfId="276">
  <autoFilter ref="N5:P10" xr:uid="{0DBF4601-9428-4C9B-B2F7-2A28CEDFD317}"/>
  <tableColumns count="3">
    <tableColumn id="1" xr3:uid="{3291D54B-8279-47D1-83E9-E9BA5C0F2967}" name="RAG Legend"/>
    <tableColumn id="2" xr3:uid="{FC26B963-D255-4BD2-BEDE-49C601F672D5}" name="Rule" dataDxfId="274"/>
    <tableColumn id="3" xr3:uid="{73532182-CFFC-4839-8778-BEB283061DE2}" name="Used in charts" dataDxfId="273"/>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31D131D-97BC-4011-A536-AD9B109BEB64}" name="tbl_Charts_SCurveHelper" displayName="tbl_Charts_SCurveHelper" ref="A23:G35" totalsRowShown="0" headerRowDxfId="261" headerRowBorderDxfId="270" tableBorderDxfId="271" totalsRowBorderDxfId="269">
  <autoFilter ref="A23:G35" xr:uid="{631D131D-97BC-4011-A536-AD9B109BEB64}"/>
  <tableColumns count="7">
    <tableColumn id="1" xr3:uid="{63EED694-8B98-4F13-952E-9C0319B3A243}" name="Week" dataDxfId="268"/>
    <tableColumn id="2" xr3:uid="{CCA5B84F-F324-4BFC-B41F-D4F797F6665D}" name="Week Date" dataDxfId="267"/>
    <tableColumn id="3" xr3:uid="{E7A76DA6-9F7A-4AD3-BE7C-F2A57AF54858}" name="Cum PV" dataDxfId="266">
      <calculatedColumnFormula>SUMIFS(Fact_Baseline_PV!$C:$C,Fact_Baseline_PV!$A:$A,"&lt;="&amp;B24)</calculatedColumnFormula>
    </tableColumn>
    <tableColumn id="4" xr3:uid="{D986A109-01D7-4DE4-AC78-E36C3A40B2AD}" name="Cum AC" dataDxfId="265">
      <calculatedColumnFormula>SUMIFS(Fact_Actual_Costs!$D:$D,Fact_Actual_Costs!$A:$A,"&lt;="&amp;B24)</calculatedColumnFormula>
    </tableColumn>
    <tableColumn id="5" xr3:uid="{52B2A3B9-C69A-49FF-AE5C-C9FEE5824F4A}" name="Cum EV" dataDxfId="264">
      <calculatedColumnFormula array="1">SUM(IFERROR(LOOKUP(2,1/(Fact_Physical_Progress!$B$2:$B$35=Dim_WBS!$A$2)/(Fact_Physical_Progress!$A$2:$A$35&lt;=B24),Fact_Physical_Progress!$C$2:$C$35),0)*Dim_WBS!$E$2,IFERROR(LOOKUP(2,1/(Fact_Physical_Progress!$B$2:$B$35=Dim_WBS!$A$3)/(Fact_Physical_Progress!$A$2:$A$35&lt;=B24),Fact_Physical_Progress!$C$2:$C$35),0)*Dim_WBS!$E$3,IFERROR(LOOKUP(2,1/(Fact_Physical_Progress!$B$2:$B$35=Dim_WBS!$A$4)/(Fact_Physical_Progress!$A$2:$A$35&lt;=B24),Fact_Physical_Progress!$C$2:$C$35),0)*Dim_WBS!$E$4,IFERROR(LOOKUP(2,1/(Fact_Physical_Progress!$B$2:$B$35=Dim_WBS!$A$5)/(Fact_Physical_Progress!$A$2:$A$35&lt;=B24),Fact_Physical_Progress!$C$2:$C$35),0)*Dim_WBS!$E$5,IFERROR(LOOKUP(2,1/(Fact_Physical_Progress!$B$2:$B$35=Dim_WBS!$A$6)/(Fact_Physical_Progress!$A$2:$A$35&lt;=B24),Fact_Physical_Progress!$C$2:$C$35),0)*Dim_WBS!$E$6,IFERROR(LOOKUP(2,1/(Fact_Physical_Progress!$B$2:$B$35=Dim_WBS!$A$7)/(Fact_Physical_Progress!$A$2:$A$35&lt;=B24),Fact_Physical_Progress!$C$2:$C$35),0)*Dim_WBS!$E$7,IFERROR(LOOKUP(2,1/(Fact_Physical_Progress!$B$2:$B$35=Dim_WBS!$A$8)/(Fact_Physical_Progress!$A$2:$A$35&lt;=B24),Fact_Physical_Progress!$C$2:$C$35),0)*Dim_WBS!$E$8,IFERROR(LOOKUP(2,1/(Fact_Physical_Progress!$B$2:$B$35=Dim_WBS!$A$9)/(Fact_Physical_Progress!$A$2:$A$35&lt;=B24),Fact_Physical_Progress!$C$2:$C$35),0)*Dim_WBS!$E$9,IFERROR(LOOKUP(2,1/(Fact_Physical_Progress!$B$2:$B$35=Dim_WBS!$A$10)/(Fact_Physical_Progress!$A$2:$A$35&lt;=B24),Fact_Physical_Progress!$C$2:$C$35),0)*Dim_WBS!$E$10,IFERROR(LOOKUP(2,1/(Fact_Physical_Progress!$B$2:$B$35=Dim_WBS!$A$11)/(Fact_Physical_Progress!$A$2:$A$35&lt;=B24),Fact_Physical_Progress!$C$2:$C$35),0)*Dim_WBS!$E$11,IFERROR(LOOKUP(2,1/(Fact_Physical_Progress!$B$2:$B$35=Dim_WBS!$A$12)/(Fact_Physical_Progress!$A$2:$A$35&lt;=B24),Fact_Physical_Progress!$C$2:$C$35),0)*Dim_WBS!$E$12,IFERROR(LOOKUP(2,1/(Fact_Physical_Progress!$B$2:$B$35=Dim_WBS!$A$13)/(Fact_Physical_Progress!$A$2:$A$35&lt;=B24),Fact_Physical_Progress!$C$2:$C$35),0)*Dim_WBS!$E$13)</calculatedColumnFormula>
    </tableColumn>
    <tableColumn id="6" xr3:uid="{C7C2EE1F-616A-4F5F-8C34-B4F18721C4D8}" name="CPI" dataDxfId="263">
      <calculatedColumnFormula>IFERROR(E24/D24,0)</calculatedColumnFormula>
    </tableColumn>
    <tableColumn id="7" xr3:uid="{01DEB360-ED70-4AA4-9BC0-35CCF854CF0A}" name="SPI" dataDxfId="262">
      <calculatedColumnFormula>IFERROR(E24/C24,0)</calculatedColumnFormula>
    </tableColumn>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C226ED2-7C98-4AD4-BDFF-17EE8175708A}" name="tbl_SimpleGantt_Mapping" displayName="tbl_SimpleGantt_Mapping" ref="A6:E8" totalsRowShown="0" headerRowDxfId="252" headerRowBorderDxfId="259" tableBorderDxfId="260" totalsRowBorderDxfId="258">
  <autoFilter ref="A6:E8" xr:uid="{DC226ED2-7C98-4AD4-BDFF-17EE8175708A}"/>
  <tableColumns count="5">
    <tableColumn id="1" xr3:uid="{1DC37814-D1CE-42AA-ADA8-F7BA7DCDAA71}" name="Template element" dataDxfId="257"/>
    <tableColumn id="2" xr3:uid="{4C717AEC-7AE7-4AEC-B761-B4BA9EAE3053}" name="Implemented as" dataDxfId="256"/>
    <tableColumn id="3" xr3:uid="{031AFBFF-0903-4FC5-B44F-494F11716142}" name="Source table" dataDxfId="255"/>
    <tableColumn id="4" xr3:uid="{B4D987D2-A821-4F05-A205-E501B245C632}" name="Meaning" dataDxfId="254"/>
    <tableColumn id="5" xr3:uid="{1CB3F5D4-7667-4E95-BD39-571D3386CD40}" name="Classification" dataDxfId="253"/>
  </tableColumns>
  <tableStyleInfo name="TableStyleMedium6"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E4175B2-D3DA-4B60-BFD3-14EF2B149F5C}" name="tbl_SimpleGantt_TaskSummary" displayName="tbl_SimpleGantt_TaskSummary" ref="A46:K58" totalsRowShown="0" headerRowDxfId="236" dataDxfId="237" headerRowBorderDxfId="250" tableBorderDxfId="251" totalsRowBorderDxfId="249">
  <autoFilter ref="A46:K58" xr:uid="{8E4175B2-D3DA-4B60-BFD3-14EF2B149F5C}"/>
  <tableColumns count="11">
    <tableColumn id="1" xr3:uid="{CFE2F264-4F37-49D2-8B13-5D2B99D5680C}" name="Task" dataDxfId="248"/>
    <tableColumn id="2" xr3:uid="{36E6716B-9AE9-4AF8-A46B-D4A8CB280AA7}" name="BAC" dataDxfId="247"/>
    <tableColumn id="3" xr3:uid="{33D8D79A-E827-42A1-8A32-F57E3682DDDA}" name="PV @ Status" dataDxfId="246"/>
    <tableColumn id="4" xr3:uid="{ABE62A68-F8C4-437C-9CE7-D5BA22842DD1}" name="AC @ Status" dataDxfId="245"/>
    <tableColumn id="5" xr3:uid="{EC410773-C7D0-4F6D-A7B7-167B72576A48}" name="Progress %" dataDxfId="244"/>
    <tableColumn id="6" xr3:uid="{9777F819-68B0-4081-B559-062214D552B1}" name="EV @ Status" dataDxfId="243"/>
    <tableColumn id="7" xr3:uid="{E8F19F7C-FF4F-4864-8F18-B6D68E649751}" name="SV" dataDxfId="242"/>
    <tableColumn id="8" xr3:uid="{5C43CD60-DD86-4AD0-9667-424F08D9F622}" name="CV" dataDxfId="241"/>
    <tableColumn id="9" xr3:uid="{128E5492-4E4A-4799-BE7A-02B4A56E7DDF}" name="SPI" dataDxfId="240"/>
    <tableColumn id="10" xr3:uid="{B77E483F-D4B9-4AC9-928D-BEB2DDD976B9}" name="CPI" dataDxfId="239"/>
    <tableColumn id="11" xr3:uid="{13AC304D-9173-4437-88B6-0D7FAAE3FA66}" name="RAG" dataDxfId="238"/>
  </tableColumns>
  <tableStyleInfo name="TableStyleMedium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26B4617-53BF-4A85-952F-DC215AC56B57}" name="tbl_SimpleGantt_Legend" displayName="tbl_SimpleGantt_Legend" ref="A62:C66" totalsRowShown="0" headerRowDxfId="230" headerRowBorderDxfId="234" tableBorderDxfId="235" totalsRowBorderDxfId="233">
  <autoFilter ref="A62:C66" xr:uid="{C26B4617-53BF-4A85-952F-DC215AC56B57}"/>
  <tableColumns count="3">
    <tableColumn id="1" xr3:uid="{B6C33460-F183-42BB-9852-59162F4E70DF}" name="Legend"/>
    <tableColumn id="2" xr3:uid="{04688403-FE04-4C66-9938-D5E9C8EF1818}" name="Meaning" dataDxfId="232"/>
    <tableColumn id="3" xr3:uid="{D948C423-28D5-4F6F-97C1-937A584235FB}" name="Applied to" dataDxfId="231"/>
  </tableColumns>
  <tableStyleInfo name="TableStyleMedium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D454F7A-4FCB-4AAD-BB5B-61B3FFDDE83C}" name="tbl_PERT_Data" displayName="tbl_PERT_Data" ref="A4:J16" totalsRowShown="0" headerRowDxfId="216" headerRowBorderDxfId="228" tableBorderDxfId="229" totalsRowBorderDxfId="227">
  <autoFilter ref="A4:J16" xr:uid="{8D454F7A-4FCB-4AAD-BB5B-61B3FFDDE83C}"/>
  <tableColumns count="10">
    <tableColumn id="1" xr3:uid="{3A79D0DF-370C-4C50-BE32-3D5EBBD138D4}" name="WBS ID" dataDxfId="226"/>
    <tableColumn id="2" xr3:uid="{3905409A-826B-4C34-961C-8B90E73175C3}" name="Activity" dataDxfId="225"/>
    <tableColumn id="3" xr3:uid="{BE6F1A36-287C-46B4-A661-03CB486DB31F}" name="Baseline Start" dataDxfId="224"/>
    <tableColumn id="4" xr3:uid="{73363A12-B440-47CE-9DEB-06C8CDD898F9}" name="Baseline Finish" dataDxfId="223"/>
    <tableColumn id="5" xr3:uid="{DBDDAB00-FA63-4DEF-8E5E-77BDEAD02413}" name="Duration" dataDxfId="222"/>
    <tableColumn id="6" xr3:uid="{680E2A57-1B4A-498D-ACA7-0CA11B821CB2}" name="Progress" dataDxfId="221"/>
    <tableColumn id="7" xr3:uid="{22F965F2-378A-4E1D-860A-00CA6873A82E}" name="SPI" dataDxfId="220"/>
    <tableColumn id="8" xr3:uid="{2F14CE3B-1637-403F-9651-B78B1EEBA01E}" name="CPI" dataDxfId="219"/>
    <tableColumn id="9" xr3:uid="{8F8DE629-B589-45DF-A768-EF519741CDE1}" name="RAG" dataDxfId="218"/>
    <tableColumn id="10" xr3:uid="{D5D82FC6-C577-4FBF-83B7-2FC30F51DF08}" name="Inferred predecessor(s)" dataDxfId="217"/>
  </tableColumns>
  <tableStyleInfo name="TableStyleMedium6"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4AA35FC-3A85-46C4-ADF6-51BBF6924F5F}" name="tbl_PERT_Legend" displayName="tbl_PERT_Legend" ref="L4:N8" totalsRowShown="0" headerRowDxfId="210" headerRowBorderDxfId="214" tableBorderDxfId="215" totalsRowBorderDxfId="213">
  <autoFilter ref="L4:N8" xr:uid="{84AA35FC-3A85-46C4-ADF6-51BBF6924F5F}"/>
  <tableColumns count="3">
    <tableColumn id="1" xr3:uid="{E38E5E69-9994-40EB-A046-5EFB53C21A77}" name="Visio-style PERT Legend"/>
    <tableColumn id="2" xr3:uid="{75FED29D-8CAC-41EA-B472-965234FD2F5E}" name="Column1" dataDxfId="212"/>
    <tableColumn id="3" xr3:uid="{4419C66B-B96F-450F-8761-4719161101F8}" name="Column2" dataDxfId="21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7.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2.xml"/><Relationship Id="rId4" Type="http://schemas.openxmlformats.org/officeDocument/2006/relationships/table" Target="../tables/table31.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3.xml"/><Relationship Id="rId4" Type="http://schemas.openxmlformats.org/officeDocument/2006/relationships/table" Target="../tables/table3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81B7-180C-49C1-9636-9009749833CB}">
  <sheetPr>
    <tabColor rgb="FF7030A0"/>
  </sheetPr>
  <dimension ref="A1:H39"/>
  <sheetViews>
    <sheetView showGridLines="0" topLeftCell="B1" workbookViewId="0">
      <selection activeCell="D8" sqref="D8"/>
    </sheetView>
  </sheetViews>
  <sheetFormatPr defaultRowHeight="14.5" x14ac:dyDescent="0.35"/>
  <cols>
    <col min="1" max="1" width="36.36328125" customWidth="1"/>
    <col min="2" max="2" width="63.6328125" customWidth="1"/>
    <col min="4" max="4" width="23.6328125" customWidth="1"/>
    <col min="5" max="5" width="17.26953125" customWidth="1"/>
    <col min="6" max="8" width="24.54296875" customWidth="1"/>
  </cols>
  <sheetData>
    <row r="1" spans="1:8" ht="30" customHeight="1" x14ac:dyDescent="0.55000000000000004">
      <c r="A1" s="100" t="s">
        <v>154</v>
      </c>
      <c r="B1" s="101"/>
      <c r="C1" s="101"/>
      <c r="D1" s="101"/>
      <c r="E1" s="101"/>
      <c r="F1" s="101"/>
      <c r="G1" s="101"/>
      <c r="H1" s="101"/>
    </row>
    <row r="2" spans="1:8" ht="32" customHeight="1" x14ac:dyDescent="0.35">
      <c r="A2" s="102" t="s">
        <v>155</v>
      </c>
      <c r="B2" s="102"/>
      <c r="C2" s="102"/>
      <c r="D2" s="102"/>
      <c r="E2" s="102"/>
      <c r="F2" s="102"/>
      <c r="G2" s="102"/>
      <c r="H2" s="102"/>
    </row>
    <row r="4" spans="1:8" x14ac:dyDescent="0.35">
      <c r="A4" s="126" t="s">
        <v>156</v>
      </c>
      <c r="B4" s="126" t="s">
        <v>157</v>
      </c>
      <c r="D4" s="103" t="s">
        <v>600</v>
      </c>
      <c r="E4" s="103"/>
      <c r="F4" s="103"/>
      <c r="G4" s="103"/>
      <c r="H4" s="103"/>
    </row>
    <row r="5" spans="1:8" ht="29" x14ac:dyDescent="0.35">
      <c r="A5" s="53" t="s">
        <v>158</v>
      </c>
      <c r="B5" s="54" t="s">
        <v>159</v>
      </c>
      <c r="D5" s="3" t="s">
        <v>601</v>
      </c>
      <c r="E5" s="3" t="s">
        <v>276</v>
      </c>
      <c r="F5" s="3" t="s">
        <v>602</v>
      </c>
      <c r="G5" s="3"/>
      <c r="H5" s="3"/>
    </row>
    <row r="6" spans="1:8" ht="29" x14ac:dyDescent="0.35">
      <c r="A6" s="53" t="s">
        <v>160</v>
      </c>
      <c r="B6" s="54" t="s">
        <v>161</v>
      </c>
      <c r="D6" s="76"/>
      <c r="E6" s="7" t="s">
        <v>603</v>
      </c>
      <c r="F6" s="99" t="s">
        <v>604</v>
      </c>
      <c r="G6" s="99"/>
      <c r="H6" s="99"/>
    </row>
    <row r="7" spans="1:8" ht="29" x14ac:dyDescent="0.35">
      <c r="A7" s="53" t="s">
        <v>162</v>
      </c>
      <c r="B7" s="54" t="s">
        <v>163</v>
      </c>
      <c r="D7" s="77"/>
      <c r="E7" s="7" t="s">
        <v>605</v>
      </c>
      <c r="F7" s="99" t="s">
        <v>606</v>
      </c>
      <c r="G7" s="99"/>
      <c r="H7" s="99"/>
    </row>
    <row r="8" spans="1:8" ht="29" x14ac:dyDescent="0.35">
      <c r="A8" s="53" t="s">
        <v>164</v>
      </c>
      <c r="B8" s="54" t="s">
        <v>165</v>
      </c>
      <c r="D8" s="78" t="s">
        <v>817</v>
      </c>
      <c r="E8" s="7" t="s">
        <v>607</v>
      </c>
      <c r="F8" s="99" t="s">
        <v>608</v>
      </c>
      <c r="G8" s="99"/>
      <c r="H8" s="99"/>
    </row>
    <row r="9" spans="1:8" ht="29" x14ac:dyDescent="0.35">
      <c r="A9" s="53" t="s">
        <v>166</v>
      </c>
      <c r="B9" s="54" t="s">
        <v>167</v>
      </c>
      <c r="D9" s="79"/>
      <c r="E9" s="7" t="s">
        <v>609</v>
      </c>
      <c r="F9" s="99" t="s">
        <v>610</v>
      </c>
      <c r="G9" s="99"/>
      <c r="H9" s="99"/>
    </row>
    <row r="10" spans="1:8" x14ac:dyDescent="0.35">
      <c r="A10" s="53" t="s">
        <v>168</v>
      </c>
      <c r="B10" s="54" t="s">
        <v>169</v>
      </c>
      <c r="D10" s="80"/>
      <c r="E10" s="7" t="s">
        <v>611</v>
      </c>
      <c r="F10" s="99" t="s">
        <v>612</v>
      </c>
      <c r="G10" s="99"/>
      <c r="H10" s="99"/>
    </row>
    <row r="11" spans="1:8" x14ac:dyDescent="0.35">
      <c r="A11" s="53" t="s">
        <v>170</v>
      </c>
      <c r="B11" s="54" t="s">
        <v>171</v>
      </c>
      <c r="D11" s="81"/>
      <c r="E11" s="7" t="s">
        <v>613</v>
      </c>
      <c r="F11" s="99" t="s">
        <v>614</v>
      </c>
      <c r="G11" s="99"/>
      <c r="H11" s="99"/>
    </row>
    <row r="12" spans="1:8" ht="29" x14ac:dyDescent="0.35">
      <c r="A12" s="53" t="s">
        <v>369</v>
      </c>
      <c r="B12" s="54" t="s">
        <v>370</v>
      </c>
    </row>
    <row r="13" spans="1:8" ht="29" x14ac:dyDescent="0.35">
      <c r="A13" s="53" t="s">
        <v>583</v>
      </c>
      <c r="B13" s="54" t="s">
        <v>584</v>
      </c>
      <c r="D13" s="103" t="s">
        <v>615</v>
      </c>
      <c r="E13" s="103"/>
      <c r="F13" s="103"/>
      <c r="G13" s="103"/>
      <c r="H13" s="103"/>
    </row>
    <row r="14" spans="1:8" ht="29" x14ac:dyDescent="0.35">
      <c r="A14" s="53" t="s">
        <v>585</v>
      </c>
      <c r="B14" s="54" t="s">
        <v>586</v>
      </c>
      <c r="D14" s="3" t="s">
        <v>616</v>
      </c>
      <c r="E14" s="3" t="s">
        <v>131</v>
      </c>
      <c r="F14" s="3" t="s">
        <v>602</v>
      </c>
      <c r="G14" s="3"/>
      <c r="H14" s="3"/>
    </row>
    <row r="15" spans="1:8" ht="58" x14ac:dyDescent="0.35">
      <c r="A15" s="53" t="s">
        <v>587</v>
      </c>
      <c r="B15" s="54" t="s">
        <v>588</v>
      </c>
      <c r="D15" s="82" t="s">
        <v>617</v>
      </c>
      <c r="E15" s="54" t="s">
        <v>618</v>
      </c>
      <c r="F15" s="99" t="s">
        <v>619</v>
      </c>
      <c r="G15" s="99"/>
      <c r="H15" s="99"/>
    </row>
    <row r="16" spans="1:8" ht="116" x14ac:dyDescent="0.35">
      <c r="A16" s="53" t="s">
        <v>589</v>
      </c>
      <c r="B16" s="54" t="s">
        <v>590</v>
      </c>
      <c r="D16" s="83" t="s">
        <v>174</v>
      </c>
      <c r="E16" s="54" t="s">
        <v>620</v>
      </c>
      <c r="F16" s="99" t="s">
        <v>621</v>
      </c>
      <c r="G16" s="99"/>
      <c r="H16" s="99"/>
    </row>
    <row r="17" spans="1:8" ht="101.5" x14ac:dyDescent="0.35">
      <c r="A17" s="53" t="s">
        <v>591</v>
      </c>
      <c r="B17" s="54" t="s">
        <v>592</v>
      </c>
      <c r="D17" s="84" t="s">
        <v>622</v>
      </c>
      <c r="E17" s="54" t="s">
        <v>623</v>
      </c>
      <c r="F17" s="99" t="s">
        <v>624</v>
      </c>
      <c r="G17" s="99"/>
      <c r="H17" s="99"/>
    </row>
    <row r="18" spans="1:8" ht="29" x14ac:dyDescent="0.35">
      <c r="A18" s="64" t="s">
        <v>652</v>
      </c>
      <c r="B18" s="61" t="s">
        <v>653</v>
      </c>
    </row>
    <row r="19" spans="1:8" ht="29" x14ac:dyDescent="0.35">
      <c r="A19" s="64" t="s">
        <v>693</v>
      </c>
      <c r="B19" s="61" t="s">
        <v>694</v>
      </c>
      <c r="D19" s="3" t="s">
        <v>156</v>
      </c>
      <c r="E19" s="3" t="s">
        <v>616</v>
      </c>
      <c r="F19" s="3" t="s">
        <v>625</v>
      </c>
      <c r="G19" s="3"/>
      <c r="H19" s="3"/>
    </row>
    <row r="20" spans="1:8" ht="29" x14ac:dyDescent="0.35">
      <c r="A20" s="242" t="s">
        <v>815</v>
      </c>
      <c r="B20" s="127" t="s">
        <v>816</v>
      </c>
      <c r="D20" s="7" t="s">
        <v>626</v>
      </c>
      <c r="E20" s="84" t="s">
        <v>622</v>
      </c>
      <c r="F20" s="99" t="s">
        <v>627</v>
      </c>
      <c r="G20" s="99"/>
      <c r="H20" s="99"/>
    </row>
    <row r="21" spans="1:8" ht="29" x14ac:dyDescent="0.35">
      <c r="A21" s="242" t="s">
        <v>851</v>
      </c>
      <c r="B21" s="127" t="s">
        <v>852</v>
      </c>
      <c r="D21" s="7" t="s">
        <v>369</v>
      </c>
      <c r="E21" s="84" t="s">
        <v>622</v>
      </c>
      <c r="F21" s="99"/>
      <c r="G21" s="99"/>
      <c r="H21" s="99"/>
    </row>
    <row r="22" spans="1:8" x14ac:dyDescent="0.35">
      <c r="D22" s="7" t="s">
        <v>591</v>
      </c>
      <c r="E22" s="82" t="s">
        <v>617</v>
      </c>
      <c r="F22" s="99"/>
      <c r="G22" s="99"/>
      <c r="H22" s="99"/>
    </row>
    <row r="23" spans="1:8" x14ac:dyDescent="0.35">
      <c r="D23" s="7" t="s">
        <v>158</v>
      </c>
      <c r="E23" s="83" t="s">
        <v>174</v>
      </c>
      <c r="F23" s="99"/>
      <c r="G23" s="99"/>
      <c r="H23" s="99"/>
    </row>
    <row r="24" spans="1:8" x14ac:dyDescent="0.35">
      <c r="D24" s="7" t="s">
        <v>585</v>
      </c>
      <c r="E24" s="82" t="s">
        <v>617</v>
      </c>
      <c r="F24" s="99"/>
      <c r="G24" s="99"/>
      <c r="H24" s="99"/>
    </row>
    <row r="25" spans="1:8" x14ac:dyDescent="0.35">
      <c r="D25" s="7" t="s">
        <v>583</v>
      </c>
      <c r="E25" s="83" t="s">
        <v>174</v>
      </c>
      <c r="F25" s="99"/>
      <c r="G25" s="99"/>
      <c r="H25" s="99"/>
    </row>
    <row r="26" spans="1:8" x14ac:dyDescent="0.35">
      <c r="D26" s="7" t="s">
        <v>168</v>
      </c>
      <c r="E26" s="83" t="s">
        <v>174</v>
      </c>
      <c r="F26" s="99"/>
      <c r="G26" s="99"/>
      <c r="H26" s="99"/>
    </row>
    <row r="27" spans="1:8" x14ac:dyDescent="0.35">
      <c r="D27" s="7" t="s">
        <v>160</v>
      </c>
      <c r="E27" s="83" t="s">
        <v>174</v>
      </c>
      <c r="F27" s="99"/>
      <c r="G27" s="99"/>
      <c r="H27" s="99"/>
    </row>
    <row r="28" spans="1:8" x14ac:dyDescent="0.35">
      <c r="D28" s="7" t="s">
        <v>587</v>
      </c>
      <c r="E28" s="82" t="s">
        <v>617</v>
      </c>
      <c r="F28" s="99"/>
      <c r="G28" s="99"/>
      <c r="H28" s="99"/>
    </row>
    <row r="29" spans="1:8" x14ac:dyDescent="0.35">
      <c r="D29" s="7" t="s">
        <v>166</v>
      </c>
      <c r="E29" s="84" t="s">
        <v>622</v>
      </c>
      <c r="F29" s="99"/>
      <c r="G29" s="99"/>
      <c r="H29" s="99"/>
    </row>
    <row r="30" spans="1:8" x14ac:dyDescent="0.35">
      <c r="D30" s="7" t="s">
        <v>589</v>
      </c>
      <c r="E30" s="83" t="s">
        <v>174</v>
      </c>
      <c r="F30" s="99"/>
      <c r="G30" s="99"/>
      <c r="H30" s="99"/>
    </row>
    <row r="31" spans="1:8" x14ac:dyDescent="0.35">
      <c r="D31" s="7" t="s">
        <v>628</v>
      </c>
      <c r="E31" s="82" t="s">
        <v>617</v>
      </c>
      <c r="F31" s="99"/>
      <c r="G31" s="99"/>
      <c r="H31" s="99"/>
    </row>
    <row r="32" spans="1:8" x14ac:dyDescent="0.35">
      <c r="D32" s="7" t="s">
        <v>629</v>
      </c>
      <c r="E32" s="82" t="s">
        <v>617</v>
      </c>
      <c r="F32" s="99"/>
      <c r="G32" s="99"/>
      <c r="H32" s="99"/>
    </row>
    <row r="33" spans="4:8" x14ac:dyDescent="0.35">
      <c r="D33" s="7" t="s">
        <v>630</v>
      </c>
      <c r="E33" s="82" t="s">
        <v>617</v>
      </c>
      <c r="F33" s="99"/>
      <c r="G33" s="99"/>
      <c r="H33" s="99"/>
    </row>
    <row r="34" spans="4:8" x14ac:dyDescent="0.35">
      <c r="D34" s="7" t="s">
        <v>631</v>
      </c>
      <c r="E34" s="82" t="s">
        <v>617</v>
      </c>
      <c r="F34" s="99"/>
      <c r="G34" s="99"/>
      <c r="H34" s="99"/>
    </row>
    <row r="35" spans="4:8" x14ac:dyDescent="0.35">
      <c r="D35" s="7" t="s">
        <v>632</v>
      </c>
      <c r="E35" s="82" t="s">
        <v>617</v>
      </c>
      <c r="F35" s="99"/>
      <c r="G35" s="99"/>
      <c r="H35" s="99"/>
    </row>
    <row r="36" spans="4:8" x14ac:dyDescent="0.35">
      <c r="D36" s="7" t="s">
        <v>633</v>
      </c>
      <c r="E36" s="82" t="s">
        <v>617</v>
      </c>
      <c r="F36" s="99"/>
      <c r="G36" s="99"/>
      <c r="H36" s="99"/>
    </row>
    <row r="37" spans="4:8" x14ac:dyDescent="0.35">
      <c r="D37" s="7" t="s">
        <v>634</v>
      </c>
      <c r="E37" s="82" t="s">
        <v>617</v>
      </c>
      <c r="F37" s="99"/>
      <c r="G37" s="99"/>
      <c r="H37" s="99"/>
    </row>
    <row r="38" spans="4:8" x14ac:dyDescent="0.35">
      <c r="D38" s="7" t="s">
        <v>162</v>
      </c>
      <c r="E38" s="84" t="s">
        <v>622</v>
      </c>
      <c r="F38" s="99"/>
      <c r="G38" s="99"/>
      <c r="H38" s="99"/>
    </row>
    <row r="39" spans="4:8" x14ac:dyDescent="0.35">
      <c r="D39" s="7" t="s">
        <v>164</v>
      </c>
      <c r="E39" s="84" t="s">
        <v>622</v>
      </c>
      <c r="F39" s="99"/>
      <c r="G39" s="99"/>
      <c r="H39" s="99"/>
    </row>
  </sheetData>
  <mergeCells count="14">
    <mergeCell ref="F17:H17"/>
    <mergeCell ref="F20:H39"/>
    <mergeCell ref="F9:H9"/>
    <mergeCell ref="F10:H10"/>
    <mergeCell ref="F11:H11"/>
    <mergeCell ref="D13:H13"/>
    <mergeCell ref="F15:H15"/>
    <mergeCell ref="F16:H16"/>
    <mergeCell ref="F8:H8"/>
    <mergeCell ref="A1:H1"/>
    <mergeCell ref="A2:H2"/>
    <mergeCell ref="D4:H4"/>
    <mergeCell ref="F6:H6"/>
    <mergeCell ref="F7:H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11C4-9AD2-43DD-AD41-81D42B6D84D7}">
  <dimension ref="A1:K133"/>
  <sheetViews>
    <sheetView topLeftCell="H1" workbookViewId="0">
      <selection activeCell="Q1" sqref="Q1"/>
    </sheetView>
  </sheetViews>
  <sheetFormatPr defaultRowHeight="14.5" x14ac:dyDescent="0.35"/>
  <cols>
    <col min="1" max="1" width="27.26953125" customWidth="1"/>
    <col min="2" max="3" width="21.81640625" customWidth="1"/>
    <col min="4" max="4" width="34.54296875" customWidth="1"/>
    <col min="5" max="11" width="13.6328125" customWidth="1"/>
  </cols>
  <sheetData>
    <row r="1" spans="1:11" ht="23.5" x14ac:dyDescent="0.55000000000000004">
      <c r="A1" s="236" t="s">
        <v>710</v>
      </c>
      <c r="B1" s="236"/>
      <c r="C1" s="236"/>
      <c r="D1" s="236"/>
      <c r="E1" s="236"/>
      <c r="F1" s="236"/>
      <c r="G1" s="236"/>
      <c r="H1" s="236"/>
      <c r="I1" s="236"/>
      <c r="J1" s="236"/>
      <c r="K1" s="236"/>
    </row>
    <row r="2" spans="1:11" ht="87" x14ac:dyDescent="0.35">
      <c r="A2" s="237" t="s">
        <v>711</v>
      </c>
      <c r="B2" s="237"/>
      <c r="C2" s="237"/>
      <c r="D2" s="237"/>
      <c r="E2" s="237"/>
      <c r="F2" s="237"/>
      <c r="G2" s="237"/>
      <c r="H2" s="237"/>
      <c r="I2" s="237"/>
      <c r="J2" s="237"/>
      <c r="K2" s="237"/>
    </row>
    <row r="4" spans="1:11" ht="15.5" x14ac:dyDescent="0.35">
      <c r="A4" s="238" t="s">
        <v>712</v>
      </c>
      <c r="B4" s="238"/>
      <c r="C4" s="238"/>
      <c r="D4" s="238"/>
      <c r="E4" s="238"/>
      <c r="F4" s="238"/>
      <c r="G4" s="238"/>
      <c r="H4" s="238"/>
      <c r="I4" s="238"/>
      <c r="J4" s="238"/>
      <c r="K4" s="238"/>
    </row>
    <row r="30" spans="1:11" ht="15.5" x14ac:dyDescent="0.35">
      <c r="A30" s="239" t="s">
        <v>713</v>
      </c>
      <c r="B30" s="239"/>
      <c r="C30" s="239"/>
      <c r="D30" s="239"/>
      <c r="E30" s="239"/>
      <c r="F30" s="239"/>
      <c r="G30" s="239"/>
      <c r="H30" s="239"/>
      <c r="I30" s="239"/>
      <c r="J30" s="239"/>
      <c r="K30" s="239"/>
    </row>
    <row r="56" spans="1:11" ht="15.5" x14ac:dyDescent="0.35">
      <c r="A56" s="239" t="s">
        <v>714</v>
      </c>
      <c r="B56" s="239"/>
      <c r="C56" s="239"/>
      <c r="D56" s="239"/>
      <c r="E56" s="239"/>
      <c r="F56" s="239"/>
      <c r="G56" s="239"/>
      <c r="H56" s="239"/>
      <c r="I56" s="239"/>
      <c r="J56" s="239"/>
      <c r="K56" s="239"/>
    </row>
    <row r="105" spans="1:4" x14ac:dyDescent="0.35">
      <c r="A105" s="240" t="s">
        <v>715</v>
      </c>
      <c r="B105" s="240" t="s">
        <v>773</v>
      </c>
      <c r="C105" s="240" t="s">
        <v>716</v>
      </c>
      <c r="D105" s="240" t="s">
        <v>774</v>
      </c>
    </row>
    <row r="106" spans="1:4" x14ac:dyDescent="0.35">
      <c r="A106" s="241" t="s">
        <v>723</v>
      </c>
      <c r="B106" s="241" t="s">
        <v>356</v>
      </c>
      <c r="C106" s="241" t="s">
        <v>34</v>
      </c>
      <c r="D106" s="241" t="s">
        <v>724</v>
      </c>
    </row>
    <row r="107" spans="1:4" x14ac:dyDescent="0.35">
      <c r="A107" s="241" t="s">
        <v>725</v>
      </c>
      <c r="B107" s="241" t="s">
        <v>356</v>
      </c>
      <c r="C107" s="241" t="s">
        <v>21</v>
      </c>
      <c r="D107" s="241" t="s">
        <v>726</v>
      </c>
    </row>
    <row r="108" spans="1:4" x14ac:dyDescent="0.35">
      <c r="A108" s="241" t="s">
        <v>719</v>
      </c>
      <c r="B108" s="241" t="s">
        <v>160</v>
      </c>
      <c r="C108" s="241" t="s">
        <v>34</v>
      </c>
      <c r="D108" s="241" t="s">
        <v>720</v>
      </c>
    </row>
    <row r="109" spans="1:4" x14ac:dyDescent="0.35">
      <c r="A109" s="241" t="s">
        <v>717</v>
      </c>
      <c r="B109" s="241" t="s">
        <v>160</v>
      </c>
      <c r="C109" s="241" t="s">
        <v>21</v>
      </c>
      <c r="D109" s="241" t="s">
        <v>718</v>
      </c>
    </row>
    <row r="110" spans="1:4" x14ac:dyDescent="0.35">
      <c r="A110" s="241" t="s">
        <v>721</v>
      </c>
      <c r="B110" s="241" t="s">
        <v>160</v>
      </c>
      <c r="C110" s="241" t="s">
        <v>19</v>
      </c>
      <c r="D110" s="241" t="s">
        <v>722</v>
      </c>
    </row>
    <row r="111" spans="1:4" x14ac:dyDescent="0.35">
      <c r="A111" s="241" t="s">
        <v>733</v>
      </c>
      <c r="B111" s="241" t="s">
        <v>162</v>
      </c>
      <c r="C111" s="241" t="s">
        <v>34</v>
      </c>
      <c r="D111" s="241" t="s">
        <v>734</v>
      </c>
    </row>
    <row r="112" spans="1:4" x14ac:dyDescent="0.35">
      <c r="A112" s="241" t="s">
        <v>731</v>
      </c>
      <c r="B112" s="241" t="s">
        <v>162</v>
      </c>
      <c r="C112" s="241" t="s">
        <v>64</v>
      </c>
      <c r="D112" s="241" t="s">
        <v>732</v>
      </c>
    </row>
    <row r="113" spans="1:4" x14ac:dyDescent="0.35">
      <c r="A113" s="241" t="s">
        <v>735</v>
      </c>
      <c r="B113" s="241" t="s">
        <v>775</v>
      </c>
      <c r="C113" s="241" t="s">
        <v>153</v>
      </c>
      <c r="D113" s="241" t="s">
        <v>736</v>
      </c>
    </row>
    <row r="114" spans="1:4" x14ac:dyDescent="0.35">
      <c r="A114" s="241" t="s">
        <v>729</v>
      </c>
      <c r="B114" s="241" t="s">
        <v>589</v>
      </c>
      <c r="C114" s="241" t="s">
        <v>531</v>
      </c>
      <c r="D114" s="241" t="s">
        <v>730</v>
      </c>
    </row>
    <row r="115" spans="1:4" x14ac:dyDescent="0.35">
      <c r="A115" s="241" t="s">
        <v>727</v>
      </c>
      <c r="B115" s="241" t="s">
        <v>589</v>
      </c>
      <c r="C115" s="241" t="s">
        <v>153</v>
      </c>
      <c r="D115" s="241" t="s">
        <v>728</v>
      </c>
    </row>
    <row r="116" spans="1:4" x14ac:dyDescent="0.35">
      <c r="A116" s="241" t="s">
        <v>743</v>
      </c>
      <c r="B116" s="241" t="s">
        <v>776</v>
      </c>
      <c r="C116" s="241" t="s">
        <v>117</v>
      </c>
      <c r="D116" s="241" t="s">
        <v>744</v>
      </c>
    </row>
    <row r="117" spans="1:4" x14ac:dyDescent="0.35">
      <c r="A117" s="241" t="s">
        <v>745</v>
      </c>
      <c r="B117" s="241" t="s">
        <v>776</v>
      </c>
      <c r="C117" s="241" t="s">
        <v>64</v>
      </c>
      <c r="D117" s="241" t="s">
        <v>746</v>
      </c>
    </row>
    <row r="118" spans="1:4" x14ac:dyDescent="0.35">
      <c r="A118" s="241" t="s">
        <v>741</v>
      </c>
      <c r="B118" s="241" t="s">
        <v>777</v>
      </c>
      <c r="C118" s="241" t="s">
        <v>85</v>
      </c>
      <c r="D118" s="241" t="s">
        <v>742</v>
      </c>
    </row>
    <row r="119" spans="1:4" x14ac:dyDescent="0.35">
      <c r="A119" s="241" t="s">
        <v>737</v>
      </c>
      <c r="B119" s="241" t="s">
        <v>778</v>
      </c>
      <c r="C119" s="241" t="s">
        <v>21</v>
      </c>
      <c r="D119" s="241" t="s">
        <v>738</v>
      </c>
    </row>
    <row r="120" spans="1:4" x14ac:dyDescent="0.35">
      <c r="A120" s="241" t="s">
        <v>739</v>
      </c>
      <c r="B120" s="241" t="s">
        <v>778</v>
      </c>
      <c r="C120" s="241" t="s">
        <v>19</v>
      </c>
      <c r="D120" s="241" t="s">
        <v>740</v>
      </c>
    </row>
    <row r="121" spans="1:4" x14ac:dyDescent="0.35">
      <c r="A121" s="241" t="s">
        <v>751</v>
      </c>
      <c r="B121" s="241" t="s">
        <v>779</v>
      </c>
      <c r="C121" s="241" t="s">
        <v>780</v>
      </c>
      <c r="D121" s="241" t="s">
        <v>752</v>
      </c>
    </row>
    <row r="122" spans="1:4" x14ac:dyDescent="0.35">
      <c r="A122" s="241" t="s">
        <v>749</v>
      </c>
      <c r="B122" s="241" t="s">
        <v>779</v>
      </c>
      <c r="C122" s="241" t="s">
        <v>19</v>
      </c>
      <c r="D122" s="241" t="s">
        <v>750</v>
      </c>
    </row>
    <row r="123" spans="1:4" x14ac:dyDescent="0.35">
      <c r="A123" s="241" t="s">
        <v>747</v>
      </c>
      <c r="B123" s="241" t="s">
        <v>781</v>
      </c>
      <c r="C123" s="241" t="s">
        <v>19</v>
      </c>
      <c r="D123" s="241" t="s">
        <v>748</v>
      </c>
    </row>
    <row r="124" spans="1:4" x14ac:dyDescent="0.35">
      <c r="A124" s="241" t="s">
        <v>753</v>
      </c>
      <c r="B124" s="241" t="s">
        <v>680</v>
      </c>
      <c r="C124" s="241" t="s">
        <v>19</v>
      </c>
      <c r="D124" s="241" t="s">
        <v>754</v>
      </c>
    </row>
    <row r="125" spans="1:4" x14ac:dyDescent="0.35">
      <c r="A125" s="241" t="s">
        <v>755</v>
      </c>
      <c r="B125" s="241" t="s">
        <v>587</v>
      </c>
      <c r="C125" s="241" t="s">
        <v>21</v>
      </c>
      <c r="D125" s="241" t="s">
        <v>756</v>
      </c>
    </row>
    <row r="126" spans="1:4" x14ac:dyDescent="0.35">
      <c r="A126" s="241" t="s">
        <v>765</v>
      </c>
      <c r="B126" s="241" t="s">
        <v>583</v>
      </c>
      <c r="C126" s="241" t="s">
        <v>34</v>
      </c>
      <c r="D126" s="241" t="s">
        <v>766</v>
      </c>
    </row>
    <row r="127" spans="1:4" x14ac:dyDescent="0.35">
      <c r="A127" s="241" t="s">
        <v>763</v>
      </c>
      <c r="B127" s="241" t="s">
        <v>782</v>
      </c>
      <c r="C127" s="241" t="s">
        <v>396</v>
      </c>
      <c r="D127" s="241" t="s">
        <v>764</v>
      </c>
    </row>
    <row r="128" spans="1:4" x14ac:dyDescent="0.35">
      <c r="A128" s="241" t="s">
        <v>761</v>
      </c>
      <c r="B128" s="241" t="s">
        <v>782</v>
      </c>
      <c r="C128" s="241" t="s">
        <v>153</v>
      </c>
      <c r="D128" s="241" t="s">
        <v>762</v>
      </c>
    </row>
    <row r="129" spans="1:4" x14ac:dyDescent="0.35">
      <c r="A129" s="241" t="s">
        <v>759</v>
      </c>
      <c r="B129" s="241" t="s">
        <v>783</v>
      </c>
      <c r="C129" s="241" t="s">
        <v>396</v>
      </c>
      <c r="D129" s="241" t="s">
        <v>760</v>
      </c>
    </row>
    <row r="130" spans="1:4" x14ac:dyDescent="0.35">
      <c r="A130" s="241" t="s">
        <v>757</v>
      </c>
      <c r="B130" s="241" t="s">
        <v>783</v>
      </c>
      <c r="C130" s="241" t="s">
        <v>153</v>
      </c>
      <c r="D130" s="241" t="s">
        <v>758</v>
      </c>
    </row>
    <row r="131" spans="1:4" x14ac:dyDescent="0.35">
      <c r="A131" s="241" t="s">
        <v>769</v>
      </c>
      <c r="B131" s="241" t="s">
        <v>784</v>
      </c>
      <c r="C131" s="241" t="s">
        <v>34</v>
      </c>
      <c r="D131" s="241" t="s">
        <v>770</v>
      </c>
    </row>
    <row r="132" spans="1:4" x14ac:dyDescent="0.35">
      <c r="A132" s="241" t="s">
        <v>771</v>
      </c>
      <c r="B132" s="241" t="s">
        <v>369</v>
      </c>
      <c r="C132" s="241" t="s">
        <v>276</v>
      </c>
      <c r="D132" s="241" t="s">
        <v>772</v>
      </c>
    </row>
    <row r="133" spans="1:4" x14ac:dyDescent="0.35">
      <c r="A133" s="241" t="s">
        <v>767</v>
      </c>
      <c r="B133" s="241" t="s">
        <v>583</v>
      </c>
      <c r="C133" s="241" t="s">
        <v>396</v>
      </c>
      <c r="D133" s="241" t="s">
        <v>768</v>
      </c>
    </row>
  </sheetData>
  <mergeCells count="1">
    <mergeCell ref="A4:K4"/>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01343-438B-46AB-9E88-2D89149BB095}">
  <sheetPr>
    <tabColor rgb="FF7030A0"/>
  </sheetPr>
  <dimension ref="A1:E38"/>
  <sheetViews>
    <sheetView showGridLines="0" topLeftCell="A19" workbookViewId="0">
      <selection activeCell="Q1" sqref="Q1"/>
    </sheetView>
  </sheetViews>
  <sheetFormatPr defaultRowHeight="14.5" x14ac:dyDescent="0.35"/>
  <cols>
    <col min="1" max="1" width="20.90625" customWidth="1"/>
    <col min="2" max="2" width="27.26953125" customWidth="1"/>
    <col min="3" max="3" width="13.6328125" customWidth="1"/>
    <col min="4" max="4" width="47.26953125" customWidth="1"/>
    <col min="5" max="5" width="30.90625" customWidth="1"/>
  </cols>
  <sheetData>
    <row r="1" spans="1:5" ht="23.5" x14ac:dyDescent="0.55000000000000004">
      <c r="A1" s="101" t="s">
        <v>274</v>
      </c>
      <c r="B1" s="101"/>
      <c r="C1" s="101"/>
      <c r="D1" s="101"/>
      <c r="E1" s="101"/>
    </row>
    <row r="2" spans="1:5" x14ac:dyDescent="0.35">
      <c r="A2" s="102" t="s">
        <v>275</v>
      </c>
      <c r="B2" s="102"/>
      <c r="C2" s="102"/>
      <c r="D2" s="102"/>
      <c r="E2" s="102"/>
    </row>
    <row r="4" spans="1:5" x14ac:dyDescent="0.35">
      <c r="A4" s="126" t="s">
        <v>276</v>
      </c>
      <c r="B4" s="126" t="s">
        <v>277</v>
      </c>
      <c r="C4" s="126" t="s">
        <v>278</v>
      </c>
      <c r="D4" s="126" t="s">
        <v>279</v>
      </c>
      <c r="E4" s="126" t="s">
        <v>280</v>
      </c>
    </row>
    <row r="5" spans="1:5" x14ac:dyDescent="0.35">
      <c r="A5" s="62" t="s">
        <v>281</v>
      </c>
      <c r="B5" s="7" t="s">
        <v>145</v>
      </c>
      <c r="C5" s="7"/>
      <c r="D5" s="54" t="s">
        <v>282</v>
      </c>
      <c r="E5" s="63" t="s">
        <v>283</v>
      </c>
    </row>
    <row r="6" spans="1:5" x14ac:dyDescent="0.35">
      <c r="A6" s="62" t="s">
        <v>281</v>
      </c>
      <c r="B6" s="7" t="s">
        <v>178</v>
      </c>
      <c r="C6" s="7"/>
      <c r="D6" s="54" t="s">
        <v>284</v>
      </c>
      <c r="E6" s="63" t="s">
        <v>285</v>
      </c>
    </row>
    <row r="7" spans="1:5" ht="29" x14ac:dyDescent="0.35">
      <c r="A7" s="62" t="s">
        <v>281</v>
      </c>
      <c r="B7" s="7" t="s">
        <v>147</v>
      </c>
      <c r="C7" s="7"/>
      <c r="D7" s="54" t="s">
        <v>286</v>
      </c>
      <c r="E7" s="63" t="s">
        <v>287</v>
      </c>
    </row>
    <row r="8" spans="1:5" ht="29" x14ac:dyDescent="0.35">
      <c r="A8" s="62" t="s">
        <v>288</v>
      </c>
      <c r="B8" s="7" t="s">
        <v>289</v>
      </c>
      <c r="C8" s="7" t="s">
        <v>290</v>
      </c>
      <c r="D8" s="54" t="s">
        <v>291</v>
      </c>
      <c r="E8" s="63" t="s">
        <v>292</v>
      </c>
    </row>
    <row r="9" spans="1:5" ht="29" x14ac:dyDescent="0.35">
      <c r="A9" s="62" t="s">
        <v>288</v>
      </c>
      <c r="B9" s="7" t="s">
        <v>19</v>
      </c>
      <c r="C9" s="7"/>
      <c r="D9" s="54" t="s">
        <v>293</v>
      </c>
      <c r="E9" s="63" t="s">
        <v>294</v>
      </c>
    </row>
    <row r="10" spans="1:5" ht="29" x14ac:dyDescent="0.35">
      <c r="A10" s="62" t="s">
        <v>288</v>
      </c>
      <c r="B10" s="7" t="s">
        <v>295</v>
      </c>
      <c r="C10" s="7"/>
      <c r="D10" s="54" t="s">
        <v>296</v>
      </c>
      <c r="E10" s="63" t="s">
        <v>297</v>
      </c>
    </row>
    <row r="11" spans="1:5" ht="29" x14ac:dyDescent="0.35">
      <c r="A11" s="62" t="s">
        <v>298</v>
      </c>
      <c r="B11" s="7" t="s">
        <v>198</v>
      </c>
      <c r="C11" s="7"/>
      <c r="D11" s="54" t="s">
        <v>299</v>
      </c>
      <c r="E11" s="63" t="s">
        <v>300</v>
      </c>
    </row>
    <row r="12" spans="1:5" ht="29" x14ac:dyDescent="0.35">
      <c r="A12" s="62" t="s">
        <v>298</v>
      </c>
      <c r="B12" s="7" t="s">
        <v>199</v>
      </c>
      <c r="C12" s="7"/>
      <c r="D12" s="54" t="s">
        <v>301</v>
      </c>
      <c r="E12" s="63" t="s">
        <v>302</v>
      </c>
    </row>
    <row r="13" spans="1:5" ht="29" x14ac:dyDescent="0.35">
      <c r="A13" s="62" t="s">
        <v>298</v>
      </c>
      <c r="B13" s="7" t="s">
        <v>152</v>
      </c>
      <c r="C13" s="7"/>
      <c r="D13" s="54" t="s">
        <v>303</v>
      </c>
      <c r="E13" s="63" t="s">
        <v>304</v>
      </c>
    </row>
    <row r="14" spans="1:5" ht="29" x14ac:dyDescent="0.35">
      <c r="A14" s="62" t="s">
        <v>298</v>
      </c>
      <c r="B14" s="7" t="s">
        <v>305</v>
      </c>
      <c r="C14" s="7"/>
      <c r="D14" s="54" t="s">
        <v>306</v>
      </c>
      <c r="E14" s="63" t="s">
        <v>243</v>
      </c>
    </row>
    <row r="15" spans="1:5" x14ac:dyDescent="0.35">
      <c r="A15" s="62" t="s">
        <v>307</v>
      </c>
      <c r="B15" s="7" t="s">
        <v>308</v>
      </c>
      <c r="C15" s="7" t="s">
        <v>75</v>
      </c>
      <c r="D15" s="54" t="s">
        <v>309</v>
      </c>
      <c r="E15" s="63" t="s">
        <v>310</v>
      </c>
    </row>
    <row r="16" spans="1:5" ht="29" x14ac:dyDescent="0.35">
      <c r="A16" s="62" t="s">
        <v>307</v>
      </c>
      <c r="B16" s="7" t="s">
        <v>311</v>
      </c>
      <c r="C16" s="7" t="s">
        <v>269</v>
      </c>
      <c r="D16" s="54" t="s">
        <v>312</v>
      </c>
      <c r="E16" s="63" t="s">
        <v>313</v>
      </c>
    </row>
    <row r="17" spans="1:5" x14ac:dyDescent="0.35">
      <c r="A17" s="62" t="s">
        <v>307</v>
      </c>
      <c r="B17" s="7" t="s">
        <v>314</v>
      </c>
      <c r="C17" s="7" t="s">
        <v>270</v>
      </c>
      <c r="D17" s="54" t="s">
        <v>315</v>
      </c>
      <c r="E17" s="63" t="s">
        <v>316</v>
      </c>
    </row>
    <row r="18" spans="1:5" ht="29" x14ac:dyDescent="0.35">
      <c r="A18" s="62" t="s">
        <v>307</v>
      </c>
      <c r="B18" s="7" t="s">
        <v>317</v>
      </c>
      <c r="C18" s="7" t="s">
        <v>25</v>
      </c>
      <c r="D18" s="54" t="s">
        <v>318</v>
      </c>
      <c r="E18" s="63" t="s">
        <v>319</v>
      </c>
    </row>
    <row r="19" spans="1:5" ht="29" x14ac:dyDescent="0.35">
      <c r="A19" s="62" t="s">
        <v>307</v>
      </c>
      <c r="B19" s="7" t="s">
        <v>320</v>
      </c>
      <c r="C19" s="7" t="s">
        <v>271</v>
      </c>
      <c r="D19" s="54" t="s">
        <v>321</v>
      </c>
      <c r="E19" s="63" t="s">
        <v>322</v>
      </c>
    </row>
    <row r="20" spans="1:5" ht="29" x14ac:dyDescent="0.35">
      <c r="A20" s="62" t="s">
        <v>268</v>
      </c>
      <c r="B20" s="7" t="s">
        <v>323</v>
      </c>
      <c r="C20" s="7" t="s">
        <v>28</v>
      </c>
      <c r="D20" s="54" t="s">
        <v>324</v>
      </c>
      <c r="E20" s="63" t="s">
        <v>325</v>
      </c>
    </row>
    <row r="21" spans="1:5" ht="29" x14ac:dyDescent="0.35">
      <c r="A21" s="62" t="s">
        <v>268</v>
      </c>
      <c r="B21" s="7" t="s">
        <v>326</v>
      </c>
      <c r="C21" s="7" t="s">
        <v>27</v>
      </c>
      <c r="D21" s="54" t="s">
        <v>327</v>
      </c>
      <c r="E21" s="63" t="s">
        <v>328</v>
      </c>
    </row>
    <row r="22" spans="1:5" ht="29" x14ac:dyDescent="0.35">
      <c r="A22" s="62" t="s">
        <v>329</v>
      </c>
      <c r="B22" s="7" t="s">
        <v>330</v>
      </c>
      <c r="C22" s="7" t="s">
        <v>30</v>
      </c>
      <c r="D22" s="54" t="s">
        <v>331</v>
      </c>
      <c r="E22" s="63" t="s">
        <v>332</v>
      </c>
    </row>
    <row r="23" spans="1:5" ht="29" x14ac:dyDescent="0.35">
      <c r="A23" s="62" t="s">
        <v>329</v>
      </c>
      <c r="B23" s="7" t="s">
        <v>333</v>
      </c>
      <c r="C23" s="7" t="s">
        <v>29</v>
      </c>
      <c r="D23" s="54" t="s">
        <v>334</v>
      </c>
      <c r="E23" s="63" t="s">
        <v>335</v>
      </c>
    </row>
    <row r="24" spans="1:5" ht="29" x14ac:dyDescent="0.35">
      <c r="A24" s="62" t="s">
        <v>336</v>
      </c>
      <c r="B24" s="7" t="s">
        <v>337</v>
      </c>
      <c r="C24" s="7" t="s">
        <v>31</v>
      </c>
      <c r="D24" s="54" t="s">
        <v>338</v>
      </c>
      <c r="E24" s="63" t="s">
        <v>339</v>
      </c>
    </row>
    <row r="25" spans="1:5" ht="29" x14ac:dyDescent="0.35">
      <c r="A25" s="62" t="s">
        <v>336</v>
      </c>
      <c r="B25" s="7" t="s">
        <v>340</v>
      </c>
      <c r="C25" s="7" t="s">
        <v>32</v>
      </c>
      <c r="D25" s="54" t="s">
        <v>341</v>
      </c>
      <c r="E25" s="63" t="s">
        <v>342</v>
      </c>
    </row>
    <row r="26" spans="1:5" ht="29" x14ac:dyDescent="0.35">
      <c r="A26" s="62" t="s">
        <v>336</v>
      </c>
      <c r="B26" s="7" t="s">
        <v>343</v>
      </c>
      <c r="C26" s="7" t="s">
        <v>33</v>
      </c>
      <c r="D26" s="54" t="s">
        <v>344</v>
      </c>
      <c r="E26" s="63" t="s">
        <v>345</v>
      </c>
    </row>
    <row r="27" spans="1:5" ht="29" x14ac:dyDescent="0.35">
      <c r="A27" s="62" t="s">
        <v>346</v>
      </c>
      <c r="B27" s="7" t="s">
        <v>347</v>
      </c>
      <c r="C27" s="7"/>
      <c r="D27" s="54" t="s">
        <v>348</v>
      </c>
      <c r="E27" s="63" t="s">
        <v>251</v>
      </c>
    </row>
    <row r="28" spans="1:5" ht="29" x14ac:dyDescent="0.35">
      <c r="A28" s="62" t="s">
        <v>153</v>
      </c>
      <c r="B28" s="7" t="s">
        <v>132</v>
      </c>
      <c r="C28" s="7"/>
      <c r="D28" s="54" t="s">
        <v>349</v>
      </c>
      <c r="E28" s="63" t="s">
        <v>350</v>
      </c>
    </row>
    <row r="29" spans="1:5" ht="29" x14ac:dyDescent="0.35">
      <c r="A29" s="62" t="s">
        <v>153</v>
      </c>
      <c r="B29" s="6" t="s">
        <v>134</v>
      </c>
      <c r="C29" s="6"/>
      <c r="D29" s="54" t="s">
        <v>351</v>
      </c>
      <c r="E29" s="63" t="s">
        <v>352</v>
      </c>
    </row>
    <row r="30" spans="1:5" ht="29" x14ac:dyDescent="0.35">
      <c r="A30" s="62" t="s">
        <v>153</v>
      </c>
      <c r="B30" s="8" t="s">
        <v>137</v>
      </c>
      <c r="C30" s="8"/>
      <c r="D30" s="54" t="s">
        <v>353</v>
      </c>
      <c r="E30" s="63" t="s">
        <v>354</v>
      </c>
    </row>
    <row r="31" spans="1:5" ht="29" x14ac:dyDescent="0.35">
      <c r="A31" s="62" t="s">
        <v>355</v>
      </c>
      <c r="B31" s="9" t="s">
        <v>356</v>
      </c>
      <c r="C31" s="9"/>
      <c r="D31" s="54" t="s">
        <v>357</v>
      </c>
      <c r="E31" s="63" t="s">
        <v>255</v>
      </c>
    </row>
    <row r="32" spans="1:5" ht="29" x14ac:dyDescent="0.35">
      <c r="A32" s="62" t="s">
        <v>355</v>
      </c>
      <c r="B32" s="7" t="s">
        <v>358</v>
      </c>
      <c r="C32" s="7"/>
      <c r="D32" s="54" t="s">
        <v>359</v>
      </c>
      <c r="E32" s="63" t="s">
        <v>273</v>
      </c>
    </row>
    <row r="33" spans="1:5" ht="29" x14ac:dyDescent="0.35">
      <c r="A33" s="62" t="s">
        <v>360</v>
      </c>
      <c r="B33" s="7" t="s">
        <v>361</v>
      </c>
      <c r="C33" s="7" t="s">
        <v>362</v>
      </c>
      <c r="D33" s="54" t="s">
        <v>363</v>
      </c>
      <c r="E33" s="63" t="s">
        <v>364</v>
      </c>
    </row>
    <row r="34" spans="1:5" ht="43.5" x14ac:dyDescent="0.35">
      <c r="A34" s="62" t="s">
        <v>360</v>
      </c>
      <c r="B34" s="7" t="s">
        <v>365</v>
      </c>
      <c r="C34" s="7" t="s">
        <v>366</v>
      </c>
      <c r="D34" s="54" t="s">
        <v>367</v>
      </c>
      <c r="E34" s="63" t="s">
        <v>368</v>
      </c>
    </row>
    <row r="36" spans="1:5" ht="29" x14ac:dyDescent="0.35">
      <c r="A36" s="54" t="s">
        <v>635</v>
      </c>
      <c r="B36" s="69" t="s">
        <v>617</v>
      </c>
      <c r="C36" s="54"/>
      <c r="D36" s="54" t="s">
        <v>636</v>
      </c>
      <c r="E36" s="54" t="s">
        <v>637</v>
      </c>
    </row>
    <row r="37" spans="1:5" ht="29" x14ac:dyDescent="0.35">
      <c r="A37" s="54" t="s">
        <v>635</v>
      </c>
      <c r="B37" s="69" t="s">
        <v>174</v>
      </c>
      <c r="C37" s="54"/>
      <c r="D37" s="54" t="s">
        <v>638</v>
      </c>
      <c r="E37" s="54" t="s">
        <v>637</v>
      </c>
    </row>
    <row r="38" spans="1:5" ht="29" x14ac:dyDescent="0.35">
      <c r="A38" s="127" t="s">
        <v>635</v>
      </c>
      <c r="B38" s="128" t="s">
        <v>622</v>
      </c>
      <c r="C38" s="127"/>
      <c r="D38" s="127" t="s">
        <v>639</v>
      </c>
      <c r="E38" s="127" t="s">
        <v>637</v>
      </c>
    </row>
  </sheetData>
  <mergeCells count="2">
    <mergeCell ref="A1:E1"/>
    <mergeCell ref="A2:E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9CBE3-48CE-4D6D-A76E-7419324A26A1}">
  <sheetPr>
    <tabColor rgb="FF5B9BD5"/>
  </sheetPr>
  <dimension ref="A1:F30"/>
  <sheetViews>
    <sheetView showGridLines="0" workbookViewId="0">
      <selection activeCell="Q1" sqref="Q1"/>
    </sheetView>
  </sheetViews>
  <sheetFormatPr defaultRowHeight="14.5" x14ac:dyDescent="0.35"/>
  <cols>
    <col min="1" max="1" width="43.6328125" customWidth="1"/>
    <col min="2" max="2" width="20.90625" customWidth="1"/>
    <col min="3" max="3" width="16.36328125" customWidth="1"/>
    <col min="4" max="4" width="18.36328125" customWidth="1"/>
    <col min="5" max="5" width="11.81640625" customWidth="1"/>
    <col min="6" max="6" width="34.54296875" customWidth="1"/>
  </cols>
  <sheetData>
    <row r="1" spans="1:6" ht="23.5" x14ac:dyDescent="0.55000000000000004">
      <c r="A1" s="101" t="s">
        <v>559</v>
      </c>
      <c r="B1" s="101"/>
      <c r="C1" s="101"/>
      <c r="D1" s="101"/>
      <c r="E1" s="101"/>
      <c r="F1" s="101"/>
    </row>
    <row r="2" spans="1:6" x14ac:dyDescent="0.35">
      <c r="A2" s="102" t="s">
        <v>560</v>
      </c>
      <c r="B2" s="102"/>
      <c r="C2" s="102"/>
      <c r="D2" s="102"/>
      <c r="E2" s="102"/>
      <c r="F2" s="102"/>
    </row>
    <row r="4" spans="1:6" x14ac:dyDescent="0.35">
      <c r="A4" s="2" t="s">
        <v>561</v>
      </c>
      <c r="B4" s="2" t="str">
        <f>Control_Project_Name</f>
        <v>Office Fit-Out</v>
      </c>
    </row>
    <row r="5" spans="1:6" x14ac:dyDescent="0.35">
      <c r="A5" s="2" t="s">
        <v>562</v>
      </c>
      <c r="B5" s="2" t="str">
        <f>TEXT(Control_Project_Start,"yyyy-mm-dd")&amp;" to "&amp;TEXT(Control_Project_End,"yyyy-mm-dd")</f>
        <v>2026-05-04 to 2026-07-26</v>
      </c>
    </row>
    <row r="6" spans="1:6" x14ac:dyDescent="0.35">
      <c r="A6" s="2" t="s">
        <v>147</v>
      </c>
      <c r="B6" s="46">
        <f>Control_Status_Date</f>
        <v>46203</v>
      </c>
    </row>
    <row r="7" spans="1:6" x14ac:dyDescent="0.35">
      <c r="A7" s="2" t="s">
        <v>563</v>
      </c>
      <c r="B7" s="46" t="s">
        <v>461</v>
      </c>
    </row>
    <row r="8" spans="1:6" x14ac:dyDescent="0.35">
      <c r="A8" s="2" t="s">
        <v>564</v>
      </c>
      <c r="B8" s="46">
        <f ca="1">TODAY()</f>
        <v>46238</v>
      </c>
    </row>
    <row r="10" spans="1:6" x14ac:dyDescent="0.35">
      <c r="A10" s="72" t="s">
        <v>565</v>
      </c>
      <c r="B10" s="72"/>
      <c r="C10" s="72"/>
      <c r="D10" s="72"/>
      <c r="E10" s="72"/>
      <c r="F10" s="72"/>
    </row>
    <row r="11" spans="1:6" x14ac:dyDescent="0.35">
      <c r="A11" s="74"/>
      <c r="B11" s="74"/>
      <c r="C11" s="74"/>
      <c r="D11" s="74"/>
      <c r="E11" s="74"/>
      <c r="F11" s="74"/>
    </row>
    <row r="12" spans="1:6" x14ac:dyDescent="0.35">
      <c r="A12" s="74"/>
      <c r="B12" s="74"/>
      <c r="C12" s="74"/>
      <c r="D12" s="74"/>
      <c r="E12" s="74"/>
      <c r="F12" s="74"/>
    </row>
    <row r="13" spans="1:6" x14ac:dyDescent="0.35">
      <c r="A13" s="74"/>
      <c r="B13" s="74"/>
      <c r="C13" s="74"/>
      <c r="D13" s="74"/>
      <c r="E13" s="74"/>
      <c r="F13" s="74"/>
    </row>
    <row r="15" spans="1:6" x14ac:dyDescent="0.35">
      <c r="A15" s="72" t="s">
        <v>566</v>
      </c>
      <c r="B15" s="72"/>
      <c r="C15" s="72"/>
      <c r="D15" s="72"/>
      <c r="E15" s="72"/>
      <c r="F15" s="72"/>
    </row>
    <row r="16" spans="1:6" x14ac:dyDescent="0.35">
      <c r="A16" s="75"/>
      <c r="B16" s="75"/>
      <c r="C16" s="75"/>
      <c r="D16" s="75"/>
      <c r="E16" s="75"/>
      <c r="F16" s="75"/>
    </row>
    <row r="17" spans="1:6" x14ac:dyDescent="0.35">
      <c r="A17" s="75"/>
      <c r="B17" s="75"/>
      <c r="C17" s="75"/>
      <c r="D17" s="75"/>
      <c r="E17" s="75"/>
      <c r="F17" s="75"/>
    </row>
    <row r="18" spans="1:6" x14ac:dyDescent="0.35">
      <c r="A18" s="75"/>
      <c r="B18" s="75"/>
      <c r="C18" s="75"/>
      <c r="D18" s="75"/>
      <c r="E18" s="75"/>
      <c r="F18" s="75"/>
    </row>
    <row r="20" spans="1:6" x14ac:dyDescent="0.35">
      <c r="A20" s="132" t="s">
        <v>567</v>
      </c>
      <c r="B20" s="126" t="s">
        <v>396</v>
      </c>
      <c r="C20" s="126" t="s">
        <v>568</v>
      </c>
      <c r="D20" s="126" t="s">
        <v>569</v>
      </c>
      <c r="E20" s="126" t="s">
        <v>153</v>
      </c>
      <c r="F20" s="133" t="s">
        <v>570</v>
      </c>
    </row>
    <row r="21" spans="1:6" x14ac:dyDescent="0.35">
      <c r="A21" s="130" t="s">
        <v>571</v>
      </c>
      <c r="B21" s="2" t="s">
        <v>421</v>
      </c>
      <c r="C21" s="2"/>
      <c r="D21" s="2" t="s">
        <v>522</v>
      </c>
      <c r="E21" s="2" t="s">
        <v>137</v>
      </c>
      <c r="F21" s="131" t="s">
        <v>572</v>
      </c>
    </row>
    <row r="22" spans="1:6" x14ac:dyDescent="0.35">
      <c r="A22" s="130" t="s">
        <v>573</v>
      </c>
      <c r="B22" s="2" t="s">
        <v>421</v>
      </c>
      <c r="C22" s="2"/>
      <c r="D22" s="2" t="s">
        <v>522</v>
      </c>
      <c r="E22" s="2" t="s">
        <v>137</v>
      </c>
      <c r="F22" s="131" t="s">
        <v>574</v>
      </c>
    </row>
    <row r="23" spans="1:6" x14ac:dyDescent="0.35">
      <c r="A23" s="130" t="s">
        <v>575</v>
      </c>
      <c r="B23" s="2" t="s">
        <v>88</v>
      </c>
      <c r="C23" s="2"/>
      <c r="D23" s="2" t="s">
        <v>522</v>
      </c>
      <c r="E23" s="2" t="s">
        <v>137</v>
      </c>
      <c r="F23" s="131" t="s">
        <v>243</v>
      </c>
    </row>
    <row r="24" spans="1:6" x14ac:dyDescent="0.35">
      <c r="A24" s="130" t="s">
        <v>576</v>
      </c>
      <c r="B24" s="2" t="s">
        <v>412</v>
      </c>
      <c r="C24" s="2"/>
      <c r="D24" s="2" t="s">
        <v>577</v>
      </c>
      <c r="E24" s="2" t="s">
        <v>134</v>
      </c>
      <c r="F24" s="131" t="s">
        <v>578</v>
      </c>
    </row>
    <row r="25" spans="1:6" x14ac:dyDescent="0.35">
      <c r="A25" s="134" t="s">
        <v>579</v>
      </c>
      <c r="B25" s="135" t="s">
        <v>407</v>
      </c>
      <c r="C25" s="135"/>
      <c r="D25" s="135" t="s">
        <v>577</v>
      </c>
      <c r="E25" s="135" t="s">
        <v>134</v>
      </c>
      <c r="F25" s="136" t="s">
        <v>580</v>
      </c>
    </row>
    <row r="26" spans="1:6" x14ac:dyDescent="0.35">
      <c r="A26" s="2"/>
      <c r="B26" s="2"/>
      <c r="C26" s="2"/>
      <c r="D26" s="2"/>
      <c r="E26" s="2"/>
      <c r="F26" s="2"/>
    </row>
    <row r="27" spans="1:6" x14ac:dyDescent="0.35">
      <c r="A27" s="2"/>
      <c r="B27" s="2"/>
      <c r="C27" s="2"/>
      <c r="D27" s="2"/>
      <c r="E27" s="2"/>
      <c r="F27" s="2"/>
    </row>
    <row r="28" spans="1:6" x14ac:dyDescent="0.35">
      <c r="A28" s="2"/>
      <c r="B28" s="2"/>
      <c r="C28" s="2"/>
      <c r="D28" s="2"/>
      <c r="E28" s="2"/>
      <c r="F28" s="2"/>
    </row>
    <row r="30" spans="1:6" x14ac:dyDescent="0.35">
      <c r="A30" s="2" t="s">
        <v>581</v>
      </c>
      <c r="B30" s="2" t="s">
        <v>582</v>
      </c>
      <c r="C30" s="2"/>
      <c r="D30" s="2"/>
      <c r="E30" s="2"/>
      <c r="F30" s="2"/>
    </row>
  </sheetData>
  <mergeCells count="2">
    <mergeCell ref="A1:F1"/>
    <mergeCell ref="A2:F2"/>
  </mergeCells>
  <conditionalFormatting sqref="E21:E25">
    <cfRule type="expression" dxfId="193" priority="1">
      <formula>ISNUMBER(SEARCH("Red",E21))</formula>
    </cfRule>
  </conditionalFormatting>
  <conditionalFormatting sqref="E21:E25">
    <cfRule type="expression" dxfId="192" priority="2">
      <formula>ISNUMBER(SEARCH("Amber",E21))</formula>
    </cfRule>
  </conditionalFormatting>
  <conditionalFormatting sqref="E21:E25">
    <cfRule type="expression" dxfId="191" priority="3">
      <formula>ISNUMBER(SEARCH("Green",E21))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F29C-B664-4ADE-BA99-6E2CB7BBADF4}">
  <sheetPr>
    <tabColor rgb="FF5B9BD5"/>
  </sheetPr>
  <dimension ref="A1:H79"/>
  <sheetViews>
    <sheetView showGridLines="0" topLeftCell="A51" zoomScale="85" zoomScaleNormal="85" workbookViewId="0">
      <selection activeCell="Q1" sqref="Q1"/>
    </sheetView>
  </sheetViews>
  <sheetFormatPr defaultRowHeight="14.5" x14ac:dyDescent="0.35"/>
  <cols>
    <col min="1" max="1" width="30" customWidth="1"/>
    <col min="2" max="2" width="27.26953125" customWidth="1"/>
    <col min="3" max="8" width="17.26953125" customWidth="1"/>
  </cols>
  <sheetData>
    <row r="1" spans="1:8" ht="23.5" x14ac:dyDescent="0.55000000000000004">
      <c r="A1" s="101" t="s">
        <v>454</v>
      </c>
      <c r="B1" s="101"/>
      <c r="C1" s="101"/>
      <c r="D1" s="101"/>
      <c r="E1" s="101"/>
      <c r="F1" s="101"/>
      <c r="G1" s="101"/>
      <c r="H1" s="101"/>
    </row>
    <row r="2" spans="1:8" x14ac:dyDescent="0.35">
      <c r="A2" s="102" t="s">
        <v>455</v>
      </c>
      <c r="B2" s="102"/>
      <c r="C2" s="102"/>
      <c r="D2" s="102"/>
      <c r="E2" s="102"/>
      <c r="F2" s="102"/>
      <c r="G2" s="102"/>
      <c r="H2" s="102"/>
    </row>
    <row r="4" spans="1:8" x14ac:dyDescent="0.35">
      <c r="A4" s="70" t="s">
        <v>456</v>
      </c>
      <c r="B4" s="70"/>
      <c r="C4" s="70"/>
      <c r="D4" s="70"/>
      <c r="E4" s="70"/>
      <c r="F4" s="70"/>
      <c r="G4" s="70"/>
      <c r="H4" s="70"/>
    </row>
    <row r="5" spans="1:8" x14ac:dyDescent="0.35">
      <c r="A5" s="2" t="s">
        <v>177</v>
      </c>
      <c r="B5" s="235" t="str">
        <f>Control_Project_Name</f>
        <v>Office Fit-Out</v>
      </c>
    </row>
    <row r="6" spans="1:8" x14ac:dyDescent="0.35">
      <c r="A6" s="2" t="s">
        <v>457</v>
      </c>
      <c r="B6" s="235" t="str">
        <f>Control_Project_ID</f>
        <v>P101</v>
      </c>
    </row>
    <row r="7" spans="1:8" x14ac:dyDescent="0.35">
      <c r="A7" s="2" t="s">
        <v>458</v>
      </c>
      <c r="B7" s="5" t="s">
        <v>459</v>
      </c>
    </row>
    <row r="8" spans="1:8" x14ac:dyDescent="0.35">
      <c r="A8" s="2" t="s">
        <v>460</v>
      </c>
      <c r="B8" s="5" t="s">
        <v>461</v>
      </c>
    </row>
    <row r="9" spans="1:8" x14ac:dyDescent="0.35">
      <c r="A9" s="2" t="s">
        <v>115</v>
      </c>
      <c r="B9" s="71">
        <f ca="1">TODAY()</f>
        <v>46238</v>
      </c>
    </row>
    <row r="10" spans="1:8" x14ac:dyDescent="0.35">
      <c r="A10" s="2" t="s">
        <v>462</v>
      </c>
      <c r="B10" s="5"/>
    </row>
    <row r="11" spans="1:8" x14ac:dyDescent="0.35">
      <c r="A11" s="2" t="s">
        <v>463</v>
      </c>
      <c r="B11" s="5" t="s">
        <v>464</v>
      </c>
    </row>
    <row r="13" spans="1:8" x14ac:dyDescent="0.35">
      <c r="A13" s="105" t="s">
        <v>465</v>
      </c>
      <c r="B13" s="105"/>
      <c r="C13" s="105"/>
      <c r="D13" s="105"/>
      <c r="E13" s="105"/>
      <c r="F13" s="105"/>
      <c r="G13" s="105"/>
      <c r="H13" s="105"/>
    </row>
    <row r="14" spans="1:8" x14ac:dyDescent="0.35">
      <c r="A14" s="104" t="s">
        <v>466</v>
      </c>
      <c r="B14" s="104"/>
      <c r="C14" s="104"/>
      <c r="D14" s="104"/>
      <c r="E14" s="104"/>
      <c r="F14" s="104"/>
      <c r="G14" s="104"/>
      <c r="H14" s="104"/>
    </row>
    <row r="15" spans="1:8" x14ac:dyDescent="0.35">
      <c r="A15" s="104"/>
      <c r="B15" s="104"/>
      <c r="C15" s="104"/>
      <c r="D15" s="104"/>
      <c r="E15" s="104"/>
      <c r="F15" s="104"/>
      <c r="G15" s="104"/>
      <c r="H15" s="104"/>
    </row>
    <row r="16" spans="1:8" x14ac:dyDescent="0.35">
      <c r="A16" s="104"/>
      <c r="B16" s="104"/>
      <c r="C16" s="104"/>
      <c r="D16" s="104"/>
      <c r="E16" s="104"/>
      <c r="F16" s="104"/>
      <c r="G16" s="104"/>
      <c r="H16" s="104"/>
    </row>
    <row r="18" spans="1:8" x14ac:dyDescent="0.35">
      <c r="A18" s="105" t="s">
        <v>467</v>
      </c>
      <c r="B18" s="105"/>
      <c r="C18" s="105"/>
      <c r="D18" s="105"/>
      <c r="E18" s="105"/>
      <c r="F18" s="105"/>
      <c r="G18" s="105"/>
      <c r="H18" s="105"/>
    </row>
    <row r="19" spans="1:8" x14ac:dyDescent="0.35">
      <c r="A19" s="104" t="s">
        <v>468</v>
      </c>
      <c r="B19" s="104"/>
      <c r="C19" s="104"/>
      <c r="D19" s="104"/>
      <c r="E19" s="104"/>
      <c r="F19" s="104"/>
      <c r="G19" s="104"/>
      <c r="H19" s="104"/>
    </row>
    <row r="20" spans="1:8" x14ac:dyDescent="0.35">
      <c r="A20" s="104"/>
      <c r="B20" s="104"/>
      <c r="C20" s="104"/>
      <c r="D20" s="104"/>
      <c r="E20" s="104"/>
      <c r="F20" s="104"/>
      <c r="G20" s="104"/>
      <c r="H20" s="104"/>
    </row>
    <row r="21" spans="1:8" x14ac:dyDescent="0.35">
      <c r="A21" s="104"/>
      <c r="B21" s="104"/>
      <c r="C21" s="104"/>
      <c r="D21" s="104"/>
      <c r="E21" s="104"/>
      <c r="F21" s="104"/>
      <c r="G21" s="104"/>
      <c r="H21" s="104"/>
    </row>
    <row r="23" spans="1:8" x14ac:dyDescent="0.35">
      <c r="A23" s="105" t="s">
        <v>469</v>
      </c>
      <c r="B23" s="105"/>
      <c r="C23" s="105"/>
      <c r="D23" s="105"/>
      <c r="E23" s="105"/>
      <c r="F23" s="105"/>
      <c r="G23" s="105"/>
      <c r="H23" s="105"/>
    </row>
    <row r="24" spans="1:8" x14ac:dyDescent="0.35">
      <c r="A24" s="104" t="s">
        <v>470</v>
      </c>
      <c r="B24" s="104"/>
      <c r="C24" s="104"/>
      <c r="D24" s="104"/>
      <c r="E24" s="104"/>
      <c r="F24" s="104"/>
      <c r="G24" s="104"/>
      <c r="H24" s="104"/>
    </row>
    <row r="25" spans="1:8" x14ac:dyDescent="0.35">
      <c r="A25" s="104"/>
      <c r="B25" s="104"/>
      <c r="C25" s="104"/>
      <c r="D25" s="104"/>
      <c r="E25" s="104"/>
      <c r="F25" s="104"/>
      <c r="G25" s="104"/>
      <c r="H25" s="104"/>
    </row>
    <row r="26" spans="1:8" x14ac:dyDescent="0.35">
      <c r="A26" s="104"/>
      <c r="B26" s="104"/>
      <c r="C26" s="104"/>
      <c r="D26" s="104"/>
      <c r="E26" s="104"/>
      <c r="F26" s="104"/>
      <c r="G26" s="104"/>
      <c r="H26" s="104"/>
    </row>
    <row r="28" spans="1:8" x14ac:dyDescent="0.35">
      <c r="A28" s="105" t="s">
        <v>471</v>
      </c>
      <c r="B28" s="105"/>
      <c r="C28" s="105"/>
      <c r="D28" s="105"/>
      <c r="E28" s="105"/>
      <c r="F28" s="105"/>
      <c r="G28" s="105"/>
      <c r="H28" s="105"/>
    </row>
    <row r="29" spans="1:8" x14ac:dyDescent="0.35">
      <c r="A29" s="104" t="s">
        <v>472</v>
      </c>
      <c r="B29" s="104"/>
      <c r="C29" s="104"/>
      <c r="D29" s="104"/>
      <c r="E29" s="104"/>
      <c r="F29" s="104"/>
      <c r="G29" s="104"/>
      <c r="H29" s="104"/>
    </row>
    <row r="30" spans="1:8" x14ac:dyDescent="0.35">
      <c r="A30" s="104"/>
      <c r="B30" s="104"/>
      <c r="C30" s="104"/>
      <c r="D30" s="104"/>
      <c r="E30" s="104"/>
      <c r="F30" s="104"/>
      <c r="G30" s="104"/>
      <c r="H30" s="104"/>
    </row>
    <row r="31" spans="1:8" x14ac:dyDescent="0.35">
      <c r="A31" s="104"/>
      <c r="B31" s="104"/>
      <c r="C31" s="104"/>
      <c r="D31" s="104"/>
      <c r="E31" s="104"/>
      <c r="F31" s="104"/>
      <c r="G31" s="104"/>
      <c r="H31" s="104"/>
    </row>
    <row r="33" spans="1:8" x14ac:dyDescent="0.35">
      <c r="A33" s="105" t="s">
        <v>473</v>
      </c>
      <c r="B33" s="105"/>
      <c r="C33" s="105"/>
      <c r="D33" s="105"/>
      <c r="E33" s="105"/>
      <c r="F33" s="105"/>
      <c r="G33" s="105"/>
      <c r="H33" s="105"/>
    </row>
    <row r="34" spans="1:8" x14ac:dyDescent="0.35">
      <c r="A34" s="104" t="s">
        <v>474</v>
      </c>
      <c r="B34" s="104"/>
      <c r="C34" s="104"/>
      <c r="D34" s="104"/>
      <c r="E34" s="104"/>
      <c r="F34" s="104"/>
      <c r="G34" s="104"/>
      <c r="H34" s="104"/>
    </row>
    <row r="35" spans="1:8" x14ac:dyDescent="0.35">
      <c r="A35" s="104"/>
      <c r="B35" s="104"/>
      <c r="C35" s="104"/>
      <c r="D35" s="104"/>
      <c r="E35" s="104"/>
      <c r="F35" s="104"/>
      <c r="G35" s="104"/>
      <c r="H35" s="104"/>
    </row>
    <row r="36" spans="1:8" x14ac:dyDescent="0.35">
      <c r="A36" s="104"/>
      <c r="B36" s="104"/>
      <c r="C36" s="104"/>
      <c r="D36" s="104"/>
      <c r="E36" s="104"/>
      <c r="F36" s="104"/>
      <c r="G36" s="104"/>
      <c r="H36" s="104"/>
    </row>
    <row r="38" spans="1:8" x14ac:dyDescent="0.35">
      <c r="A38" s="105" t="s">
        <v>475</v>
      </c>
      <c r="B38" s="105"/>
      <c r="C38" s="105"/>
      <c r="D38" s="105"/>
      <c r="E38" s="105"/>
      <c r="F38" s="105"/>
      <c r="G38" s="105"/>
      <c r="H38" s="105"/>
    </row>
    <row r="39" spans="1:8" x14ac:dyDescent="0.35">
      <c r="A39" s="104" t="s">
        <v>476</v>
      </c>
      <c r="B39" s="104"/>
      <c r="C39" s="104"/>
      <c r="D39" s="104"/>
      <c r="E39" s="104"/>
      <c r="F39" s="104"/>
      <c r="G39" s="104"/>
      <c r="H39" s="104"/>
    </row>
    <row r="40" spans="1:8" x14ac:dyDescent="0.35">
      <c r="A40" s="104"/>
      <c r="B40" s="104"/>
      <c r="C40" s="104"/>
      <c r="D40" s="104"/>
      <c r="E40" s="104"/>
      <c r="F40" s="104"/>
      <c r="G40" s="104"/>
      <c r="H40" s="104"/>
    </row>
    <row r="41" spans="1:8" x14ac:dyDescent="0.35">
      <c r="A41" s="104"/>
      <c r="B41" s="104"/>
      <c r="C41" s="104"/>
      <c r="D41" s="104"/>
      <c r="E41" s="104"/>
      <c r="F41" s="104"/>
      <c r="G41" s="104"/>
      <c r="H41" s="104"/>
    </row>
    <row r="43" spans="1:8" x14ac:dyDescent="0.35">
      <c r="A43" s="105" t="s">
        <v>477</v>
      </c>
      <c r="B43" s="105"/>
      <c r="C43" s="105"/>
      <c r="D43" s="105"/>
      <c r="E43" s="105"/>
      <c r="F43" s="105"/>
      <c r="G43" s="105"/>
      <c r="H43" s="105"/>
    </row>
    <row r="44" spans="1:8" x14ac:dyDescent="0.35">
      <c r="A44" s="104" t="s">
        <v>478</v>
      </c>
      <c r="B44" s="104"/>
      <c r="C44" s="104"/>
      <c r="D44" s="104"/>
      <c r="E44" s="104"/>
      <c r="F44" s="104"/>
      <c r="G44" s="104"/>
      <c r="H44" s="104"/>
    </row>
    <row r="45" spans="1:8" x14ac:dyDescent="0.35">
      <c r="A45" s="104"/>
      <c r="B45" s="104"/>
      <c r="C45" s="104"/>
      <c r="D45" s="104"/>
      <c r="E45" s="104"/>
      <c r="F45" s="104"/>
      <c r="G45" s="104"/>
      <c r="H45" s="104"/>
    </row>
    <row r="46" spans="1:8" x14ac:dyDescent="0.35">
      <c r="A46" s="104"/>
      <c r="B46" s="104"/>
      <c r="C46" s="104"/>
      <c r="D46" s="104"/>
      <c r="E46" s="104"/>
      <c r="F46" s="104"/>
      <c r="G46" s="104"/>
      <c r="H46" s="104"/>
    </row>
    <row r="48" spans="1:8" x14ac:dyDescent="0.35">
      <c r="A48" s="105" t="s">
        <v>479</v>
      </c>
      <c r="B48" s="105"/>
      <c r="C48" s="105"/>
      <c r="D48" s="105"/>
      <c r="E48" s="105"/>
      <c r="F48" s="105"/>
      <c r="G48" s="105"/>
      <c r="H48" s="105"/>
    </row>
    <row r="49" spans="1:8" x14ac:dyDescent="0.35">
      <c r="A49" s="104" t="s">
        <v>480</v>
      </c>
      <c r="B49" s="104"/>
      <c r="C49" s="104"/>
      <c r="D49" s="104"/>
      <c r="E49" s="104"/>
      <c r="F49" s="104"/>
      <c r="G49" s="104"/>
      <c r="H49" s="104"/>
    </row>
    <row r="50" spans="1:8" x14ac:dyDescent="0.35">
      <c r="A50" s="104"/>
      <c r="B50" s="104"/>
      <c r="C50" s="104"/>
      <c r="D50" s="104"/>
      <c r="E50" s="104"/>
      <c r="F50" s="104"/>
      <c r="G50" s="104"/>
      <c r="H50" s="104"/>
    </row>
    <row r="51" spans="1:8" x14ac:dyDescent="0.35">
      <c r="A51" s="104"/>
      <c r="B51" s="104"/>
      <c r="C51" s="104"/>
      <c r="D51" s="104"/>
      <c r="E51" s="104"/>
      <c r="F51" s="104"/>
      <c r="G51" s="104"/>
      <c r="H51" s="104"/>
    </row>
    <row r="53" spans="1:8" x14ac:dyDescent="0.35">
      <c r="A53" s="132" t="s">
        <v>484</v>
      </c>
      <c r="B53" s="126" t="s">
        <v>485</v>
      </c>
      <c r="C53" s="126" t="s">
        <v>486</v>
      </c>
      <c r="D53" s="126" t="s">
        <v>487</v>
      </c>
      <c r="E53" s="133" t="s">
        <v>34</v>
      </c>
    </row>
    <row r="54" spans="1:8" x14ac:dyDescent="0.35">
      <c r="A54" s="130" t="s">
        <v>180</v>
      </c>
      <c r="B54" s="2" t="s">
        <v>488</v>
      </c>
      <c r="C54" s="2" t="s">
        <v>421</v>
      </c>
      <c r="D54" s="2"/>
      <c r="E54" s="131" t="s">
        <v>401</v>
      </c>
    </row>
    <row r="55" spans="1:8" x14ac:dyDescent="0.35">
      <c r="A55" s="130" t="s">
        <v>489</v>
      </c>
      <c r="B55" s="2" t="s">
        <v>490</v>
      </c>
      <c r="C55" s="2" t="s">
        <v>88</v>
      </c>
      <c r="D55" s="2"/>
      <c r="E55" s="131" t="s">
        <v>491</v>
      </c>
    </row>
    <row r="56" spans="1:8" x14ac:dyDescent="0.35">
      <c r="A56" s="134" t="s">
        <v>492</v>
      </c>
      <c r="B56" s="135" t="s">
        <v>493</v>
      </c>
      <c r="C56" s="135" t="s">
        <v>88</v>
      </c>
      <c r="D56" s="135"/>
      <c r="E56" s="136" t="s">
        <v>491</v>
      </c>
    </row>
    <row r="58" spans="1:8" x14ac:dyDescent="0.35">
      <c r="A58" s="105" t="s">
        <v>481</v>
      </c>
      <c r="B58" s="105"/>
      <c r="C58" s="105"/>
      <c r="D58" s="105"/>
      <c r="E58" s="105"/>
      <c r="F58" s="105"/>
      <c r="G58" s="105"/>
      <c r="H58" s="105"/>
    </row>
    <row r="59" spans="1:8" x14ac:dyDescent="0.35">
      <c r="A59" s="104" t="s">
        <v>482</v>
      </c>
      <c r="B59" s="104"/>
      <c r="C59" s="104"/>
      <c r="D59" s="104"/>
      <c r="E59" s="104"/>
      <c r="F59" s="104"/>
      <c r="G59" s="104"/>
      <c r="H59" s="104"/>
    </row>
    <row r="60" spans="1:8" x14ac:dyDescent="0.35">
      <c r="A60" s="104"/>
      <c r="B60" s="104"/>
      <c r="C60" s="104"/>
      <c r="D60" s="104"/>
      <c r="E60" s="104"/>
      <c r="F60" s="104"/>
      <c r="G60" s="104"/>
      <c r="H60" s="104"/>
    </row>
    <row r="61" spans="1:8" x14ac:dyDescent="0.35">
      <c r="A61" s="104"/>
      <c r="B61" s="104"/>
      <c r="C61" s="104"/>
      <c r="D61" s="104"/>
      <c r="E61" s="104"/>
      <c r="F61" s="104"/>
      <c r="G61" s="104"/>
      <c r="H61" s="104"/>
    </row>
    <row r="63" spans="1:8" x14ac:dyDescent="0.35">
      <c r="A63" s="132" t="s">
        <v>494</v>
      </c>
      <c r="B63" s="126" t="s">
        <v>495</v>
      </c>
      <c r="C63" s="126" t="s">
        <v>396</v>
      </c>
      <c r="D63" s="126" t="s">
        <v>496</v>
      </c>
      <c r="E63" s="133" t="s">
        <v>153</v>
      </c>
    </row>
    <row r="64" spans="1:8" x14ac:dyDescent="0.35">
      <c r="A64" s="130" t="s">
        <v>497</v>
      </c>
      <c r="B64" s="2" t="s">
        <v>498</v>
      </c>
      <c r="C64" s="2" t="s">
        <v>421</v>
      </c>
      <c r="D64" s="2"/>
      <c r="E64" s="131" t="s">
        <v>137</v>
      </c>
    </row>
    <row r="65" spans="1:8" x14ac:dyDescent="0.35">
      <c r="A65" s="130" t="s">
        <v>499</v>
      </c>
      <c r="B65" s="2" t="s">
        <v>500</v>
      </c>
      <c r="C65" s="2" t="s">
        <v>421</v>
      </c>
      <c r="D65" s="2"/>
      <c r="E65" s="131" t="s">
        <v>137</v>
      </c>
    </row>
    <row r="66" spans="1:8" x14ac:dyDescent="0.35">
      <c r="A66" s="130" t="s">
        <v>501</v>
      </c>
      <c r="B66" s="2" t="s">
        <v>502</v>
      </c>
      <c r="C66" s="2" t="s">
        <v>429</v>
      </c>
      <c r="D66" s="2"/>
      <c r="E66" s="131" t="s">
        <v>134</v>
      </c>
    </row>
    <row r="67" spans="1:8" x14ac:dyDescent="0.35">
      <c r="A67" s="130" t="s">
        <v>503</v>
      </c>
      <c r="B67" s="2" t="s">
        <v>504</v>
      </c>
      <c r="C67" s="2" t="s">
        <v>88</v>
      </c>
      <c r="D67" s="2"/>
      <c r="E67" s="131" t="s">
        <v>134</v>
      </c>
    </row>
    <row r="68" spans="1:8" x14ac:dyDescent="0.35">
      <c r="A68" s="130" t="s">
        <v>505</v>
      </c>
      <c r="B68" s="2" t="s">
        <v>506</v>
      </c>
      <c r="C68" s="2" t="s">
        <v>88</v>
      </c>
      <c r="D68" s="2"/>
      <c r="E68" s="131" t="s">
        <v>134</v>
      </c>
    </row>
    <row r="69" spans="1:8" x14ac:dyDescent="0.35">
      <c r="A69" s="134" t="s">
        <v>507</v>
      </c>
      <c r="B69" s="135" t="s">
        <v>508</v>
      </c>
      <c r="C69" s="135" t="s">
        <v>88</v>
      </c>
      <c r="D69" s="135"/>
      <c r="E69" s="136" t="s">
        <v>134</v>
      </c>
    </row>
    <row r="70" spans="1:8" x14ac:dyDescent="0.35">
      <c r="A70" s="2"/>
      <c r="B70" s="2"/>
      <c r="C70" s="2"/>
      <c r="D70" s="2"/>
      <c r="E70" s="2"/>
    </row>
    <row r="72" spans="1:8" x14ac:dyDescent="0.35">
      <c r="A72" s="105" t="s">
        <v>483</v>
      </c>
      <c r="B72" s="105"/>
      <c r="C72" s="105"/>
      <c r="D72" s="105"/>
      <c r="E72" s="105"/>
      <c r="F72" s="105"/>
      <c r="G72" s="106"/>
      <c r="H72" s="106"/>
    </row>
    <row r="73" spans="1:8" ht="14.5" customHeight="1" x14ac:dyDescent="0.35">
      <c r="A73" s="99" t="s">
        <v>593</v>
      </c>
      <c r="B73" s="99"/>
      <c r="C73" s="99"/>
      <c r="D73" s="99"/>
      <c r="E73" s="99"/>
      <c r="F73" s="99"/>
      <c r="G73" s="107"/>
      <c r="H73" s="107"/>
    </row>
    <row r="74" spans="1:8" x14ac:dyDescent="0.35">
      <c r="A74" s="139" t="s">
        <v>594</v>
      </c>
      <c r="B74" s="140" t="s">
        <v>595</v>
      </c>
      <c r="C74" s="140" t="s">
        <v>596</v>
      </c>
      <c r="D74" s="140" t="s">
        <v>597</v>
      </c>
      <c r="E74" s="140" t="s">
        <v>598</v>
      </c>
      <c r="F74" s="141" t="s">
        <v>544</v>
      </c>
    </row>
    <row r="75" spans="1:8" x14ac:dyDescent="0.35">
      <c r="A75" s="130" t="s">
        <v>599</v>
      </c>
      <c r="B75" s="49">
        <f>SUMIFS(Fact_Baseline_PV!$C$2:$C$44,Fact_Baseline_PV!$A$2:$A$44,"&lt;="&amp;DATE(2026,6,30))</f>
        <v>220233.34000000003</v>
      </c>
      <c r="C75" s="49">
        <f>SUMIFS(Fact_Baseline_PV!$C$2:$C$44,Fact_Baseline_PV!$A$2:$A$44,"&gt;"&amp;DATE(2026,6,30),Fact_Baseline_PV!$A$2:$A$44,"&lt;="&amp;DATE(2026,9,30))</f>
        <v>48416.66</v>
      </c>
      <c r="D75" s="49">
        <v>0</v>
      </c>
      <c r="E75" s="49">
        <v>0</v>
      </c>
      <c r="F75" s="138">
        <f>SUM(B75:E75)</f>
        <v>268650</v>
      </c>
    </row>
    <row r="76" spans="1:8" x14ac:dyDescent="0.35">
      <c r="A76" s="130" t="s">
        <v>509</v>
      </c>
      <c r="B76" s="49">
        <v>0</v>
      </c>
      <c r="C76" s="49">
        <v>0</v>
      </c>
      <c r="D76" s="49">
        <v>0</v>
      </c>
      <c r="E76" s="49">
        <v>0</v>
      </c>
      <c r="F76" s="138">
        <f>SUM(B76:E76)</f>
        <v>0</v>
      </c>
    </row>
    <row r="77" spans="1:8" x14ac:dyDescent="0.35">
      <c r="A77" s="130" t="s">
        <v>510</v>
      </c>
      <c r="B77" s="49">
        <v>0</v>
      </c>
      <c r="C77" s="49">
        <v>0</v>
      </c>
      <c r="D77" s="49">
        <v>0</v>
      </c>
      <c r="E77" s="49">
        <v>0</v>
      </c>
      <c r="F77" s="138">
        <f>SUM(B77:E77)</f>
        <v>0</v>
      </c>
    </row>
    <row r="78" spans="1:8" x14ac:dyDescent="0.35">
      <c r="A78" s="130" t="s">
        <v>511</v>
      </c>
      <c r="B78" s="49">
        <v>0</v>
      </c>
      <c r="C78" s="49">
        <v>0</v>
      </c>
      <c r="D78" s="49">
        <v>0</v>
      </c>
      <c r="E78" s="49">
        <v>0</v>
      </c>
      <c r="F78" s="138">
        <f>SUM(B78:E78)</f>
        <v>0</v>
      </c>
    </row>
    <row r="79" spans="1:8" x14ac:dyDescent="0.35">
      <c r="A79" s="134" t="s">
        <v>512</v>
      </c>
      <c r="B79" s="142">
        <v>0</v>
      </c>
      <c r="C79" s="142">
        <v>0</v>
      </c>
      <c r="D79" s="142">
        <v>0</v>
      </c>
      <c r="E79" s="142">
        <v>0</v>
      </c>
      <c r="F79" s="143">
        <f>SUM(B79:E79)</f>
        <v>0</v>
      </c>
    </row>
  </sheetData>
  <mergeCells count="22">
    <mergeCell ref="A58:H58"/>
    <mergeCell ref="A59:H61"/>
    <mergeCell ref="A72:H72"/>
    <mergeCell ref="A73:H73"/>
    <mergeCell ref="A38:H38"/>
    <mergeCell ref="A39:H41"/>
    <mergeCell ref="A43:H43"/>
    <mergeCell ref="A44:H46"/>
    <mergeCell ref="A48:H48"/>
    <mergeCell ref="A49:H51"/>
    <mergeCell ref="A34:H36"/>
    <mergeCell ref="A1:H1"/>
    <mergeCell ref="A2:H2"/>
    <mergeCell ref="A13:H13"/>
    <mergeCell ref="A14:H16"/>
    <mergeCell ref="A18:H18"/>
    <mergeCell ref="A19:H21"/>
    <mergeCell ref="A23:H23"/>
    <mergeCell ref="A24:H26"/>
    <mergeCell ref="A28:H28"/>
    <mergeCell ref="A29:H31"/>
    <mergeCell ref="A33:H33"/>
  </mergeCells>
  <conditionalFormatting sqref="E64:E69">
    <cfRule type="expression" dxfId="184" priority="1">
      <formula>ISNUMBER(SEARCH("Red",E64))</formula>
    </cfRule>
  </conditionalFormatting>
  <conditionalFormatting sqref="E64:E69">
    <cfRule type="expression" dxfId="183" priority="2">
      <formula>ISNUMBER(SEARCH("Amber",E64))</formula>
    </cfRule>
  </conditionalFormatting>
  <conditionalFormatting sqref="E64:E69">
    <cfRule type="expression" dxfId="182" priority="3">
      <formula>ISNUMBER(SEARCH("Green",E64))</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6EEC-1967-4E93-97AC-5F8042F0C686}">
  <sheetPr>
    <tabColor rgb="FF5B9BD5"/>
  </sheetPr>
  <dimension ref="A1:H16"/>
  <sheetViews>
    <sheetView showGridLines="0" workbookViewId="0">
      <selection activeCell="Q1" sqref="Q1"/>
    </sheetView>
  </sheetViews>
  <sheetFormatPr defaultRowHeight="14.5" x14ac:dyDescent="0.35"/>
  <cols>
    <col min="1" max="1" width="8.1796875" customWidth="1"/>
    <col min="2" max="2" width="27.26953125" customWidth="1"/>
    <col min="3" max="3" width="40" customWidth="1"/>
    <col min="4" max="4" width="41.81640625" customWidth="1"/>
    <col min="5" max="5" width="26.36328125" customWidth="1"/>
    <col min="6" max="6" width="20" customWidth="1"/>
    <col min="7" max="7" width="16.36328125" customWidth="1"/>
    <col min="8" max="8" width="32.7265625" customWidth="1"/>
  </cols>
  <sheetData>
    <row r="1" spans="1:8" ht="23.5" x14ac:dyDescent="0.55000000000000004">
      <c r="A1" s="101" t="s">
        <v>391</v>
      </c>
      <c r="B1" s="101"/>
      <c r="C1" s="101"/>
      <c r="D1" s="101"/>
      <c r="E1" s="101"/>
      <c r="F1" s="101"/>
      <c r="G1" s="101"/>
      <c r="H1" s="101"/>
    </row>
    <row r="2" spans="1:8" x14ac:dyDescent="0.35">
      <c r="A2" s="102" t="s">
        <v>392</v>
      </c>
      <c r="B2" s="102"/>
      <c r="C2" s="102"/>
      <c r="D2" s="102"/>
      <c r="E2" s="102"/>
      <c r="F2" s="102"/>
      <c r="G2" s="102"/>
      <c r="H2" s="102"/>
    </row>
    <row r="4" spans="1:8" x14ac:dyDescent="0.35">
      <c r="A4" s="132" t="s">
        <v>393</v>
      </c>
      <c r="B4" s="126" t="s">
        <v>394</v>
      </c>
      <c r="C4" s="126" t="s">
        <v>157</v>
      </c>
      <c r="D4" s="126" t="s">
        <v>207</v>
      </c>
      <c r="E4" s="126" t="s">
        <v>395</v>
      </c>
      <c r="F4" s="126" t="s">
        <v>396</v>
      </c>
      <c r="G4" s="126" t="s">
        <v>34</v>
      </c>
      <c r="H4" s="133" t="s">
        <v>211</v>
      </c>
    </row>
    <row r="5" spans="1:8" ht="29" x14ac:dyDescent="0.35">
      <c r="A5" s="130">
        <v>1</v>
      </c>
      <c r="B5" s="2" t="s">
        <v>397</v>
      </c>
      <c r="C5" s="54" t="s">
        <v>398</v>
      </c>
      <c r="D5" s="54" t="s">
        <v>399</v>
      </c>
      <c r="E5" s="2" t="s">
        <v>400</v>
      </c>
      <c r="F5" s="2" t="s">
        <v>88</v>
      </c>
      <c r="G5" s="2" t="s">
        <v>401</v>
      </c>
      <c r="H5" s="144" t="s">
        <v>402</v>
      </c>
    </row>
    <row r="6" spans="1:8" ht="29" x14ac:dyDescent="0.35">
      <c r="A6" s="130">
        <v>2</v>
      </c>
      <c r="B6" s="2" t="s">
        <v>403</v>
      </c>
      <c r="C6" s="54" t="s">
        <v>404</v>
      </c>
      <c r="D6" s="54" t="s">
        <v>405</v>
      </c>
      <c r="E6" s="2" t="s">
        <v>406</v>
      </c>
      <c r="F6" s="2" t="s">
        <v>407</v>
      </c>
      <c r="G6" s="2" t="s">
        <v>401</v>
      </c>
      <c r="H6" s="144" t="s">
        <v>408</v>
      </c>
    </row>
    <row r="7" spans="1:8" ht="29" x14ac:dyDescent="0.35">
      <c r="A7" s="130">
        <v>3</v>
      </c>
      <c r="B7" s="2" t="s">
        <v>409</v>
      </c>
      <c r="C7" s="54" t="s">
        <v>410</v>
      </c>
      <c r="D7" s="54" t="s">
        <v>411</v>
      </c>
      <c r="E7" s="2" t="s">
        <v>239</v>
      </c>
      <c r="F7" s="2" t="s">
        <v>412</v>
      </c>
      <c r="G7" s="2" t="s">
        <v>401</v>
      </c>
      <c r="H7" s="144" t="s">
        <v>413</v>
      </c>
    </row>
    <row r="8" spans="1:8" ht="29" x14ac:dyDescent="0.35">
      <c r="A8" s="130">
        <v>4</v>
      </c>
      <c r="B8" s="2" t="s">
        <v>414</v>
      </c>
      <c r="C8" s="54" t="s">
        <v>415</v>
      </c>
      <c r="D8" s="54" t="s">
        <v>416</v>
      </c>
      <c r="E8" s="2" t="s">
        <v>417</v>
      </c>
      <c r="F8" s="2" t="s">
        <v>412</v>
      </c>
      <c r="G8" s="2" t="s">
        <v>401</v>
      </c>
      <c r="H8" s="144" t="s">
        <v>413</v>
      </c>
    </row>
    <row r="9" spans="1:8" ht="29" x14ac:dyDescent="0.35">
      <c r="A9" s="130">
        <v>5</v>
      </c>
      <c r="B9" s="2" t="s">
        <v>418</v>
      </c>
      <c r="C9" s="54" t="s">
        <v>419</v>
      </c>
      <c r="D9" s="54" t="s">
        <v>420</v>
      </c>
      <c r="E9" s="2" t="s">
        <v>273</v>
      </c>
      <c r="F9" s="2" t="s">
        <v>421</v>
      </c>
      <c r="G9" s="2" t="s">
        <v>401</v>
      </c>
      <c r="H9" s="144" t="s">
        <v>413</v>
      </c>
    </row>
    <row r="10" spans="1:8" ht="29" x14ac:dyDescent="0.35">
      <c r="A10" s="130">
        <v>6</v>
      </c>
      <c r="B10" s="2" t="s">
        <v>305</v>
      </c>
      <c r="C10" s="54" t="s">
        <v>422</v>
      </c>
      <c r="D10" s="54" t="s">
        <v>423</v>
      </c>
      <c r="E10" s="2" t="s">
        <v>243</v>
      </c>
      <c r="F10" s="2" t="s">
        <v>421</v>
      </c>
      <c r="G10" s="2" t="s">
        <v>401</v>
      </c>
      <c r="H10" s="144" t="s">
        <v>424</v>
      </c>
    </row>
    <row r="11" spans="1:8" ht="29" x14ac:dyDescent="0.35">
      <c r="A11" s="130">
        <v>7</v>
      </c>
      <c r="B11" s="2" t="s">
        <v>425</v>
      </c>
      <c r="C11" s="54" t="s">
        <v>426</v>
      </c>
      <c r="D11" s="54" t="s">
        <v>427</v>
      </c>
      <c r="E11" s="2" t="s">
        <v>428</v>
      </c>
      <c r="F11" s="2" t="s">
        <v>429</v>
      </c>
      <c r="G11" s="2" t="s">
        <v>401</v>
      </c>
      <c r="H11" s="144" t="s">
        <v>430</v>
      </c>
    </row>
    <row r="12" spans="1:8" ht="29" x14ac:dyDescent="0.35">
      <c r="A12" s="130">
        <v>8</v>
      </c>
      <c r="B12" s="2" t="s">
        <v>431</v>
      </c>
      <c r="C12" s="54" t="s">
        <v>432</v>
      </c>
      <c r="D12" s="54" t="s">
        <v>433</v>
      </c>
      <c r="E12" s="2" t="s">
        <v>434</v>
      </c>
      <c r="F12" s="2" t="s">
        <v>88</v>
      </c>
      <c r="G12" s="2" t="s">
        <v>435</v>
      </c>
      <c r="H12" s="144" t="s">
        <v>436</v>
      </c>
    </row>
    <row r="13" spans="1:8" ht="29" x14ac:dyDescent="0.35">
      <c r="A13" s="130">
        <v>9</v>
      </c>
      <c r="B13" s="2" t="s">
        <v>437</v>
      </c>
      <c r="C13" s="54" t="s">
        <v>438</v>
      </c>
      <c r="D13" s="54" t="s">
        <v>439</v>
      </c>
      <c r="E13" s="2" t="s">
        <v>440</v>
      </c>
      <c r="F13" s="2" t="s">
        <v>421</v>
      </c>
      <c r="G13" s="2" t="s">
        <v>401</v>
      </c>
      <c r="H13" s="144" t="s">
        <v>413</v>
      </c>
    </row>
    <row r="14" spans="1:8" ht="29" x14ac:dyDescent="0.35">
      <c r="A14" s="130">
        <v>10</v>
      </c>
      <c r="B14" s="2" t="s">
        <v>441</v>
      </c>
      <c r="C14" s="54" t="s">
        <v>442</v>
      </c>
      <c r="D14" s="54" t="s">
        <v>443</v>
      </c>
      <c r="E14" s="2" t="s">
        <v>247</v>
      </c>
      <c r="F14" s="2" t="s">
        <v>421</v>
      </c>
      <c r="G14" s="2" t="s">
        <v>401</v>
      </c>
      <c r="H14" s="144" t="s">
        <v>413</v>
      </c>
    </row>
    <row r="15" spans="1:8" ht="29" x14ac:dyDescent="0.35">
      <c r="A15" s="130">
        <v>11</v>
      </c>
      <c r="B15" s="2" t="s">
        <v>444</v>
      </c>
      <c r="C15" s="54" t="s">
        <v>445</v>
      </c>
      <c r="D15" s="54" t="s">
        <v>446</v>
      </c>
      <c r="E15" s="2" t="s">
        <v>447</v>
      </c>
      <c r="F15" s="2" t="s">
        <v>448</v>
      </c>
      <c r="G15" s="2" t="s">
        <v>435</v>
      </c>
      <c r="H15" s="144" t="s">
        <v>413</v>
      </c>
    </row>
    <row r="16" spans="1:8" ht="29" x14ac:dyDescent="0.35">
      <c r="A16" s="134">
        <v>12</v>
      </c>
      <c r="B16" s="135" t="s">
        <v>449</v>
      </c>
      <c r="C16" s="127" t="s">
        <v>450</v>
      </c>
      <c r="D16" s="127" t="s">
        <v>451</v>
      </c>
      <c r="E16" s="135" t="s">
        <v>452</v>
      </c>
      <c r="F16" s="135" t="s">
        <v>407</v>
      </c>
      <c r="G16" s="135" t="s">
        <v>435</v>
      </c>
      <c r="H16" s="145" t="s">
        <v>453</v>
      </c>
    </row>
  </sheetData>
  <mergeCells count="2">
    <mergeCell ref="A1:H1"/>
    <mergeCell ref="A2:H2"/>
  </mergeCells>
  <conditionalFormatting sqref="G5:G16">
    <cfRule type="containsText" dxfId="181" priority="1" operator="containsText" text="Active">
      <formula>NOT(ISERROR(SEARCH("Active",G5)))</formula>
    </cfRule>
    <cfRule type="containsText" dxfId="180" priority="2" operator="containsText" text="Template ready">
      <formula>NOT(ISERROR(SEARCH("Template ready",G5)))</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3D0CF-3D77-4946-ADDA-12419EF76F6D}">
  <sheetPr>
    <tabColor rgb="FF5B9BD5"/>
  </sheetPr>
  <dimension ref="A1:H13"/>
  <sheetViews>
    <sheetView showGridLines="0" workbookViewId="0">
      <selection activeCell="Q1" sqref="Q1"/>
    </sheetView>
  </sheetViews>
  <sheetFormatPr defaultRowHeight="14.5" x14ac:dyDescent="0.35"/>
  <cols>
    <col min="1" max="1" width="38.1796875" customWidth="1"/>
    <col min="2" max="2" width="45.453125" customWidth="1"/>
    <col min="3" max="3" width="25.453125" customWidth="1"/>
    <col min="4" max="4" width="15.453125" customWidth="1"/>
    <col min="5" max="5" width="26.36328125" customWidth="1"/>
  </cols>
  <sheetData>
    <row r="1" spans="1:8" ht="23.5" x14ac:dyDescent="0.55000000000000004">
      <c r="A1" s="100" t="s">
        <v>227</v>
      </c>
      <c r="B1" s="101"/>
      <c r="C1" s="101"/>
      <c r="D1" s="101"/>
      <c r="E1" s="101"/>
      <c r="F1" s="101"/>
      <c r="G1" s="101"/>
      <c r="H1" s="101"/>
    </row>
    <row r="2" spans="1:8" x14ac:dyDescent="0.35">
      <c r="A2" s="102" t="s">
        <v>228</v>
      </c>
      <c r="B2" s="102"/>
      <c r="C2" s="102"/>
      <c r="D2" s="102"/>
      <c r="E2" s="102"/>
      <c r="F2" s="102"/>
      <c r="G2" s="102"/>
      <c r="H2" s="102"/>
    </row>
    <row r="4" spans="1:8" x14ac:dyDescent="0.35">
      <c r="A4" s="132" t="s">
        <v>229</v>
      </c>
      <c r="B4" s="126" t="s">
        <v>207</v>
      </c>
      <c r="C4" s="126" t="s">
        <v>230</v>
      </c>
      <c r="D4" s="126" t="s">
        <v>34</v>
      </c>
      <c r="E4" s="133" t="s">
        <v>231</v>
      </c>
    </row>
    <row r="5" spans="1:8" ht="29" x14ac:dyDescent="0.35">
      <c r="A5" s="146" t="s">
        <v>232</v>
      </c>
      <c r="B5" s="54" t="s">
        <v>233</v>
      </c>
      <c r="C5" s="2" t="s">
        <v>234</v>
      </c>
      <c r="D5" s="6" t="s">
        <v>235</v>
      </c>
      <c r="E5" s="131" t="s">
        <v>236</v>
      </c>
    </row>
    <row r="6" spans="1:8" ht="29" x14ac:dyDescent="0.35">
      <c r="A6" s="146" t="s">
        <v>237</v>
      </c>
      <c r="B6" s="54" t="s">
        <v>238</v>
      </c>
      <c r="C6" s="2" t="s">
        <v>239</v>
      </c>
      <c r="D6" s="6" t="s">
        <v>235</v>
      </c>
      <c r="E6" s="131" t="s">
        <v>240</v>
      </c>
    </row>
    <row r="7" spans="1:8" ht="29" x14ac:dyDescent="0.35">
      <c r="A7" s="146" t="s">
        <v>241</v>
      </c>
      <c r="B7" s="54" t="s">
        <v>242</v>
      </c>
      <c r="C7" s="2" t="s">
        <v>243</v>
      </c>
      <c r="D7" s="6" t="s">
        <v>235</v>
      </c>
      <c r="E7" s="131" t="s">
        <v>244</v>
      </c>
    </row>
    <row r="8" spans="1:8" ht="29" x14ac:dyDescent="0.35">
      <c r="A8" s="146" t="s">
        <v>245</v>
      </c>
      <c r="B8" s="54" t="s">
        <v>246</v>
      </c>
      <c r="C8" s="2" t="s">
        <v>247</v>
      </c>
      <c r="D8" s="6" t="s">
        <v>235</v>
      </c>
      <c r="E8" s="131" t="s">
        <v>248</v>
      </c>
    </row>
    <row r="9" spans="1:8" ht="29" x14ac:dyDescent="0.35">
      <c r="A9" s="146" t="s">
        <v>249</v>
      </c>
      <c r="B9" s="54" t="s">
        <v>250</v>
      </c>
      <c r="C9" s="2" t="s">
        <v>251</v>
      </c>
      <c r="D9" s="6" t="s">
        <v>235</v>
      </c>
      <c r="E9" s="131" t="s">
        <v>252</v>
      </c>
    </row>
    <row r="10" spans="1:8" ht="29" x14ac:dyDescent="0.35">
      <c r="A10" s="146" t="s">
        <v>253</v>
      </c>
      <c r="B10" s="54" t="s">
        <v>254</v>
      </c>
      <c r="C10" s="2" t="s">
        <v>255</v>
      </c>
      <c r="D10" s="6" t="s">
        <v>235</v>
      </c>
      <c r="E10" s="131" t="s">
        <v>256</v>
      </c>
    </row>
    <row r="11" spans="1:8" ht="29" x14ac:dyDescent="0.35">
      <c r="A11" s="146" t="s">
        <v>257</v>
      </c>
      <c r="B11" s="54" t="s">
        <v>258</v>
      </c>
      <c r="C11" s="2" t="s">
        <v>259</v>
      </c>
      <c r="D11" s="6" t="s">
        <v>235</v>
      </c>
      <c r="E11" s="131" t="s">
        <v>256</v>
      </c>
    </row>
    <row r="12" spans="1:8" ht="29" x14ac:dyDescent="0.35">
      <c r="A12" s="146" t="s">
        <v>260</v>
      </c>
      <c r="B12" s="54" t="s">
        <v>261</v>
      </c>
      <c r="C12" s="2" t="s">
        <v>262</v>
      </c>
      <c r="D12" s="6" t="s">
        <v>235</v>
      </c>
      <c r="E12" s="131" t="s">
        <v>263</v>
      </c>
    </row>
    <row r="13" spans="1:8" ht="29" x14ac:dyDescent="0.35">
      <c r="A13" s="147" t="s">
        <v>264</v>
      </c>
      <c r="B13" s="127" t="s">
        <v>272</v>
      </c>
      <c r="C13" s="135" t="s">
        <v>273</v>
      </c>
      <c r="D13" s="148" t="s">
        <v>235</v>
      </c>
      <c r="E13" s="136" t="s">
        <v>265</v>
      </c>
    </row>
  </sheetData>
  <mergeCells count="2">
    <mergeCell ref="A1:H1"/>
    <mergeCell ref="A2:H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1B97E-11E8-4542-AC88-FB68F7A36F4A}">
  <sheetPr>
    <tabColor rgb="FF70AD47"/>
  </sheetPr>
  <dimension ref="A1:H20"/>
  <sheetViews>
    <sheetView showGridLines="0" topLeftCell="E1" workbookViewId="0">
      <selection activeCell="Q1" sqref="Q1"/>
    </sheetView>
  </sheetViews>
  <sheetFormatPr defaultRowHeight="14.5" x14ac:dyDescent="0.35"/>
  <cols>
    <col min="1" max="1" width="34.54296875" customWidth="1"/>
    <col min="2" max="2" width="25.453125" customWidth="1"/>
    <col min="3" max="3" width="19.08984375" customWidth="1"/>
    <col min="4" max="4" width="41.81640625" customWidth="1"/>
  </cols>
  <sheetData>
    <row r="1" spans="1:8" ht="23.5" x14ac:dyDescent="0.55000000000000004">
      <c r="A1" s="100" t="s">
        <v>172</v>
      </c>
      <c r="B1" s="101"/>
      <c r="C1" s="101"/>
      <c r="D1" s="101"/>
      <c r="E1" s="101"/>
      <c r="F1" s="101"/>
      <c r="G1" s="101"/>
      <c r="H1" s="101"/>
    </row>
    <row r="2" spans="1:8" x14ac:dyDescent="0.35">
      <c r="A2" s="102" t="s">
        <v>173</v>
      </c>
      <c r="B2" s="102"/>
      <c r="C2" s="102"/>
      <c r="D2" s="102"/>
      <c r="E2" s="102"/>
      <c r="F2" s="102"/>
      <c r="G2" s="102"/>
      <c r="H2" s="102"/>
    </row>
    <row r="4" spans="1:8" x14ac:dyDescent="0.35">
      <c r="A4" s="132" t="s">
        <v>174</v>
      </c>
      <c r="B4" s="133" t="s">
        <v>175</v>
      </c>
    </row>
    <row r="5" spans="1:8" x14ac:dyDescent="0.35">
      <c r="A5" s="130" t="s">
        <v>176</v>
      </c>
      <c r="B5" s="131" t="str">
        <f>Control_Project_ID</f>
        <v>P101</v>
      </c>
    </row>
    <row r="6" spans="1:8" x14ac:dyDescent="0.35">
      <c r="A6" s="130" t="s">
        <v>177</v>
      </c>
      <c r="B6" s="131" t="str">
        <f>Control_Project_Name</f>
        <v>Office Fit-Out</v>
      </c>
    </row>
    <row r="7" spans="1:8" x14ac:dyDescent="0.35">
      <c r="A7" s="130" t="s">
        <v>145</v>
      </c>
      <c r="B7" s="149">
        <f>Control_Project_Start</f>
        <v>46146</v>
      </c>
    </row>
    <row r="8" spans="1:8" x14ac:dyDescent="0.35">
      <c r="A8" s="130" t="s">
        <v>178</v>
      </c>
      <c r="B8" s="149">
        <f>Control_Project_End</f>
        <v>46229</v>
      </c>
    </row>
    <row r="9" spans="1:8" x14ac:dyDescent="0.35">
      <c r="A9" s="130" t="s">
        <v>147</v>
      </c>
      <c r="B9" s="149">
        <v>46203</v>
      </c>
    </row>
    <row r="10" spans="1:8" x14ac:dyDescent="0.35">
      <c r="A10" s="130" t="s">
        <v>179</v>
      </c>
      <c r="B10" s="131" t="s">
        <v>180</v>
      </c>
    </row>
    <row r="11" spans="1:8" x14ac:dyDescent="0.35">
      <c r="A11" s="130" t="s">
        <v>181</v>
      </c>
      <c r="B11" s="150">
        <f>Control_BAC</f>
        <v>268650</v>
      </c>
    </row>
    <row r="12" spans="1:8" x14ac:dyDescent="0.35">
      <c r="A12" s="130" t="s">
        <v>182</v>
      </c>
      <c r="B12" s="151">
        <v>0.95</v>
      </c>
    </row>
    <row r="13" spans="1:8" x14ac:dyDescent="0.35">
      <c r="A13" s="130" t="s">
        <v>183</v>
      </c>
      <c r="B13" s="151">
        <v>1</v>
      </c>
    </row>
    <row r="14" spans="1:8" x14ac:dyDescent="0.35">
      <c r="A14" s="130" t="s">
        <v>184</v>
      </c>
      <c r="B14" s="151">
        <v>0.5</v>
      </c>
    </row>
    <row r="15" spans="1:8" x14ac:dyDescent="0.35">
      <c r="A15" s="134" t="s">
        <v>185</v>
      </c>
      <c r="B15" s="152">
        <v>0.8</v>
      </c>
    </row>
    <row r="17" spans="1:4" x14ac:dyDescent="0.35">
      <c r="A17" s="132" t="s">
        <v>153</v>
      </c>
      <c r="B17" s="126" t="s">
        <v>186</v>
      </c>
      <c r="C17" s="126" t="s">
        <v>130</v>
      </c>
      <c r="D17" s="133" t="s">
        <v>187</v>
      </c>
    </row>
    <row r="18" spans="1:4" x14ac:dyDescent="0.35">
      <c r="A18" s="153" t="s">
        <v>132</v>
      </c>
      <c r="B18" s="2" t="s">
        <v>188</v>
      </c>
      <c r="C18" s="2" t="s">
        <v>189</v>
      </c>
      <c r="D18" s="131" t="s">
        <v>190</v>
      </c>
    </row>
    <row r="19" spans="1:4" x14ac:dyDescent="0.35">
      <c r="A19" s="154" t="s">
        <v>134</v>
      </c>
      <c r="B19" s="2" t="s">
        <v>188</v>
      </c>
      <c r="C19" s="2" t="s">
        <v>191</v>
      </c>
      <c r="D19" s="131" t="s">
        <v>192</v>
      </c>
    </row>
    <row r="20" spans="1:4" x14ac:dyDescent="0.35">
      <c r="A20" s="156" t="s">
        <v>137</v>
      </c>
      <c r="B20" s="135" t="s">
        <v>188</v>
      </c>
      <c r="C20" s="135" t="s">
        <v>193</v>
      </c>
      <c r="D20" s="136" t="s">
        <v>194</v>
      </c>
    </row>
  </sheetData>
  <mergeCells count="2">
    <mergeCell ref="A1:H1"/>
    <mergeCell ref="A2:H2"/>
  </mergeCells>
  <conditionalFormatting sqref="A18:A20">
    <cfRule type="expression" dxfId="173" priority="1">
      <formula>ISNUMBER(SEARCH("Red",A18))</formula>
    </cfRule>
  </conditionalFormatting>
  <conditionalFormatting sqref="A18:A20">
    <cfRule type="expression" dxfId="172" priority="2">
      <formula>ISNUMBER(SEARCH("Amber",A18))</formula>
    </cfRule>
  </conditionalFormatting>
  <conditionalFormatting sqref="A18:A20">
    <cfRule type="expression" dxfId="171" priority="3">
      <formula>ISNUMBER(SEARCH("Green",A18))</formula>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2920-FA4E-4FAB-9C75-3FE6D6475415}">
  <sheetPr>
    <tabColor rgb="FF70AD47"/>
  </sheetPr>
  <dimension ref="A1:T17"/>
  <sheetViews>
    <sheetView showGridLines="0" workbookViewId="0">
      <selection activeCell="Q1" sqref="Q1"/>
    </sheetView>
  </sheetViews>
  <sheetFormatPr defaultRowHeight="14.5" x14ac:dyDescent="0.35"/>
  <cols>
    <col min="1" max="1" width="12.7265625" customWidth="1"/>
    <col min="2" max="2" width="11.36328125" customWidth="1"/>
    <col min="3" max="3" width="30.90625" customWidth="1"/>
    <col min="4" max="4" width="17.26953125" customWidth="1"/>
    <col min="5" max="6" width="15.453125" customWidth="1"/>
    <col min="7" max="7" width="14.7265625" customWidth="1"/>
    <col min="8" max="19" width="15.453125" customWidth="1"/>
    <col min="20" max="20" width="13.6328125" customWidth="1"/>
  </cols>
  <sheetData>
    <row r="1" spans="1:20" ht="23.5" x14ac:dyDescent="0.55000000000000004">
      <c r="A1" s="100" t="s">
        <v>160</v>
      </c>
      <c r="B1" s="101"/>
      <c r="C1" s="101"/>
      <c r="D1" s="101"/>
      <c r="E1" s="101"/>
      <c r="F1" s="101"/>
      <c r="G1" s="101"/>
      <c r="H1" s="101"/>
      <c r="I1" s="101"/>
      <c r="J1" s="101"/>
      <c r="K1" s="101"/>
      <c r="L1" s="101"/>
      <c r="M1" s="101"/>
      <c r="N1" s="101"/>
      <c r="O1" s="101"/>
      <c r="P1" s="101"/>
    </row>
    <row r="2" spans="1:20" x14ac:dyDescent="0.35">
      <c r="A2" s="102" t="s">
        <v>195</v>
      </c>
      <c r="B2" s="102"/>
      <c r="C2" s="102"/>
      <c r="D2" s="102"/>
      <c r="E2" s="102"/>
      <c r="F2" s="102"/>
      <c r="G2" s="102"/>
      <c r="H2" s="102"/>
      <c r="I2" s="102"/>
      <c r="J2" s="102"/>
      <c r="K2" s="102"/>
      <c r="L2" s="102"/>
      <c r="M2" s="102"/>
      <c r="N2" s="102"/>
      <c r="O2" s="102"/>
      <c r="P2" s="102"/>
    </row>
    <row r="4" spans="1:20" x14ac:dyDescent="0.35">
      <c r="A4" s="132" t="s">
        <v>19</v>
      </c>
      <c r="B4" s="126" t="s">
        <v>196</v>
      </c>
      <c r="C4" s="126" t="s">
        <v>197</v>
      </c>
      <c r="D4" s="126" t="s">
        <v>21</v>
      </c>
      <c r="E4" s="126" t="s">
        <v>198</v>
      </c>
      <c r="F4" s="126" t="s">
        <v>199</v>
      </c>
      <c r="G4" s="126" t="s">
        <v>152</v>
      </c>
      <c r="H4" s="126" t="s">
        <v>200</v>
      </c>
      <c r="I4" s="126" t="s">
        <v>201</v>
      </c>
      <c r="J4" s="126" t="s">
        <v>202</v>
      </c>
      <c r="K4" s="126" t="s">
        <v>25</v>
      </c>
      <c r="L4" s="126" t="s">
        <v>203</v>
      </c>
      <c r="M4" s="126" t="s">
        <v>28</v>
      </c>
      <c r="N4" s="126" t="s">
        <v>27</v>
      </c>
      <c r="O4" s="126" t="s">
        <v>30</v>
      </c>
      <c r="P4" s="126" t="s">
        <v>29</v>
      </c>
      <c r="Q4" s="126" t="s">
        <v>31</v>
      </c>
      <c r="R4" s="126" t="s">
        <v>32</v>
      </c>
      <c r="S4" s="126" t="s">
        <v>33</v>
      </c>
      <c r="T4" s="133" t="s">
        <v>34</v>
      </c>
    </row>
    <row r="5" spans="1:20" x14ac:dyDescent="0.35">
      <c r="A5" s="130" t="str">
        <f>Dim_WBS!A2</f>
        <v>WBS-01</v>
      </c>
      <c r="B5" s="2">
        <f>Dim_WBS!B2</f>
        <v>1</v>
      </c>
      <c r="C5" s="2" t="str">
        <f>Dim_WBS!C2</f>
        <v>Project Management</v>
      </c>
      <c r="D5" s="2" t="str">
        <f>Dim_WBS!D2</f>
        <v>Labor</v>
      </c>
      <c r="E5" s="46">
        <f>_xlfn.MINIFS(Fact_Baseline_PV!$A:$A,Fact_Baseline_PV!$B:$B,A5)</f>
        <v>46146</v>
      </c>
      <c r="F5" s="46">
        <f>_xlfn.MAXIFS(Fact_Baseline_PV!$A:$A,Fact_Baseline_PV!$B:$B,A5)+6</f>
        <v>46229</v>
      </c>
      <c r="G5" s="47">
        <f t="shared" ref="G5:G16" si="0">F5-E5+1</f>
        <v>84</v>
      </c>
      <c r="H5" s="49">
        <f>Dim_WBS!E2</f>
        <v>18000</v>
      </c>
      <c r="I5" s="49">
        <f>SUMIFS(Fact_Baseline_PV!$C:$C,Fact_Baseline_PV!$B:$B,A5,Fact_Baseline_PV!$A:$A,"&lt;="&amp;Setup!$B$9)</f>
        <v>13500</v>
      </c>
      <c r="J5" s="49">
        <f>SUMIFS(Fact_Actual_Costs!$D:$D,Fact_Actual_Costs!$B:$B,A5,Fact_Actual_Costs!$A:$A,"&lt;="&amp;Setup!$B$9)</f>
        <v>9600</v>
      </c>
      <c r="K5" s="48" cm="1">
        <f t="array" ref="K5">IFERROR(LOOKUP(2,1/(Fact_Physical_Progress!$B$2:$B$35=A5)/(Fact_Physical_Progress!$A$2:$A$35&lt;=Setup!$B$9),Fact_Physical_Progress!$C$2:$C$35),0)</f>
        <v>0.5</v>
      </c>
      <c r="L5" s="49">
        <f t="shared" ref="L5:L16" si="1">H5*K5</f>
        <v>9000</v>
      </c>
      <c r="M5" s="49">
        <f t="shared" ref="M5:M16" si="2">L5-I5</f>
        <v>-4500</v>
      </c>
      <c r="N5" s="49">
        <f t="shared" ref="N5:N16" si="3">L5-J5</f>
        <v>-600</v>
      </c>
      <c r="O5" s="50">
        <f t="shared" ref="O5:O17" si="4">IFERROR(L5/I5,1)</f>
        <v>0.66666666666666663</v>
      </c>
      <c r="P5" s="50">
        <f t="shared" ref="P5:P17" si="5">IFERROR(L5/J5,1)</f>
        <v>0.9375</v>
      </c>
      <c r="Q5" s="49">
        <f t="shared" ref="Q5:Q17" si="6">IF(P5&gt;0,H5/P5,H5)</f>
        <v>19200</v>
      </c>
      <c r="R5" s="49">
        <f t="shared" ref="R5:R17" si="7">Q5-J5</f>
        <v>9600</v>
      </c>
      <c r="S5" s="49">
        <f t="shared" ref="S5:S17" si="8">H5-Q5</f>
        <v>-1200</v>
      </c>
      <c r="T5" s="131" t="str">
        <f>IF(OR(N5&lt;0,P5&lt;Setup!$B$12,O5&lt;Setup!$B$12),"Red",IF(OR(P5&lt;Setup!$B$13,O5&lt;Setup!$B$13),"Amber","Green"))</f>
        <v>Red</v>
      </c>
    </row>
    <row r="6" spans="1:20" x14ac:dyDescent="0.35">
      <c r="A6" s="130" t="str">
        <f>Dim_WBS!A3</f>
        <v>WBS-02</v>
      </c>
      <c r="B6" s="2">
        <f>Dim_WBS!B3</f>
        <v>2</v>
      </c>
      <c r="C6" s="2" t="str">
        <f>Dim_WBS!C3</f>
        <v>Site Survey &amp; Mobilization</v>
      </c>
      <c r="D6" s="2" t="str">
        <f>Dim_WBS!D3</f>
        <v>Labor</v>
      </c>
      <c r="E6" s="46">
        <f>_xlfn.MINIFS(Fact_Baseline_PV!$A:$A,Fact_Baseline_PV!$B:$B,A6)</f>
        <v>46146</v>
      </c>
      <c r="F6" s="46">
        <f>_xlfn.MAXIFS(Fact_Baseline_PV!$A:$A,Fact_Baseline_PV!$B:$B,A6)+6</f>
        <v>46152</v>
      </c>
      <c r="G6" s="47">
        <f t="shared" si="0"/>
        <v>7</v>
      </c>
      <c r="H6" s="49">
        <f>Dim_WBS!E3</f>
        <v>8500</v>
      </c>
      <c r="I6" s="49">
        <f>SUMIFS(Fact_Baseline_PV!$C:$C,Fact_Baseline_PV!$B:$B,A6,Fact_Baseline_PV!$A:$A,"&lt;="&amp;Setup!$B$9)</f>
        <v>8500</v>
      </c>
      <c r="J6" s="49">
        <f>SUMIFS(Fact_Actual_Costs!$D:$D,Fact_Actual_Costs!$B:$B,A6,Fact_Actual_Costs!$A:$A,"&lt;="&amp;Setup!$B$9)</f>
        <v>8700</v>
      </c>
      <c r="K6" s="48" cm="1">
        <f t="array" ref="K6">IFERROR(LOOKUP(2,1/(Fact_Physical_Progress!$B$2:$B$35=A6)/(Fact_Physical_Progress!$A$2:$A$35&lt;=Setup!$B$9),Fact_Physical_Progress!$C$2:$C$35),0)</f>
        <v>1</v>
      </c>
      <c r="L6" s="49">
        <f t="shared" si="1"/>
        <v>8500</v>
      </c>
      <c r="M6" s="49">
        <f t="shared" si="2"/>
        <v>0</v>
      </c>
      <c r="N6" s="49">
        <f t="shared" si="3"/>
        <v>-200</v>
      </c>
      <c r="O6" s="50">
        <f t="shared" si="4"/>
        <v>1</v>
      </c>
      <c r="P6" s="50">
        <f t="shared" si="5"/>
        <v>0.97701149425287359</v>
      </c>
      <c r="Q6" s="49">
        <f t="shared" si="6"/>
        <v>8700</v>
      </c>
      <c r="R6" s="49">
        <f t="shared" si="7"/>
        <v>0</v>
      </c>
      <c r="S6" s="49">
        <f t="shared" si="8"/>
        <v>-200</v>
      </c>
      <c r="T6" s="131" t="str">
        <f>IF(OR(N6&lt;0,P6&lt;Setup!$B$12,O6&lt;Setup!$B$12),"Red",IF(OR(P6&lt;Setup!$B$13,O6&lt;Setup!$B$13),"Amber","Green"))</f>
        <v>Red</v>
      </c>
    </row>
    <row r="7" spans="1:20" x14ac:dyDescent="0.35">
      <c r="A7" s="130" t="str">
        <f>Dim_WBS!A4</f>
        <v>WBS-03</v>
      </c>
      <c r="B7" s="2">
        <f>Dim_WBS!B4</f>
        <v>3</v>
      </c>
      <c r="C7" s="2" t="str">
        <f>Dim_WBS!C4</f>
        <v>Design &amp; Engineering</v>
      </c>
      <c r="D7" s="2" t="str">
        <f>Dim_WBS!D4</f>
        <v>Labor</v>
      </c>
      <c r="E7" s="46">
        <f>_xlfn.MINIFS(Fact_Baseline_PV!$A:$A,Fact_Baseline_PV!$B:$B,A7)</f>
        <v>46146</v>
      </c>
      <c r="F7" s="46">
        <f>_xlfn.MAXIFS(Fact_Baseline_PV!$A:$A,Fact_Baseline_PV!$B:$B,A7)+6</f>
        <v>46166</v>
      </c>
      <c r="G7" s="47">
        <f t="shared" si="0"/>
        <v>21</v>
      </c>
      <c r="H7" s="49">
        <f>Dim_WBS!E4</f>
        <v>19200</v>
      </c>
      <c r="I7" s="49">
        <f>SUMIFS(Fact_Baseline_PV!$C:$C,Fact_Baseline_PV!$B:$B,A7,Fact_Baseline_PV!$A:$A,"&lt;="&amp;Setup!$B$9)</f>
        <v>19200</v>
      </c>
      <c r="J7" s="49">
        <f>SUMIFS(Fact_Actual_Costs!$D:$D,Fact_Actual_Costs!$B:$B,A7,Fact_Actual_Costs!$A:$A,"&lt;="&amp;Setup!$B$9)</f>
        <v>18195.04</v>
      </c>
      <c r="K7" s="48" cm="1">
        <f t="array" ref="K7">IFERROR(LOOKUP(2,1/(Fact_Physical_Progress!$B$2:$B$35=A7)/(Fact_Physical_Progress!$A$2:$A$35&lt;=Setup!$B$9),Fact_Physical_Progress!$C$2:$C$35),0)</f>
        <v>1</v>
      </c>
      <c r="L7" s="49">
        <f t="shared" si="1"/>
        <v>19200</v>
      </c>
      <c r="M7" s="49">
        <f t="shared" si="2"/>
        <v>0</v>
      </c>
      <c r="N7" s="49">
        <f t="shared" si="3"/>
        <v>1004.9599999999991</v>
      </c>
      <c r="O7" s="50">
        <f t="shared" si="4"/>
        <v>1</v>
      </c>
      <c r="P7" s="50">
        <f t="shared" si="5"/>
        <v>1.055232634827953</v>
      </c>
      <c r="Q7" s="49">
        <f t="shared" si="6"/>
        <v>18195.04</v>
      </c>
      <c r="R7" s="49">
        <f t="shared" si="7"/>
        <v>0</v>
      </c>
      <c r="S7" s="49">
        <f t="shared" si="8"/>
        <v>1004.9599999999991</v>
      </c>
      <c r="T7" s="131" t="str">
        <f>IF(OR(N7&lt;0,P7&lt;Setup!$B$12,O7&lt;Setup!$B$12),"Red",IF(OR(P7&lt;Setup!$B$13,O7&lt;Setup!$B$13),"Amber","Green"))</f>
        <v>Green</v>
      </c>
    </row>
    <row r="8" spans="1:20" x14ac:dyDescent="0.35">
      <c r="A8" s="130" t="str">
        <f>Dim_WBS!A5</f>
        <v>WBS-04</v>
      </c>
      <c r="B8" s="2">
        <f>Dim_WBS!B5</f>
        <v>4</v>
      </c>
      <c r="C8" s="2" t="str">
        <f>Dim_WBS!C5</f>
        <v>Procurement - Materials</v>
      </c>
      <c r="D8" s="2" t="str">
        <f>Dim_WBS!D5</f>
        <v>Material</v>
      </c>
      <c r="E8" s="46">
        <f>_xlfn.MINIFS(Fact_Baseline_PV!$A:$A,Fact_Baseline_PV!$B:$B,A8)</f>
        <v>46153</v>
      </c>
      <c r="F8" s="46">
        <f>_xlfn.MAXIFS(Fact_Baseline_PV!$A:$A,Fact_Baseline_PV!$B:$B,A8)+6</f>
        <v>46180</v>
      </c>
      <c r="G8" s="47">
        <f t="shared" si="0"/>
        <v>28</v>
      </c>
      <c r="H8" s="49">
        <f>Dim_WBS!E5</f>
        <v>42000</v>
      </c>
      <c r="I8" s="49">
        <f>SUMIFS(Fact_Baseline_PV!$C:$C,Fact_Baseline_PV!$B:$B,A8,Fact_Baseline_PV!$A:$A,"&lt;="&amp;Setup!$B$9)</f>
        <v>42000</v>
      </c>
      <c r="J8" s="49">
        <f>SUMIFS(Fact_Actual_Costs!$D:$D,Fact_Actual_Costs!$B:$B,A8,Fact_Actual_Costs!$A:$A,"&lt;="&amp;Setup!$B$9)</f>
        <v>41300</v>
      </c>
      <c r="K8" s="48" cm="1">
        <f t="array" ref="K8">IFERROR(LOOKUP(2,1/(Fact_Physical_Progress!$B$2:$B$35=A8)/(Fact_Physical_Progress!$A$2:$A$35&lt;=Setup!$B$9),Fact_Physical_Progress!$C$2:$C$35),0)</f>
        <v>1</v>
      </c>
      <c r="L8" s="49">
        <f t="shared" si="1"/>
        <v>42000</v>
      </c>
      <c r="M8" s="49">
        <f t="shared" si="2"/>
        <v>0</v>
      </c>
      <c r="N8" s="49">
        <f t="shared" si="3"/>
        <v>700</v>
      </c>
      <c r="O8" s="50">
        <f t="shared" si="4"/>
        <v>1</v>
      </c>
      <c r="P8" s="50">
        <f t="shared" si="5"/>
        <v>1.0169491525423728</v>
      </c>
      <c r="Q8" s="49">
        <f t="shared" si="6"/>
        <v>41300</v>
      </c>
      <c r="R8" s="49">
        <f t="shared" si="7"/>
        <v>0</v>
      </c>
      <c r="S8" s="49">
        <f t="shared" si="8"/>
        <v>700</v>
      </c>
      <c r="T8" s="131" t="str">
        <f>IF(OR(N8&lt;0,P8&lt;Setup!$B$12,O8&lt;Setup!$B$12),"Red",IF(OR(P8&lt;Setup!$B$13,O8&lt;Setup!$B$13),"Amber","Green"))</f>
        <v>Green</v>
      </c>
    </row>
    <row r="9" spans="1:20" x14ac:dyDescent="0.35">
      <c r="A9" s="130" t="str">
        <f>Dim_WBS!A6</f>
        <v>WBS-05</v>
      </c>
      <c r="B9" s="2">
        <f>Dim_WBS!B6</f>
        <v>5</v>
      </c>
      <c r="C9" s="2" t="str">
        <f>Dim_WBS!C6</f>
        <v>Demolition &amp; Prep</v>
      </c>
      <c r="D9" s="2" t="str">
        <f>Dim_WBS!D6</f>
        <v>Labor</v>
      </c>
      <c r="E9" s="46">
        <f>_xlfn.MINIFS(Fact_Baseline_PV!$A:$A,Fact_Baseline_PV!$B:$B,A9)</f>
        <v>46153</v>
      </c>
      <c r="F9" s="46">
        <f>_xlfn.MAXIFS(Fact_Baseline_PV!$A:$A,Fact_Baseline_PV!$B:$B,A9)+6</f>
        <v>46173</v>
      </c>
      <c r="G9" s="47">
        <f t="shared" si="0"/>
        <v>21</v>
      </c>
      <c r="H9" s="49">
        <f>Dim_WBS!E6</f>
        <v>13200</v>
      </c>
      <c r="I9" s="49">
        <f>SUMIFS(Fact_Baseline_PV!$C:$C,Fact_Baseline_PV!$B:$B,A9,Fact_Baseline_PV!$A:$A,"&lt;="&amp;Setup!$B$9)</f>
        <v>13200</v>
      </c>
      <c r="J9" s="49">
        <f>SUMIFS(Fact_Actual_Costs!$D:$D,Fact_Actual_Costs!$B:$B,A9,Fact_Actual_Costs!$A:$A,"&lt;="&amp;Setup!$B$9)</f>
        <v>13408.159999999998</v>
      </c>
      <c r="K9" s="48" cm="1">
        <f t="array" ref="K9">IFERROR(LOOKUP(2,1/(Fact_Physical_Progress!$B$2:$B$35=A9)/(Fact_Physical_Progress!$A$2:$A$35&lt;=Setup!$B$9),Fact_Physical_Progress!$C$2:$C$35),0)</f>
        <v>1</v>
      </c>
      <c r="L9" s="49">
        <f t="shared" si="1"/>
        <v>13200</v>
      </c>
      <c r="M9" s="49">
        <f t="shared" si="2"/>
        <v>0</v>
      </c>
      <c r="N9" s="49">
        <f t="shared" si="3"/>
        <v>-208.15999999999804</v>
      </c>
      <c r="O9" s="50">
        <f t="shared" si="4"/>
        <v>1</v>
      </c>
      <c r="P9" s="50">
        <f t="shared" si="5"/>
        <v>0.98447512559516015</v>
      </c>
      <c r="Q9" s="49">
        <f t="shared" si="6"/>
        <v>13408.159999999998</v>
      </c>
      <c r="R9" s="49">
        <f t="shared" si="7"/>
        <v>0</v>
      </c>
      <c r="S9" s="49">
        <f t="shared" si="8"/>
        <v>-208.15999999999804</v>
      </c>
      <c r="T9" s="131" t="str">
        <f>IF(OR(N9&lt;0,P9&lt;Setup!$B$12,O9&lt;Setup!$B$12),"Red",IF(OR(P9&lt;Setup!$B$13,O9&lt;Setup!$B$13),"Amber","Green"))</f>
        <v>Red</v>
      </c>
    </row>
    <row r="10" spans="1:20" x14ac:dyDescent="0.35">
      <c r="A10" s="130" t="str">
        <f>Dim_WBS!A7</f>
        <v>WBS-06</v>
      </c>
      <c r="B10" s="2">
        <f>Dim_WBS!B7</f>
        <v>6</v>
      </c>
      <c r="C10" s="2" t="str">
        <f>Dim_WBS!C7</f>
        <v>Electrical Rough-In</v>
      </c>
      <c r="D10" s="2" t="str">
        <f>Dim_WBS!D7</f>
        <v>Labor</v>
      </c>
      <c r="E10" s="46">
        <f>_xlfn.MINIFS(Fact_Baseline_PV!$A:$A,Fact_Baseline_PV!$B:$B,A10)</f>
        <v>46167</v>
      </c>
      <c r="F10" s="46">
        <f>_xlfn.MAXIFS(Fact_Baseline_PV!$A:$A,Fact_Baseline_PV!$B:$B,A10)+6</f>
        <v>46187</v>
      </c>
      <c r="G10" s="47">
        <f t="shared" si="0"/>
        <v>21</v>
      </c>
      <c r="H10" s="49">
        <f>Dim_WBS!E7</f>
        <v>26000</v>
      </c>
      <c r="I10" s="49">
        <f>SUMIFS(Fact_Baseline_PV!$C:$C,Fact_Baseline_PV!$B:$B,A10,Fact_Baseline_PV!$A:$A,"&lt;="&amp;Setup!$B$9)</f>
        <v>26000</v>
      </c>
      <c r="J10" s="49">
        <f>SUMIFS(Fact_Actual_Costs!$D:$D,Fact_Actual_Costs!$B:$B,A10,Fact_Actual_Costs!$A:$A,"&lt;="&amp;Setup!$B$9)</f>
        <v>26206.239999999998</v>
      </c>
      <c r="K10" s="48" cm="1">
        <f t="array" ref="K10">IFERROR(LOOKUP(2,1/(Fact_Physical_Progress!$B$2:$B$35=A10)/(Fact_Physical_Progress!$A$2:$A$35&lt;=Setup!$B$9),Fact_Physical_Progress!$C$2:$C$35),0)</f>
        <v>0.7</v>
      </c>
      <c r="L10" s="49">
        <f t="shared" si="1"/>
        <v>18200</v>
      </c>
      <c r="M10" s="49">
        <f t="shared" si="2"/>
        <v>-7800</v>
      </c>
      <c r="N10" s="49">
        <f t="shared" si="3"/>
        <v>-8006.239999999998</v>
      </c>
      <c r="O10" s="50">
        <f t="shared" si="4"/>
        <v>0.7</v>
      </c>
      <c r="P10" s="50">
        <f t="shared" si="5"/>
        <v>0.69449108303976459</v>
      </c>
      <c r="Q10" s="49">
        <f t="shared" si="6"/>
        <v>37437.485714285714</v>
      </c>
      <c r="R10" s="49">
        <f t="shared" si="7"/>
        <v>11231.245714285717</v>
      </c>
      <c r="S10" s="49">
        <f t="shared" si="8"/>
        <v>-11437.485714285714</v>
      </c>
      <c r="T10" s="131" t="str">
        <f>IF(OR(N10&lt;0,P10&lt;Setup!$B$12,O10&lt;Setup!$B$12),"Red",IF(OR(P10&lt;Setup!$B$13,O10&lt;Setup!$B$13),"Amber","Green"))</f>
        <v>Red</v>
      </c>
    </row>
    <row r="11" spans="1:20" x14ac:dyDescent="0.35">
      <c r="A11" s="130" t="str">
        <f>Dim_WBS!A8</f>
        <v>WBS-07</v>
      </c>
      <c r="B11" s="2">
        <f>Dim_WBS!B8</f>
        <v>7</v>
      </c>
      <c r="C11" s="2" t="str">
        <f>Dim_WBS!C8</f>
        <v>HVAC Installation</v>
      </c>
      <c r="D11" s="2" t="str">
        <f>Dim_WBS!D8</f>
        <v>Subcontractor</v>
      </c>
      <c r="E11" s="46">
        <f>_xlfn.MINIFS(Fact_Baseline_PV!$A:$A,Fact_Baseline_PV!$B:$B,A11)</f>
        <v>46174</v>
      </c>
      <c r="F11" s="46">
        <f>_xlfn.MAXIFS(Fact_Baseline_PV!$A:$A,Fact_Baseline_PV!$B:$B,A11)+6</f>
        <v>46201</v>
      </c>
      <c r="G11" s="47">
        <f t="shared" si="0"/>
        <v>28</v>
      </c>
      <c r="H11" s="49">
        <f>Dim_WBS!E8</f>
        <v>36000</v>
      </c>
      <c r="I11" s="49">
        <f>SUMIFS(Fact_Baseline_PV!$C:$C,Fact_Baseline_PV!$B:$B,A11,Fact_Baseline_PV!$A:$A,"&lt;="&amp;Setup!$B$9)</f>
        <v>36000</v>
      </c>
      <c r="J11" s="49">
        <f>SUMIFS(Fact_Actual_Costs!$D:$D,Fact_Actual_Costs!$B:$B,A11,Fact_Actual_Costs!$A:$A,"&lt;="&amp;Setup!$B$9)</f>
        <v>17476.8</v>
      </c>
      <c r="K11" s="48" cm="1">
        <f t="array" ref="K11">IFERROR(LOOKUP(2,1/(Fact_Physical_Progress!$B$2:$B$35=A11)/(Fact_Physical_Progress!$A$2:$A$35&lt;=Setup!$B$9),Fact_Physical_Progress!$C$2:$C$35),0)</f>
        <v>0.4</v>
      </c>
      <c r="L11" s="49">
        <f t="shared" si="1"/>
        <v>14400</v>
      </c>
      <c r="M11" s="49">
        <f t="shared" si="2"/>
        <v>-21600</v>
      </c>
      <c r="N11" s="49">
        <f t="shared" si="3"/>
        <v>-3076.7999999999993</v>
      </c>
      <c r="O11" s="50">
        <f t="shared" si="4"/>
        <v>0.4</v>
      </c>
      <c r="P11" s="50">
        <f t="shared" si="5"/>
        <v>0.82394946443284811</v>
      </c>
      <c r="Q11" s="49">
        <f t="shared" si="6"/>
        <v>43692</v>
      </c>
      <c r="R11" s="49">
        <f t="shared" si="7"/>
        <v>26215.200000000001</v>
      </c>
      <c r="S11" s="49">
        <f t="shared" si="8"/>
        <v>-7692</v>
      </c>
      <c r="T11" s="131" t="str">
        <f>IF(OR(N11&lt;0,P11&lt;Setup!$B$12,O11&lt;Setup!$B$12),"Red",IF(OR(P11&lt;Setup!$B$13,O11&lt;Setup!$B$13),"Amber","Green"))</f>
        <v>Red</v>
      </c>
    </row>
    <row r="12" spans="1:20" x14ac:dyDescent="0.35">
      <c r="A12" s="130" t="str">
        <f>Dim_WBS!A9</f>
        <v>WBS-08</v>
      </c>
      <c r="B12" s="2">
        <f>Dim_WBS!B9</f>
        <v>8</v>
      </c>
      <c r="C12" s="2" t="str">
        <f>Dim_WBS!C9</f>
        <v>Partitions &amp; Drywall</v>
      </c>
      <c r="D12" s="2" t="str">
        <f>Dim_WBS!D9</f>
        <v>Subcontractor</v>
      </c>
      <c r="E12" s="46">
        <f>_xlfn.MINIFS(Fact_Baseline_PV!$A:$A,Fact_Baseline_PV!$B:$B,A12)</f>
        <v>46181</v>
      </c>
      <c r="F12" s="46">
        <f>_xlfn.MAXIFS(Fact_Baseline_PV!$A:$A,Fact_Baseline_PV!$B:$B,A12)+6</f>
        <v>46208</v>
      </c>
      <c r="G12" s="47">
        <f t="shared" si="0"/>
        <v>28</v>
      </c>
      <c r="H12" s="49">
        <f>Dim_WBS!E9</f>
        <v>28000</v>
      </c>
      <c r="I12" s="49">
        <f>SUMIFS(Fact_Baseline_PV!$C:$C,Fact_Baseline_PV!$B:$B,A12,Fact_Baseline_PV!$A:$A,"&lt;="&amp;Setup!$B$9)</f>
        <v>28000</v>
      </c>
      <c r="J12" s="49">
        <f>SUMIFS(Fact_Actual_Costs!$D:$D,Fact_Actual_Costs!$B:$B,A12,Fact_Actual_Costs!$A:$A,"&lt;="&amp;Setup!$B$9)</f>
        <v>7099.2</v>
      </c>
      <c r="K12" s="48" cm="1">
        <f t="array" ref="K12">IFERROR(LOOKUP(2,1/(Fact_Physical_Progress!$B$2:$B$35=A12)/(Fact_Physical_Progress!$A$2:$A$35&lt;=Setup!$B$9),Fact_Physical_Progress!$C$2:$C$35),0)</f>
        <v>0.24885699999999999</v>
      </c>
      <c r="L12" s="49">
        <f t="shared" si="1"/>
        <v>6967.9960000000001</v>
      </c>
      <c r="M12" s="49">
        <f t="shared" si="2"/>
        <v>-21032.004000000001</v>
      </c>
      <c r="N12" s="49">
        <f t="shared" si="3"/>
        <v>-131.20399999999972</v>
      </c>
      <c r="O12" s="50">
        <f t="shared" si="4"/>
        <v>0.24885699999999999</v>
      </c>
      <c r="P12" s="50">
        <f t="shared" si="5"/>
        <v>0.98151848095560068</v>
      </c>
      <c r="Q12" s="49">
        <f t="shared" si="6"/>
        <v>28527.226479464109</v>
      </c>
      <c r="R12" s="49">
        <f t="shared" si="7"/>
        <v>21428.026479464108</v>
      </c>
      <c r="S12" s="49">
        <f t="shared" si="8"/>
        <v>-527.22647946410871</v>
      </c>
      <c r="T12" s="131" t="str">
        <f>IF(OR(N12&lt;0,P12&lt;Setup!$B$12,O12&lt;Setup!$B$12),"Red",IF(OR(P12&lt;Setup!$B$13,O12&lt;Setup!$B$13),"Amber","Green"))</f>
        <v>Red</v>
      </c>
    </row>
    <row r="13" spans="1:20" x14ac:dyDescent="0.35">
      <c r="A13" s="130" t="str">
        <f>Dim_WBS!A10</f>
        <v>WBS-09</v>
      </c>
      <c r="B13" s="2">
        <f>Dim_WBS!B10</f>
        <v>9</v>
      </c>
      <c r="C13" s="2" t="str">
        <f>Dim_WBS!C10</f>
        <v>Flooring</v>
      </c>
      <c r="D13" s="2" t="str">
        <f>Dim_WBS!D10</f>
        <v>Material</v>
      </c>
      <c r="E13" s="46">
        <f>_xlfn.MINIFS(Fact_Baseline_PV!$A:$A,Fact_Baseline_PV!$B:$B,A13)</f>
        <v>46195</v>
      </c>
      <c r="F13" s="46">
        <f>_xlfn.MAXIFS(Fact_Baseline_PV!$A:$A,Fact_Baseline_PV!$B:$B,A13)+6</f>
        <v>46215</v>
      </c>
      <c r="G13" s="47">
        <f t="shared" si="0"/>
        <v>21</v>
      </c>
      <c r="H13" s="49">
        <f>Dim_WBS!E10</f>
        <v>35750</v>
      </c>
      <c r="I13" s="49">
        <f>SUMIFS(Fact_Baseline_PV!$C:$C,Fact_Baseline_PV!$B:$B,A13,Fact_Baseline_PV!$A:$A,"&lt;="&amp;Setup!$B$9)</f>
        <v>23833.34</v>
      </c>
      <c r="J13" s="49">
        <f>SUMIFS(Fact_Actual_Costs!$D:$D,Fact_Actual_Costs!$B:$B,A13,Fact_Actual_Costs!$A:$A,"&lt;="&amp;Setup!$B$9)</f>
        <v>0</v>
      </c>
      <c r="K13" s="48" cm="1">
        <f t="array" ref="K13">IFERROR(LOOKUP(2,1/(Fact_Physical_Progress!$B$2:$B$35=A13)/(Fact_Physical_Progress!$A$2:$A$35&lt;=Setup!$B$9),Fact_Physical_Progress!$C$2:$C$35),0)</f>
        <v>0</v>
      </c>
      <c r="L13" s="49">
        <f t="shared" si="1"/>
        <v>0</v>
      </c>
      <c r="M13" s="49">
        <f t="shared" si="2"/>
        <v>-23833.34</v>
      </c>
      <c r="N13" s="49">
        <f t="shared" si="3"/>
        <v>0</v>
      </c>
      <c r="O13" s="50">
        <f t="shared" si="4"/>
        <v>0</v>
      </c>
      <c r="P13" s="50">
        <f t="shared" si="5"/>
        <v>1</v>
      </c>
      <c r="Q13" s="49">
        <f t="shared" si="6"/>
        <v>35750</v>
      </c>
      <c r="R13" s="49">
        <f t="shared" si="7"/>
        <v>35750</v>
      </c>
      <c r="S13" s="49">
        <f t="shared" si="8"/>
        <v>0</v>
      </c>
      <c r="T13" s="131" t="str">
        <f>IF(OR(N13&lt;0,P13&lt;Setup!$B$12,O13&lt;Setup!$B$12),"Red",IF(OR(P13&lt;Setup!$B$13,O13&lt;Setup!$B$13),"Amber","Green"))</f>
        <v>Red</v>
      </c>
    </row>
    <row r="14" spans="1:20" x14ac:dyDescent="0.35">
      <c r="A14" s="130" t="str">
        <f>Dim_WBS!A11</f>
        <v>WBS-10</v>
      </c>
      <c r="B14" s="2">
        <f>Dim_WBS!B11</f>
        <v>10</v>
      </c>
      <c r="C14" s="2" t="str">
        <f>Dim_WBS!C11</f>
        <v>Fixtures &amp; Furniture</v>
      </c>
      <c r="D14" s="2" t="str">
        <f>Dim_WBS!D11</f>
        <v>Material</v>
      </c>
      <c r="E14" s="46">
        <f>_xlfn.MINIFS(Fact_Baseline_PV!$A:$A,Fact_Baseline_PV!$B:$B,A14)</f>
        <v>46202</v>
      </c>
      <c r="F14" s="46">
        <f>_xlfn.MAXIFS(Fact_Baseline_PV!$A:$A,Fact_Baseline_PV!$B:$B,A14)+6</f>
        <v>46222</v>
      </c>
      <c r="G14" s="47">
        <f t="shared" si="0"/>
        <v>21</v>
      </c>
      <c r="H14" s="49">
        <f>Dim_WBS!E11</f>
        <v>30000</v>
      </c>
      <c r="I14" s="49">
        <f>SUMIFS(Fact_Baseline_PV!$C:$C,Fact_Baseline_PV!$B:$B,A14,Fact_Baseline_PV!$A:$A,"&lt;="&amp;Setup!$B$9)</f>
        <v>10000</v>
      </c>
      <c r="J14" s="49">
        <f>SUMIFS(Fact_Actual_Costs!$D:$D,Fact_Actual_Costs!$B:$B,A14,Fact_Actual_Costs!$A:$A,"&lt;="&amp;Setup!$B$9)</f>
        <v>0</v>
      </c>
      <c r="K14" s="48" cm="1">
        <f t="array" ref="K14">IFERROR(LOOKUP(2,1/(Fact_Physical_Progress!$B$2:$B$35=A14)/(Fact_Physical_Progress!$A$2:$A$35&lt;=Setup!$B$9),Fact_Physical_Progress!$C$2:$C$35),0)</f>
        <v>0</v>
      </c>
      <c r="L14" s="49">
        <f t="shared" si="1"/>
        <v>0</v>
      </c>
      <c r="M14" s="49">
        <f t="shared" si="2"/>
        <v>-10000</v>
      </c>
      <c r="N14" s="49">
        <f t="shared" si="3"/>
        <v>0</v>
      </c>
      <c r="O14" s="50">
        <f t="shared" si="4"/>
        <v>0</v>
      </c>
      <c r="P14" s="50">
        <f t="shared" si="5"/>
        <v>1</v>
      </c>
      <c r="Q14" s="49">
        <f t="shared" si="6"/>
        <v>30000</v>
      </c>
      <c r="R14" s="49">
        <f t="shared" si="7"/>
        <v>30000</v>
      </c>
      <c r="S14" s="49">
        <f t="shared" si="8"/>
        <v>0</v>
      </c>
      <c r="T14" s="131" t="str">
        <f>IF(OR(N14&lt;0,P14&lt;Setup!$B$12,O14&lt;Setup!$B$12),"Red",IF(OR(P14&lt;Setup!$B$13,O14&lt;Setup!$B$13),"Amber","Green"))</f>
        <v>Red</v>
      </c>
    </row>
    <row r="15" spans="1:20" x14ac:dyDescent="0.35">
      <c r="A15" s="130" t="str">
        <f>Dim_WBS!A12</f>
        <v>WBS-11</v>
      </c>
      <c r="B15" s="2">
        <f>Dim_WBS!B12</f>
        <v>11</v>
      </c>
      <c r="C15" s="2" t="str">
        <f>Dim_WBS!C12</f>
        <v>Testing / Commissioning</v>
      </c>
      <c r="D15" s="2" t="str">
        <f>Dim_WBS!D12</f>
        <v>Labor</v>
      </c>
      <c r="E15" s="46">
        <f>_xlfn.MINIFS(Fact_Baseline_PV!$A:$A,Fact_Baseline_PV!$B:$B,A15)</f>
        <v>46216</v>
      </c>
      <c r="F15" s="46">
        <f>_xlfn.MAXIFS(Fact_Baseline_PV!$A:$A,Fact_Baseline_PV!$B:$B,A15)+6</f>
        <v>46229</v>
      </c>
      <c r="G15" s="47">
        <f t="shared" si="0"/>
        <v>14</v>
      </c>
      <c r="H15" s="49">
        <f>Dim_WBS!E12</f>
        <v>8400</v>
      </c>
      <c r="I15" s="49">
        <f>SUMIFS(Fact_Baseline_PV!$C:$C,Fact_Baseline_PV!$B:$B,A15,Fact_Baseline_PV!$A:$A,"&lt;="&amp;Setup!$B$9)</f>
        <v>0</v>
      </c>
      <c r="J15" s="49">
        <f>SUMIFS(Fact_Actual_Costs!$D:$D,Fact_Actual_Costs!$B:$B,A15,Fact_Actual_Costs!$A:$A,"&lt;="&amp;Setup!$B$9)</f>
        <v>0</v>
      </c>
      <c r="K15" s="48" cm="1">
        <f t="array" ref="K15">IFERROR(LOOKUP(2,1/(Fact_Physical_Progress!$B$2:$B$35=A15)/(Fact_Physical_Progress!$A$2:$A$35&lt;=Setup!$B$9),Fact_Physical_Progress!$C$2:$C$35),0)</f>
        <v>0</v>
      </c>
      <c r="L15" s="49">
        <f t="shared" si="1"/>
        <v>0</v>
      </c>
      <c r="M15" s="49">
        <f t="shared" si="2"/>
        <v>0</v>
      </c>
      <c r="N15" s="49">
        <f t="shared" si="3"/>
        <v>0</v>
      </c>
      <c r="O15" s="50">
        <f t="shared" si="4"/>
        <v>1</v>
      </c>
      <c r="P15" s="50">
        <f t="shared" si="5"/>
        <v>1</v>
      </c>
      <c r="Q15" s="49">
        <f t="shared" si="6"/>
        <v>8400</v>
      </c>
      <c r="R15" s="49">
        <f t="shared" si="7"/>
        <v>8400</v>
      </c>
      <c r="S15" s="49">
        <f t="shared" si="8"/>
        <v>0</v>
      </c>
      <c r="T15" s="131" t="str">
        <f>IF(OR(N15&lt;0,P15&lt;Setup!$B$12,O15&lt;Setup!$B$12),"Red",IF(OR(P15&lt;Setup!$B$13,O15&lt;Setup!$B$13),"Amber","Green"))</f>
        <v>Green</v>
      </c>
    </row>
    <row r="16" spans="1:20" x14ac:dyDescent="0.35">
      <c r="A16" s="134" t="str">
        <f>Dim_WBS!A13</f>
        <v>WBS-12</v>
      </c>
      <c r="B16" s="135">
        <f>Dim_WBS!B13</f>
        <v>12</v>
      </c>
      <c r="C16" s="135" t="str">
        <f>Dim_WBS!C13</f>
        <v>Handover &amp; Closeout</v>
      </c>
      <c r="D16" s="135" t="str">
        <f>Dim_WBS!D13</f>
        <v>Labor</v>
      </c>
      <c r="E16" s="157">
        <f>_xlfn.MINIFS(Fact_Baseline_PV!$A:$A,Fact_Baseline_PV!$B:$B,A16)</f>
        <v>46223</v>
      </c>
      <c r="F16" s="157">
        <f>_xlfn.MAXIFS(Fact_Baseline_PV!$A:$A,Fact_Baseline_PV!$B:$B,A16)+6</f>
        <v>46229</v>
      </c>
      <c r="G16" s="158">
        <f t="shared" si="0"/>
        <v>7</v>
      </c>
      <c r="H16" s="142">
        <f>Dim_WBS!E13</f>
        <v>3600</v>
      </c>
      <c r="I16" s="142">
        <f>SUMIFS(Fact_Baseline_PV!$C:$C,Fact_Baseline_PV!$B:$B,A16,Fact_Baseline_PV!$A:$A,"&lt;="&amp;Setup!$B$9)</f>
        <v>0</v>
      </c>
      <c r="J16" s="142">
        <f>SUMIFS(Fact_Actual_Costs!$D:$D,Fact_Actual_Costs!$B:$B,A16,Fact_Actual_Costs!$A:$A,"&lt;="&amp;Setup!$B$9)</f>
        <v>0</v>
      </c>
      <c r="K16" s="159" cm="1">
        <f t="array" ref="K16">IFERROR(LOOKUP(2,1/(Fact_Physical_Progress!$B$2:$B$35=A16)/(Fact_Physical_Progress!$A$2:$A$35&lt;=Setup!$B$9),Fact_Physical_Progress!$C$2:$C$35),0)</f>
        <v>0</v>
      </c>
      <c r="L16" s="142">
        <f t="shared" si="1"/>
        <v>0</v>
      </c>
      <c r="M16" s="142">
        <f t="shared" si="2"/>
        <v>0</v>
      </c>
      <c r="N16" s="142">
        <f t="shared" si="3"/>
        <v>0</v>
      </c>
      <c r="O16" s="160">
        <f t="shared" si="4"/>
        <v>1</v>
      </c>
      <c r="P16" s="160">
        <f t="shared" si="5"/>
        <v>1</v>
      </c>
      <c r="Q16" s="142">
        <f t="shared" si="6"/>
        <v>3600</v>
      </c>
      <c r="R16" s="142">
        <f t="shared" si="7"/>
        <v>3600</v>
      </c>
      <c r="S16" s="142">
        <f t="shared" si="8"/>
        <v>0</v>
      </c>
      <c r="T16" s="136" t="str">
        <f>IF(OR(N16&lt;0,P16&lt;Setup!$B$12,O16&lt;Setup!$B$12),"Red",IF(OR(P16&lt;Setup!$B$13,O16&lt;Setup!$B$13),"Amber","Green"))</f>
        <v>Green</v>
      </c>
    </row>
    <row r="17" spans="1:20" x14ac:dyDescent="0.35">
      <c r="A17" s="55" t="s">
        <v>62</v>
      </c>
      <c r="B17" s="55"/>
      <c r="C17" s="55"/>
      <c r="D17" s="55"/>
      <c r="E17" s="56"/>
      <c r="F17" s="56"/>
      <c r="G17" s="57">
        <f>MAX(F5:F16)-MIN(E5:E16)+1</f>
        <v>84</v>
      </c>
      <c r="H17" s="58">
        <f>SUM(H5:H16)</f>
        <v>268650</v>
      </c>
      <c r="I17" s="58">
        <f>SUM(I5:I16)</f>
        <v>220233.34</v>
      </c>
      <c r="J17" s="58">
        <f>SUM(J5:J16)</f>
        <v>141985.44</v>
      </c>
      <c r="K17" s="59">
        <f>SUMPRODUCT(H5:H16,K5:K16)/SUM(H5:H16)</f>
        <v>0.48936533035548119</v>
      </c>
      <c r="L17" s="58">
        <f>SUM(L5:L16)</f>
        <v>131467.99600000001</v>
      </c>
      <c r="M17" s="58">
        <f>SUM(M5:M16)</f>
        <v>-88765.343999999997</v>
      </c>
      <c r="N17" s="58">
        <f>SUM(N5:N16)</f>
        <v>-10517.443999999996</v>
      </c>
      <c r="O17" s="60">
        <f t="shared" si="4"/>
        <v>0.59694865454976076</v>
      </c>
      <c r="P17" s="60">
        <f t="shared" si="5"/>
        <v>0.92592589775402334</v>
      </c>
      <c r="Q17" s="58">
        <f t="shared" si="6"/>
        <v>290142.00882776058</v>
      </c>
      <c r="R17" s="58">
        <f t="shared" si="7"/>
        <v>148156.56882776058</v>
      </c>
      <c r="S17" s="58">
        <f t="shared" si="8"/>
        <v>-21492.008827760583</v>
      </c>
      <c r="T17" s="55" t="str">
        <f>IF(OR(N17&lt;0,P17&lt;Setup!$B$12,O17&lt;Setup!$B$12),"Red",IF(OR(P17&lt;Setup!$B$13,O17&lt;Setup!$B$13),"Amber","Green"))</f>
        <v>Red</v>
      </c>
    </row>
  </sheetData>
  <mergeCells count="2">
    <mergeCell ref="A1:P1"/>
    <mergeCell ref="A2:P2"/>
  </mergeCells>
  <conditionalFormatting sqref="M5:N17">
    <cfRule type="cellIs" dxfId="170" priority="7" operator="lessThan">
      <formula>0</formula>
    </cfRule>
    <cfRule type="cellIs" dxfId="169" priority="8" operator="greaterThanOrEqual">
      <formula>0</formula>
    </cfRule>
  </conditionalFormatting>
  <conditionalFormatting sqref="O5:P17">
    <cfRule type="cellIs" dxfId="168" priority="4" operator="lessThan">
      <formula>0.95</formula>
    </cfRule>
    <cfRule type="cellIs" dxfId="167" priority="5" operator="between">
      <formula>0.95</formula>
      <formula>0.999999</formula>
    </cfRule>
    <cfRule type="cellIs" dxfId="166" priority="6" operator="greaterThanOrEqual">
      <formula>1</formula>
    </cfRule>
  </conditionalFormatting>
  <conditionalFormatting sqref="T5:T16">
    <cfRule type="expression" dxfId="159" priority="9">
      <formula>ISNUMBER(SEARCH("Red",T5))</formula>
    </cfRule>
  </conditionalFormatting>
  <conditionalFormatting sqref="T5:T16">
    <cfRule type="expression" dxfId="158" priority="10">
      <formula>ISNUMBER(SEARCH("Amber",T5))</formula>
    </cfRule>
  </conditionalFormatting>
  <conditionalFormatting sqref="T5:T16">
    <cfRule type="expression" dxfId="157" priority="11">
      <formula>ISNUMBER(SEARCH("Green",T5))</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82D4D-6ED2-486E-9CB0-1D4D44F7ECDE}">
  <sheetPr>
    <tabColor rgb="FF70AD47"/>
  </sheetPr>
  <dimension ref="A1:J21"/>
  <sheetViews>
    <sheetView showGridLines="0" workbookViewId="0">
      <selection activeCell="Q1" sqref="Q1"/>
    </sheetView>
  </sheetViews>
  <sheetFormatPr defaultRowHeight="14.5" x14ac:dyDescent="0.35"/>
  <cols>
    <col min="1" max="1" width="21.81640625" customWidth="1"/>
    <col min="2" max="2" width="34.54296875" customWidth="1"/>
    <col min="3" max="4" width="13.6328125" customWidth="1"/>
    <col min="5" max="5" width="15.453125" customWidth="1"/>
    <col min="6" max="6" width="18.54296875" customWidth="1"/>
    <col min="7" max="7" width="15.453125" customWidth="1"/>
    <col min="8" max="9" width="38.1796875" customWidth="1"/>
    <col min="10" max="10" width="20.453125" customWidth="1"/>
  </cols>
  <sheetData>
    <row r="1" spans="1:10" ht="23.5" x14ac:dyDescent="0.55000000000000004">
      <c r="A1" s="101" t="s">
        <v>513</v>
      </c>
      <c r="B1" s="101"/>
      <c r="C1" s="101"/>
      <c r="D1" s="101"/>
      <c r="E1" s="101"/>
      <c r="F1" s="101"/>
      <c r="G1" s="101"/>
      <c r="H1" s="101"/>
      <c r="I1" s="101"/>
      <c r="J1" s="101"/>
    </row>
    <row r="2" spans="1:10" x14ac:dyDescent="0.35">
      <c r="A2" s="102" t="s">
        <v>514</v>
      </c>
      <c r="B2" s="102"/>
      <c r="C2" s="102"/>
      <c r="D2" s="102"/>
      <c r="E2" s="102"/>
      <c r="F2" s="102"/>
      <c r="G2" s="102"/>
      <c r="H2" s="102"/>
      <c r="I2" s="102"/>
      <c r="J2" s="102"/>
    </row>
    <row r="4" spans="1:10" x14ac:dyDescent="0.35">
      <c r="A4" s="132" t="s">
        <v>515</v>
      </c>
      <c r="B4" s="126" t="s">
        <v>516</v>
      </c>
      <c r="C4" s="126" t="s">
        <v>19</v>
      </c>
      <c r="D4" s="126" t="s">
        <v>21</v>
      </c>
      <c r="E4" s="126" t="s">
        <v>517</v>
      </c>
      <c r="F4" s="126" t="s">
        <v>518</v>
      </c>
      <c r="G4" s="126" t="s">
        <v>396</v>
      </c>
      <c r="H4" s="126" t="s">
        <v>519</v>
      </c>
      <c r="I4" s="126" t="s">
        <v>520</v>
      </c>
      <c r="J4" s="133" t="s">
        <v>521</v>
      </c>
    </row>
    <row r="5" spans="1:10" x14ac:dyDescent="0.35">
      <c r="A5" s="130" t="str">
        <f>Dim_WBS!D2</f>
        <v>Labor</v>
      </c>
      <c r="B5" s="2" t="str">
        <f>Dim_WBS!C2</f>
        <v>Project Management</v>
      </c>
      <c r="C5" s="2" t="str">
        <f>Dim_WBS!A2</f>
        <v>WBS-01</v>
      </c>
      <c r="D5" s="2" t="str">
        <f>Dim_WBS!D2</f>
        <v>Labor</v>
      </c>
      <c r="E5" s="4" t="s">
        <v>522</v>
      </c>
      <c r="F5" s="2"/>
      <c r="G5" s="2"/>
      <c r="H5" s="54"/>
      <c r="I5" s="54" t="s">
        <v>523</v>
      </c>
      <c r="J5" s="131">
        <f>IFERROR(MATCH(C5,'Task Plan'!A:A,0),"")</f>
        <v>5</v>
      </c>
    </row>
    <row r="6" spans="1:10" x14ac:dyDescent="0.35">
      <c r="A6" s="130" t="str">
        <f>Dim_WBS!D3</f>
        <v>Labor</v>
      </c>
      <c r="B6" s="2" t="str">
        <f>Dim_WBS!C3</f>
        <v>Site Survey &amp; Mobilization</v>
      </c>
      <c r="C6" s="2" t="str">
        <f>Dim_WBS!A3</f>
        <v>WBS-02</v>
      </c>
      <c r="D6" s="2" t="str">
        <f>Dim_WBS!D3</f>
        <v>Labor</v>
      </c>
      <c r="E6" s="4" t="s">
        <v>522</v>
      </c>
      <c r="F6" s="2"/>
      <c r="G6" s="2"/>
      <c r="H6" s="54"/>
      <c r="I6" s="54" t="s">
        <v>523</v>
      </c>
      <c r="J6" s="131">
        <f>IFERROR(MATCH(C6,'Task Plan'!A:A,0),"")</f>
        <v>6</v>
      </c>
    </row>
    <row r="7" spans="1:10" x14ac:dyDescent="0.35">
      <c r="A7" s="130" t="str">
        <f>Dim_WBS!D4</f>
        <v>Labor</v>
      </c>
      <c r="B7" s="2" t="str">
        <f>Dim_WBS!C4</f>
        <v>Design &amp; Engineering</v>
      </c>
      <c r="C7" s="2" t="str">
        <f>Dim_WBS!A4</f>
        <v>WBS-03</v>
      </c>
      <c r="D7" s="2" t="str">
        <f>Dim_WBS!D4</f>
        <v>Labor</v>
      </c>
      <c r="E7" s="4" t="s">
        <v>522</v>
      </c>
      <c r="F7" s="2"/>
      <c r="G7" s="2"/>
      <c r="H7" s="54"/>
      <c r="I7" s="54" t="s">
        <v>523</v>
      </c>
      <c r="J7" s="131">
        <f>IFERROR(MATCH(C7,'Task Plan'!A:A,0),"")</f>
        <v>7</v>
      </c>
    </row>
    <row r="8" spans="1:10" x14ac:dyDescent="0.35">
      <c r="A8" s="130" t="str">
        <f>Dim_WBS!D5</f>
        <v>Material</v>
      </c>
      <c r="B8" s="2" t="str">
        <f>Dim_WBS!C5</f>
        <v>Procurement - Materials</v>
      </c>
      <c r="C8" s="2" t="str">
        <f>Dim_WBS!A5</f>
        <v>WBS-04</v>
      </c>
      <c r="D8" s="2" t="str">
        <f>Dim_WBS!D5</f>
        <v>Material</v>
      </c>
      <c r="E8" s="4" t="s">
        <v>522</v>
      </c>
      <c r="F8" s="2"/>
      <c r="G8" s="2"/>
      <c r="H8" s="54"/>
      <c r="I8" s="54" t="s">
        <v>523</v>
      </c>
      <c r="J8" s="131">
        <f>IFERROR(MATCH(C8,'Task Plan'!A:A,0),"")</f>
        <v>8</v>
      </c>
    </row>
    <row r="9" spans="1:10" x14ac:dyDescent="0.35">
      <c r="A9" s="130" t="str">
        <f>Dim_WBS!D6</f>
        <v>Labor</v>
      </c>
      <c r="B9" s="2" t="str">
        <f>Dim_WBS!C6</f>
        <v>Demolition &amp; Prep</v>
      </c>
      <c r="C9" s="2" t="str">
        <f>Dim_WBS!A6</f>
        <v>WBS-05</v>
      </c>
      <c r="D9" s="2" t="str">
        <f>Dim_WBS!D6</f>
        <v>Labor</v>
      </c>
      <c r="E9" s="4" t="s">
        <v>522</v>
      </c>
      <c r="F9" s="2"/>
      <c r="G9" s="2"/>
      <c r="H9" s="54"/>
      <c r="I9" s="54" t="s">
        <v>523</v>
      </c>
      <c r="J9" s="131">
        <f>IFERROR(MATCH(C9,'Task Plan'!A:A,0),"")</f>
        <v>9</v>
      </c>
    </row>
    <row r="10" spans="1:10" x14ac:dyDescent="0.35">
      <c r="A10" s="130" t="str">
        <f>Dim_WBS!D7</f>
        <v>Labor</v>
      </c>
      <c r="B10" s="2" t="str">
        <f>Dim_WBS!C7</f>
        <v>Electrical Rough-In</v>
      </c>
      <c r="C10" s="2" t="str">
        <f>Dim_WBS!A7</f>
        <v>WBS-06</v>
      </c>
      <c r="D10" s="2" t="str">
        <f>Dim_WBS!D7</f>
        <v>Labor</v>
      </c>
      <c r="E10" s="4" t="s">
        <v>522</v>
      </c>
      <c r="F10" s="2"/>
      <c r="G10" s="2"/>
      <c r="H10" s="54"/>
      <c r="I10" s="54" t="s">
        <v>523</v>
      </c>
      <c r="J10" s="131">
        <f>IFERROR(MATCH(C10,'Task Plan'!A:A,0),"")</f>
        <v>10</v>
      </c>
    </row>
    <row r="11" spans="1:10" x14ac:dyDescent="0.35">
      <c r="A11" s="130" t="str">
        <f>Dim_WBS!D8</f>
        <v>Subcontractor</v>
      </c>
      <c r="B11" s="2" t="str">
        <f>Dim_WBS!C8</f>
        <v>HVAC Installation</v>
      </c>
      <c r="C11" s="2" t="str">
        <f>Dim_WBS!A8</f>
        <v>WBS-07</v>
      </c>
      <c r="D11" s="2" t="str">
        <f>Dim_WBS!D8</f>
        <v>Subcontractor</v>
      </c>
      <c r="E11" s="4" t="s">
        <v>522</v>
      </c>
      <c r="F11" s="2"/>
      <c r="G11" s="2"/>
      <c r="H11" s="54"/>
      <c r="I11" s="54" t="s">
        <v>523</v>
      </c>
      <c r="J11" s="131">
        <f>IFERROR(MATCH(C11,'Task Plan'!A:A,0),"")</f>
        <v>11</v>
      </c>
    </row>
    <row r="12" spans="1:10" x14ac:dyDescent="0.35">
      <c r="A12" s="130" t="str">
        <f>Dim_WBS!D9</f>
        <v>Subcontractor</v>
      </c>
      <c r="B12" s="2" t="str">
        <f>Dim_WBS!C9</f>
        <v>Partitions &amp; Drywall</v>
      </c>
      <c r="C12" s="2" t="str">
        <f>Dim_WBS!A9</f>
        <v>WBS-08</v>
      </c>
      <c r="D12" s="2" t="str">
        <f>Dim_WBS!D9</f>
        <v>Subcontractor</v>
      </c>
      <c r="E12" s="4" t="s">
        <v>522</v>
      </c>
      <c r="F12" s="2"/>
      <c r="G12" s="2"/>
      <c r="H12" s="54"/>
      <c r="I12" s="54" t="s">
        <v>523</v>
      </c>
      <c r="J12" s="131">
        <f>IFERROR(MATCH(C12,'Task Plan'!A:A,0),"")</f>
        <v>12</v>
      </c>
    </row>
    <row r="13" spans="1:10" x14ac:dyDescent="0.35">
      <c r="A13" s="130" t="str">
        <f>Dim_WBS!D10</f>
        <v>Material</v>
      </c>
      <c r="B13" s="2" t="str">
        <f>Dim_WBS!C10</f>
        <v>Flooring</v>
      </c>
      <c r="C13" s="2" t="str">
        <f>Dim_WBS!A10</f>
        <v>WBS-09</v>
      </c>
      <c r="D13" s="2" t="str">
        <f>Dim_WBS!D10</f>
        <v>Material</v>
      </c>
      <c r="E13" s="4" t="s">
        <v>522</v>
      </c>
      <c r="F13" s="2"/>
      <c r="G13" s="2"/>
      <c r="H13" s="54"/>
      <c r="I13" s="54" t="s">
        <v>523</v>
      </c>
      <c r="J13" s="131">
        <f>IFERROR(MATCH(C13,'Task Plan'!A:A,0),"")</f>
        <v>13</v>
      </c>
    </row>
    <row r="14" spans="1:10" x14ac:dyDescent="0.35">
      <c r="A14" s="130" t="str">
        <f>Dim_WBS!D11</f>
        <v>Material</v>
      </c>
      <c r="B14" s="2" t="str">
        <f>Dim_WBS!C11</f>
        <v>Fixtures &amp; Furniture</v>
      </c>
      <c r="C14" s="2" t="str">
        <f>Dim_WBS!A11</f>
        <v>WBS-10</v>
      </c>
      <c r="D14" s="2" t="str">
        <f>Dim_WBS!D11</f>
        <v>Material</v>
      </c>
      <c r="E14" s="4" t="s">
        <v>522</v>
      </c>
      <c r="F14" s="2"/>
      <c r="G14" s="2"/>
      <c r="H14" s="54"/>
      <c r="I14" s="54" t="s">
        <v>523</v>
      </c>
      <c r="J14" s="131">
        <f>IFERROR(MATCH(C14,'Task Plan'!A:A,0),"")</f>
        <v>14</v>
      </c>
    </row>
    <row r="15" spans="1:10" x14ac:dyDescent="0.35">
      <c r="A15" s="130" t="str">
        <f>Dim_WBS!D12</f>
        <v>Labor</v>
      </c>
      <c r="B15" s="2" t="str">
        <f>Dim_WBS!C12</f>
        <v>Testing / Commissioning</v>
      </c>
      <c r="C15" s="2" t="str">
        <f>Dim_WBS!A12</f>
        <v>WBS-11</v>
      </c>
      <c r="D15" s="2" t="str">
        <f>Dim_WBS!D12</f>
        <v>Labor</v>
      </c>
      <c r="E15" s="4" t="s">
        <v>522</v>
      </c>
      <c r="F15" s="2"/>
      <c r="G15" s="2"/>
      <c r="H15" s="54"/>
      <c r="I15" s="54" t="s">
        <v>523</v>
      </c>
      <c r="J15" s="131">
        <f>IFERROR(MATCH(C15,'Task Plan'!A:A,0),"")</f>
        <v>15</v>
      </c>
    </row>
    <row r="16" spans="1:10" x14ac:dyDescent="0.35">
      <c r="A16" s="130" t="str">
        <f>Dim_WBS!D13</f>
        <v>Labor</v>
      </c>
      <c r="B16" s="2" t="str">
        <f>Dim_WBS!C13</f>
        <v>Handover &amp; Closeout</v>
      </c>
      <c r="C16" s="2" t="str">
        <f>Dim_WBS!A13</f>
        <v>WBS-12</v>
      </c>
      <c r="D16" s="2" t="str">
        <f>Dim_WBS!D13</f>
        <v>Labor</v>
      </c>
      <c r="E16" s="4" t="s">
        <v>522</v>
      </c>
      <c r="F16" s="2"/>
      <c r="G16" s="2"/>
      <c r="H16" s="54"/>
      <c r="I16" s="54" t="s">
        <v>523</v>
      </c>
      <c r="J16" s="131">
        <f>IFERROR(MATCH(C16,'Task Plan'!A:A,0),"")</f>
        <v>16</v>
      </c>
    </row>
    <row r="17" spans="1:10" x14ac:dyDescent="0.35">
      <c r="A17" s="161" t="s">
        <v>524</v>
      </c>
      <c r="B17" s="5"/>
      <c r="C17" s="5"/>
      <c r="D17" s="5"/>
      <c r="E17" s="5"/>
      <c r="F17" s="5"/>
      <c r="G17" s="5"/>
      <c r="H17" s="73"/>
      <c r="I17" s="73" t="s">
        <v>525</v>
      </c>
      <c r="J17" s="162"/>
    </row>
    <row r="18" spans="1:10" x14ac:dyDescent="0.35">
      <c r="A18" s="163" t="s">
        <v>524</v>
      </c>
      <c r="B18" s="164"/>
      <c r="C18" s="164"/>
      <c r="D18" s="164"/>
      <c r="E18" s="164"/>
      <c r="F18" s="164"/>
      <c r="G18" s="164"/>
      <c r="H18" s="165"/>
      <c r="I18" s="165" t="s">
        <v>525</v>
      </c>
      <c r="J18" s="166"/>
    </row>
    <row r="21" spans="1:10" ht="72.5" x14ac:dyDescent="0.35">
      <c r="A21" s="2" t="s">
        <v>526</v>
      </c>
      <c r="B21" s="54" t="s">
        <v>527</v>
      </c>
    </row>
  </sheetData>
  <mergeCells count="2">
    <mergeCell ref="A1:J1"/>
    <mergeCell ref="A2:J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A1:P47"/>
  <sheetViews>
    <sheetView showGridLines="0" zoomScaleNormal="100" workbookViewId="0">
      <selection activeCell="Q1" sqref="Q1"/>
    </sheetView>
  </sheetViews>
  <sheetFormatPr defaultRowHeight="14.5" x14ac:dyDescent="0.35"/>
  <cols>
    <col min="1" max="1" width="39.6328125" customWidth="1"/>
    <col min="2" max="2" width="21.26953125" bestFit="1" customWidth="1"/>
    <col min="3" max="3" width="12" bestFit="1" customWidth="1"/>
    <col min="4" max="4" width="26.26953125" bestFit="1" customWidth="1"/>
    <col min="5" max="5" width="18.453125" customWidth="1"/>
    <col min="6" max="6" width="16.1796875" customWidth="1"/>
    <col min="7" max="7" width="28.90625" bestFit="1" customWidth="1"/>
    <col min="8" max="8" width="18.36328125" bestFit="1" customWidth="1"/>
    <col min="9" max="9" width="9.90625" bestFit="1" customWidth="1"/>
    <col min="10" max="10" width="20" bestFit="1" customWidth="1"/>
    <col min="11" max="11" width="5.7265625" customWidth="1"/>
    <col min="12" max="12" width="5.54296875" customWidth="1"/>
    <col min="13" max="13" width="9.90625" bestFit="1" customWidth="1"/>
    <col min="14" max="14" width="12.7265625" customWidth="1"/>
    <col min="15" max="15" width="9.54296875" bestFit="1" customWidth="1"/>
    <col min="16" max="16" width="33.26953125" bestFit="1" customWidth="1"/>
  </cols>
  <sheetData>
    <row r="1" spans="1:16" x14ac:dyDescent="0.35">
      <c r="A1" s="30" t="s">
        <v>0</v>
      </c>
      <c r="B1" s="30"/>
      <c r="C1" s="30"/>
      <c r="D1" s="30"/>
      <c r="E1" s="30"/>
      <c r="F1" s="30"/>
      <c r="G1" s="30"/>
      <c r="H1" s="30"/>
      <c r="I1" s="30"/>
      <c r="J1" s="30"/>
      <c r="K1" s="30"/>
      <c r="L1" s="30"/>
      <c r="M1" s="30"/>
      <c r="N1" s="30"/>
      <c r="O1" s="30"/>
      <c r="P1" s="30"/>
    </row>
    <row r="2" spans="1:16" x14ac:dyDescent="0.35">
      <c r="A2" s="24" t="s">
        <v>1</v>
      </c>
      <c r="B2" s="23"/>
      <c r="C2" s="23"/>
      <c r="D2" s="23"/>
      <c r="E2" s="23"/>
      <c r="F2" s="23"/>
      <c r="G2" s="23"/>
      <c r="H2" s="23"/>
      <c r="I2" s="23"/>
      <c r="J2" s="23"/>
      <c r="K2" s="23"/>
      <c r="L2" s="23"/>
      <c r="M2" s="23"/>
      <c r="N2" s="23"/>
      <c r="O2" s="23"/>
      <c r="P2" s="23"/>
    </row>
    <row r="3" spans="1:16" x14ac:dyDescent="0.35">
      <c r="A3" s="23"/>
      <c r="B3" s="23"/>
      <c r="C3" s="23"/>
      <c r="D3" s="23"/>
      <c r="E3" s="23"/>
      <c r="F3" s="23"/>
      <c r="G3" s="23"/>
      <c r="H3" s="23"/>
      <c r="I3" s="23"/>
      <c r="J3" s="23"/>
      <c r="K3" s="23"/>
      <c r="L3" s="23"/>
      <c r="M3" s="23"/>
      <c r="N3" s="42"/>
      <c r="O3" s="42"/>
      <c r="P3" s="42"/>
    </row>
    <row r="4" spans="1:16" x14ac:dyDescent="0.35">
      <c r="A4" s="25" t="s">
        <v>2</v>
      </c>
      <c r="B4" s="26">
        <f>Control_Status_Date</f>
        <v>46203</v>
      </c>
      <c r="C4" s="23"/>
      <c r="D4" s="25" t="s">
        <v>3</v>
      </c>
      <c r="E4" s="27">
        <f>MATCH(B4,EVM!B5:B16,1)</f>
        <v>8</v>
      </c>
      <c r="F4" s="23"/>
      <c r="G4" s="25" t="s">
        <v>4</v>
      </c>
      <c r="H4" s="28" t="str">
        <f>Control_Sector</f>
        <v>Corporate Real Estate</v>
      </c>
      <c r="I4" s="23"/>
      <c r="J4" s="23"/>
      <c r="K4" s="23"/>
      <c r="L4" s="23"/>
      <c r="M4" s="19"/>
      <c r="N4" s="170" t="s">
        <v>129</v>
      </c>
      <c r="O4" s="171" t="s">
        <v>130</v>
      </c>
      <c r="P4" s="172" t="s">
        <v>131</v>
      </c>
    </row>
    <row r="5" spans="1:16" x14ac:dyDescent="0.35">
      <c r="A5" s="23"/>
      <c r="B5" s="23"/>
      <c r="C5" s="23"/>
      <c r="D5" s="23"/>
      <c r="E5" s="23"/>
      <c r="F5" s="23"/>
      <c r="G5" s="23"/>
      <c r="H5" s="23"/>
      <c r="I5" s="23"/>
      <c r="J5" s="23"/>
      <c r="K5" s="23"/>
      <c r="L5" s="23"/>
      <c r="M5" s="19"/>
      <c r="N5" s="167" t="s">
        <v>132</v>
      </c>
      <c r="O5" s="17" t="s">
        <v>133</v>
      </c>
      <c r="P5" s="169" t="s">
        <v>140</v>
      </c>
    </row>
    <row r="6" spans="1:16" x14ac:dyDescent="0.35">
      <c r="A6" s="29" t="s">
        <v>6</v>
      </c>
      <c r="B6" s="23"/>
      <c r="C6" s="23"/>
      <c r="D6" s="29" t="s">
        <v>7</v>
      </c>
      <c r="E6" s="23"/>
      <c r="F6" s="23"/>
      <c r="G6" s="29" t="s">
        <v>8</v>
      </c>
      <c r="H6" s="23"/>
      <c r="I6" s="23"/>
      <c r="J6" s="29" t="s">
        <v>9</v>
      </c>
      <c r="K6" s="23"/>
      <c r="L6" s="23"/>
      <c r="M6" s="19"/>
      <c r="N6" s="168" t="s">
        <v>134</v>
      </c>
      <c r="O6" s="17" t="s">
        <v>135</v>
      </c>
      <c r="P6" s="169" t="s">
        <v>141</v>
      </c>
    </row>
    <row r="7" spans="1:16" x14ac:dyDescent="0.35">
      <c r="A7" s="108">
        <f>Setup!B11</f>
        <v>268650</v>
      </c>
      <c r="B7" s="109"/>
      <c r="C7" s="109"/>
      <c r="D7" s="108">
        <f>'Task Plan'!I17</f>
        <v>220233.34</v>
      </c>
      <c r="E7" s="109"/>
      <c r="F7" s="109"/>
      <c r="G7" s="108">
        <f>'Task Plan'!J17</f>
        <v>141985.44</v>
      </c>
      <c r="H7" s="109"/>
      <c r="I7" s="109"/>
      <c r="J7" s="108">
        <f>'Task Plan'!L17</f>
        <v>131467.99600000001</v>
      </c>
      <c r="K7" s="109"/>
      <c r="L7" s="109"/>
      <c r="M7" s="19"/>
      <c r="N7" s="173" t="s">
        <v>137</v>
      </c>
      <c r="O7" s="174" t="s">
        <v>138</v>
      </c>
      <c r="P7" s="175" t="s">
        <v>142</v>
      </c>
    </row>
    <row r="8" spans="1:16" x14ac:dyDescent="0.35">
      <c r="A8" s="23"/>
      <c r="B8" s="23"/>
      <c r="C8" s="23"/>
      <c r="D8" s="23"/>
      <c r="E8" s="23"/>
      <c r="F8" s="23"/>
      <c r="G8" s="23"/>
      <c r="H8" s="23"/>
      <c r="I8" s="23"/>
      <c r="J8" s="23"/>
      <c r="K8" s="23"/>
      <c r="L8" s="23"/>
      <c r="M8" s="23"/>
      <c r="N8" s="37"/>
      <c r="O8" s="37"/>
      <c r="P8" s="37"/>
    </row>
    <row r="9" spans="1:16" x14ac:dyDescent="0.35">
      <c r="A9" s="36" t="s">
        <v>10</v>
      </c>
      <c r="B9" s="36"/>
      <c r="C9" s="36"/>
      <c r="D9" s="36" t="s">
        <v>11</v>
      </c>
      <c r="E9" s="36"/>
      <c r="F9" s="36"/>
      <c r="G9" s="36" t="s">
        <v>12</v>
      </c>
      <c r="H9" s="36"/>
      <c r="I9" s="36"/>
      <c r="J9" s="36" t="s">
        <v>13</v>
      </c>
      <c r="K9" s="36"/>
      <c r="L9" s="36"/>
      <c r="M9" s="23"/>
      <c r="N9" s="23"/>
      <c r="O9" s="23"/>
      <c r="P9" s="23"/>
    </row>
    <row r="10" spans="1:16" x14ac:dyDescent="0.35">
      <c r="A10" s="108">
        <f>'Task Plan'!N17</f>
        <v>-10517.443999999996</v>
      </c>
      <c r="B10" s="110"/>
      <c r="C10" s="111"/>
      <c r="D10" s="108">
        <f>'Task Plan'!M17</f>
        <v>-88765.343999999997</v>
      </c>
      <c r="E10" s="110"/>
      <c r="F10" s="111"/>
      <c r="G10" s="115">
        <f>'Task Plan'!P17</f>
        <v>0.92592589775402334</v>
      </c>
      <c r="H10" s="116"/>
      <c r="I10" s="117"/>
      <c r="J10" s="115">
        <f>'Task Plan'!O17</f>
        <v>0.59694865454976076</v>
      </c>
      <c r="K10" s="116"/>
      <c r="L10" s="116"/>
      <c r="M10" s="18"/>
      <c r="N10" s="23"/>
      <c r="O10" s="23"/>
      <c r="P10" s="23"/>
    </row>
    <row r="11" spans="1:16" x14ac:dyDescent="0.35">
      <c r="A11" s="37"/>
      <c r="B11" s="37"/>
      <c r="C11" s="37"/>
      <c r="D11" s="37"/>
      <c r="E11" s="37"/>
      <c r="F11" s="37"/>
      <c r="G11" s="37"/>
      <c r="H11" s="37"/>
      <c r="I11" s="37"/>
      <c r="J11" s="37"/>
      <c r="K11" s="37"/>
      <c r="L11" s="37"/>
      <c r="M11" s="23"/>
      <c r="N11" s="23"/>
      <c r="O11" s="23"/>
      <c r="P11" s="23"/>
    </row>
    <row r="12" spans="1:16" x14ac:dyDescent="0.35">
      <c r="A12" s="36" t="s">
        <v>14</v>
      </c>
      <c r="B12" s="36"/>
      <c r="C12" s="36"/>
      <c r="D12" s="36" t="s">
        <v>15</v>
      </c>
      <c r="E12" s="36"/>
      <c r="F12" s="36"/>
      <c r="G12" s="36" t="s">
        <v>16</v>
      </c>
      <c r="H12" s="36"/>
      <c r="I12" s="36"/>
      <c r="J12" s="36" t="s">
        <v>17</v>
      </c>
      <c r="K12" s="36"/>
      <c r="L12" s="36"/>
      <c r="M12" s="23"/>
      <c r="N12" s="23"/>
      <c r="O12" s="23"/>
      <c r="P12" s="23"/>
    </row>
    <row r="13" spans="1:16" x14ac:dyDescent="0.35">
      <c r="A13" s="112">
        <f>'Task Plan'!Q17</f>
        <v>290142.00882776058</v>
      </c>
      <c r="B13" s="113"/>
      <c r="C13" s="114"/>
      <c r="D13" s="112">
        <f>'Task Plan'!R17</f>
        <v>148156.56882776058</v>
      </c>
      <c r="E13" s="113"/>
      <c r="F13" s="114"/>
      <c r="G13" s="108">
        <f>'Task Plan'!S17</f>
        <v>-21492.008827760583</v>
      </c>
      <c r="H13" s="110"/>
      <c r="I13" s="111"/>
      <c r="J13" s="118">
        <f>'Task Plan'!K17</f>
        <v>0.48936533035548119</v>
      </c>
      <c r="K13" s="119"/>
      <c r="L13" s="119"/>
      <c r="M13" s="18"/>
      <c r="N13" s="23"/>
      <c r="O13" s="23"/>
      <c r="P13" s="23"/>
    </row>
    <row r="14" spans="1:16" x14ac:dyDescent="0.35">
      <c r="A14" s="37"/>
      <c r="B14" s="37"/>
      <c r="C14" s="37"/>
      <c r="D14" s="37"/>
      <c r="E14" s="37"/>
      <c r="F14" s="37"/>
      <c r="G14" s="37"/>
      <c r="H14" s="37"/>
      <c r="I14" s="37"/>
      <c r="J14" s="37"/>
      <c r="K14" s="37"/>
      <c r="L14" s="37"/>
      <c r="M14" s="23"/>
      <c r="N14" s="23"/>
      <c r="O14" s="23"/>
      <c r="P14" s="23"/>
    </row>
    <row r="15" spans="1:16" x14ac:dyDescent="0.35">
      <c r="A15" s="22" t="s">
        <v>18</v>
      </c>
      <c r="B15" s="23"/>
      <c r="C15" s="23"/>
      <c r="D15" s="23"/>
      <c r="E15" s="23"/>
      <c r="F15" s="23"/>
      <c r="G15" s="23"/>
      <c r="H15" s="23"/>
      <c r="I15" s="23"/>
      <c r="J15" s="23"/>
      <c r="K15" s="23"/>
      <c r="L15" s="23"/>
      <c r="M15" s="23"/>
      <c r="N15" s="23"/>
      <c r="O15" s="23"/>
      <c r="P15" s="23"/>
    </row>
    <row r="16" spans="1:16" x14ac:dyDescent="0.35">
      <c r="A16" s="23"/>
      <c r="B16" s="23"/>
      <c r="C16" s="23"/>
      <c r="D16" s="23"/>
      <c r="E16" s="23"/>
      <c r="F16" s="23"/>
      <c r="G16" s="23"/>
      <c r="H16" s="23"/>
      <c r="I16" s="23"/>
      <c r="J16" s="23"/>
      <c r="K16" s="23"/>
      <c r="L16" s="23"/>
      <c r="M16" s="23"/>
      <c r="N16" s="23"/>
      <c r="O16" s="23"/>
      <c r="P16" s="23"/>
    </row>
    <row r="17" spans="1:16" x14ac:dyDescent="0.35">
      <c r="A17" s="178" t="s">
        <v>19</v>
      </c>
      <c r="B17" s="179" t="s">
        <v>20</v>
      </c>
      <c r="C17" s="179" t="s">
        <v>21</v>
      </c>
      <c r="D17" s="180" t="s">
        <v>22</v>
      </c>
      <c r="E17" s="180" t="s">
        <v>23</v>
      </c>
      <c r="F17" s="180" t="s">
        <v>24</v>
      </c>
      <c r="G17" s="181" t="s">
        <v>25</v>
      </c>
      <c r="H17" s="180" t="s">
        <v>26</v>
      </c>
      <c r="I17" s="181" t="s">
        <v>27</v>
      </c>
      <c r="J17" s="181" t="s">
        <v>28</v>
      </c>
      <c r="K17" s="181" t="s">
        <v>29</v>
      </c>
      <c r="L17" s="181" t="s">
        <v>30</v>
      </c>
      <c r="M17" s="180" t="s">
        <v>31</v>
      </c>
      <c r="N17" s="180" t="s">
        <v>32</v>
      </c>
      <c r="O17" s="181" t="s">
        <v>33</v>
      </c>
      <c r="P17" s="182" t="s">
        <v>34</v>
      </c>
    </row>
    <row r="18" spans="1:16" x14ac:dyDescent="0.35">
      <c r="A18" s="176" t="str">
        <f>'Task Plan'!A5</f>
        <v>WBS-01</v>
      </c>
      <c r="B18" s="27" t="str">
        <f>'Task Plan'!C5</f>
        <v>Project Management</v>
      </c>
      <c r="C18" s="27" t="str">
        <f>'Task Plan'!D5</f>
        <v>Labor</v>
      </c>
      <c r="D18" s="31">
        <f>'Task Plan'!H5</f>
        <v>18000</v>
      </c>
      <c r="E18" s="31">
        <f>'Task Plan'!I5</f>
        <v>13500</v>
      </c>
      <c r="F18" s="38">
        <f>'Task Plan'!J5</f>
        <v>9600</v>
      </c>
      <c r="G18" s="10">
        <f>'Task Plan'!K5</f>
        <v>0.5</v>
      </c>
      <c r="H18" s="20">
        <f>'Task Plan'!L5</f>
        <v>9000</v>
      </c>
      <c r="I18" s="11">
        <f>'Task Plan'!N5</f>
        <v>-600</v>
      </c>
      <c r="J18" s="11">
        <f>'Task Plan'!M5</f>
        <v>-4500</v>
      </c>
      <c r="K18" s="12">
        <f>'Task Plan'!P5</f>
        <v>0.9375</v>
      </c>
      <c r="L18" s="12">
        <f>'Task Plan'!O5</f>
        <v>0.66666666666666663</v>
      </c>
      <c r="M18" s="40">
        <f>'Task Plan'!Q5</f>
        <v>19200</v>
      </c>
      <c r="N18" s="38">
        <f>'Task Plan'!R5</f>
        <v>9600</v>
      </c>
      <c r="O18" s="11">
        <f>'Task Plan'!S5</f>
        <v>-1200</v>
      </c>
      <c r="P18" s="177" t="str">
        <f>IF('Task Plan'!T5="Red","🔴 Overrun",IF('Task Plan'!T5="Amber","🟡 Warning","On Track"))</f>
        <v>🔴 Overrun</v>
      </c>
    </row>
    <row r="19" spans="1:16" x14ac:dyDescent="0.35">
      <c r="A19" s="176" t="str">
        <f>'Task Plan'!A6</f>
        <v>WBS-02</v>
      </c>
      <c r="B19" s="27" t="str">
        <f>'Task Plan'!C6</f>
        <v>Site Survey &amp; Mobilization</v>
      </c>
      <c r="C19" s="27" t="str">
        <f>'Task Plan'!D6</f>
        <v>Labor</v>
      </c>
      <c r="D19" s="31">
        <f>'Task Plan'!H6</f>
        <v>8500</v>
      </c>
      <c r="E19" s="31">
        <f>'Task Plan'!I6</f>
        <v>8500</v>
      </c>
      <c r="F19" s="38">
        <f>'Task Plan'!J6</f>
        <v>8700</v>
      </c>
      <c r="G19" s="10">
        <f>'Task Plan'!K6</f>
        <v>1</v>
      </c>
      <c r="H19" s="20">
        <f>'Task Plan'!L6</f>
        <v>8500</v>
      </c>
      <c r="I19" s="11">
        <f>'Task Plan'!N6</f>
        <v>-200</v>
      </c>
      <c r="J19" s="11">
        <f>'Task Plan'!M6</f>
        <v>0</v>
      </c>
      <c r="K19" s="12">
        <f>'Task Plan'!P6</f>
        <v>0.97701149425287359</v>
      </c>
      <c r="L19" s="12">
        <f>'Task Plan'!O6</f>
        <v>1</v>
      </c>
      <c r="M19" s="40">
        <f>'Task Plan'!Q6</f>
        <v>8700</v>
      </c>
      <c r="N19" s="38">
        <f>'Task Plan'!R6</f>
        <v>0</v>
      </c>
      <c r="O19" s="11">
        <f>'Task Plan'!S6</f>
        <v>-200</v>
      </c>
      <c r="P19" s="177" t="str">
        <f>IF('Task Plan'!T6="Red","🔴 Overrun",IF('Task Plan'!T6="Amber","🟡 Warning","On Track"))</f>
        <v>🔴 Overrun</v>
      </c>
    </row>
    <row r="20" spans="1:16" x14ac:dyDescent="0.35">
      <c r="A20" s="176" t="str">
        <f>'Task Plan'!A7</f>
        <v>WBS-03</v>
      </c>
      <c r="B20" s="27" t="str">
        <f>'Task Plan'!C7</f>
        <v>Design &amp; Engineering</v>
      </c>
      <c r="C20" s="27" t="str">
        <f>'Task Plan'!D7</f>
        <v>Labor</v>
      </c>
      <c r="D20" s="31">
        <f>'Task Plan'!H7</f>
        <v>19200</v>
      </c>
      <c r="E20" s="31">
        <f>'Task Plan'!I7</f>
        <v>19200</v>
      </c>
      <c r="F20" s="38">
        <f>'Task Plan'!J7</f>
        <v>18195.04</v>
      </c>
      <c r="G20" s="10">
        <f>'Task Plan'!K7</f>
        <v>1</v>
      </c>
      <c r="H20" s="20">
        <f>'Task Plan'!L7</f>
        <v>19200</v>
      </c>
      <c r="I20" s="11">
        <f>'Task Plan'!N7</f>
        <v>1004.9599999999991</v>
      </c>
      <c r="J20" s="11">
        <f>'Task Plan'!M7</f>
        <v>0</v>
      </c>
      <c r="K20" s="12">
        <f>'Task Plan'!P7</f>
        <v>1.055232634827953</v>
      </c>
      <c r="L20" s="12">
        <f>'Task Plan'!O7</f>
        <v>1</v>
      </c>
      <c r="M20" s="40">
        <f>'Task Plan'!Q7</f>
        <v>18195.04</v>
      </c>
      <c r="N20" s="38">
        <f>'Task Plan'!R7</f>
        <v>0</v>
      </c>
      <c r="O20" s="11">
        <f>'Task Plan'!S7</f>
        <v>1004.9599999999991</v>
      </c>
      <c r="P20" s="177" t="str">
        <f>IF('Task Plan'!T7="Red","🔴 Overrun",IF('Task Plan'!T7="Amber","🟡 Warning","On Track"))</f>
        <v>On Track</v>
      </c>
    </row>
    <row r="21" spans="1:16" x14ac:dyDescent="0.35">
      <c r="A21" s="176" t="str">
        <f>'Task Plan'!A8</f>
        <v>WBS-04</v>
      </c>
      <c r="B21" s="27" t="str">
        <f>'Task Plan'!C8</f>
        <v>Procurement - Materials</v>
      </c>
      <c r="C21" s="27" t="str">
        <f>'Task Plan'!D8</f>
        <v>Material</v>
      </c>
      <c r="D21" s="31">
        <f>'Task Plan'!H8</f>
        <v>42000</v>
      </c>
      <c r="E21" s="31">
        <f>'Task Plan'!I8</f>
        <v>42000</v>
      </c>
      <c r="F21" s="38">
        <f>'Task Plan'!J8</f>
        <v>41300</v>
      </c>
      <c r="G21" s="10">
        <f>'Task Plan'!K8</f>
        <v>1</v>
      </c>
      <c r="H21" s="20">
        <f>'Task Plan'!L8</f>
        <v>42000</v>
      </c>
      <c r="I21" s="11">
        <f>'Task Plan'!N8</f>
        <v>700</v>
      </c>
      <c r="J21" s="11">
        <f>'Task Plan'!M8</f>
        <v>0</v>
      </c>
      <c r="K21" s="12">
        <f>'Task Plan'!P8</f>
        <v>1.0169491525423728</v>
      </c>
      <c r="L21" s="12">
        <f>'Task Plan'!O8</f>
        <v>1</v>
      </c>
      <c r="M21" s="40">
        <f>'Task Plan'!Q8</f>
        <v>41300</v>
      </c>
      <c r="N21" s="38">
        <f>'Task Plan'!R8</f>
        <v>0</v>
      </c>
      <c r="O21" s="11">
        <f>'Task Plan'!S8</f>
        <v>700</v>
      </c>
      <c r="P21" s="177" t="str">
        <f>IF('Task Plan'!T8="Red","🔴 Overrun",IF('Task Plan'!T8="Amber","🟡 Warning","On Track"))</f>
        <v>On Track</v>
      </c>
    </row>
    <row r="22" spans="1:16" x14ac:dyDescent="0.35">
      <c r="A22" s="176" t="str">
        <f>'Task Plan'!A9</f>
        <v>WBS-05</v>
      </c>
      <c r="B22" s="27" t="str">
        <f>'Task Plan'!C9</f>
        <v>Demolition &amp; Prep</v>
      </c>
      <c r="C22" s="27" t="str">
        <f>'Task Plan'!D9</f>
        <v>Labor</v>
      </c>
      <c r="D22" s="31">
        <f>'Task Plan'!H9</f>
        <v>13200</v>
      </c>
      <c r="E22" s="31">
        <f>'Task Plan'!I9</f>
        <v>13200</v>
      </c>
      <c r="F22" s="38">
        <f>'Task Plan'!J9</f>
        <v>13408.159999999998</v>
      </c>
      <c r="G22" s="10">
        <f>'Task Plan'!K9</f>
        <v>1</v>
      </c>
      <c r="H22" s="20">
        <f>'Task Plan'!L9</f>
        <v>13200</v>
      </c>
      <c r="I22" s="11">
        <f>'Task Plan'!N9</f>
        <v>-208.15999999999804</v>
      </c>
      <c r="J22" s="11">
        <f>'Task Plan'!M9</f>
        <v>0</v>
      </c>
      <c r="K22" s="12">
        <f>'Task Plan'!P9</f>
        <v>0.98447512559516015</v>
      </c>
      <c r="L22" s="12">
        <f>'Task Plan'!O9</f>
        <v>1</v>
      </c>
      <c r="M22" s="40">
        <f>'Task Plan'!Q9</f>
        <v>13408.159999999998</v>
      </c>
      <c r="N22" s="38">
        <f>'Task Plan'!R9</f>
        <v>0</v>
      </c>
      <c r="O22" s="11">
        <f>'Task Plan'!S9</f>
        <v>-208.15999999999804</v>
      </c>
      <c r="P22" s="177" t="str">
        <f>IF('Task Plan'!T9="Red","🔴 Overrun",IF('Task Plan'!T9="Amber","🟡 Warning","On Track"))</f>
        <v>🔴 Overrun</v>
      </c>
    </row>
    <row r="23" spans="1:16" x14ac:dyDescent="0.35">
      <c r="A23" s="176" t="str">
        <f>'Task Plan'!A10</f>
        <v>WBS-06</v>
      </c>
      <c r="B23" s="27" t="str">
        <f>'Task Plan'!C10</f>
        <v>Electrical Rough-In</v>
      </c>
      <c r="C23" s="27" t="str">
        <f>'Task Plan'!D10</f>
        <v>Labor</v>
      </c>
      <c r="D23" s="31">
        <f>'Task Plan'!H10</f>
        <v>26000</v>
      </c>
      <c r="E23" s="31">
        <f>'Task Plan'!I10</f>
        <v>26000</v>
      </c>
      <c r="F23" s="38">
        <f>'Task Plan'!J10</f>
        <v>26206.239999999998</v>
      </c>
      <c r="G23" s="10">
        <f>'Task Plan'!K10</f>
        <v>0.7</v>
      </c>
      <c r="H23" s="20">
        <f>'Task Plan'!L10</f>
        <v>18200</v>
      </c>
      <c r="I23" s="11">
        <f>'Task Plan'!N10</f>
        <v>-8006.239999999998</v>
      </c>
      <c r="J23" s="11">
        <f>'Task Plan'!M10</f>
        <v>-7800</v>
      </c>
      <c r="K23" s="12">
        <f>'Task Plan'!P10</f>
        <v>0.69449108303976459</v>
      </c>
      <c r="L23" s="12">
        <f>'Task Plan'!O10</f>
        <v>0.7</v>
      </c>
      <c r="M23" s="40">
        <f>'Task Plan'!Q10</f>
        <v>37437.485714285714</v>
      </c>
      <c r="N23" s="38">
        <f>'Task Plan'!R10</f>
        <v>11231.245714285717</v>
      </c>
      <c r="O23" s="11">
        <f>'Task Plan'!S10</f>
        <v>-11437.485714285714</v>
      </c>
      <c r="P23" s="177" t="str">
        <f>IF('Task Plan'!T10="Red","🔴 Overrun",IF('Task Plan'!T10="Amber","🟡 Warning","On Track"))</f>
        <v>🔴 Overrun</v>
      </c>
    </row>
    <row r="24" spans="1:16" x14ac:dyDescent="0.35">
      <c r="A24" s="176" t="str">
        <f>'Task Plan'!A11</f>
        <v>WBS-07</v>
      </c>
      <c r="B24" s="27" t="str">
        <f>'Task Plan'!C11</f>
        <v>HVAC Installation</v>
      </c>
      <c r="C24" s="27" t="str">
        <f>'Task Plan'!D11</f>
        <v>Subcontractor</v>
      </c>
      <c r="D24" s="31">
        <f>'Task Plan'!H11</f>
        <v>36000</v>
      </c>
      <c r="E24" s="31">
        <f>'Task Plan'!I11</f>
        <v>36000</v>
      </c>
      <c r="F24" s="38">
        <f>'Task Plan'!J11</f>
        <v>17476.8</v>
      </c>
      <c r="G24" s="10">
        <f>'Task Plan'!K11</f>
        <v>0.4</v>
      </c>
      <c r="H24" s="20">
        <f>'Task Plan'!L11</f>
        <v>14400</v>
      </c>
      <c r="I24" s="11">
        <f>'Task Plan'!N11</f>
        <v>-3076.7999999999993</v>
      </c>
      <c r="J24" s="11">
        <f>'Task Plan'!M11</f>
        <v>-21600</v>
      </c>
      <c r="K24" s="12">
        <f>'Task Plan'!P11</f>
        <v>0.82394946443284811</v>
      </c>
      <c r="L24" s="12">
        <f>'Task Plan'!O11</f>
        <v>0.4</v>
      </c>
      <c r="M24" s="40">
        <f>'Task Plan'!Q11</f>
        <v>43692</v>
      </c>
      <c r="N24" s="38">
        <f>'Task Plan'!R11</f>
        <v>26215.200000000001</v>
      </c>
      <c r="O24" s="11">
        <f>'Task Plan'!S11</f>
        <v>-7692</v>
      </c>
      <c r="P24" s="177" t="str">
        <f>IF('Task Plan'!T11="Red","🔴 Overrun",IF('Task Plan'!T11="Amber","🟡 Warning","On Track"))</f>
        <v>🔴 Overrun</v>
      </c>
    </row>
    <row r="25" spans="1:16" x14ac:dyDescent="0.35">
      <c r="A25" s="176" t="str">
        <f>'Task Plan'!A12</f>
        <v>WBS-08</v>
      </c>
      <c r="B25" s="27" t="str">
        <f>'Task Plan'!C12</f>
        <v>Partitions &amp; Drywall</v>
      </c>
      <c r="C25" s="27" t="str">
        <f>'Task Plan'!D12</f>
        <v>Subcontractor</v>
      </c>
      <c r="D25" s="31">
        <f>'Task Plan'!H12</f>
        <v>28000</v>
      </c>
      <c r="E25" s="31">
        <f>'Task Plan'!I12</f>
        <v>28000</v>
      </c>
      <c r="F25" s="38">
        <f>'Task Plan'!J12</f>
        <v>7099.2</v>
      </c>
      <c r="G25" s="10">
        <f>'Task Plan'!K12</f>
        <v>0.24885699999999999</v>
      </c>
      <c r="H25" s="20">
        <f>'Task Plan'!L12</f>
        <v>6967.9960000000001</v>
      </c>
      <c r="I25" s="11">
        <f>'Task Plan'!N12</f>
        <v>-131.20399999999972</v>
      </c>
      <c r="J25" s="11">
        <f>'Task Plan'!M12</f>
        <v>-21032.004000000001</v>
      </c>
      <c r="K25" s="12">
        <f>'Task Plan'!P12</f>
        <v>0.98151848095560068</v>
      </c>
      <c r="L25" s="12">
        <f>'Task Plan'!O12</f>
        <v>0.24885699999999999</v>
      </c>
      <c r="M25" s="40">
        <f>'Task Plan'!Q12</f>
        <v>28527.226479464109</v>
      </c>
      <c r="N25" s="38">
        <f>'Task Plan'!R12</f>
        <v>21428.026479464108</v>
      </c>
      <c r="O25" s="11">
        <f>'Task Plan'!S12</f>
        <v>-527.22647946410871</v>
      </c>
      <c r="P25" s="177" t="str">
        <f>IF('Task Plan'!T12="Red","🔴 Overrun",IF('Task Plan'!T12="Amber","🟡 Warning","On Track"))</f>
        <v>🔴 Overrun</v>
      </c>
    </row>
    <row r="26" spans="1:16" x14ac:dyDescent="0.35">
      <c r="A26" s="176" t="str">
        <f>'Task Plan'!A13</f>
        <v>WBS-09</v>
      </c>
      <c r="B26" s="27" t="str">
        <f>'Task Plan'!C13</f>
        <v>Flooring</v>
      </c>
      <c r="C26" s="27" t="str">
        <f>'Task Plan'!D13</f>
        <v>Material</v>
      </c>
      <c r="D26" s="31">
        <f>'Task Plan'!H13</f>
        <v>35750</v>
      </c>
      <c r="E26" s="31">
        <f>'Task Plan'!I13</f>
        <v>23833.34</v>
      </c>
      <c r="F26" s="38">
        <f>'Task Plan'!J13</f>
        <v>0</v>
      </c>
      <c r="G26" s="10">
        <f>'Task Plan'!K13</f>
        <v>0</v>
      </c>
      <c r="H26" s="20">
        <f>'Task Plan'!L13</f>
        <v>0</v>
      </c>
      <c r="I26" s="11">
        <f>'Task Plan'!N13</f>
        <v>0</v>
      </c>
      <c r="J26" s="11">
        <f>'Task Plan'!M13</f>
        <v>-23833.34</v>
      </c>
      <c r="K26" s="12">
        <f>'Task Plan'!P13</f>
        <v>1</v>
      </c>
      <c r="L26" s="12">
        <f>'Task Plan'!O13</f>
        <v>0</v>
      </c>
      <c r="M26" s="40">
        <f>'Task Plan'!Q13</f>
        <v>35750</v>
      </c>
      <c r="N26" s="38">
        <f>'Task Plan'!R13</f>
        <v>35750</v>
      </c>
      <c r="O26" s="11">
        <f>'Task Plan'!S13</f>
        <v>0</v>
      </c>
      <c r="P26" s="177" t="str">
        <f>IF('Task Plan'!T13="Red","🔴 Overrun",IF('Task Plan'!T13="Amber","🟡 Warning","On Track"))</f>
        <v>🔴 Overrun</v>
      </c>
    </row>
    <row r="27" spans="1:16" x14ac:dyDescent="0.35">
      <c r="A27" s="176" t="str">
        <f>'Task Plan'!A14</f>
        <v>WBS-10</v>
      </c>
      <c r="B27" s="27" t="str">
        <f>'Task Plan'!C14</f>
        <v>Fixtures &amp; Furniture</v>
      </c>
      <c r="C27" s="27" t="str">
        <f>'Task Plan'!D14</f>
        <v>Material</v>
      </c>
      <c r="D27" s="31">
        <f>'Task Plan'!H14</f>
        <v>30000</v>
      </c>
      <c r="E27" s="31">
        <f>'Task Plan'!I14</f>
        <v>10000</v>
      </c>
      <c r="F27" s="38">
        <f>'Task Plan'!J14</f>
        <v>0</v>
      </c>
      <c r="G27" s="10">
        <f>'Task Plan'!K14</f>
        <v>0</v>
      </c>
      <c r="H27" s="20">
        <f>'Task Plan'!L14</f>
        <v>0</v>
      </c>
      <c r="I27" s="11">
        <f>'Task Plan'!N14</f>
        <v>0</v>
      </c>
      <c r="J27" s="11">
        <f>'Task Plan'!M14</f>
        <v>-10000</v>
      </c>
      <c r="K27" s="12">
        <f>'Task Plan'!P14</f>
        <v>1</v>
      </c>
      <c r="L27" s="12">
        <f>'Task Plan'!O14</f>
        <v>0</v>
      </c>
      <c r="M27" s="40">
        <f>'Task Plan'!Q14</f>
        <v>30000</v>
      </c>
      <c r="N27" s="38">
        <f>'Task Plan'!R14</f>
        <v>30000</v>
      </c>
      <c r="O27" s="11">
        <f>'Task Plan'!S14</f>
        <v>0</v>
      </c>
      <c r="P27" s="177" t="str">
        <f>IF('Task Plan'!T14="Red","🔴 Overrun",IF('Task Plan'!T14="Amber","🟡 Warning","On Track"))</f>
        <v>🔴 Overrun</v>
      </c>
    </row>
    <row r="28" spans="1:16" x14ac:dyDescent="0.35">
      <c r="A28" s="176" t="str">
        <f>'Task Plan'!A15</f>
        <v>WBS-11</v>
      </c>
      <c r="B28" s="27" t="str">
        <f>'Task Plan'!C15</f>
        <v>Testing / Commissioning</v>
      </c>
      <c r="C28" s="27" t="str">
        <f>'Task Plan'!D15</f>
        <v>Labor</v>
      </c>
      <c r="D28" s="31">
        <f>'Task Plan'!H15</f>
        <v>8400</v>
      </c>
      <c r="E28" s="31">
        <f>'Task Plan'!I15</f>
        <v>0</v>
      </c>
      <c r="F28" s="38">
        <f>'Task Plan'!J15</f>
        <v>0</v>
      </c>
      <c r="G28" s="10">
        <f>'Task Plan'!K15</f>
        <v>0</v>
      </c>
      <c r="H28" s="20">
        <f>'Task Plan'!L15</f>
        <v>0</v>
      </c>
      <c r="I28" s="11">
        <f>'Task Plan'!N15</f>
        <v>0</v>
      </c>
      <c r="J28" s="11">
        <f>'Task Plan'!M15</f>
        <v>0</v>
      </c>
      <c r="K28" s="12">
        <f>'Task Plan'!P15</f>
        <v>1</v>
      </c>
      <c r="L28" s="12">
        <f>'Task Plan'!O15</f>
        <v>1</v>
      </c>
      <c r="M28" s="40">
        <f>'Task Plan'!Q15</f>
        <v>8400</v>
      </c>
      <c r="N28" s="38">
        <f>'Task Plan'!R15</f>
        <v>8400</v>
      </c>
      <c r="O28" s="11">
        <f>'Task Plan'!S15</f>
        <v>0</v>
      </c>
      <c r="P28" s="177" t="str">
        <f>IF('Task Plan'!T15="Red","🔴 Overrun",IF('Task Plan'!T15="Amber","🟡 Warning","On Track"))</f>
        <v>On Track</v>
      </c>
    </row>
    <row r="29" spans="1:16" x14ac:dyDescent="0.35">
      <c r="A29" s="183" t="str">
        <f>'Task Plan'!A16</f>
        <v>WBS-12</v>
      </c>
      <c r="B29" s="184" t="str">
        <f>'Task Plan'!C16</f>
        <v>Handover &amp; Closeout</v>
      </c>
      <c r="C29" s="184" t="str">
        <f>'Task Plan'!D16</f>
        <v>Labor</v>
      </c>
      <c r="D29" s="185">
        <f>'Task Plan'!H16</f>
        <v>3600</v>
      </c>
      <c r="E29" s="185">
        <f>'Task Plan'!I16</f>
        <v>0</v>
      </c>
      <c r="F29" s="186">
        <f>'Task Plan'!J16</f>
        <v>0</v>
      </c>
      <c r="G29" s="187">
        <f>'Task Plan'!K16</f>
        <v>0</v>
      </c>
      <c r="H29" s="188">
        <f>'Task Plan'!L16</f>
        <v>0</v>
      </c>
      <c r="I29" s="189">
        <f>'Task Plan'!N16</f>
        <v>0</v>
      </c>
      <c r="J29" s="189">
        <f>'Task Plan'!M16</f>
        <v>0</v>
      </c>
      <c r="K29" s="190">
        <f>'Task Plan'!P16</f>
        <v>1</v>
      </c>
      <c r="L29" s="190">
        <f>'Task Plan'!O16</f>
        <v>1</v>
      </c>
      <c r="M29" s="191">
        <f>'Task Plan'!Q16</f>
        <v>3600</v>
      </c>
      <c r="N29" s="186">
        <f>'Task Plan'!R16</f>
        <v>3600</v>
      </c>
      <c r="O29" s="189">
        <f>'Task Plan'!S16</f>
        <v>0</v>
      </c>
      <c r="P29" s="192" t="str">
        <f>IF('Task Plan'!T16="Red","🔴 Overrun",IF('Task Plan'!T16="Amber","🟡 Warning","On Track"))</f>
        <v>On Track</v>
      </c>
    </row>
    <row r="30" spans="1:16" x14ac:dyDescent="0.35">
      <c r="A30" s="32" t="s">
        <v>62</v>
      </c>
      <c r="B30" s="33"/>
      <c r="C30" s="33"/>
      <c r="D30" s="14">
        <f>'Task Plan'!H17</f>
        <v>268650</v>
      </c>
      <c r="E30" s="14">
        <f>'Task Plan'!I17</f>
        <v>220233.34</v>
      </c>
      <c r="F30" s="39">
        <f>'Task Plan'!J17</f>
        <v>141985.44</v>
      </c>
      <c r="G30" s="13">
        <f>'Task Plan'!K17</f>
        <v>0.48936533035548119</v>
      </c>
      <c r="H30" s="21">
        <f>'Task Plan'!L17</f>
        <v>131467.99600000001</v>
      </c>
      <c r="I30" s="14">
        <f>'Task Plan'!N17</f>
        <v>-10517.443999999996</v>
      </c>
      <c r="J30" s="14">
        <f>'Task Plan'!M17</f>
        <v>-88765.343999999997</v>
      </c>
      <c r="K30" s="15">
        <f>'Task Plan'!P17</f>
        <v>0.92592589775402334</v>
      </c>
      <c r="L30" s="15">
        <f>'Task Plan'!O17</f>
        <v>0.59694865454976076</v>
      </c>
      <c r="M30" s="41">
        <f>'Task Plan'!Q17</f>
        <v>290142.00882776058</v>
      </c>
      <c r="N30" s="39">
        <f>'Task Plan'!R17</f>
        <v>148156.56882776058</v>
      </c>
      <c r="O30" s="14">
        <f>'Task Plan'!S17</f>
        <v>-21492.008827760583</v>
      </c>
      <c r="P30" s="16" t="str">
        <f>IF('Task Plan'!T17="Red","🔴 Overrun",IF('Task Plan'!T17="Amber","🟡 Warning","On Track"))</f>
        <v>🔴 Overrun</v>
      </c>
    </row>
    <row r="31" spans="1:16" x14ac:dyDescent="0.35">
      <c r="A31" s="23"/>
      <c r="B31" s="23"/>
      <c r="C31" s="23"/>
      <c r="D31" s="23"/>
      <c r="E31" s="23"/>
      <c r="F31" s="23"/>
      <c r="G31" s="37"/>
      <c r="H31" s="23"/>
      <c r="I31" s="37"/>
      <c r="J31" s="37"/>
      <c r="K31" s="37"/>
      <c r="L31" s="37"/>
      <c r="M31" s="23"/>
      <c r="N31" s="23"/>
      <c r="O31" s="37"/>
      <c r="P31" s="37"/>
    </row>
    <row r="32" spans="1:16" x14ac:dyDescent="0.35">
      <c r="A32" s="23"/>
      <c r="B32" s="23"/>
      <c r="C32" s="23"/>
      <c r="D32" s="23"/>
      <c r="E32" s="23"/>
      <c r="F32" s="23"/>
      <c r="G32" s="23"/>
      <c r="H32" s="23"/>
      <c r="I32" s="23"/>
      <c r="J32" s="23"/>
      <c r="K32" s="23"/>
      <c r="L32" s="23"/>
      <c r="M32" s="23"/>
      <c r="N32" s="23"/>
      <c r="O32" s="23"/>
      <c r="P32" s="23"/>
    </row>
    <row r="33" spans="1:16" x14ac:dyDescent="0.35">
      <c r="A33" s="22" t="s">
        <v>63</v>
      </c>
      <c r="B33" s="23"/>
      <c r="C33" s="23"/>
      <c r="D33" s="23"/>
      <c r="E33" s="23"/>
      <c r="F33" s="23"/>
      <c r="G33" s="23"/>
      <c r="H33" s="23"/>
      <c r="I33" s="23"/>
      <c r="J33" s="23"/>
      <c r="K33" s="23"/>
      <c r="L33" s="23"/>
      <c r="M33" s="23"/>
      <c r="N33" s="23"/>
      <c r="O33" s="23"/>
      <c r="P33" s="23"/>
    </row>
    <row r="34" spans="1:16" x14ac:dyDescent="0.35">
      <c r="A34" s="23"/>
      <c r="B34" s="23"/>
      <c r="C34" s="23"/>
      <c r="D34" s="23"/>
      <c r="E34" s="23"/>
      <c r="F34" s="23"/>
      <c r="G34" s="23"/>
      <c r="H34" s="23"/>
      <c r="I34" s="23"/>
      <c r="J34" s="23"/>
      <c r="K34" s="23"/>
      <c r="L34" s="23"/>
      <c r="M34" s="23"/>
      <c r="N34" s="23"/>
      <c r="O34" s="23"/>
      <c r="P34" s="23"/>
    </row>
    <row r="35" spans="1:16" x14ac:dyDescent="0.35">
      <c r="A35" s="195" t="s">
        <v>64</v>
      </c>
      <c r="B35" s="179" t="s">
        <v>65</v>
      </c>
      <c r="C35" s="180" t="s">
        <v>66</v>
      </c>
      <c r="D35" s="180" t="s">
        <v>67</v>
      </c>
      <c r="E35" s="180" t="s">
        <v>68</v>
      </c>
      <c r="F35" s="180" t="s">
        <v>69</v>
      </c>
      <c r="G35" s="180" t="s">
        <v>70</v>
      </c>
      <c r="H35" s="180" t="s">
        <v>27</v>
      </c>
      <c r="I35" s="180" t="s">
        <v>28</v>
      </c>
      <c r="J35" s="180" t="s">
        <v>29</v>
      </c>
      <c r="K35" s="196" t="s">
        <v>30</v>
      </c>
      <c r="L35" s="23"/>
      <c r="M35" s="23"/>
      <c r="N35" s="23"/>
      <c r="O35" s="23"/>
      <c r="P35" s="23"/>
    </row>
    <row r="36" spans="1:16" x14ac:dyDescent="0.35">
      <c r="A36" s="193">
        <v>1</v>
      </c>
      <c r="B36" s="26">
        <v>46146</v>
      </c>
      <c r="C36" s="34">
        <f>SUMIFS(Fact_Baseline_PV!C:C, Fact_Baseline_PV!A:A, B36)</f>
        <v>16400</v>
      </c>
      <c r="D36" s="34">
        <f>SUM(C$36:C36)</f>
        <v>16400</v>
      </c>
      <c r="E36" s="34">
        <f>SUMIFS(Fact_Actual_Costs!D:D, Fact_Actual_Costs!A:A, "&gt;="&amp;B36, Fact_Actual_Costs!A:A, "&lt;="&amp;B36+6)</f>
        <v>16295.04</v>
      </c>
      <c r="F36" s="34">
        <f>SUM(E$36:E36)</f>
        <v>16295.04</v>
      </c>
      <c r="G36" s="34">
        <f>SUMPRODUCT(Dim_WBS!$E$2:$E$13, SUMIFS(Fact_Physical_Progress!$C$2:$C$100, Fact_Physical_Progress!$B$2:$B$100, Dim_WBS!$A$2:$A$13, Fact_Physical_Progress!$A$2:$A$100, "&lt;="&amp;B36+4))</f>
        <v>15087.994000000001</v>
      </c>
      <c r="H36" s="34">
        <f t="shared" ref="H36:H47" si="0">G36-F36</f>
        <v>-1207.0460000000003</v>
      </c>
      <c r="I36" s="34">
        <f t="shared" ref="I36:I47" si="1">G36-D36</f>
        <v>-1312.0059999999994</v>
      </c>
      <c r="J36" s="35">
        <f t="shared" ref="J36:J47" si="2">IF(F36&gt;0, G36/F36, 1)</f>
        <v>0.92592555771572205</v>
      </c>
      <c r="K36" s="194">
        <f t="shared" ref="K36:K47" si="3">IF(D36&gt;0, G36/D36, 1)</f>
        <v>0.91999963414634145</v>
      </c>
      <c r="L36" s="23"/>
      <c r="M36" s="23"/>
      <c r="N36" s="23"/>
      <c r="O36" s="23"/>
      <c r="P36" s="23"/>
    </row>
    <row r="37" spans="1:16" x14ac:dyDescent="0.35">
      <c r="A37" s="193">
        <v>2</v>
      </c>
      <c r="B37" s="26">
        <v>46153</v>
      </c>
      <c r="C37" s="34">
        <f>SUMIFS(Fact_Baseline_PV!C:C, Fact_Baseline_PV!A:A, B37)</f>
        <v>22800</v>
      </c>
      <c r="D37" s="34">
        <f>SUM(C$36:C37)</f>
        <v>39200</v>
      </c>
      <c r="E37" s="34">
        <f>SUMIFS(Fact_Actual_Costs!D:D, Fact_Actual_Costs!A:A, "&gt;="&amp;B37, Fact_Actual_Costs!A:A, "&lt;="&amp;B37+6)</f>
        <v>22654.079999999998</v>
      </c>
      <c r="F37" s="34">
        <f>SUM(E$36:E37)</f>
        <v>38949.119999999995</v>
      </c>
      <c r="G37" s="34">
        <f>SUMPRODUCT(Dim_WBS!$E$2:$E$13, SUMIFS(Fact_Physical_Progress!$C$2:$C$100, Fact_Physical_Progress!$B$2:$B$100, Dim_WBS!$A$2:$A$13, Fact_Physical_Progress!$A$2:$A$100, "&lt;="&amp;B37+4))</f>
        <v>51151.997600000002</v>
      </c>
      <c r="H37" s="34">
        <f t="shared" si="0"/>
        <v>12202.877600000007</v>
      </c>
      <c r="I37" s="34">
        <f t="shared" si="1"/>
        <v>11951.997600000002</v>
      </c>
      <c r="J37" s="35">
        <f t="shared" si="2"/>
        <v>1.3133030373985346</v>
      </c>
      <c r="K37" s="194">
        <f t="shared" si="3"/>
        <v>1.3048978979591837</v>
      </c>
      <c r="L37" s="23"/>
      <c r="M37" s="23"/>
      <c r="N37" s="23"/>
      <c r="O37" s="23"/>
      <c r="P37" s="23"/>
    </row>
    <row r="38" spans="1:16" x14ac:dyDescent="0.35">
      <c r="A38" s="193">
        <v>3</v>
      </c>
      <c r="B38" s="26">
        <v>46160</v>
      </c>
      <c r="C38" s="34">
        <f>SUMIFS(Fact_Baseline_PV!C:C, Fact_Baseline_PV!A:A, B38)</f>
        <v>22800</v>
      </c>
      <c r="D38" s="34">
        <f>SUM(C$36:C38)</f>
        <v>62000</v>
      </c>
      <c r="E38" s="34">
        <f>SUMIFS(Fact_Actual_Costs!D:D, Fact_Actual_Costs!A:A, "&gt;="&amp;B38, Fact_Actual_Costs!A:A, "&lt;="&amp;B38+6)</f>
        <v>22654.079999999998</v>
      </c>
      <c r="F38" s="34">
        <f>SUM(E$36:E38)</f>
        <v>61603.199999999997</v>
      </c>
      <c r="G38" s="34">
        <f>SUMPRODUCT(Dim_WBS!$E$2:$E$13, SUMIFS(Fact_Physical_Progress!$C$2:$C$100, Fact_Physical_Progress!$B$2:$B$100, Dim_WBS!$A$2:$A$13, Fact_Physical_Progress!$A$2:$A$100, "&lt;="&amp;B38+4))</f>
        <v>108191.9976</v>
      </c>
      <c r="H38" s="34">
        <f t="shared" si="0"/>
        <v>46588.797600000005</v>
      </c>
      <c r="I38" s="34">
        <f t="shared" si="1"/>
        <v>46191.997600000002</v>
      </c>
      <c r="J38" s="35">
        <f t="shared" si="2"/>
        <v>1.7562723624746768</v>
      </c>
      <c r="K38" s="194">
        <f t="shared" si="3"/>
        <v>1.7450322193548387</v>
      </c>
      <c r="L38" s="23"/>
      <c r="M38" s="23"/>
      <c r="N38" s="23"/>
      <c r="O38" s="23"/>
      <c r="P38" s="23"/>
    </row>
    <row r="39" spans="1:16" x14ac:dyDescent="0.35">
      <c r="A39" s="193">
        <v>4</v>
      </c>
      <c r="B39" s="26">
        <v>46167</v>
      </c>
      <c r="C39" s="34">
        <f>SUMIFS(Fact_Baseline_PV!C:C, Fact_Baseline_PV!A:A, B39)</f>
        <v>25066.67</v>
      </c>
      <c r="D39" s="34">
        <f>SUM(C$36:C39)</f>
        <v>87066.67</v>
      </c>
      <c r="E39" s="34">
        <f>SUMIFS(Fact_Actual_Costs!D:D, Fact_Actual_Costs!A:A, "&gt;="&amp;B39, Fact_Actual_Costs!A:A, "&lt;="&amp;B39+6)</f>
        <v>24906.240000000002</v>
      </c>
      <c r="F39" s="34">
        <f>SUM(E$36:E39)</f>
        <v>86509.440000000002</v>
      </c>
      <c r="G39" s="34">
        <f>SUMPRODUCT(Dim_WBS!$E$2:$E$13, SUMIFS(Fact_Physical_Progress!$C$2:$C$100, Fact_Physical_Progress!$B$2:$B$100, Dim_WBS!$A$2:$A$13, Fact_Physical_Progress!$A$2:$A$100, "&lt;="&amp;B39+4))</f>
        <v>188293.32560000001</v>
      </c>
      <c r="H39" s="34">
        <f t="shared" si="0"/>
        <v>101783.88560000001</v>
      </c>
      <c r="I39" s="34">
        <f t="shared" si="1"/>
        <v>101226.65560000001</v>
      </c>
      <c r="J39" s="35">
        <f t="shared" si="2"/>
        <v>2.1765639171863786</v>
      </c>
      <c r="K39" s="194">
        <f t="shared" si="3"/>
        <v>2.1626338253202979</v>
      </c>
      <c r="L39" s="23"/>
      <c r="M39" s="23"/>
      <c r="N39" s="23"/>
      <c r="O39" s="23"/>
      <c r="P39" s="23"/>
    </row>
    <row r="40" spans="1:16" x14ac:dyDescent="0.35">
      <c r="A40" s="193">
        <v>5</v>
      </c>
      <c r="B40" s="26">
        <v>46174</v>
      </c>
      <c r="C40" s="34">
        <f>SUMIFS(Fact_Baseline_PV!C:C, Fact_Baseline_PV!A:A, B40)</f>
        <v>29666.67</v>
      </c>
      <c r="D40" s="34">
        <f>SUM(C$36:C40)</f>
        <v>116733.34</v>
      </c>
      <c r="E40" s="34">
        <f>SUMIFS(Fact_Actual_Costs!D:D, Fact_Actual_Costs!A:A, "&gt;="&amp;B40, Fact_Actual_Costs!A:A, "&lt;="&amp;B40+6)</f>
        <v>29476.800000000003</v>
      </c>
      <c r="F40" s="34">
        <f>SUM(E$36:E40)</f>
        <v>115986.24000000001</v>
      </c>
      <c r="G40" s="34">
        <f>SUMPRODUCT(Dim_WBS!$E$2:$E$13, SUMIFS(Fact_Physical_Progress!$C$2:$C$100, Fact_Physical_Progress!$B$2:$B$100, Dim_WBS!$A$2:$A$13, Fact_Physical_Progress!$A$2:$A$100, "&lt;="&amp;B40+4))</f>
        <v>295687.99959999998</v>
      </c>
      <c r="H40" s="34">
        <f t="shared" si="0"/>
        <v>179701.75959999999</v>
      </c>
      <c r="I40" s="34">
        <f t="shared" si="1"/>
        <v>178954.65959999998</v>
      </c>
      <c r="J40" s="35">
        <f t="shared" si="2"/>
        <v>2.5493368834096182</v>
      </c>
      <c r="K40" s="194">
        <f t="shared" si="3"/>
        <v>2.5330209826944041</v>
      </c>
      <c r="L40" s="23"/>
      <c r="M40" s="23"/>
      <c r="N40" s="23"/>
      <c r="O40" s="23"/>
      <c r="P40" s="23"/>
    </row>
    <row r="41" spans="1:16" x14ac:dyDescent="0.35">
      <c r="A41" s="193">
        <v>6</v>
      </c>
      <c r="B41" s="26">
        <v>46181</v>
      </c>
      <c r="C41" s="34">
        <f>SUMIFS(Fact_Baseline_PV!C:C, Fact_Baseline_PV!A:A, B41)</f>
        <v>26166.66</v>
      </c>
      <c r="D41" s="34">
        <f>SUM(C$36:C41)</f>
        <v>142900</v>
      </c>
      <c r="E41" s="34">
        <f>SUMIFS(Fact_Actual_Costs!D:D, Fact_Actual_Costs!A:A, "&gt;="&amp;B41, Fact_Actual_Costs!A:A, "&lt;="&amp;B41+6)</f>
        <v>25999.200000000001</v>
      </c>
      <c r="F41" s="34">
        <f>SUM(E$36:E41)</f>
        <v>141985.44</v>
      </c>
      <c r="G41" s="34">
        <f>SUMPRODUCT(Dim_WBS!$E$2:$E$13, SUMIFS(Fact_Physical_Progress!$C$2:$C$100, Fact_Physical_Progress!$B$2:$B$100, Dim_WBS!$A$2:$A$13, Fact_Physical_Progress!$A$2:$A$100, "&lt;="&amp;B41+4))</f>
        <v>427155.99559999997</v>
      </c>
      <c r="H41" s="34">
        <f t="shared" si="0"/>
        <v>285170.55559999996</v>
      </c>
      <c r="I41" s="34">
        <f t="shared" si="1"/>
        <v>284255.99559999997</v>
      </c>
      <c r="J41" s="35">
        <f t="shared" si="2"/>
        <v>3.0084492860676417</v>
      </c>
      <c r="K41" s="194">
        <f t="shared" si="3"/>
        <v>2.9891952106368089</v>
      </c>
      <c r="L41" s="23"/>
      <c r="M41" s="23"/>
      <c r="N41" s="23"/>
      <c r="O41" s="23"/>
      <c r="P41" s="23"/>
    </row>
    <row r="42" spans="1:16" x14ac:dyDescent="0.35">
      <c r="A42" s="193">
        <v>7</v>
      </c>
      <c r="B42" s="26">
        <v>46188</v>
      </c>
      <c r="C42" s="34">
        <f>SUMIFS(Fact_Baseline_PV!C:C, Fact_Baseline_PV!A:A, B42)</f>
        <v>17500</v>
      </c>
      <c r="D42" s="34">
        <f>SUM(C$36:C42)</f>
        <v>160400</v>
      </c>
      <c r="E42" s="34">
        <f>SUMIFS(Fact_Actual_Costs!D:D, Fact_Actual_Costs!A:A, "&gt;="&amp;B42, Fact_Actual_Costs!A:A, "&lt;="&amp;B42+6)</f>
        <v>0</v>
      </c>
      <c r="F42" s="34">
        <f>SUM(E$36:E42)</f>
        <v>141985.44</v>
      </c>
      <c r="G42" s="34">
        <f>SUMPRODUCT(Dim_WBS!$E$2:$E$13, SUMIFS(Fact_Physical_Progress!$C$2:$C$100, Fact_Physical_Progress!$B$2:$B$100, Dim_WBS!$A$2:$A$13, Fact_Physical_Progress!$A$2:$A$100, "&lt;="&amp;B42+4))</f>
        <v>427155.99559999997</v>
      </c>
      <c r="H42" s="34">
        <f t="shared" si="0"/>
        <v>285170.55559999996</v>
      </c>
      <c r="I42" s="34">
        <f t="shared" si="1"/>
        <v>266755.99559999997</v>
      </c>
      <c r="J42" s="35">
        <f t="shared" si="2"/>
        <v>3.0084492860676417</v>
      </c>
      <c r="K42" s="194">
        <f t="shared" si="3"/>
        <v>2.6630673042394011</v>
      </c>
      <c r="L42" s="23"/>
      <c r="M42" s="23"/>
      <c r="N42" s="23"/>
      <c r="O42" s="23"/>
      <c r="P42" s="23"/>
    </row>
    <row r="43" spans="1:16" x14ac:dyDescent="0.35">
      <c r="A43" s="193">
        <v>8</v>
      </c>
      <c r="B43" s="26">
        <v>46195</v>
      </c>
      <c r="C43" s="34">
        <f>SUMIFS(Fact_Baseline_PV!C:C, Fact_Baseline_PV!A:A, B43)</f>
        <v>29416.67</v>
      </c>
      <c r="D43" s="34">
        <f>SUM(C$36:C43)</f>
        <v>189816.66999999998</v>
      </c>
      <c r="E43" s="34">
        <f>SUMIFS(Fact_Actual_Costs!D:D, Fact_Actual_Costs!A:A, "&gt;="&amp;B43, Fact_Actual_Costs!A:A, "&lt;="&amp;B43+6)</f>
        <v>0</v>
      </c>
      <c r="F43" s="34">
        <f>SUM(E$36:E43)</f>
        <v>141985.44</v>
      </c>
      <c r="G43" s="34">
        <f>SUMPRODUCT(Dim_WBS!$E$2:$E$13, SUMIFS(Fact_Physical_Progress!$C$2:$C$100, Fact_Physical_Progress!$B$2:$B$100, Dim_WBS!$A$2:$A$13, Fact_Physical_Progress!$A$2:$A$100, "&lt;="&amp;B43+4))</f>
        <v>427155.99559999997</v>
      </c>
      <c r="H43" s="34">
        <f t="shared" si="0"/>
        <v>285170.55559999996</v>
      </c>
      <c r="I43" s="34">
        <f t="shared" si="1"/>
        <v>237339.32559999998</v>
      </c>
      <c r="J43" s="35">
        <f t="shared" si="2"/>
        <v>3.0084492860676417</v>
      </c>
      <c r="K43" s="194">
        <f t="shared" si="3"/>
        <v>2.2503608118296459</v>
      </c>
      <c r="L43" s="23"/>
      <c r="M43" s="23"/>
      <c r="N43" s="23"/>
      <c r="O43" s="23"/>
      <c r="P43" s="23"/>
    </row>
    <row r="44" spans="1:16" x14ac:dyDescent="0.35">
      <c r="A44" s="193">
        <v>9</v>
      </c>
      <c r="B44" s="26">
        <v>46202</v>
      </c>
      <c r="C44" s="34">
        <f>SUMIFS(Fact_Baseline_PV!C:C, Fact_Baseline_PV!A:A, B44)</f>
        <v>30416.67</v>
      </c>
      <c r="D44" s="34">
        <f>SUM(C$36:C44)</f>
        <v>220233.33999999997</v>
      </c>
      <c r="E44" s="34">
        <f>SUMIFS(Fact_Actual_Costs!D:D, Fact_Actual_Costs!A:A, "&gt;="&amp;B44, Fact_Actual_Costs!A:A, "&lt;="&amp;B44+6)</f>
        <v>0</v>
      </c>
      <c r="F44" s="34">
        <f>SUM(E$36:E44)</f>
        <v>141985.44</v>
      </c>
      <c r="G44" s="34">
        <f>SUMPRODUCT(Dim_WBS!$E$2:$E$13, SUMIFS(Fact_Physical_Progress!$C$2:$C$100, Fact_Physical_Progress!$B$2:$B$100, Dim_WBS!$A$2:$A$13, Fact_Physical_Progress!$A$2:$A$100, "&lt;="&amp;B44+4))</f>
        <v>427155.99559999997</v>
      </c>
      <c r="H44" s="34">
        <f t="shared" si="0"/>
        <v>285170.55559999996</v>
      </c>
      <c r="I44" s="34">
        <f t="shared" si="1"/>
        <v>206922.6556</v>
      </c>
      <c r="J44" s="35">
        <f t="shared" si="2"/>
        <v>3.0084492860676417</v>
      </c>
      <c r="K44" s="194">
        <f t="shared" si="3"/>
        <v>1.939560992899622</v>
      </c>
      <c r="L44" s="23"/>
      <c r="M44" s="23"/>
      <c r="N44" s="23"/>
      <c r="O44" s="23"/>
      <c r="P44" s="23"/>
    </row>
    <row r="45" spans="1:16" x14ac:dyDescent="0.35">
      <c r="A45" s="193">
        <v>10</v>
      </c>
      <c r="B45" s="26">
        <v>46209</v>
      </c>
      <c r="C45" s="34">
        <f>SUMIFS(Fact_Baseline_PV!C:C, Fact_Baseline_PV!A:A, B45)</f>
        <v>23416.66</v>
      </c>
      <c r="D45" s="34">
        <f>SUM(C$36:C45)</f>
        <v>243649.99999999997</v>
      </c>
      <c r="E45" s="34">
        <f>SUMIFS(Fact_Actual_Costs!D:D, Fact_Actual_Costs!A:A, "&gt;="&amp;B45, Fact_Actual_Costs!A:A, "&lt;="&amp;B45+6)</f>
        <v>0</v>
      </c>
      <c r="F45" s="34">
        <f>SUM(E$36:E45)</f>
        <v>141985.44</v>
      </c>
      <c r="G45" s="34">
        <f>SUMPRODUCT(Dim_WBS!$E$2:$E$13, SUMIFS(Fact_Physical_Progress!$C$2:$C$100, Fact_Physical_Progress!$B$2:$B$100, Dim_WBS!$A$2:$A$13, Fact_Physical_Progress!$A$2:$A$100, "&lt;="&amp;B45+4))</f>
        <v>427155.99559999997</v>
      </c>
      <c r="H45" s="34">
        <f t="shared" si="0"/>
        <v>285170.55559999996</v>
      </c>
      <c r="I45" s="34">
        <f t="shared" si="1"/>
        <v>183505.99559999999</v>
      </c>
      <c r="J45" s="35">
        <f t="shared" si="2"/>
        <v>3.0084492860676417</v>
      </c>
      <c r="K45" s="194">
        <f t="shared" si="3"/>
        <v>1.7531540964498256</v>
      </c>
      <c r="L45" s="23"/>
      <c r="M45" s="23"/>
      <c r="N45" s="23"/>
      <c r="O45" s="23"/>
      <c r="P45" s="23"/>
    </row>
    <row r="46" spans="1:16" x14ac:dyDescent="0.35">
      <c r="A46" s="193">
        <v>11</v>
      </c>
      <c r="B46" s="26">
        <v>46216</v>
      </c>
      <c r="C46" s="34">
        <f>SUMIFS(Fact_Baseline_PV!C:C, Fact_Baseline_PV!A:A, B46)</f>
        <v>15700</v>
      </c>
      <c r="D46" s="34">
        <f>SUM(C$36:C46)</f>
        <v>259349.99999999997</v>
      </c>
      <c r="E46" s="34">
        <f>SUMIFS(Fact_Actual_Costs!D:D, Fact_Actual_Costs!A:A, "&gt;="&amp;B46, Fact_Actual_Costs!A:A, "&lt;="&amp;B46+6)</f>
        <v>0</v>
      </c>
      <c r="F46" s="34">
        <f>SUM(E$36:E46)</f>
        <v>141985.44</v>
      </c>
      <c r="G46" s="34">
        <f>SUMPRODUCT(Dim_WBS!$E$2:$E$13, SUMIFS(Fact_Physical_Progress!$C$2:$C$100, Fact_Physical_Progress!$B$2:$B$100, Dim_WBS!$A$2:$A$13, Fact_Physical_Progress!$A$2:$A$100, "&lt;="&amp;B46+4))</f>
        <v>427155.99559999997</v>
      </c>
      <c r="H46" s="34">
        <f t="shared" si="0"/>
        <v>285170.55559999996</v>
      </c>
      <c r="I46" s="34">
        <f t="shared" si="1"/>
        <v>167805.99559999999</v>
      </c>
      <c r="J46" s="35">
        <f t="shared" si="2"/>
        <v>3.0084492860676417</v>
      </c>
      <c r="K46" s="194">
        <f t="shared" si="3"/>
        <v>1.6470252384808175</v>
      </c>
      <c r="L46" s="23"/>
      <c r="M46" s="23"/>
      <c r="N46" s="23"/>
      <c r="O46" s="23"/>
      <c r="P46" s="23"/>
    </row>
    <row r="47" spans="1:16" x14ac:dyDescent="0.35">
      <c r="A47" s="197">
        <v>12</v>
      </c>
      <c r="B47" s="198">
        <v>46223</v>
      </c>
      <c r="C47" s="199">
        <f>SUMIFS(Fact_Baseline_PV!C:C, Fact_Baseline_PV!A:A, B47)</f>
        <v>9300</v>
      </c>
      <c r="D47" s="199">
        <f>SUM(C$36:C47)</f>
        <v>268650</v>
      </c>
      <c r="E47" s="199">
        <f>SUMIFS(Fact_Actual_Costs!D:D, Fact_Actual_Costs!A:A, "&gt;="&amp;B47, Fact_Actual_Costs!A:A, "&lt;="&amp;B47+6)</f>
        <v>0</v>
      </c>
      <c r="F47" s="199">
        <f>SUM(E$36:E47)</f>
        <v>141985.44</v>
      </c>
      <c r="G47" s="199">
        <f>SUMPRODUCT(Dim_WBS!$E$2:$E$13, SUMIFS(Fact_Physical_Progress!$C$2:$C$100, Fact_Physical_Progress!$B$2:$B$100, Dim_WBS!$A$2:$A$13, Fact_Physical_Progress!$A$2:$A$100, "&lt;="&amp;B47+4))</f>
        <v>427155.99559999997</v>
      </c>
      <c r="H47" s="199">
        <f t="shared" si="0"/>
        <v>285170.55559999996</v>
      </c>
      <c r="I47" s="199">
        <f t="shared" si="1"/>
        <v>158505.99559999997</v>
      </c>
      <c r="J47" s="200">
        <f t="shared" si="2"/>
        <v>3.0084492860676417</v>
      </c>
      <c r="K47" s="201">
        <f t="shared" si="3"/>
        <v>1.5900092894100128</v>
      </c>
      <c r="L47" s="23"/>
      <c r="M47" s="23"/>
      <c r="N47" s="23"/>
      <c r="O47" s="23"/>
      <c r="P47" s="23"/>
    </row>
  </sheetData>
  <mergeCells count="12">
    <mergeCell ref="J7:L7"/>
    <mergeCell ref="A10:C10"/>
    <mergeCell ref="A13:C13"/>
    <mergeCell ref="G10:I10"/>
    <mergeCell ref="D13:F13"/>
    <mergeCell ref="J10:L10"/>
    <mergeCell ref="G13:I13"/>
    <mergeCell ref="J13:L13"/>
    <mergeCell ref="D7:F7"/>
    <mergeCell ref="A7:C7"/>
    <mergeCell ref="G7:I7"/>
    <mergeCell ref="D10:F10"/>
  </mergeCells>
  <conditionalFormatting sqref="A10:F10">
    <cfRule type="cellIs" dxfId="156" priority="1" operator="lessThan">
      <formula>0</formula>
    </cfRule>
    <cfRule type="cellIs" dxfId="155" priority="2" operator="greaterThanOrEqual">
      <formula>0</formula>
    </cfRule>
  </conditionalFormatting>
  <conditionalFormatting sqref="G18:G30">
    <cfRule type="cellIs" dxfId="154" priority="23" operator="lessThan">
      <formula>0.5</formula>
    </cfRule>
    <cfRule type="cellIs" dxfId="153" priority="24" operator="between">
      <formula>0.5</formula>
      <formula>0.799999</formula>
    </cfRule>
    <cfRule type="cellIs" dxfId="152" priority="25" operator="greaterThanOrEqual">
      <formula>0.8</formula>
    </cfRule>
  </conditionalFormatting>
  <conditionalFormatting sqref="G13:I13">
    <cfRule type="cellIs" dxfId="151" priority="5" operator="lessThan">
      <formula>0</formula>
    </cfRule>
    <cfRule type="cellIs" dxfId="150" priority="6" operator="greaterThanOrEqual">
      <formula>0</formula>
    </cfRule>
  </conditionalFormatting>
  <conditionalFormatting sqref="G10:L10">
    <cfRule type="cellIs" dxfId="149" priority="11" operator="lessThan">
      <formula>0.95</formula>
    </cfRule>
    <cfRule type="cellIs" dxfId="148" priority="12" operator="between">
      <formula>0.95</formula>
      <formula>0.999999</formula>
    </cfRule>
    <cfRule type="cellIs" dxfId="147" priority="13" operator="greaterThanOrEqual">
      <formula>1</formula>
    </cfRule>
  </conditionalFormatting>
  <conditionalFormatting sqref="I18:J30">
    <cfRule type="cellIs" dxfId="146" priority="7" operator="lessThan">
      <formula>0</formula>
    </cfRule>
    <cfRule type="cellIs" dxfId="145" priority="8" operator="greaterThanOrEqual">
      <formula>0</formula>
    </cfRule>
  </conditionalFormatting>
  <conditionalFormatting sqref="J13:L13">
    <cfRule type="cellIs" dxfId="144" priority="20" operator="lessThan">
      <formula>0.5</formula>
    </cfRule>
    <cfRule type="cellIs" dxfId="143" priority="21" operator="between">
      <formula>0.5</formula>
      <formula>0.799999</formula>
    </cfRule>
    <cfRule type="cellIs" dxfId="142" priority="22" operator="greaterThanOrEqual">
      <formula>0.8</formula>
    </cfRule>
  </conditionalFormatting>
  <conditionalFormatting sqref="K18:L30">
    <cfRule type="cellIs" dxfId="141" priority="17" operator="lessThan">
      <formula>0.95</formula>
    </cfRule>
    <cfRule type="cellIs" dxfId="140" priority="18" operator="between">
      <formula>0.95</formula>
      <formula>0.999999</formula>
    </cfRule>
    <cfRule type="cellIs" dxfId="139" priority="19" operator="greaterThanOrEqual">
      <formula>1</formula>
    </cfRule>
  </conditionalFormatting>
  <conditionalFormatting sqref="O18:O30">
    <cfRule type="cellIs" dxfId="138" priority="9" operator="lessThan">
      <formula>0</formula>
    </cfRule>
    <cfRule type="cellIs" dxfId="137" priority="10" operator="greaterThanOrEqual">
      <formula>0</formula>
    </cfRule>
  </conditionalFormatting>
  <conditionalFormatting sqref="N5:N7">
    <cfRule type="expression" dxfId="127" priority="35">
      <formula>ISNUMBER(SEARCH("Red",N5))</formula>
    </cfRule>
  </conditionalFormatting>
  <conditionalFormatting sqref="N5:N7">
    <cfRule type="expression" dxfId="126" priority="36">
      <formula>ISNUMBER(SEARCH("Amber",N5))</formula>
    </cfRule>
  </conditionalFormatting>
  <conditionalFormatting sqref="N5:N7">
    <cfRule type="expression" dxfId="125" priority="37">
      <formula>ISNUMBER(SEARCH("Green",N5))</formula>
    </cfRule>
  </conditionalFormatting>
  <conditionalFormatting sqref="P18:P30">
    <cfRule type="expression" dxfId="124" priority="38">
      <formula>OR(ISNUMBER(SEARCH("Red",P18)),ISNUMBER(SEARCH("Overrun",P18)))</formula>
    </cfRule>
  </conditionalFormatting>
  <conditionalFormatting sqref="P18:P30">
    <cfRule type="expression" dxfId="123" priority="39">
      <formula>OR(ISNUMBER(SEARCH("Amber",P18)),ISNUMBER(SEARCH("Warning",P18)))</formula>
    </cfRule>
  </conditionalFormatting>
  <conditionalFormatting sqref="P18:P30">
    <cfRule type="expression" dxfId="122" priority="40">
      <formula>OR(ISNUMBER(SEARCH("Green",P18)),ISNUMBER(SEARCH("On Track",P18)))</formula>
    </cfRule>
  </conditionalFormatting>
  <pageMargins left="0.75" right="0.75" top="1" bottom="1" header="0.5" footer="0.5"/>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7639-102A-4ADD-A3E6-E5B03EE28A85}">
  <dimension ref="A1:H27"/>
  <sheetViews>
    <sheetView workbookViewId="0">
      <selection activeCell="Q1" sqref="Q1"/>
    </sheetView>
  </sheetViews>
  <sheetFormatPr defaultRowHeight="14.5" x14ac:dyDescent="0.35"/>
  <cols>
    <col min="1" max="1" width="10" style="258" customWidth="1"/>
    <col min="2" max="2" width="11.81640625" style="258" customWidth="1"/>
    <col min="3" max="3" width="22.7265625" style="258" customWidth="1"/>
    <col min="4" max="4" width="19.08984375" style="258" customWidth="1"/>
    <col min="5" max="5" width="26.36328125" style="258" customWidth="1"/>
    <col min="6" max="6" width="33.6328125" style="258" customWidth="1"/>
    <col min="7" max="7" width="18.1796875" style="258" customWidth="1"/>
    <col min="8" max="8" width="14.54296875" style="258" customWidth="1"/>
  </cols>
  <sheetData>
    <row r="1" spans="1:8" ht="23.5" x14ac:dyDescent="0.55000000000000004">
      <c r="A1" s="243" t="s">
        <v>785</v>
      </c>
      <c r="B1" s="243"/>
      <c r="C1" s="243"/>
      <c r="D1" s="243"/>
      <c r="E1" s="243"/>
      <c r="F1" s="243"/>
      <c r="G1" s="243"/>
      <c r="H1" s="243"/>
    </row>
    <row r="2" spans="1:8" x14ac:dyDescent="0.35">
      <c r="A2" s="244" t="s">
        <v>786</v>
      </c>
      <c r="B2" s="244"/>
      <c r="C2" s="244"/>
      <c r="D2" s="244"/>
      <c r="E2" s="244"/>
      <c r="F2" s="244"/>
      <c r="G2" s="244"/>
      <c r="H2" s="244"/>
    </row>
    <row r="4" spans="1:8" x14ac:dyDescent="0.35">
      <c r="A4" s="245" t="s">
        <v>787</v>
      </c>
      <c r="B4" s="245"/>
      <c r="C4" s="245"/>
      <c r="D4" s="245"/>
      <c r="E4" s="245"/>
      <c r="F4" s="245"/>
      <c r="G4" s="245"/>
      <c r="H4" s="245"/>
    </row>
    <row r="5" spans="1:8" x14ac:dyDescent="0.35">
      <c r="A5" s="246" t="s">
        <v>788</v>
      </c>
      <c r="B5" s="246"/>
      <c r="C5" s="246"/>
      <c r="D5" s="246"/>
      <c r="E5" s="246"/>
      <c r="F5" s="246"/>
      <c r="G5" s="246"/>
      <c r="H5" s="246"/>
    </row>
    <row r="6" spans="1:8" x14ac:dyDescent="0.35">
      <c r="A6" s="246"/>
      <c r="B6" s="246"/>
      <c r="C6" s="246"/>
      <c r="D6" s="246"/>
      <c r="E6" s="246"/>
      <c r="F6" s="246"/>
      <c r="G6" s="246"/>
      <c r="H6" s="246"/>
    </row>
    <row r="7" spans="1:8" x14ac:dyDescent="0.35">
      <c r="A7" s="246"/>
      <c r="B7" s="246"/>
      <c r="C7" s="246"/>
      <c r="D7" s="246"/>
      <c r="E7" s="246"/>
      <c r="F7" s="246"/>
      <c r="G7" s="246"/>
      <c r="H7" s="246"/>
    </row>
    <row r="9" spans="1:8" x14ac:dyDescent="0.35">
      <c r="A9" s="247" t="s">
        <v>789</v>
      </c>
      <c r="B9" s="248"/>
      <c r="C9" s="247" t="s">
        <v>790</v>
      </c>
      <c r="D9" s="248"/>
      <c r="E9" s="247" t="s">
        <v>791</v>
      </c>
      <c r="F9" s="248"/>
      <c r="G9" s="247" t="s">
        <v>792</v>
      </c>
      <c r="H9" s="248"/>
    </row>
    <row r="10" spans="1:8" ht="18.5" x14ac:dyDescent="0.35">
      <c r="A10" s="249">
        <f>COUNTIF(tbl_Task_Plan[Status],"Red")</f>
        <v>8</v>
      </c>
      <c r="B10" s="248"/>
      <c r="C10" s="250">
        <f>_xlfn.MINIFS(tbl_Task_Plan[SPI],tbl_Task_Plan[Status],"Red")</f>
        <v>0</v>
      </c>
      <c r="D10" s="248"/>
      <c r="E10" s="251">
        <f>_xlfn.MINIFS(tbl_Task_Plan[SV],tbl_Task_Plan[Status],"Red")</f>
        <v>-23833.34</v>
      </c>
      <c r="F10" s="248"/>
      <c r="G10" s="251">
        <f>-SUMIFS(tbl_Task_Plan[VAC],tbl_Task_Plan[Status],"Red")</f>
        <v>21264.872193749819</v>
      </c>
      <c r="H10" s="248"/>
    </row>
    <row r="13" spans="1:8" x14ac:dyDescent="0.35">
      <c r="A13" s="252" t="s">
        <v>793</v>
      </c>
      <c r="B13" s="252" t="s">
        <v>19</v>
      </c>
      <c r="C13" s="252" t="s">
        <v>148</v>
      </c>
      <c r="D13" s="252" t="s">
        <v>794</v>
      </c>
      <c r="E13" s="252" t="s">
        <v>795</v>
      </c>
      <c r="F13" s="252" t="s">
        <v>796</v>
      </c>
      <c r="G13" s="252" t="s">
        <v>396</v>
      </c>
      <c r="H13" s="252" t="s">
        <v>568</v>
      </c>
    </row>
    <row r="14" spans="1:8" ht="72.5" x14ac:dyDescent="0.35">
      <c r="A14" s="253">
        <v>1</v>
      </c>
      <c r="B14" s="253" t="s">
        <v>54</v>
      </c>
      <c r="C14" s="254" t="str">
        <f>_xlfn.XLOOKUP(B14,tbl_Task_Plan[WBS ID],tbl_Task_Plan[Task / Activity],"")</f>
        <v>Flooring</v>
      </c>
      <c r="D14" s="254" t="s">
        <v>797</v>
      </c>
      <c r="E14" s="254" t="str">
        <f>TEXT(_xlfn.XLOOKUP(B14,tbl_Task_Plan[WBS ID],tbl_Task_Plan[Progress %]),"0%")&amp;" complete; SPI "&amp;TEXT(_xlfn.XLOOKUP(B14,tbl_Task_Plan[WBS ID],tbl_Task_Plan[SPI]),"0.00")&amp;"; CPI "&amp;TEXT(_xlfn.XLOOKUP(B14,tbl_Task_Plan[WBS ID],tbl_Task_Plan[CPI]),"0.00")&amp;"; SV "&amp;TEXT(_xlfn.XLOOKUP(B14,tbl_Task_Plan[WBS ID],tbl_Task_Plan[SV]),"#,##0")&amp;" NOK"</f>
        <v>0% complete; SPI 0.00; CPI 1.00; SV -23,833 NOK</v>
      </c>
      <c r="F14" s="254" t="s">
        <v>798</v>
      </c>
      <c r="G14" s="254" t="s">
        <v>412</v>
      </c>
      <c r="H14" s="255">
        <f>Control_Status_Date+2</f>
        <v>46205</v>
      </c>
    </row>
    <row r="15" spans="1:8" ht="58" x14ac:dyDescent="0.35">
      <c r="A15" s="253">
        <v>2</v>
      </c>
      <c r="B15" s="253" t="s">
        <v>52</v>
      </c>
      <c r="C15" s="254" t="str">
        <f>_xlfn.XLOOKUP(B15,tbl_Task_Plan[WBS ID],tbl_Task_Plan[Task / Activity],"")</f>
        <v>Partitions &amp; Drywall</v>
      </c>
      <c r="D15" s="254" t="s">
        <v>799</v>
      </c>
      <c r="E15" s="254" t="str">
        <f>TEXT(_xlfn.XLOOKUP(B15,tbl_Task_Plan[WBS ID],tbl_Task_Plan[Progress %]),"0%")&amp;" complete; SPI "&amp;TEXT(_xlfn.XLOOKUP(B15,tbl_Task_Plan[WBS ID],tbl_Task_Plan[SPI]),"0.00")&amp;"; CPI "&amp;TEXT(_xlfn.XLOOKUP(B15,tbl_Task_Plan[WBS ID],tbl_Task_Plan[CPI]),"0.00")&amp;"; SV "&amp;TEXT(_xlfn.XLOOKUP(B15,tbl_Task_Plan[WBS ID],tbl_Task_Plan[SV]),"#,##0")&amp;" NOK"</f>
        <v>25% complete; SPI 0.25; CPI 0.98; SV -21,032 NOK</v>
      </c>
      <c r="F15" s="254" t="s">
        <v>800</v>
      </c>
      <c r="G15" s="254" t="s">
        <v>88</v>
      </c>
      <c r="H15" s="255">
        <f>Control_Status_Date+2</f>
        <v>46205</v>
      </c>
    </row>
    <row r="16" spans="1:8" ht="58" x14ac:dyDescent="0.35">
      <c r="A16" s="253">
        <v>3</v>
      </c>
      <c r="B16" s="253" t="s">
        <v>49</v>
      </c>
      <c r="C16" s="254" t="str">
        <f>_xlfn.XLOOKUP(B16,tbl_Task_Plan[WBS ID],tbl_Task_Plan[Task / Activity],"")</f>
        <v>HVAC Installation</v>
      </c>
      <c r="D16" s="254" t="s">
        <v>801</v>
      </c>
      <c r="E16" s="254" t="str">
        <f>TEXT(_xlfn.XLOOKUP(B16,tbl_Task_Plan[WBS ID],tbl_Task_Plan[Progress %]),"0%")&amp;" complete; SPI "&amp;TEXT(_xlfn.XLOOKUP(B16,tbl_Task_Plan[WBS ID],tbl_Task_Plan[SPI]),"0.00")&amp;"; CPI "&amp;TEXT(_xlfn.XLOOKUP(B16,tbl_Task_Plan[WBS ID],tbl_Task_Plan[CPI]),"0.00")&amp;"; SV "&amp;TEXT(_xlfn.XLOOKUP(B16,tbl_Task_Plan[WBS ID],tbl_Task_Plan[SV]),"#,##0")&amp;" NOK"</f>
        <v>40% complete; SPI 0.40; CPI 0.82; SV -21,600 NOK</v>
      </c>
      <c r="F16" s="254" t="s">
        <v>802</v>
      </c>
      <c r="G16" s="254" t="s">
        <v>88</v>
      </c>
      <c r="H16" s="255">
        <f>Control_Status_Date+2</f>
        <v>46205</v>
      </c>
    </row>
    <row r="17" spans="1:8" ht="58" x14ac:dyDescent="0.35">
      <c r="A17" s="253">
        <v>4</v>
      </c>
      <c r="B17" s="253" t="s">
        <v>47</v>
      </c>
      <c r="C17" s="254" t="str">
        <f>_xlfn.XLOOKUP(B17,tbl_Task_Plan[WBS ID],tbl_Task_Plan[Task / Activity],"")</f>
        <v>Electrical Rough-In</v>
      </c>
      <c r="D17" s="254" t="s">
        <v>803</v>
      </c>
      <c r="E17" s="254" t="str">
        <f>TEXT(_xlfn.XLOOKUP(B17,tbl_Task_Plan[WBS ID],tbl_Task_Plan[Progress %]),"0%")&amp;" complete; SPI "&amp;TEXT(_xlfn.XLOOKUP(B17,tbl_Task_Plan[WBS ID],tbl_Task_Plan[SPI]),"0.00")&amp;"; CPI "&amp;TEXT(_xlfn.XLOOKUP(B17,tbl_Task_Plan[WBS ID],tbl_Task_Plan[CPI]),"0.00")&amp;"; SV "&amp;TEXT(_xlfn.XLOOKUP(B17,tbl_Task_Plan[WBS ID],tbl_Task_Plan[SV]),"#,##0")&amp;" NOK"</f>
        <v>70% complete; SPI 0.70; CPI 0.69; SV -7,800 NOK</v>
      </c>
      <c r="F17" s="254" t="s">
        <v>804</v>
      </c>
      <c r="G17" s="254" t="s">
        <v>421</v>
      </c>
      <c r="H17" s="255">
        <f>Control_Status_Date+2</f>
        <v>46205</v>
      </c>
    </row>
    <row r="18" spans="1:8" ht="58" x14ac:dyDescent="0.35">
      <c r="A18" s="253">
        <v>5</v>
      </c>
      <c r="B18" s="253" t="s">
        <v>56</v>
      </c>
      <c r="C18" s="254" t="str">
        <f>_xlfn.XLOOKUP(B18,tbl_Task_Plan[WBS ID],tbl_Task_Plan[Task / Activity],"")</f>
        <v>Fixtures &amp; Furniture</v>
      </c>
      <c r="D18" s="254" t="s">
        <v>805</v>
      </c>
      <c r="E18" s="254" t="str">
        <f>TEXT(_xlfn.XLOOKUP(B18,tbl_Task_Plan[WBS ID],tbl_Task_Plan[Progress %]),"0%")&amp;" complete; SPI "&amp;TEXT(_xlfn.XLOOKUP(B18,tbl_Task_Plan[WBS ID],tbl_Task_Plan[SPI]),"0.00")&amp;"; CPI "&amp;TEXT(_xlfn.XLOOKUP(B18,tbl_Task_Plan[WBS ID],tbl_Task_Plan[CPI]),"0.00")&amp;"; SV "&amp;TEXT(_xlfn.XLOOKUP(B18,tbl_Task_Plan[WBS ID],tbl_Task_Plan[SV]),"#,##0")&amp;" NOK"</f>
        <v>0% complete; SPI 0.00; CPI 1.00; SV -10,000 NOK</v>
      </c>
      <c r="F18" s="254" t="s">
        <v>806</v>
      </c>
      <c r="G18" s="254" t="s">
        <v>807</v>
      </c>
      <c r="H18" s="255">
        <f>Control_Status_Date+5</f>
        <v>46208</v>
      </c>
    </row>
    <row r="19" spans="1:8" ht="43.5" x14ac:dyDescent="0.35">
      <c r="A19" s="253">
        <v>6</v>
      </c>
      <c r="B19" s="253" t="s">
        <v>35</v>
      </c>
      <c r="C19" s="254" t="str">
        <f>_xlfn.XLOOKUP(B19,tbl_Task_Plan[WBS ID],tbl_Task_Plan[Task / Activity],"")</f>
        <v>Project Management</v>
      </c>
      <c r="D19" s="254" t="s">
        <v>808</v>
      </c>
      <c r="E19" s="254" t="str">
        <f>TEXT(_xlfn.XLOOKUP(B19,tbl_Task_Plan[WBS ID],tbl_Task_Plan[Progress %]),"0%")&amp;" complete; SPI "&amp;TEXT(_xlfn.XLOOKUP(B19,tbl_Task_Plan[WBS ID],tbl_Task_Plan[SPI]),"0.00")&amp;"; CPI "&amp;TEXT(_xlfn.XLOOKUP(B19,tbl_Task_Plan[WBS ID],tbl_Task_Plan[CPI]),"0.00")&amp;"; SV "&amp;TEXT(_xlfn.XLOOKUP(B19,tbl_Task_Plan[WBS ID],tbl_Task_Plan[SV]),"#,##0")&amp;" NOK"</f>
        <v>50% complete; SPI 0.67; CPI 0.94; SV -4,500 NOK</v>
      </c>
      <c r="F19" s="254" t="s">
        <v>809</v>
      </c>
      <c r="G19" s="254" t="s">
        <v>88</v>
      </c>
      <c r="H19" s="255">
        <f>Control_Status_Date+2</f>
        <v>46205</v>
      </c>
    </row>
    <row r="20" spans="1:8" ht="58" x14ac:dyDescent="0.35">
      <c r="A20" s="253">
        <v>7</v>
      </c>
      <c r="B20" s="253" t="s">
        <v>38</v>
      </c>
      <c r="C20" s="254" t="str">
        <f>_xlfn.XLOOKUP(B20,tbl_Task_Plan[WBS ID],tbl_Task_Plan[Task / Activity],"")</f>
        <v>Site Survey &amp; Mobilization</v>
      </c>
      <c r="D20" s="254" t="s">
        <v>810</v>
      </c>
      <c r="E20" s="254" t="str">
        <f>TEXT(_xlfn.XLOOKUP(B20,tbl_Task_Plan[WBS ID],tbl_Task_Plan[Progress %]),"0%")&amp;" complete; SPI "&amp;TEXT(_xlfn.XLOOKUP(B20,tbl_Task_Plan[WBS ID],tbl_Task_Plan[SPI]),"0.00")&amp;"; CPI "&amp;TEXT(_xlfn.XLOOKUP(B20,tbl_Task_Plan[WBS ID],tbl_Task_Plan[CPI]),"0.00")&amp;"; SV "&amp;TEXT(_xlfn.XLOOKUP(B20,tbl_Task_Plan[WBS ID],tbl_Task_Plan[SV]),"#,##0")&amp;" NOK"</f>
        <v>100% complete; SPI 1.00; CPI 0.98; SV 0 NOK</v>
      </c>
      <c r="F20" s="254" t="s">
        <v>811</v>
      </c>
      <c r="G20" s="254" t="s">
        <v>421</v>
      </c>
      <c r="H20" s="255">
        <f>Control_Status_Date+7</f>
        <v>46210</v>
      </c>
    </row>
    <row r="21" spans="1:8" ht="58" x14ac:dyDescent="0.35">
      <c r="A21" s="253">
        <v>8</v>
      </c>
      <c r="B21" s="253" t="s">
        <v>45</v>
      </c>
      <c r="C21" s="254" t="str">
        <f>_xlfn.XLOOKUP(B21,tbl_Task_Plan[WBS ID],tbl_Task_Plan[Task / Activity],"")</f>
        <v>Demolition &amp; Prep</v>
      </c>
      <c r="D21" s="254" t="s">
        <v>810</v>
      </c>
      <c r="E21" s="254" t="str">
        <f>TEXT(_xlfn.XLOOKUP(B21,tbl_Task_Plan[WBS ID],tbl_Task_Plan[Progress %]),"0%")&amp;" complete; SPI "&amp;TEXT(_xlfn.XLOOKUP(B21,tbl_Task_Plan[WBS ID],tbl_Task_Plan[SPI]),"0.00")&amp;"; CPI "&amp;TEXT(_xlfn.XLOOKUP(B21,tbl_Task_Plan[WBS ID],tbl_Task_Plan[CPI]),"0.00")&amp;"; SV "&amp;TEXT(_xlfn.XLOOKUP(B21,tbl_Task_Plan[WBS ID],tbl_Task_Plan[SV]),"#,##0")&amp;" NOK"</f>
        <v>100% complete; SPI 1.00; CPI 0.98; SV 0 NOK</v>
      </c>
      <c r="F21" s="254" t="s">
        <v>812</v>
      </c>
      <c r="G21" s="254" t="s">
        <v>421</v>
      </c>
      <c r="H21" s="255">
        <f>Control_Status_Date+7</f>
        <v>46210</v>
      </c>
    </row>
    <row r="24" spans="1:8" x14ac:dyDescent="0.35">
      <c r="A24" s="256" t="s">
        <v>813</v>
      </c>
      <c r="B24" s="256"/>
      <c r="C24" s="256"/>
      <c r="D24" s="256"/>
      <c r="E24" s="256"/>
      <c r="F24" s="256"/>
      <c r="G24" s="256"/>
      <c r="H24" s="256"/>
    </row>
    <row r="25" spans="1:8" ht="409.5" x14ac:dyDescent="0.35">
      <c r="A25" s="257" t="s">
        <v>814</v>
      </c>
      <c r="B25" s="257"/>
      <c r="C25" s="257"/>
      <c r="D25" s="257"/>
      <c r="E25" s="257"/>
      <c r="F25" s="257"/>
      <c r="G25" s="257"/>
      <c r="H25" s="257"/>
    </row>
    <row r="26" spans="1:8" x14ac:dyDescent="0.35">
      <c r="A26" s="257"/>
      <c r="B26" s="257"/>
      <c r="C26" s="257"/>
      <c r="D26" s="257"/>
      <c r="E26" s="257"/>
      <c r="F26" s="257"/>
      <c r="G26" s="257"/>
      <c r="H26" s="257"/>
    </row>
    <row r="27" spans="1:8" x14ac:dyDescent="0.35">
      <c r="A27" s="257"/>
      <c r="B27" s="257"/>
      <c r="C27" s="257"/>
      <c r="D27" s="257"/>
      <c r="E27" s="257"/>
      <c r="F27" s="257"/>
      <c r="G27" s="257"/>
      <c r="H27" s="257"/>
    </row>
  </sheetData>
  <mergeCells count="4">
    <mergeCell ref="A1:H1"/>
    <mergeCell ref="A2:H2"/>
    <mergeCell ref="A4:H4"/>
    <mergeCell ref="A5:H7"/>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0526-1426-4509-A64C-5C92290570FB}">
  <dimension ref="A1:N76"/>
  <sheetViews>
    <sheetView topLeftCell="A29" workbookViewId="0"/>
  </sheetViews>
  <sheetFormatPr defaultRowHeight="14.5" x14ac:dyDescent="0.35"/>
  <cols>
    <col min="1" max="1" width="16" style="258" customWidth="1"/>
    <col min="2" max="2" width="15.6328125" style="258" customWidth="1"/>
    <col min="3" max="7" width="16" style="258" customWidth="1"/>
    <col min="8" max="8" width="12.7265625" style="258" customWidth="1"/>
    <col min="9" max="14" width="16.36328125" style="258" customWidth="1"/>
  </cols>
  <sheetData>
    <row r="1" spans="1:14" ht="23.5" x14ac:dyDescent="0.55000000000000004">
      <c r="A1" s="259" t="s">
        <v>821</v>
      </c>
      <c r="B1" s="259"/>
      <c r="C1" s="259"/>
      <c r="D1" s="259"/>
      <c r="E1" s="259"/>
      <c r="F1" s="259"/>
      <c r="G1" s="259"/>
      <c r="H1" s="259"/>
      <c r="I1"/>
      <c r="J1"/>
      <c r="K1"/>
      <c r="L1"/>
      <c r="M1"/>
      <c r="N1"/>
    </row>
    <row r="2" spans="1:14" ht="130.5" x14ac:dyDescent="0.35">
      <c r="A2" s="260" t="s">
        <v>827</v>
      </c>
      <c r="B2" s="260"/>
      <c r="C2" s="260"/>
      <c r="D2" s="260"/>
      <c r="E2" s="260"/>
      <c r="F2" s="260"/>
      <c r="G2" s="260"/>
      <c r="H2" s="260"/>
      <c r="I2"/>
      <c r="J2"/>
      <c r="K2"/>
      <c r="L2"/>
      <c r="M2"/>
      <c r="N2"/>
    </row>
    <row r="3" spans="1:14" x14ac:dyDescent="0.35">
      <c r="I3"/>
      <c r="J3"/>
      <c r="K3"/>
      <c r="L3"/>
      <c r="M3"/>
      <c r="N3"/>
    </row>
    <row r="4" spans="1:14" x14ac:dyDescent="0.35">
      <c r="A4" s="261" t="s">
        <v>787</v>
      </c>
      <c r="B4" s="261"/>
      <c r="C4" s="261"/>
      <c r="D4" s="261"/>
      <c r="E4" s="261"/>
      <c r="F4" s="261"/>
      <c r="G4" s="261"/>
      <c r="H4" s="261"/>
      <c r="I4"/>
      <c r="J4"/>
      <c r="K4"/>
      <c r="L4"/>
      <c r="M4"/>
      <c r="N4"/>
    </row>
    <row r="5" spans="1:14" ht="304.5" x14ac:dyDescent="0.35">
      <c r="A5" s="254" t="s">
        <v>828</v>
      </c>
      <c r="B5" s="254"/>
      <c r="C5" s="254"/>
      <c r="D5" s="254"/>
      <c r="E5" s="254"/>
      <c r="F5" s="254"/>
      <c r="G5" s="254"/>
      <c r="H5" s="254"/>
      <c r="I5"/>
      <c r="J5"/>
      <c r="K5"/>
      <c r="L5"/>
      <c r="M5"/>
      <c r="N5"/>
    </row>
    <row r="6" spans="1:14" x14ac:dyDescent="0.35">
      <c r="A6" s="254"/>
      <c r="B6" s="254"/>
      <c r="C6" s="254"/>
      <c r="D6" s="254"/>
      <c r="E6" s="254"/>
      <c r="F6" s="254"/>
      <c r="G6" s="254"/>
      <c r="H6" s="254"/>
      <c r="I6"/>
      <c r="J6"/>
      <c r="K6"/>
      <c r="L6"/>
      <c r="M6"/>
      <c r="N6"/>
    </row>
    <row r="7" spans="1:14" x14ac:dyDescent="0.35">
      <c r="I7"/>
      <c r="J7"/>
      <c r="K7"/>
      <c r="L7"/>
      <c r="M7"/>
      <c r="N7"/>
    </row>
    <row r="8" spans="1:14" x14ac:dyDescent="0.35">
      <c r="A8" s="262" t="s">
        <v>822</v>
      </c>
      <c r="B8" s="262" t="s">
        <v>823</v>
      </c>
      <c r="C8" s="262" t="s">
        <v>314</v>
      </c>
      <c r="D8" s="262" t="s">
        <v>320</v>
      </c>
      <c r="E8" s="262" t="s">
        <v>824</v>
      </c>
      <c r="F8" s="262" t="s">
        <v>825</v>
      </c>
      <c r="G8" s="262" t="s">
        <v>826</v>
      </c>
      <c r="I8"/>
      <c r="J8"/>
      <c r="K8"/>
      <c r="L8"/>
      <c r="M8"/>
      <c r="N8"/>
    </row>
    <row r="9" spans="1:14" ht="15.5" x14ac:dyDescent="0.35">
      <c r="A9" s="263">
        <f ca="1">COUNTIF('Task Plan'!T5:T16,"Red")</f>
        <v>0</v>
      </c>
      <c r="B9" s="264">
        <f ca="1">SUM('Task Plan'!H5:H16)</f>
        <v>0</v>
      </c>
      <c r="C9" s="264">
        <f ca="1">SUM('Task Plan'!J5:J16)</f>
        <v>0</v>
      </c>
      <c r="D9" s="264">
        <f ca="1">SUM('Task Plan'!L5:L16)</f>
        <v>0</v>
      </c>
      <c r="E9" s="265">
        <f ca="1">AVERAGE('Task Plan'!O5:O16)</f>
        <v>0</v>
      </c>
      <c r="F9" s="265">
        <f ca="1">AVERAGE('Task Plan'!P5:P16)</f>
        <v>0</v>
      </c>
      <c r="G9" s="264">
        <f ca="1">-SUM('Task Plan'!S5:S16)</f>
        <v>0</v>
      </c>
      <c r="I9"/>
      <c r="J9"/>
      <c r="K9"/>
      <c r="L9"/>
      <c r="M9"/>
      <c r="N9"/>
    </row>
    <row r="10" spans="1:14" x14ac:dyDescent="0.35">
      <c r="I10"/>
      <c r="J10"/>
      <c r="K10"/>
      <c r="L10"/>
      <c r="M10"/>
      <c r="N10"/>
    </row>
    <row r="11" spans="1:14" x14ac:dyDescent="0.35">
      <c r="I11"/>
      <c r="J11"/>
      <c r="K11"/>
      <c r="L11"/>
      <c r="M11"/>
      <c r="N11"/>
    </row>
    <row r="12" spans="1:14" x14ac:dyDescent="0.35">
      <c r="A12" s="261" t="s">
        <v>829</v>
      </c>
      <c r="B12" s="261"/>
      <c r="C12" s="261"/>
      <c r="D12" s="261"/>
      <c r="E12" s="261"/>
      <c r="F12" s="261"/>
      <c r="G12" s="261"/>
      <c r="I12"/>
      <c r="J12"/>
      <c r="K12"/>
      <c r="L12"/>
      <c r="M12"/>
      <c r="N12"/>
    </row>
    <row r="13" spans="1:14" x14ac:dyDescent="0.35">
      <c r="A13" s="258" t="s">
        <v>186</v>
      </c>
      <c r="B13" s="258" t="s">
        <v>830</v>
      </c>
      <c r="C13" s="258" t="s">
        <v>831</v>
      </c>
      <c r="D13" s="258" t="s">
        <v>832</v>
      </c>
      <c r="E13" s="258" t="s">
        <v>833</v>
      </c>
      <c r="F13" s="258" t="s">
        <v>834</v>
      </c>
      <c r="G13" s="258" t="s">
        <v>835</v>
      </c>
      <c r="I13"/>
      <c r="J13"/>
      <c r="K13"/>
      <c r="L13"/>
      <c r="M13"/>
      <c r="N13"/>
    </row>
    <row r="14" spans="1:14" x14ac:dyDescent="0.35">
      <c r="A14" s="258" t="s">
        <v>200</v>
      </c>
      <c r="B14" s="267">
        <f ca="1">COUNT('Task Plan'!H5:H16)</f>
        <v>0</v>
      </c>
      <c r="C14" s="268">
        <f ca="1">AVERAGE('Task Plan'!H5:H16)</f>
        <v>0</v>
      </c>
      <c r="D14" s="268">
        <f ca="1">MEDIAN('Task Plan'!H5:H16)</f>
        <v>0</v>
      </c>
      <c r="E14" s="268">
        <f ca="1">_xlfn.STDEV.S('Task Plan'!H5:H16)</f>
        <v>0</v>
      </c>
      <c r="F14" s="268">
        <f ca="1">MIN('Task Plan'!H5:H16)</f>
        <v>0</v>
      </c>
      <c r="G14" s="268">
        <f ca="1">MAX('Task Plan'!H5:H16)</f>
        <v>0</v>
      </c>
      <c r="I14"/>
      <c r="J14"/>
      <c r="K14"/>
      <c r="L14"/>
      <c r="M14"/>
      <c r="N14"/>
    </row>
    <row r="15" spans="1:14" x14ac:dyDescent="0.35">
      <c r="A15" s="258" t="s">
        <v>201</v>
      </c>
      <c r="B15" s="267">
        <f ca="1">COUNT('Task Plan'!I5:I16)</f>
        <v>0</v>
      </c>
      <c r="C15" s="268">
        <f ca="1">AVERAGE('Task Plan'!I5:I16)</f>
        <v>0</v>
      </c>
      <c r="D15" s="268">
        <f ca="1">MEDIAN('Task Plan'!I5:I16)</f>
        <v>0</v>
      </c>
      <c r="E15" s="268">
        <f ca="1">_xlfn.STDEV.S('Task Plan'!I5:I16)</f>
        <v>0</v>
      </c>
      <c r="F15" s="268">
        <f ca="1">MIN('Task Plan'!I5:I16)</f>
        <v>0</v>
      </c>
      <c r="G15" s="268">
        <f ca="1">MAX('Task Plan'!I5:I16)</f>
        <v>0</v>
      </c>
      <c r="I15"/>
      <c r="J15"/>
      <c r="K15"/>
      <c r="L15"/>
      <c r="M15"/>
      <c r="N15"/>
    </row>
    <row r="16" spans="1:14" x14ac:dyDescent="0.35">
      <c r="A16" s="258" t="s">
        <v>202</v>
      </c>
      <c r="B16" s="267">
        <f ca="1">COUNT('Task Plan'!J5:J16)</f>
        <v>0</v>
      </c>
      <c r="C16" s="268">
        <f ca="1">AVERAGE('Task Plan'!J5:J16)</f>
        <v>0</v>
      </c>
      <c r="D16" s="268">
        <f ca="1">MEDIAN('Task Plan'!J5:J16)</f>
        <v>0</v>
      </c>
      <c r="E16" s="268">
        <f ca="1">_xlfn.STDEV.S('Task Plan'!J5:J16)</f>
        <v>0</v>
      </c>
      <c r="F16" s="268">
        <f ca="1">MIN('Task Plan'!J5:J16)</f>
        <v>0</v>
      </c>
      <c r="G16" s="268">
        <f ca="1">MAX('Task Plan'!J5:J16)</f>
        <v>0</v>
      </c>
      <c r="I16"/>
      <c r="J16"/>
      <c r="K16"/>
      <c r="L16"/>
      <c r="M16"/>
      <c r="N16"/>
    </row>
    <row r="17" spans="1:14" x14ac:dyDescent="0.35">
      <c r="A17" s="258" t="s">
        <v>203</v>
      </c>
      <c r="B17" s="267">
        <f ca="1">COUNT('Task Plan'!L5:L16)</f>
        <v>0</v>
      </c>
      <c r="C17" s="268">
        <f ca="1">AVERAGE('Task Plan'!L5:L16)</f>
        <v>0</v>
      </c>
      <c r="D17" s="268">
        <f ca="1">MEDIAN('Task Plan'!L5:L16)</f>
        <v>0</v>
      </c>
      <c r="E17" s="268">
        <f ca="1">_xlfn.STDEV.S('Task Plan'!L5:L16)</f>
        <v>0</v>
      </c>
      <c r="F17" s="268">
        <f ca="1">MIN('Task Plan'!L5:L16)</f>
        <v>0</v>
      </c>
      <c r="G17" s="268">
        <f ca="1">MAX('Task Plan'!L5:L16)</f>
        <v>0</v>
      </c>
      <c r="I17"/>
      <c r="J17"/>
      <c r="K17"/>
      <c r="L17"/>
      <c r="M17"/>
      <c r="N17"/>
    </row>
    <row r="18" spans="1:14" x14ac:dyDescent="0.35">
      <c r="A18" s="258" t="s">
        <v>25</v>
      </c>
      <c r="B18" s="267">
        <f ca="1">COUNT('Task Plan'!K5:K16)</f>
        <v>0</v>
      </c>
      <c r="C18" s="271">
        <f ca="1">AVERAGE('Task Plan'!K5:K16)</f>
        <v>0</v>
      </c>
      <c r="D18" s="271">
        <f ca="1">MEDIAN('Task Plan'!K5:K16)</f>
        <v>0</v>
      </c>
      <c r="E18" s="271">
        <f ca="1">_xlfn.STDEV.S('Task Plan'!K5:K16)</f>
        <v>0</v>
      </c>
      <c r="F18" s="271">
        <f ca="1">MIN('Task Plan'!K5:K16)</f>
        <v>0</v>
      </c>
      <c r="G18" s="271">
        <f ca="1">MAX('Task Plan'!K5:K16)</f>
        <v>0</v>
      </c>
      <c r="I18"/>
      <c r="J18"/>
      <c r="K18"/>
      <c r="L18"/>
      <c r="M18"/>
      <c r="N18"/>
    </row>
    <row r="19" spans="1:14" x14ac:dyDescent="0.35">
      <c r="A19" s="258" t="s">
        <v>30</v>
      </c>
      <c r="B19" s="267">
        <f ca="1">COUNT('Task Plan'!O5:O16)</f>
        <v>0</v>
      </c>
      <c r="C19" s="272">
        <f ca="1">AVERAGE('Task Plan'!O5:O16)</f>
        <v>0</v>
      </c>
      <c r="D19" s="272">
        <f ca="1">MEDIAN('Task Plan'!O5:O16)</f>
        <v>0</v>
      </c>
      <c r="E19" s="272">
        <f ca="1">_xlfn.STDEV.S('Task Plan'!O5:O16)</f>
        <v>0</v>
      </c>
      <c r="F19" s="272">
        <f ca="1">MIN('Task Plan'!O5:O16)</f>
        <v>0</v>
      </c>
      <c r="G19" s="272">
        <f ca="1">MAX('Task Plan'!O5:O16)</f>
        <v>0</v>
      </c>
      <c r="I19"/>
      <c r="J19"/>
      <c r="K19"/>
      <c r="L19"/>
      <c r="M19"/>
      <c r="N19"/>
    </row>
    <row r="20" spans="1:14" x14ac:dyDescent="0.35">
      <c r="A20" s="258" t="s">
        <v>29</v>
      </c>
      <c r="B20" s="267">
        <f ca="1">COUNT('Task Plan'!P5:P16)</f>
        <v>0</v>
      </c>
      <c r="C20" s="272">
        <f ca="1">AVERAGE('Task Plan'!P5:P16)</f>
        <v>0</v>
      </c>
      <c r="D20" s="272">
        <f ca="1">MEDIAN('Task Plan'!P5:P16)</f>
        <v>0</v>
      </c>
      <c r="E20" s="272">
        <f ca="1">_xlfn.STDEV.S('Task Plan'!P5:P16)</f>
        <v>0</v>
      </c>
      <c r="F20" s="272">
        <f ca="1">MIN('Task Plan'!P5:P16)</f>
        <v>0</v>
      </c>
      <c r="G20" s="272">
        <f ca="1">MAX('Task Plan'!P5:P16)</f>
        <v>0</v>
      </c>
      <c r="I20"/>
      <c r="J20"/>
      <c r="K20"/>
      <c r="L20"/>
      <c r="M20"/>
      <c r="N20"/>
    </row>
    <row r="21" spans="1:14" x14ac:dyDescent="0.35">
      <c r="A21" s="258" t="s">
        <v>28</v>
      </c>
      <c r="B21" s="267">
        <f ca="1">COUNT('Task Plan'!M5:M16)</f>
        <v>0</v>
      </c>
      <c r="C21" s="268">
        <f ca="1">AVERAGE('Task Plan'!M5:M16)</f>
        <v>0</v>
      </c>
      <c r="D21" s="268">
        <f ca="1">MEDIAN('Task Plan'!M5:M16)</f>
        <v>0</v>
      </c>
      <c r="E21" s="268">
        <f ca="1">_xlfn.STDEV.S('Task Plan'!M5:M16)</f>
        <v>0</v>
      </c>
      <c r="F21" s="268">
        <f ca="1">MIN('Task Plan'!M5:M16)</f>
        <v>0</v>
      </c>
      <c r="G21" s="268">
        <f ca="1">MAX('Task Plan'!M5:M16)</f>
        <v>0</v>
      </c>
      <c r="I21"/>
      <c r="J21"/>
      <c r="K21"/>
      <c r="L21"/>
      <c r="M21"/>
      <c r="N21"/>
    </row>
    <row r="22" spans="1:14" x14ac:dyDescent="0.35">
      <c r="A22" s="258" t="s">
        <v>27</v>
      </c>
      <c r="B22" s="267">
        <f ca="1">COUNT('Task Plan'!N5:N16)</f>
        <v>0</v>
      </c>
      <c r="C22" s="268">
        <f ca="1">AVERAGE('Task Plan'!N5:N16)</f>
        <v>0</v>
      </c>
      <c r="D22" s="268">
        <f ca="1">MEDIAN('Task Plan'!N5:N16)</f>
        <v>0</v>
      </c>
      <c r="E22" s="268">
        <f ca="1">_xlfn.STDEV.S('Task Plan'!N5:N16)</f>
        <v>0</v>
      </c>
      <c r="F22" s="268">
        <f ca="1">MIN('Task Plan'!N5:N16)</f>
        <v>0</v>
      </c>
      <c r="G22" s="268">
        <f ca="1">MAX('Task Plan'!N5:N16)</f>
        <v>0</v>
      </c>
      <c r="I22"/>
      <c r="J22"/>
      <c r="K22"/>
      <c r="L22"/>
      <c r="M22"/>
      <c r="N22"/>
    </row>
    <row r="23" spans="1:14" x14ac:dyDescent="0.35">
      <c r="A23" s="258" t="s">
        <v>33</v>
      </c>
      <c r="B23" s="267">
        <f ca="1">COUNT('Task Plan'!S5:S16)</f>
        <v>0</v>
      </c>
      <c r="C23" s="268">
        <f ca="1">AVERAGE('Task Plan'!S5:S16)</f>
        <v>0</v>
      </c>
      <c r="D23" s="268">
        <f ca="1">MEDIAN('Task Plan'!S5:S16)</f>
        <v>0</v>
      </c>
      <c r="E23" s="268">
        <f ca="1">_xlfn.STDEV.S('Task Plan'!S5:S16)</f>
        <v>0</v>
      </c>
      <c r="F23" s="268">
        <f ca="1">MIN('Task Plan'!S5:S16)</f>
        <v>0</v>
      </c>
      <c r="G23" s="268">
        <f ca="1">MAX('Task Plan'!S5:S16)</f>
        <v>0</v>
      </c>
      <c r="I23"/>
      <c r="J23"/>
      <c r="K23"/>
      <c r="L23"/>
      <c r="M23"/>
      <c r="N23"/>
    </row>
    <row r="24" spans="1:14" x14ac:dyDescent="0.35">
      <c r="I24"/>
      <c r="J24"/>
      <c r="K24"/>
      <c r="L24"/>
      <c r="M24"/>
      <c r="N24"/>
    </row>
    <row r="25" spans="1:14" x14ac:dyDescent="0.35">
      <c r="I25"/>
      <c r="J25"/>
      <c r="K25"/>
      <c r="L25"/>
      <c r="M25"/>
      <c r="N25"/>
    </row>
    <row r="26" spans="1:14" x14ac:dyDescent="0.35">
      <c r="A26" s="261" t="s">
        <v>836</v>
      </c>
      <c r="B26" s="261"/>
      <c r="C26" s="261"/>
      <c r="D26" s="261"/>
      <c r="E26" s="261"/>
      <c r="F26" s="261"/>
      <c r="G26" s="261"/>
      <c r="H26" s="261"/>
      <c r="I26"/>
      <c r="J26"/>
      <c r="K26"/>
      <c r="L26"/>
      <c r="M26"/>
      <c r="N26"/>
    </row>
    <row r="27" spans="1:14" x14ac:dyDescent="0.35">
      <c r="A27" s="266" t="s">
        <v>818</v>
      </c>
      <c r="B27" s="258" t="s">
        <v>820</v>
      </c>
      <c r="C27" s="258" t="s">
        <v>840</v>
      </c>
      <c r="D27" s="258" t="s">
        <v>841</v>
      </c>
      <c r="E27" s="258" t="s">
        <v>842</v>
      </c>
      <c r="F27" s="258" t="s">
        <v>843</v>
      </c>
      <c r="G27" s="258" t="s">
        <v>844</v>
      </c>
      <c r="H27" s="258" t="s">
        <v>845</v>
      </c>
      <c r="I27"/>
      <c r="J27"/>
      <c r="K27"/>
      <c r="L27"/>
      <c r="M27"/>
      <c r="N27"/>
    </row>
    <row r="28" spans="1:14" x14ac:dyDescent="0.35">
      <c r="A28" s="269" t="s">
        <v>37</v>
      </c>
      <c r="B28" s="270">
        <v>96900</v>
      </c>
      <c r="C28" s="270">
        <v>80400</v>
      </c>
      <c r="D28" s="270">
        <v>76109.440000000002</v>
      </c>
      <c r="E28" s="270">
        <v>68100</v>
      </c>
      <c r="F28" s="270">
        <v>-12300</v>
      </c>
      <c r="G28" s="270">
        <v>-8009.4399999999969</v>
      </c>
      <c r="H28" s="270">
        <v>-12040.685714285713</v>
      </c>
      <c r="I28"/>
      <c r="J28"/>
      <c r="K28"/>
      <c r="L28"/>
      <c r="M28"/>
      <c r="N28"/>
    </row>
    <row r="29" spans="1:14" x14ac:dyDescent="0.35">
      <c r="A29" s="269" t="s">
        <v>44</v>
      </c>
      <c r="B29" s="270">
        <v>107750</v>
      </c>
      <c r="C29" s="270">
        <v>75833.34</v>
      </c>
      <c r="D29" s="270">
        <v>41300</v>
      </c>
      <c r="E29" s="270">
        <v>42000</v>
      </c>
      <c r="F29" s="270">
        <v>-33833.339999999997</v>
      </c>
      <c r="G29" s="270">
        <v>700</v>
      </c>
      <c r="H29" s="270">
        <v>700</v>
      </c>
      <c r="I29"/>
      <c r="J29"/>
      <c r="K29"/>
      <c r="L29"/>
      <c r="M29"/>
      <c r="N29"/>
    </row>
    <row r="30" spans="1:14" x14ac:dyDescent="0.35">
      <c r="A30" s="269" t="s">
        <v>51</v>
      </c>
      <c r="B30" s="270">
        <v>64000</v>
      </c>
      <c r="C30" s="270">
        <v>64000</v>
      </c>
      <c r="D30" s="270">
        <v>24576</v>
      </c>
      <c r="E30" s="270">
        <v>21367.995999999999</v>
      </c>
      <c r="F30" s="270">
        <v>-42632.004000000001</v>
      </c>
      <c r="G30" s="270">
        <v>-3208.003999999999</v>
      </c>
      <c r="H30" s="270">
        <v>-8219.2264794641087</v>
      </c>
      <c r="I30"/>
      <c r="J30"/>
      <c r="K30"/>
      <c r="L30"/>
      <c r="M30"/>
      <c r="N30"/>
    </row>
    <row r="31" spans="1:14" x14ac:dyDescent="0.35">
      <c r="A31" s="269" t="s">
        <v>819</v>
      </c>
      <c r="B31" s="270">
        <v>268650</v>
      </c>
      <c r="C31" s="270">
        <v>220233.34</v>
      </c>
      <c r="D31" s="270">
        <v>141985.44</v>
      </c>
      <c r="E31" s="270">
        <v>131467.99599999998</v>
      </c>
      <c r="F31" s="270">
        <v>-88765.343999999997</v>
      </c>
      <c r="G31" s="270">
        <v>-10517.443999999996</v>
      </c>
      <c r="H31" s="270">
        <v>-19559.91219374982</v>
      </c>
      <c r="I31"/>
      <c r="J31"/>
      <c r="K31"/>
      <c r="L31"/>
      <c r="M31"/>
      <c r="N31"/>
    </row>
    <row r="32" spans="1:14" x14ac:dyDescent="0.35">
      <c r="I32"/>
      <c r="J32"/>
      <c r="K32"/>
      <c r="L32"/>
      <c r="M32"/>
      <c r="N32"/>
    </row>
    <row r="33" spans="1:14" x14ac:dyDescent="0.35">
      <c r="I33"/>
      <c r="J33"/>
      <c r="K33"/>
      <c r="L33"/>
      <c r="M33"/>
      <c r="N33"/>
    </row>
    <row r="34" spans="1:14" x14ac:dyDescent="0.35">
      <c r="I34"/>
      <c r="J34"/>
      <c r="K34"/>
      <c r="L34"/>
      <c r="M34"/>
      <c r="N34"/>
    </row>
    <row r="35" spans="1:14" x14ac:dyDescent="0.35">
      <c r="A35" s="261" t="s">
        <v>837</v>
      </c>
      <c r="B35" s="261"/>
      <c r="C35" s="261"/>
      <c r="D35" s="261"/>
      <c r="E35" s="261"/>
      <c r="F35" s="261"/>
      <c r="G35" s="261"/>
      <c r="H35" s="261"/>
      <c r="I35"/>
      <c r="J35"/>
      <c r="K35"/>
      <c r="L35"/>
      <c r="M35"/>
      <c r="N35"/>
    </row>
    <row r="36" spans="1:14" x14ac:dyDescent="0.35">
      <c r="A36" s="266" t="s">
        <v>818</v>
      </c>
      <c r="B36" s="258" t="s">
        <v>820</v>
      </c>
      <c r="C36" s="258" t="s">
        <v>840</v>
      </c>
      <c r="D36" s="258" t="s">
        <v>841</v>
      </c>
      <c r="E36" s="258" t="s">
        <v>842</v>
      </c>
      <c r="F36" s="258" t="s">
        <v>843</v>
      </c>
      <c r="G36" s="258" t="s">
        <v>844</v>
      </c>
      <c r="H36" s="258" t="s">
        <v>845</v>
      </c>
      <c r="I36"/>
      <c r="J36"/>
      <c r="K36"/>
      <c r="L36"/>
      <c r="M36"/>
      <c r="N36"/>
    </row>
    <row r="37" spans="1:14" x14ac:dyDescent="0.35">
      <c r="A37" s="269" t="s">
        <v>132</v>
      </c>
      <c r="B37" s="270">
        <v>73200</v>
      </c>
      <c r="C37" s="270">
        <v>61200</v>
      </c>
      <c r="D37" s="270">
        <v>59495.040000000001</v>
      </c>
      <c r="E37" s="270">
        <v>61200</v>
      </c>
      <c r="F37" s="270">
        <v>0</v>
      </c>
      <c r="G37" s="270">
        <v>1704.9599999999991</v>
      </c>
      <c r="H37" s="270">
        <v>1704.9599999999991</v>
      </c>
      <c r="I37"/>
      <c r="J37"/>
      <c r="K37"/>
      <c r="L37"/>
      <c r="M37"/>
      <c r="N37"/>
    </row>
    <row r="38" spans="1:14" x14ac:dyDescent="0.35">
      <c r="A38" s="269" t="s">
        <v>137</v>
      </c>
      <c r="B38" s="270">
        <v>195450</v>
      </c>
      <c r="C38" s="270">
        <v>159033.34</v>
      </c>
      <c r="D38" s="270">
        <v>82490.399999999994</v>
      </c>
      <c r="E38" s="270">
        <v>70267.995999999999</v>
      </c>
      <c r="F38" s="270">
        <v>-88765.343999999997</v>
      </c>
      <c r="G38" s="270">
        <v>-12222.403999999995</v>
      </c>
      <c r="H38" s="270">
        <v>-21264.872193749819</v>
      </c>
      <c r="I38"/>
      <c r="J38"/>
      <c r="K38"/>
      <c r="L38"/>
      <c r="M38"/>
      <c r="N38"/>
    </row>
    <row r="39" spans="1:14" x14ac:dyDescent="0.35">
      <c r="A39" s="269" t="s">
        <v>819</v>
      </c>
      <c r="B39" s="270">
        <v>268650</v>
      </c>
      <c r="C39" s="270">
        <v>220233.34</v>
      </c>
      <c r="D39" s="270">
        <v>141985.44</v>
      </c>
      <c r="E39" s="270">
        <v>131467.99599999998</v>
      </c>
      <c r="F39" s="270">
        <v>-88765.343999999997</v>
      </c>
      <c r="G39" s="270">
        <v>-10517.443999999996</v>
      </c>
      <c r="H39" s="270">
        <v>-19559.91219374982</v>
      </c>
      <c r="I39"/>
      <c r="J39"/>
      <c r="K39"/>
      <c r="L39"/>
      <c r="M39"/>
      <c r="N39"/>
    </row>
    <row r="40" spans="1:14" x14ac:dyDescent="0.35">
      <c r="I40"/>
      <c r="J40"/>
      <c r="K40"/>
      <c r="L40"/>
      <c r="M40"/>
      <c r="N40"/>
    </row>
    <row r="41" spans="1:14" x14ac:dyDescent="0.35">
      <c r="I41"/>
      <c r="J41"/>
      <c r="K41"/>
      <c r="L41"/>
      <c r="M41"/>
      <c r="N41"/>
    </row>
    <row r="42" spans="1:14" x14ac:dyDescent="0.35">
      <c r="I42"/>
      <c r="J42"/>
      <c r="K42"/>
      <c r="L42"/>
      <c r="M42"/>
      <c r="N42"/>
    </row>
    <row r="44" spans="1:14" x14ac:dyDescent="0.35">
      <c r="A44" s="261" t="s">
        <v>838</v>
      </c>
      <c r="B44" s="261"/>
      <c r="C44" s="261"/>
    </row>
    <row r="45" spans="1:14" x14ac:dyDescent="0.35">
      <c r="A45" s="266" t="s">
        <v>818</v>
      </c>
      <c r="B45" s="258" t="s">
        <v>846</v>
      </c>
      <c r="C45" s="258" t="s">
        <v>847</v>
      </c>
    </row>
    <row r="46" spans="1:14" x14ac:dyDescent="0.35">
      <c r="A46" s="269" t="s">
        <v>35</v>
      </c>
      <c r="B46" s="270">
        <v>9600</v>
      </c>
      <c r="C46" s="272">
        <v>6.3</v>
      </c>
    </row>
    <row r="47" spans="1:14" x14ac:dyDescent="0.35">
      <c r="A47" s="269" t="s">
        <v>38</v>
      </c>
      <c r="B47" s="270">
        <v>8700</v>
      </c>
      <c r="C47" s="272">
        <v>3.95</v>
      </c>
    </row>
    <row r="48" spans="1:14" x14ac:dyDescent="0.35">
      <c r="A48" s="269" t="s">
        <v>40</v>
      </c>
      <c r="B48" s="270">
        <v>18195.04</v>
      </c>
      <c r="C48" s="272">
        <v>7.5999999999999979</v>
      </c>
    </row>
    <row r="49" spans="1:7" x14ac:dyDescent="0.35">
      <c r="A49" s="269" t="s">
        <v>42</v>
      </c>
      <c r="B49" s="270">
        <v>41300</v>
      </c>
      <c r="C49" s="272">
        <v>0</v>
      </c>
    </row>
    <row r="50" spans="1:7" x14ac:dyDescent="0.35">
      <c r="A50" s="269" t="s">
        <v>45</v>
      </c>
      <c r="B50" s="270">
        <v>13408.159999999998</v>
      </c>
      <c r="C50" s="272">
        <v>6.0499999999999989</v>
      </c>
    </row>
    <row r="51" spans="1:7" x14ac:dyDescent="0.35">
      <c r="A51" s="269" t="s">
        <v>47</v>
      </c>
      <c r="B51" s="270">
        <v>26206.239999999998</v>
      </c>
      <c r="C51" s="272">
        <v>10.1</v>
      </c>
    </row>
    <row r="52" spans="1:7" x14ac:dyDescent="0.35">
      <c r="A52" s="269" t="s">
        <v>49</v>
      </c>
      <c r="B52" s="270">
        <v>17476.8</v>
      </c>
      <c r="C52" s="272">
        <v>0</v>
      </c>
    </row>
    <row r="53" spans="1:7" x14ac:dyDescent="0.35">
      <c r="A53" s="269" t="s">
        <v>52</v>
      </c>
      <c r="B53" s="270">
        <v>7099.2</v>
      </c>
      <c r="C53" s="272">
        <v>0</v>
      </c>
    </row>
    <row r="54" spans="1:7" x14ac:dyDescent="0.35">
      <c r="A54" s="269" t="s">
        <v>819</v>
      </c>
      <c r="B54" s="270">
        <v>141985.44</v>
      </c>
      <c r="C54" s="272">
        <v>34</v>
      </c>
    </row>
    <row r="62" spans="1:7" x14ac:dyDescent="0.35">
      <c r="A62" s="261" t="s">
        <v>839</v>
      </c>
      <c r="B62" s="261"/>
      <c r="C62" s="261"/>
      <c r="D62" s="261"/>
      <c r="E62" s="261"/>
      <c r="F62" s="261"/>
      <c r="G62" s="261"/>
    </row>
    <row r="63" spans="1:7" x14ac:dyDescent="0.35">
      <c r="A63" s="266" t="s">
        <v>818</v>
      </c>
      <c r="B63" s="258" t="s">
        <v>848</v>
      </c>
      <c r="C63" s="258" t="s">
        <v>849</v>
      </c>
      <c r="D63" s="258" t="s">
        <v>850</v>
      </c>
      <c r="E63" s="258" t="s">
        <v>843</v>
      </c>
      <c r="F63" s="258" t="s">
        <v>844</v>
      </c>
      <c r="G63" s="258" t="s">
        <v>845</v>
      </c>
    </row>
    <row r="64" spans="1:7" x14ac:dyDescent="0.35">
      <c r="A64" s="269">
        <v>1</v>
      </c>
      <c r="B64" s="270">
        <v>16400</v>
      </c>
      <c r="C64" s="270">
        <v>16295.04</v>
      </c>
      <c r="D64" s="270">
        <v>15087.994000000001</v>
      </c>
      <c r="E64" s="270">
        <v>-1312.0059999999994</v>
      </c>
      <c r="F64" s="270">
        <v>-1207.0460000000003</v>
      </c>
      <c r="G64" s="270">
        <v>-21492.115379950439</v>
      </c>
    </row>
    <row r="65" spans="1:7" x14ac:dyDescent="0.35">
      <c r="A65" s="269">
        <v>2</v>
      </c>
      <c r="B65" s="270">
        <v>39200</v>
      </c>
      <c r="C65" s="270">
        <v>38949.120000000003</v>
      </c>
      <c r="D65" s="270">
        <v>36064.003600000004</v>
      </c>
      <c r="E65" s="270">
        <v>-3135.9963999999964</v>
      </c>
      <c r="F65" s="270">
        <v>-2885.116399999999</v>
      </c>
      <c r="G65" s="270">
        <v>-21491.971037292155</v>
      </c>
    </row>
    <row r="66" spans="1:7" x14ac:dyDescent="0.35">
      <c r="A66" s="269">
        <v>3</v>
      </c>
      <c r="B66" s="270">
        <v>62000</v>
      </c>
      <c r="C66" s="270">
        <v>61603.200000000004</v>
      </c>
      <c r="D66" s="270">
        <v>57040</v>
      </c>
      <c r="E66" s="270">
        <v>-4960</v>
      </c>
      <c r="F66" s="270">
        <v>-4563.2000000000044</v>
      </c>
      <c r="G66" s="270">
        <v>-21492.000000000058</v>
      </c>
    </row>
    <row r="67" spans="1:7" x14ac:dyDescent="0.35">
      <c r="A67" s="269">
        <v>4</v>
      </c>
      <c r="B67" s="270">
        <v>87066.67</v>
      </c>
      <c r="C67" s="270">
        <v>86509.440000000017</v>
      </c>
      <c r="D67" s="270">
        <v>80101.327999999994</v>
      </c>
      <c r="E67" s="270">
        <v>-6965.3420000000042</v>
      </c>
      <c r="F67" s="270">
        <v>-6408.1120000000228</v>
      </c>
      <c r="G67" s="270">
        <v>-21492.019318331499</v>
      </c>
    </row>
    <row r="68" spans="1:7" x14ac:dyDescent="0.35">
      <c r="A68" s="269">
        <v>5</v>
      </c>
      <c r="B68" s="270">
        <v>116733.34</v>
      </c>
      <c r="C68" s="270">
        <v>115986.24000000002</v>
      </c>
      <c r="D68" s="270">
        <v>107394.674</v>
      </c>
      <c r="E68" s="270">
        <v>-9338.6659999999974</v>
      </c>
      <c r="F68" s="270">
        <v>-8591.5660000000207</v>
      </c>
      <c r="G68" s="270">
        <v>-21491.980187956127</v>
      </c>
    </row>
    <row r="69" spans="1:7" x14ac:dyDescent="0.35">
      <c r="A69" s="269">
        <v>6</v>
      </c>
      <c r="B69" s="270">
        <v>142900</v>
      </c>
      <c r="C69" s="270">
        <v>141985.44</v>
      </c>
      <c r="D69" s="270">
        <v>131467.99600000001</v>
      </c>
      <c r="E69" s="270">
        <v>-11432.003999999986</v>
      </c>
      <c r="F69" s="270">
        <v>-10517.443999999989</v>
      </c>
      <c r="G69" s="270">
        <v>-21492.008827760583</v>
      </c>
    </row>
    <row r="70" spans="1:7" x14ac:dyDescent="0.35">
      <c r="A70" s="269">
        <v>7</v>
      </c>
      <c r="B70" s="270">
        <v>160400</v>
      </c>
      <c r="C70" s="270">
        <v>141985.44</v>
      </c>
      <c r="D70" s="270">
        <v>131467.99600000001</v>
      </c>
      <c r="E70" s="270">
        <v>-28932.003999999986</v>
      </c>
      <c r="F70" s="270">
        <v>-10517.443999999989</v>
      </c>
      <c r="G70" s="270">
        <v>-21492.008827760583</v>
      </c>
    </row>
    <row r="71" spans="1:7" x14ac:dyDescent="0.35">
      <c r="A71" s="269">
        <v>8</v>
      </c>
      <c r="B71" s="270">
        <v>189816.67</v>
      </c>
      <c r="C71" s="270">
        <v>141985.44</v>
      </c>
      <c r="D71" s="270">
        <v>131467.99600000001</v>
      </c>
      <c r="E71" s="270">
        <v>-58348.673999999999</v>
      </c>
      <c r="F71" s="270">
        <v>-10517.443999999989</v>
      </c>
      <c r="G71" s="270">
        <v>-21492.008827760583</v>
      </c>
    </row>
    <row r="72" spans="1:7" x14ac:dyDescent="0.35">
      <c r="A72" s="269">
        <v>9</v>
      </c>
      <c r="B72" s="270">
        <v>220233.34000000003</v>
      </c>
      <c r="C72" s="270">
        <v>141985.44</v>
      </c>
      <c r="D72" s="270">
        <v>131467.99600000001</v>
      </c>
      <c r="E72" s="270">
        <v>-88765.344000000012</v>
      </c>
      <c r="F72" s="270">
        <v>-10517.443999999989</v>
      </c>
      <c r="G72" s="270">
        <v>-21492.008827760583</v>
      </c>
    </row>
    <row r="73" spans="1:7" x14ac:dyDescent="0.35">
      <c r="A73" s="269">
        <v>10</v>
      </c>
      <c r="B73" s="270">
        <v>243650.00000000003</v>
      </c>
      <c r="C73" s="270">
        <v>141985.44</v>
      </c>
      <c r="D73" s="270">
        <v>131467.99600000001</v>
      </c>
      <c r="E73" s="270">
        <v>-112182.00400000002</v>
      </c>
      <c r="F73" s="270">
        <v>-10517.443999999989</v>
      </c>
      <c r="G73" s="270">
        <v>-21492.008827760583</v>
      </c>
    </row>
    <row r="74" spans="1:7" x14ac:dyDescent="0.35">
      <c r="A74" s="269">
        <v>11</v>
      </c>
      <c r="B74" s="270">
        <v>259350.00000000003</v>
      </c>
      <c r="C74" s="270">
        <v>141985.44</v>
      </c>
      <c r="D74" s="270">
        <v>131467.99600000001</v>
      </c>
      <c r="E74" s="270">
        <v>-127882.00400000002</v>
      </c>
      <c r="F74" s="270">
        <v>-10517.443999999989</v>
      </c>
      <c r="G74" s="270">
        <v>-21492.008827760583</v>
      </c>
    </row>
    <row r="75" spans="1:7" x14ac:dyDescent="0.35">
      <c r="A75" s="269">
        <v>12</v>
      </c>
      <c r="B75" s="270">
        <v>268650</v>
      </c>
      <c r="C75" s="270">
        <v>141985.44</v>
      </c>
      <c r="D75" s="270">
        <v>131467.99600000001</v>
      </c>
      <c r="E75" s="270">
        <v>-137182.00399999999</v>
      </c>
      <c r="F75" s="270">
        <v>-10517.443999999989</v>
      </c>
      <c r="G75" s="270">
        <v>-21492.008827760583</v>
      </c>
    </row>
    <row r="76" spans="1:7" x14ac:dyDescent="0.35">
      <c r="A76" s="269" t="s">
        <v>819</v>
      </c>
      <c r="B76" s="270">
        <v>1806400.02</v>
      </c>
      <c r="C76" s="270">
        <v>1313241.1199999999</v>
      </c>
      <c r="D76" s="270">
        <v>1215963.9716000003</v>
      </c>
      <c r="E76" s="270">
        <v>-590436.04839999997</v>
      </c>
      <c r="F76" s="270">
        <v>-97277.148399999976</v>
      </c>
      <c r="G76" s="270">
        <v>-257904.14771785436</v>
      </c>
    </row>
  </sheetData>
  <pageMargins left="0.7" right="0.7" top="0.75" bottom="0.75" header="0.3" footer="0.3"/>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BEC5-AB7D-4F83-A31F-4D67489F7963}">
  <sheetPr>
    <tabColor rgb="FF70AD47"/>
  </sheetPr>
  <dimension ref="A1:Z35"/>
  <sheetViews>
    <sheetView showGridLines="0" workbookViewId="0">
      <selection sqref="A1:Z1"/>
    </sheetView>
  </sheetViews>
  <sheetFormatPr defaultRowHeight="14.5" x14ac:dyDescent="0.35"/>
  <cols>
    <col min="1" max="1" width="41.26953125" customWidth="1"/>
    <col min="2" max="2" width="30.90625" customWidth="1"/>
    <col min="3" max="3" width="19.08984375" customWidth="1"/>
    <col min="4" max="4" width="11.81640625" customWidth="1"/>
    <col min="5" max="11" width="10.90625" customWidth="1"/>
    <col min="12" max="12" width="14.81640625" customWidth="1"/>
    <col min="13" max="16" width="10.90625" customWidth="1"/>
    <col min="17" max="18" width="14.54296875" customWidth="1"/>
    <col min="19" max="19" width="16.08984375" customWidth="1"/>
    <col min="20" max="20" width="15.36328125" customWidth="1"/>
    <col min="21" max="22" width="14.54296875" customWidth="1"/>
    <col min="23" max="24" width="25.453125" customWidth="1"/>
    <col min="25" max="26" width="5.453125" customWidth="1"/>
  </cols>
  <sheetData>
    <row r="1" spans="1:26" ht="23.5" x14ac:dyDescent="0.55000000000000004">
      <c r="A1" s="101" t="s">
        <v>528</v>
      </c>
      <c r="B1" s="101"/>
      <c r="C1" s="101"/>
      <c r="D1" s="101"/>
      <c r="E1" s="101"/>
      <c r="F1" s="101"/>
      <c r="G1" s="101"/>
      <c r="H1" s="101"/>
      <c r="I1" s="101"/>
      <c r="J1" s="101"/>
      <c r="K1" s="101"/>
      <c r="L1" s="101"/>
      <c r="M1" s="101"/>
      <c r="N1" s="101"/>
      <c r="O1" s="101"/>
      <c r="P1" s="101"/>
      <c r="Q1" s="101"/>
      <c r="R1" s="101"/>
      <c r="S1" s="101"/>
      <c r="T1" s="101"/>
      <c r="U1" s="101"/>
      <c r="V1" s="101"/>
      <c r="W1" s="101"/>
      <c r="X1" s="101"/>
      <c r="Y1" s="101"/>
      <c r="Z1" s="101"/>
    </row>
    <row r="2" spans="1:26" x14ac:dyDescent="0.35">
      <c r="A2" s="102" t="s">
        <v>529</v>
      </c>
      <c r="B2" s="102"/>
      <c r="C2" s="102"/>
      <c r="D2" s="102"/>
      <c r="E2" s="102"/>
      <c r="F2" s="102"/>
      <c r="G2" s="102"/>
      <c r="H2" s="102"/>
      <c r="I2" s="102"/>
      <c r="J2" s="102"/>
      <c r="K2" s="102"/>
      <c r="L2" s="102"/>
      <c r="M2" s="102"/>
      <c r="N2" s="102"/>
      <c r="O2" s="102"/>
      <c r="P2" s="102"/>
      <c r="Q2" s="102"/>
      <c r="R2" s="102"/>
      <c r="S2" s="102"/>
      <c r="T2" s="102"/>
      <c r="U2" s="102"/>
      <c r="V2" s="102"/>
      <c r="W2" s="102"/>
      <c r="X2" s="102"/>
      <c r="Y2" s="102"/>
      <c r="Z2" s="102"/>
    </row>
    <row r="4" spans="1:26" x14ac:dyDescent="0.35">
      <c r="A4" s="132" t="s">
        <v>19</v>
      </c>
      <c r="B4" s="126" t="s">
        <v>148</v>
      </c>
      <c r="C4" s="126" t="s">
        <v>530</v>
      </c>
      <c r="D4" s="126" t="s">
        <v>531</v>
      </c>
      <c r="E4" s="126" t="s">
        <v>532</v>
      </c>
      <c r="F4" s="126" t="s">
        <v>533</v>
      </c>
      <c r="G4" s="126" t="s">
        <v>534</v>
      </c>
      <c r="H4" s="126" t="s">
        <v>535</v>
      </c>
      <c r="I4" s="126" t="s">
        <v>536</v>
      </c>
      <c r="J4" s="126" t="s">
        <v>537</v>
      </c>
      <c r="K4" s="126" t="s">
        <v>538</v>
      </c>
      <c r="L4" s="126" t="s">
        <v>539</v>
      </c>
      <c r="M4" s="126" t="s">
        <v>540</v>
      </c>
      <c r="N4" s="126" t="s">
        <v>541</v>
      </c>
      <c r="O4" s="126" t="s">
        <v>542</v>
      </c>
      <c r="P4" s="126" t="s">
        <v>543</v>
      </c>
      <c r="Q4" s="126" t="s">
        <v>544</v>
      </c>
      <c r="R4" s="126" t="s">
        <v>75</v>
      </c>
      <c r="S4" s="126" t="s">
        <v>545</v>
      </c>
      <c r="T4" s="126" t="s">
        <v>546</v>
      </c>
      <c r="U4" s="126" t="s">
        <v>29</v>
      </c>
      <c r="V4" s="126" t="s">
        <v>153</v>
      </c>
      <c r="W4" s="126" t="s">
        <v>547</v>
      </c>
      <c r="X4" s="133" t="s">
        <v>519</v>
      </c>
      <c r="Y4" s="45"/>
      <c r="Z4" s="45"/>
    </row>
    <row r="5" spans="1:26" x14ac:dyDescent="0.35">
      <c r="A5" s="130" t="str">
        <f>Dim_WBS!A2</f>
        <v>WBS-01</v>
      </c>
      <c r="B5" s="2" t="str">
        <f>Dim_WBS!C2</f>
        <v>Project Management</v>
      </c>
      <c r="C5" s="2" t="str">
        <f>Dim_WBS!D2</f>
        <v>Labor</v>
      </c>
      <c r="D5" s="2" t="s">
        <v>548</v>
      </c>
      <c r="E5" s="50">
        <f>SUMIFS(Fact_Actual_Costs!$E$2:$E$100,Fact_Actual_Costs!$B$2:$B$100,$A5,Fact_Actual_Costs!$A$2:$A$100,"&gt;="&amp;MIN(Fact_Baseline_PV!$A$2:$A$44)+(0*7),Fact_Actual_Costs!$A$2:$A$100,"&lt;"&amp;MIN(Fact_Baseline_PV!$A$2:$A$44)+((0+1)*7))</f>
        <v>1.05</v>
      </c>
      <c r="F5" s="50">
        <f>SUMIFS(Fact_Actual_Costs!$E$2:$E$100,Fact_Actual_Costs!$B$2:$B$100,$A5,Fact_Actual_Costs!$A$2:$A$100,"&gt;="&amp;MIN(Fact_Baseline_PV!$A$2:$A$44)+(1*7),Fact_Actual_Costs!$A$2:$A$100,"&lt;"&amp;MIN(Fact_Baseline_PV!$A$2:$A$44)+((1+1)*7))</f>
        <v>1.05</v>
      </c>
      <c r="G5" s="50">
        <f>SUMIFS(Fact_Actual_Costs!$E$2:$E$100,Fact_Actual_Costs!$B$2:$B$100,$A5,Fact_Actual_Costs!$A$2:$A$100,"&gt;="&amp;MIN(Fact_Baseline_PV!$A$2:$A$44)+(2*7),Fact_Actual_Costs!$A$2:$A$100,"&lt;"&amp;MIN(Fact_Baseline_PV!$A$2:$A$44)+((2+1)*7))</f>
        <v>1.05</v>
      </c>
      <c r="H5" s="50">
        <f>SUMIFS(Fact_Actual_Costs!$E$2:$E$100,Fact_Actual_Costs!$B$2:$B$100,$A5,Fact_Actual_Costs!$A$2:$A$100,"&gt;="&amp;MIN(Fact_Baseline_PV!$A$2:$A$44)+(3*7),Fact_Actual_Costs!$A$2:$A$100,"&lt;"&amp;MIN(Fact_Baseline_PV!$A$2:$A$44)+((3+1)*7))</f>
        <v>1.05</v>
      </c>
      <c r="I5" s="50">
        <f>SUMIFS(Fact_Actual_Costs!$E$2:$E$100,Fact_Actual_Costs!$B$2:$B$100,$A5,Fact_Actual_Costs!$A$2:$A$100,"&gt;="&amp;MIN(Fact_Baseline_PV!$A$2:$A$44)+(4*7),Fact_Actual_Costs!$A$2:$A$100,"&lt;"&amp;MIN(Fact_Baseline_PV!$A$2:$A$44)+((4+1)*7))</f>
        <v>1.05</v>
      </c>
      <c r="J5" s="50">
        <f>SUMIFS(Fact_Actual_Costs!$E$2:$E$100,Fact_Actual_Costs!$B$2:$B$100,$A5,Fact_Actual_Costs!$A$2:$A$100,"&gt;="&amp;MIN(Fact_Baseline_PV!$A$2:$A$44)+(5*7),Fact_Actual_Costs!$A$2:$A$100,"&lt;"&amp;MIN(Fact_Baseline_PV!$A$2:$A$44)+((5+1)*7))</f>
        <v>1.05</v>
      </c>
      <c r="K5" s="50">
        <f>SUMIFS(Fact_Actual_Costs!$E$2:$E$100,Fact_Actual_Costs!$B$2:$B$100,$A5,Fact_Actual_Costs!$A$2:$A$100,"&gt;="&amp;MIN(Fact_Baseline_PV!$A$2:$A$44)+(6*7),Fact_Actual_Costs!$A$2:$A$100,"&lt;"&amp;MIN(Fact_Baseline_PV!$A$2:$A$44)+((6+1)*7))</f>
        <v>0</v>
      </c>
      <c r="L5" s="50">
        <f>SUMIFS(Fact_Actual_Costs!$E$2:$E$100,Fact_Actual_Costs!$B$2:$B$100,$A5,Fact_Actual_Costs!$A$2:$A$100,"&gt;="&amp;MIN(Fact_Baseline_PV!$A$2:$A$44)+(7*7),Fact_Actual_Costs!$A$2:$A$100,"&lt;"&amp;MIN(Fact_Baseline_PV!$A$2:$A$44)+((7+1)*7))</f>
        <v>0</v>
      </c>
      <c r="M5" s="50">
        <f>SUMIFS(Fact_Actual_Costs!$E$2:$E$100,Fact_Actual_Costs!$B$2:$B$100,$A5,Fact_Actual_Costs!$A$2:$A$100,"&gt;="&amp;MIN(Fact_Baseline_PV!$A$2:$A$44)+(8*7),Fact_Actual_Costs!$A$2:$A$100,"&lt;"&amp;MIN(Fact_Baseline_PV!$A$2:$A$44)+((8+1)*7))</f>
        <v>0</v>
      </c>
      <c r="N5" s="50">
        <f>SUMIFS(Fact_Actual_Costs!$E$2:$E$100,Fact_Actual_Costs!$B$2:$B$100,$A5,Fact_Actual_Costs!$A$2:$A$100,"&gt;="&amp;MIN(Fact_Baseline_PV!$A$2:$A$44)+(9*7),Fact_Actual_Costs!$A$2:$A$100,"&lt;"&amp;MIN(Fact_Baseline_PV!$A$2:$A$44)+((9+1)*7))</f>
        <v>0</v>
      </c>
      <c r="O5" s="50">
        <f>SUMIFS(Fact_Actual_Costs!$E$2:$E$100,Fact_Actual_Costs!$B$2:$B$100,$A5,Fact_Actual_Costs!$A$2:$A$100,"&gt;="&amp;MIN(Fact_Baseline_PV!$A$2:$A$44)+(10*7),Fact_Actual_Costs!$A$2:$A$100,"&lt;"&amp;MIN(Fact_Baseline_PV!$A$2:$A$44)+((10+1)*7))</f>
        <v>0</v>
      </c>
      <c r="P5" s="50">
        <f>SUMIFS(Fact_Actual_Costs!$E$2:$E$100,Fact_Actual_Costs!$B$2:$B$100,$A5,Fact_Actual_Costs!$A$2:$A$100,"&gt;="&amp;MIN(Fact_Baseline_PV!$A$2:$A$44)+(11*7),Fact_Actual_Costs!$A$2:$A$100,"&lt;"&amp;MIN(Fact_Baseline_PV!$A$2:$A$44)+((11+1)*7))</f>
        <v>0</v>
      </c>
      <c r="Q5" s="50">
        <f t="shared" ref="Q5:Q28" si="0">SUM(E5:P5)</f>
        <v>6.3</v>
      </c>
      <c r="R5" s="49">
        <f>VLOOKUP(A5,Dim_WBS!$A$2:$E$13,5,FALSE)</f>
        <v>18000</v>
      </c>
      <c r="S5" s="49">
        <f>SUMIFS(Fact_Actual_Costs!$D$2:$D$100,Fact_Actual_Costs!$B$2:$B$100,A5,Fact_Actual_Costs!$A$2:$A$100,"&lt;="&amp;Setup!$B$9)</f>
        <v>9600</v>
      </c>
      <c r="T5" s="49">
        <f t="shared" ref="T5:T28" si="1">R5-S5</f>
        <v>8400</v>
      </c>
      <c r="U5" s="50">
        <f>IFERROR((R5*VLOOKUP(A5,'Task Plan'!$A$5:$K$16,11,FALSE))/S5,1)</f>
        <v>0.9375</v>
      </c>
      <c r="V5" s="2" t="str">
        <f>IF(U5&lt;Setup!$B$12,"Red",IF(U5&lt;Setup!$B$13,"Amber","Green"))</f>
        <v>Red</v>
      </c>
      <c r="W5" s="2" t="s">
        <v>430</v>
      </c>
      <c r="X5" s="131" t="s">
        <v>549</v>
      </c>
      <c r="Y5" s="2"/>
      <c r="Z5" s="2"/>
    </row>
    <row r="6" spans="1:26" x14ac:dyDescent="0.35">
      <c r="A6" s="130" t="str">
        <f>Dim_WBS!A2</f>
        <v>WBS-01</v>
      </c>
      <c r="B6" s="2" t="str">
        <f>Dim_WBS!C2</f>
        <v>Project Management</v>
      </c>
      <c r="C6" s="2" t="str">
        <f>Dim_WBS!D2</f>
        <v>Labor</v>
      </c>
      <c r="D6" s="2" t="s">
        <v>550</v>
      </c>
      <c r="E6" s="50">
        <f>SUMIFS(Fact_Actual_Costs!$D$2:$D$100,Fact_Actual_Costs!$B$2:$B$100,$A6,Fact_Actual_Costs!$A$2:$A$100,"&gt;="&amp;MIN(Fact_Baseline_PV!$A$2:$A$44)+(0*7),Fact_Actual_Costs!$A$2:$A$100,"&lt;"&amp;MIN(Fact_Baseline_PV!$A$2:$A$44)+((0+1)*7))</f>
        <v>1600</v>
      </c>
      <c r="F6" s="50">
        <f>SUMIFS(Fact_Actual_Costs!$D$2:$D$100,Fact_Actual_Costs!$B$2:$B$100,$A6,Fact_Actual_Costs!$A$2:$A$100,"&gt;="&amp;MIN(Fact_Baseline_PV!$A$2:$A$44)+(1*7),Fact_Actual_Costs!$A$2:$A$100,"&lt;"&amp;MIN(Fact_Baseline_PV!$A$2:$A$44)+((1+1)*7))</f>
        <v>1600</v>
      </c>
      <c r="G6" s="50">
        <f>SUMIFS(Fact_Actual_Costs!$D$2:$D$100,Fact_Actual_Costs!$B$2:$B$100,$A6,Fact_Actual_Costs!$A$2:$A$100,"&gt;="&amp;MIN(Fact_Baseline_PV!$A$2:$A$44)+(2*7),Fact_Actual_Costs!$A$2:$A$100,"&lt;"&amp;MIN(Fact_Baseline_PV!$A$2:$A$44)+((2+1)*7))</f>
        <v>1600</v>
      </c>
      <c r="H6" s="50">
        <f>SUMIFS(Fact_Actual_Costs!$D$2:$D$100,Fact_Actual_Costs!$B$2:$B$100,$A6,Fact_Actual_Costs!$A$2:$A$100,"&gt;="&amp;MIN(Fact_Baseline_PV!$A$2:$A$44)+(3*7),Fact_Actual_Costs!$A$2:$A$100,"&lt;"&amp;MIN(Fact_Baseline_PV!$A$2:$A$44)+((3+1)*7))</f>
        <v>1600</v>
      </c>
      <c r="I6" s="50">
        <f>SUMIFS(Fact_Actual_Costs!$D$2:$D$100,Fact_Actual_Costs!$B$2:$B$100,$A6,Fact_Actual_Costs!$A$2:$A$100,"&gt;="&amp;MIN(Fact_Baseline_PV!$A$2:$A$44)+(4*7),Fact_Actual_Costs!$A$2:$A$100,"&lt;"&amp;MIN(Fact_Baseline_PV!$A$2:$A$44)+((4+1)*7))</f>
        <v>1600</v>
      </c>
      <c r="J6" s="50">
        <f>SUMIFS(Fact_Actual_Costs!$D$2:$D$100,Fact_Actual_Costs!$B$2:$B$100,$A6,Fact_Actual_Costs!$A$2:$A$100,"&gt;="&amp;MIN(Fact_Baseline_PV!$A$2:$A$44)+(5*7),Fact_Actual_Costs!$A$2:$A$100,"&lt;"&amp;MIN(Fact_Baseline_PV!$A$2:$A$44)+((5+1)*7))</f>
        <v>1600</v>
      </c>
      <c r="K6" s="50">
        <f>SUMIFS(Fact_Actual_Costs!$D$2:$D$100,Fact_Actual_Costs!$B$2:$B$100,$A6,Fact_Actual_Costs!$A$2:$A$100,"&gt;="&amp;MIN(Fact_Baseline_PV!$A$2:$A$44)+(6*7),Fact_Actual_Costs!$A$2:$A$100,"&lt;"&amp;MIN(Fact_Baseline_PV!$A$2:$A$44)+((6+1)*7))</f>
        <v>0</v>
      </c>
      <c r="L6" s="50">
        <f>SUMIFS(Fact_Actual_Costs!$D$2:$D$100,Fact_Actual_Costs!$B$2:$B$100,$A6,Fact_Actual_Costs!$A$2:$A$100,"&gt;="&amp;MIN(Fact_Baseline_PV!$A$2:$A$44)+(7*7),Fact_Actual_Costs!$A$2:$A$100,"&lt;"&amp;MIN(Fact_Baseline_PV!$A$2:$A$44)+((7+1)*7))</f>
        <v>0</v>
      </c>
      <c r="M6" s="50">
        <f>SUMIFS(Fact_Actual_Costs!$D$2:$D$100,Fact_Actual_Costs!$B$2:$B$100,$A6,Fact_Actual_Costs!$A$2:$A$100,"&gt;="&amp;MIN(Fact_Baseline_PV!$A$2:$A$44)+(8*7),Fact_Actual_Costs!$A$2:$A$100,"&lt;"&amp;MIN(Fact_Baseline_PV!$A$2:$A$44)+((8+1)*7))</f>
        <v>0</v>
      </c>
      <c r="N6" s="50">
        <f>SUMIFS(Fact_Actual_Costs!$D$2:$D$100,Fact_Actual_Costs!$B$2:$B$100,$A6,Fact_Actual_Costs!$A$2:$A$100,"&gt;="&amp;MIN(Fact_Baseline_PV!$A$2:$A$44)+(9*7),Fact_Actual_Costs!$A$2:$A$100,"&lt;"&amp;MIN(Fact_Baseline_PV!$A$2:$A$44)+((9+1)*7))</f>
        <v>0</v>
      </c>
      <c r="O6" s="50">
        <f>SUMIFS(Fact_Actual_Costs!$D$2:$D$100,Fact_Actual_Costs!$B$2:$B$100,$A6,Fact_Actual_Costs!$A$2:$A$100,"&gt;="&amp;MIN(Fact_Baseline_PV!$A$2:$A$44)+(10*7),Fact_Actual_Costs!$A$2:$A$100,"&lt;"&amp;MIN(Fact_Baseline_PV!$A$2:$A$44)+((10+1)*7))</f>
        <v>0</v>
      </c>
      <c r="P6" s="50">
        <f>SUMIFS(Fact_Actual_Costs!$D$2:$D$100,Fact_Actual_Costs!$B$2:$B$100,$A6,Fact_Actual_Costs!$A$2:$A$100,"&gt;="&amp;MIN(Fact_Baseline_PV!$A$2:$A$44)+(11*7),Fact_Actual_Costs!$A$2:$A$100,"&lt;"&amp;MIN(Fact_Baseline_PV!$A$2:$A$44)+((11+1)*7))</f>
        <v>0</v>
      </c>
      <c r="Q6" s="50">
        <f t="shared" si="0"/>
        <v>9600</v>
      </c>
      <c r="R6" s="49">
        <f>VLOOKUP(A6,Dim_WBS!$A$2:$E$13,5,FALSE)</f>
        <v>18000</v>
      </c>
      <c r="S6" s="49">
        <f>SUMIFS(Fact_Actual_Costs!$D$2:$D$100,Fact_Actual_Costs!$B$2:$B$100,A6,Fact_Actual_Costs!$A$2:$A$100,"&lt;="&amp;Setup!$B$9)</f>
        <v>9600</v>
      </c>
      <c r="T6" s="49">
        <f t="shared" si="1"/>
        <v>8400</v>
      </c>
      <c r="U6" s="50">
        <f>IFERROR((R6*VLOOKUP(A6,'Task Plan'!$A$5:$K$16,11,FALSE))/S6,1)</f>
        <v>0.9375</v>
      </c>
      <c r="V6" s="2" t="str">
        <f>IF(U6&lt;Setup!$B$12,"Red",IF(U6&lt;Setup!$B$13,"Amber","Green"))</f>
        <v>Red</v>
      </c>
      <c r="W6" s="2" t="s">
        <v>430</v>
      </c>
      <c r="X6" s="131" t="s">
        <v>551</v>
      </c>
      <c r="Y6" s="2"/>
      <c r="Z6" s="2"/>
    </row>
    <row r="7" spans="1:26" x14ac:dyDescent="0.35">
      <c r="A7" s="130" t="str">
        <f>Dim_WBS!A3</f>
        <v>WBS-02</v>
      </c>
      <c r="B7" s="2" t="str">
        <f>Dim_WBS!C3</f>
        <v>Site Survey &amp; Mobilization</v>
      </c>
      <c r="C7" s="2" t="str">
        <f>Dim_WBS!D3</f>
        <v>Labor</v>
      </c>
      <c r="D7" s="2" t="s">
        <v>548</v>
      </c>
      <c r="E7" s="50">
        <f>SUMIFS(Fact_Actual_Costs!$E$2:$E$100,Fact_Actual_Costs!$B$2:$B$100,$A7,Fact_Actual_Costs!$A$2:$A$100,"&gt;="&amp;MIN(Fact_Baseline_PV!$A$2:$A$44)+(0*7),Fact_Actual_Costs!$A$2:$A$100,"&lt;"&amp;MIN(Fact_Baseline_PV!$A$2:$A$44)+((0+1)*7))</f>
        <v>3.95</v>
      </c>
      <c r="F7" s="50">
        <f>SUMIFS(Fact_Actual_Costs!$E$2:$E$100,Fact_Actual_Costs!$B$2:$B$100,$A7,Fact_Actual_Costs!$A$2:$A$100,"&gt;="&amp;MIN(Fact_Baseline_PV!$A$2:$A$44)+(1*7),Fact_Actual_Costs!$A$2:$A$100,"&lt;"&amp;MIN(Fact_Baseline_PV!$A$2:$A$44)+((1+1)*7))</f>
        <v>0</v>
      </c>
      <c r="G7" s="50">
        <f>SUMIFS(Fact_Actual_Costs!$E$2:$E$100,Fact_Actual_Costs!$B$2:$B$100,$A7,Fact_Actual_Costs!$A$2:$A$100,"&gt;="&amp;MIN(Fact_Baseline_PV!$A$2:$A$44)+(2*7),Fact_Actual_Costs!$A$2:$A$100,"&lt;"&amp;MIN(Fact_Baseline_PV!$A$2:$A$44)+((2+1)*7))</f>
        <v>0</v>
      </c>
      <c r="H7" s="50">
        <f>SUMIFS(Fact_Actual_Costs!$E$2:$E$100,Fact_Actual_Costs!$B$2:$B$100,$A7,Fact_Actual_Costs!$A$2:$A$100,"&gt;="&amp;MIN(Fact_Baseline_PV!$A$2:$A$44)+(3*7),Fact_Actual_Costs!$A$2:$A$100,"&lt;"&amp;MIN(Fact_Baseline_PV!$A$2:$A$44)+((3+1)*7))</f>
        <v>0</v>
      </c>
      <c r="I7" s="50">
        <f>SUMIFS(Fact_Actual_Costs!$E$2:$E$100,Fact_Actual_Costs!$B$2:$B$100,$A7,Fact_Actual_Costs!$A$2:$A$100,"&gt;="&amp;MIN(Fact_Baseline_PV!$A$2:$A$44)+(4*7),Fact_Actual_Costs!$A$2:$A$100,"&lt;"&amp;MIN(Fact_Baseline_PV!$A$2:$A$44)+((4+1)*7))</f>
        <v>0</v>
      </c>
      <c r="J7" s="50">
        <f>SUMIFS(Fact_Actual_Costs!$E$2:$E$100,Fact_Actual_Costs!$B$2:$B$100,$A7,Fact_Actual_Costs!$A$2:$A$100,"&gt;="&amp;MIN(Fact_Baseline_PV!$A$2:$A$44)+(5*7),Fact_Actual_Costs!$A$2:$A$100,"&lt;"&amp;MIN(Fact_Baseline_PV!$A$2:$A$44)+((5+1)*7))</f>
        <v>0</v>
      </c>
      <c r="K7" s="50">
        <f>SUMIFS(Fact_Actual_Costs!$E$2:$E$100,Fact_Actual_Costs!$B$2:$B$100,$A7,Fact_Actual_Costs!$A$2:$A$100,"&gt;="&amp;MIN(Fact_Baseline_PV!$A$2:$A$44)+(6*7),Fact_Actual_Costs!$A$2:$A$100,"&lt;"&amp;MIN(Fact_Baseline_PV!$A$2:$A$44)+((6+1)*7))</f>
        <v>0</v>
      </c>
      <c r="L7" s="50">
        <f>SUMIFS(Fact_Actual_Costs!$E$2:$E$100,Fact_Actual_Costs!$B$2:$B$100,$A7,Fact_Actual_Costs!$A$2:$A$100,"&gt;="&amp;MIN(Fact_Baseline_PV!$A$2:$A$44)+(7*7),Fact_Actual_Costs!$A$2:$A$100,"&lt;"&amp;MIN(Fact_Baseline_PV!$A$2:$A$44)+((7+1)*7))</f>
        <v>0</v>
      </c>
      <c r="M7" s="50">
        <f>SUMIFS(Fact_Actual_Costs!$E$2:$E$100,Fact_Actual_Costs!$B$2:$B$100,$A7,Fact_Actual_Costs!$A$2:$A$100,"&gt;="&amp;MIN(Fact_Baseline_PV!$A$2:$A$44)+(8*7),Fact_Actual_Costs!$A$2:$A$100,"&lt;"&amp;MIN(Fact_Baseline_PV!$A$2:$A$44)+((8+1)*7))</f>
        <v>0</v>
      </c>
      <c r="N7" s="50">
        <f>SUMIFS(Fact_Actual_Costs!$E$2:$E$100,Fact_Actual_Costs!$B$2:$B$100,$A7,Fact_Actual_Costs!$A$2:$A$100,"&gt;="&amp;MIN(Fact_Baseline_PV!$A$2:$A$44)+(9*7),Fact_Actual_Costs!$A$2:$A$100,"&lt;"&amp;MIN(Fact_Baseline_PV!$A$2:$A$44)+((9+1)*7))</f>
        <v>0</v>
      </c>
      <c r="O7" s="50">
        <f>SUMIFS(Fact_Actual_Costs!$E$2:$E$100,Fact_Actual_Costs!$B$2:$B$100,$A7,Fact_Actual_Costs!$A$2:$A$100,"&gt;="&amp;MIN(Fact_Baseline_PV!$A$2:$A$44)+(10*7),Fact_Actual_Costs!$A$2:$A$100,"&lt;"&amp;MIN(Fact_Baseline_PV!$A$2:$A$44)+((10+1)*7))</f>
        <v>0</v>
      </c>
      <c r="P7" s="50">
        <f>SUMIFS(Fact_Actual_Costs!$E$2:$E$100,Fact_Actual_Costs!$B$2:$B$100,$A7,Fact_Actual_Costs!$A$2:$A$100,"&gt;="&amp;MIN(Fact_Baseline_PV!$A$2:$A$44)+(11*7),Fact_Actual_Costs!$A$2:$A$100,"&lt;"&amp;MIN(Fact_Baseline_PV!$A$2:$A$44)+((11+1)*7))</f>
        <v>0</v>
      </c>
      <c r="Q7" s="50">
        <f t="shared" si="0"/>
        <v>3.95</v>
      </c>
      <c r="R7" s="49">
        <f>VLOOKUP(A7,Dim_WBS!$A$2:$E$13,5,FALSE)</f>
        <v>8500</v>
      </c>
      <c r="S7" s="49">
        <f>SUMIFS(Fact_Actual_Costs!$D$2:$D$100,Fact_Actual_Costs!$B$2:$B$100,A7,Fact_Actual_Costs!$A$2:$A$100,"&lt;="&amp;Setup!$B$9)</f>
        <v>8700</v>
      </c>
      <c r="T7" s="49">
        <f t="shared" si="1"/>
        <v>-200</v>
      </c>
      <c r="U7" s="50">
        <f>IFERROR((R7*VLOOKUP(A7,'Task Plan'!$A$5:$K$16,11,FALSE))/S7,1)</f>
        <v>0.97701149425287359</v>
      </c>
      <c r="V7" s="2" t="str">
        <f>IF(U7&lt;Setup!$B$12,"Red",IF(U7&lt;Setup!$B$13,"Amber","Green"))</f>
        <v>Amber</v>
      </c>
      <c r="W7" s="2" t="s">
        <v>430</v>
      </c>
      <c r="X7" s="131" t="s">
        <v>549</v>
      </c>
      <c r="Y7" s="2"/>
      <c r="Z7" s="2"/>
    </row>
    <row r="8" spans="1:26" x14ac:dyDescent="0.35">
      <c r="A8" s="130" t="str">
        <f>Dim_WBS!A3</f>
        <v>WBS-02</v>
      </c>
      <c r="B8" s="2" t="str">
        <f>Dim_WBS!C3</f>
        <v>Site Survey &amp; Mobilization</v>
      </c>
      <c r="C8" s="2" t="str">
        <f>Dim_WBS!D3</f>
        <v>Labor</v>
      </c>
      <c r="D8" s="2" t="s">
        <v>550</v>
      </c>
      <c r="E8" s="50">
        <f>SUMIFS(Fact_Actual_Costs!$D$2:$D$100,Fact_Actual_Costs!$B$2:$B$100,$A8,Fact_Actual_Costs!$A$2:$A$100,"&gt;="&amp;MIN(Fact_Baseline_PV!$A$2:$A$44)+(0*7),Fact_Actual_Costs!$A$2:$A$100,"&lt;"&amp;MIN(Fact_Baseline_PV!$A$2:$A$44)+((0+1)*7))</f>
        <v>8700</v>
      </c>
      <c r="F8" s="50">
        <f>SUMIFS(Fact_Actual_Costs!$D$2:$D$100,Fact_Actual_Costs!$B$2:$B$100,$A8,Fact_Actual_Costs!$A$2:$A$100,"&gt;="&amp;MIN(Fact_Baseline_PV!$A$2:$A$44)+(1*7),Fact_Actual_Costs!$A$2:$A$100,"&lt;"&amp;MIN(Fact_Baseline_PV!$A$2:$A$44)+((1+1)*7))</f>
        <v>0</v>
      </c>
      <c r="G8" s="50">
        <f>SUMIFS(Fact_Actual_Costs!$D$2:$D$100,Fact_Actual_Costs!$B$2:$B$100,$A8,Fact_Actual_Costs!$A$2:$A$100,"&gt;="&amp;MIN(Fact_Baseline_PV!$A$2:$A$44)+(2*7),Fact_Actual_Costs!$A$2:$A$100,"&lt;"&amp;MIN(Fact_Baseline_PV!$A$2:$A$44)+((2+1)*7))</f>
        <v>0</v>
      </c>
      <c r="H8" s="50">
        <f>SUMIFS(Fact_Actual_Costs!$D$2:$D$100,Fact_Actual_Costs!$B$2:$B$100,$A8,Fact_Actual_Costs!$A$2:$A$100,"&gt;="&amp;MIN(Fact_Baseline_PV!$A$2:$A$44)+(3*7),Fact_Actual_Costs!$A$2:$A$100,"&lt;"&amp;MIN(Fact_Baseline_PV!$A$2:$A$44)+((3+1)*7))</f>
        <v>0</v>
      </c>
      <c r="I8" s="50">
        <f>SUMIFS(Fact_Actual_Costs!$D$2:$D$100,Fact_Actual_Costs!$B$2:$B$100,$A8,Fact_Actual_Costs!$A$2:$A$100,"&gt;="&amp;MIN(Fact_Baseline_PV!$A$2:$A$44)+(4*7),Fact_Actual_Costs!$A$2:$A$100,"&lt;"&amp;MIN(Fact_Baseline_PV!$A$2:$A$44)+((4+1)*7))</f>
        <v>0</v>
      </c>
      <c r="J8" s="50">
        <f>SUMIFS(Fact_Actual_Costs!$D$2:$D$100,Fact_Actual_Costs!$B$2:$B$100,$A8,Fact_Actual_Costs!$A$2:$A$100,"&gt;="&amp;MIN(Fact_Baseline_PV!$A$2:$A$44)+(5*7),Fact_Actual_Costs!$A$2:$A$100,"&lt;"&amp;MIN(Fact_Baseline_PV!$A$2:$A$44)+((5+1)*7))</f>
        <v>0</v>
      </c>
      <c r="K8" s="50">
        <f>SUMIFS(Fact_Actual_Costs!$D$2:$D$100,Fact_Actual_Costs!$B$2:$B$100,$A8,Fact_Actual_Costs!$A$2:$A$100,"&gt;="&amp;MIN(Fact_Baseline_PV!$A$2:$A$44)+(6*7),Fact_Actual_Costs!$A$2:$A$100,"&lt;"&amp;MIN(Fact_Baseline_PV!$A$2:$A$44)+((6+1)*7))</f>
        <v>0</v>
      </c>
      <c r="L8" s="50">
        <f>SUMIFS(Fact_Actual_Costs!$D$2:$D$100,Fact_Actual_Costs!$B$2:$B$100,$A8,Fact_Actual_Costs!$A$2:$A$100,"&gt;="&amp;MIN(Fact_Baseline_PV!$A$2:$A$44)+(7*7),Fact_Actual_Costs!$A$2:$A$100,"&lt;"&amp;MIN(Fact_Baseline_PV!$A$2:$A$44)+((7+1)*7))</f>
        <v>0</v>
      </c>
      <c r="M8" s="50">
        <f>SUMIFS(Fact_Actual_Costs!$D$2:$D$100,Fact_Actual_Costs!$B$2:$B$100,$A8,Fact_Actual_Costs!$A$2:$A$100,"&gt;="&amp;MIN(Fact_Baseline_PV!$A$2:$A$44)+(8*7),Fact_Actual_Costs!$A$2:$A$100,"&lt;"&amp;MIN(Fact_Baseline_PV!$A$2:$A$44)+((8+1)*7))</f>
        <v>0</v>
      </c>
      <c r="N8" s="50">
        <f>SUMIFS(Fact_Actual_Costs!$D$2:$D$100,Fact_Actual_Costs!$B$2:$B$100,$A8,Fact_Actual_Costs!$A$2:$A$100,"&gt;="&amp;MIN(Fact_Baseline_PV!$A$2:$A$44)+(9*7),Fact_Actual_Costs!$A$2:$A$100,"&lt;"&amp;MIN(Fact_Baseline_PV!$A$2:$A$44)+((9+1)*7))</f>
        <v>0</v>
      </c>
      <c r="O8" s="50">
        <f>SUMIFS(Fact_Actual_Costs!$D$2:$D$100,Fact_Actual_Costs!$B$2:$B$100,$A8,Fact_Actual_Costs!$A$2:$A$100,"&gt;="&amp;MIN(Fact_Baseline_PV!$A$2:$A$44)+(10*7),Fact_Actual_Costs!$A$2:$A$100,"&lt;"&amp;MIN(Fact_Baseline_PV!$A$2:$A$44)+((10+1)*7))</f>
        <v>0</v>
      </c>
      <c r="P8" s="50">
        <f>SUMIFS(Fact_Actual_Costs!$D$2:$D$100,Fact_Actual_Costs!$B$2:$B$100,$A8,Fact_Actual_Costs!$A$2:$A$100,"&gt;="&amp;MIN(Fact_Baseline_PV!$A$2:$A$44)+(11*7),Fact_Actual_Costs!$A$2:$A$100,"&lt;"&amp;MIN(Fact_Baseline_PV!$A$2:$A$44)+((11+1)*7))</f>
        <v>0</v>
      </c>
      <c r="Q8" s="50">
        <f t="shared" si="0"/>
        <v>8700</v>
      </c>
      <c r="R8" s="49">
        <f>VLOOKUP(A8,Dim_WBS!$A$2:$E$13,5,FALSE)</f>
        <v>8500</v>
      </c>
      <c r="S8" s="49">
        <f>SUMIFS(Fact_Actual_Costs!$D$2:$D$100,Fact_Actual_Costs!$B$2:$B$100,A8,Fact_Actual_Costs!$A$2:$A$100,"&lt;="&amp;Setup!$B$9)</f>
        <v>8700</v>
      </c>
      <c r="T8" s="49">
        <f t="shared" si="1"/>
        <v>-200</v>
      </c>
      <c r="U8" s="50">
        <f>IFERROR((R8*VLOOKUP(A8,'Task Plan'!$A$5:$K$16,11,FALSE))/S8,1)</f>
        <v>0.97701149425287359</v>
      </c>
      <c r="V8" s="2" t="str">
        <f>IF(U8&lt;Setup!$B$12,"Red",IF(U8&lt;Setup!$B$13,"Amber","Green"))</f>
        <v>Amber</v>
      </c>
      <c r="W8" s="2" t="s">
        <v>430</v>
      </c>
      <c r="X8" s="131" t="s">
        <v>551</v>
      </c>
      <c r="Y8" s="2"/>
      <c r="Z8" s="2"/>
    </row>
    <row r="9" spans="1:26" x14ac:dyDescent="0.35">
      <c r="A9" s="130" t="str">
        <f>Dim_WBS!A4</f>
        <v>WBS-03</v>
      </c>
      <c r="B9" s="2" t="str">
        <f>Dim_WBS!C4</f>
        <v>Design &amp; Engineering</v>
      </c>
      <c r="C9" s="2" t="str">
        <f>Dim_WBS!D4</f>
        <v>Labor</v>
      </c>
      <c r="D9" s="2" t="s">
        <v>548</v>
      </c>
      <c r="E9" s="50">
        <f>SUMIFS(Fact_Actual_Costs!$E$2:$E$100,Fact_Actual_Costs!$B$2:$B$100,$A9,Fact_Actual_Costs!$A$2:$A$100,"&gt;="&amp;MIN(Fact_Baseline_PV!$A$2:$A$44)+(0*7),Fact_Actual_Costs!$A$2:$A$100,"&lt;"&amp;MIN(Fact_Baseline_PV!$A$2:$A$44)+((0+1)*7))</f>
        <v>2.5</v>
      </c>
      <c r="F9" s="50">
        <f>SUMIFS(Fact_Actual_Costs!$E$2:$E$100,Fact_Actual_Costs!$B$2:$B$100,$A9,Fact_Actual_Costs!$A$2:$A$100,"&gt;="&amp;MIN(Fact_Baseline_PV!$A$2:$A$44)+(1*7),Fact_Actual_Costs!$A$2:$A$100,"&lt;"&amp;MIN(Fact_Baseline_PV!$A$2:$A$44)+((1+1)*7))</f>
        <v>2.5</v>
      </c>
      <c r="G9" s="50">
        <f>SUMIFS(Fact_Actual_Costs!$E$2:$E$100,Fact_Actual_Costs!$B$2:$B$100,$A9,Fact_Actual_Costs!$A$2:$A$100,"&gt;="&amp;MIN(Fact_Baseline_PV!$A$2:$A$44)+(2*7),Fact_Actual_Costs!$A$2:$A$100,"&lt;"&amp;MIN(Fact_Baseline_PV!$A$2:$A$44)+((2+1)*7))</f>
        <v>2.6</v>
      </c>
      <c r="H9" s="50">
        <f>SUMIFS(Fact_Actual_Costs!$E$2:$E$100,Fact_Actual_Costs!$B$2:$B$100,$A9,Fact_Actual_Costs!$A$2:$A$100,"&gt;="&amp;MIN(Fact_Baseline_PV!$A$2:$A$44)+(3*7),Fact_Actual_Costs!$A$2:$A$100,"&lt;"&amp;MIN(Fact_Baseline_PV!$A$2:$A$44)+((3+1)*7))</f>
        <v>0</v>
      </c>
      <c r="I9" s="50">
        <f>SUMIFS(Fact_Actual_Costs!$E$2:$E$100,Fact_Actual_Costs!$B$2:$B$100,$A9,Fact_Actual_Costs!$A$2:$A$100,"&gt;="&amp;MIN(Fact_Baseline_PV!$A$2:$A$44)+(4*7),Fact_Actual_Costs!$A$2:$A$100,"&lt;"&amp;MIN(Fact_Baseline_PV!$A$2:$A$44)+((4+1)*7))</f>
        <v>0</v>
      </c>
      <c r="J9" s="50">
        <f>SUMIFS(Fact_Actual_Costs!$E$2:$E$100,Fact_Actual_Costs!$B$2:$B$100,$A9,Fact_Actual_Costs!$A$2:$A$100,"&gt;="&amp;MIN(Fact_Baseline_PV!$A$2:$A$44)+(5*7),Fact_Actual_Costs!$A$2:$A$100,"&lt;"&amp;MIN(Fact_Baseline_PV!$A$2:$A$44)+((5+1)*7))</f>
        <v>0</v>
      </c>
      <c r="K9" s="50">
        <f>SUMIFS(Fact_Actual_Costs!$E$2:$E$100,Fact_Actual_Costs!$B$2:$B$100,$A9,Fact_Actual_Costs!$A$2:$A$100,"&gt;="&amp;MIN(Fact_Baseline_PV!$A$2:$A$44)+(6*7),Fact_Actual_Costs!$A$2:$A$100,"&lt;"&amp;MIN(Fact_Baseline_PV!$A$2:$A$44)+((6+1)*7))</f>
        <v>0</v>
      </c>
      <c r="L9" s="50">
        <f>SUMIFS(Fact_Actual_Costs!$E$2:$E$100,Fact_Actual_Costs!$B$2:$B$100,$A9,Fact_Actual_Costs!$A$2:$A$100,"&gt;="&amp;MIN(Fact_Baseline_PV!$A$2:$A$44)+(7*7),Fact_Actual_Costs!$A$2:$A$100,"&lt;"&amp;MIN(Fact_Baseline_PV!$A$2:$A$44)+((7+1)*7))</f>
        <v>0</v>
      </c>
      <c r="M9" s="50">
        <f>SUMIFS(Fact_Actual_Costs!$E$2:$E$100,Fact_Actual_Costs!$B$2:$B$100,$A9,Fact_Actual_Costs!$A$2:$A$100,"&gt;="&amp;MIN(Fact_Baseline_PV!$A$2:$A$44)+(8*7),Fact_Actual_Costs!$A$2:$A$100,"&lt;"&amp;MIN(Fact_Baseline_PV!$A$2:$A$44)+((8+1)*7))</f>
        <v>0</v>
      </c>
      <c r="N9" s="50">
        <f>SUMIFS(Fact_Actual_Costs!$E$2:$E$100,Fact_Actual_Costs!$B$2:$B$100,$A9,Fact_Actual_Costs!$A$2:$A$100,"&gt;="&amp;MIN(Fact_Baseline_PV!$A$2:$A$44)+(9*7),Fact_Actual_Costs!$A$2:$A$100,"&lt;"&amp;MIN(Fact_Baseline_PV!$A$2:$A$44)+((9+1)*7))</f>
        <v>0</v>
      </c>
      <c r="O9" s="50">
        <f>SUMIFS(Fact_Actual_Costs!$E$2:$E$100,Fact_Actual_Costs!$B$2:$B$100,$A9,Fact_Actual_Costs!$A$2:$A$100,"&gt;="&amp;MIN(Fact_Baseline_PV!$A$2:$A$44)+(10*7),Fact_Actual_Costs!$A$2:$A$100,"&lt;"&amp;MIN(Fact_Baseline_PV!$A$2:$A$44)+((10+1)*7))</f>
        <v>0</v>
      </c>
      <c r="P9" s="50">
        <f>SUMIFS(Fact_Actual_Costs!$E$2:$E$100,Fact_Actual_Costs!$B$2:$B$100,$A9,Fact_Actual_Costs!$A$2:$A$100,"&gt;="&amp;MIN(Fact_Baseline_PV!$A$2:$A$44)+(11*7),Fact_Actual_Costs!$A$2:$A$100,"&lt;"&amp;MIN(Fact_Baseline_PV!$A$2:$A$44)+((11+1)*7))</f>
        <v>0</v>
      </c>
      <c r="Q9" s="50">
        <f t="shared" si="0"/>
        <v>7.6</v>
      </c>
      <c r="R9" s="49">
        <f>VLOOKUP(A9,Dim_WBS!$A$2:$E$13,5,FALSE)</f>
        <v>19200</v>
      </c>
      <c r="S9" s="49">
        <f>SUMIFS(Fact_Actual_Costs!$D$2:$D$100,Fact_Actual_Costs!$B$2:$B$100,A9,Fact_Actual_Costs!$A$2:$A$100,"&lt;="&amp;Setup!$B$9)</f>
        <v>18195.04</v>
      </c>
      <c r="T9" s="49">
        <f t="shared" si="1"/>
        <v>1004.9599999999991</v>
      </c>
      <c r="U9" s="50">
        <f>IFERROR((R9*VLOOKUP(A9,'Task Plan'!$A$5:$K$16,11,FALSE))/S9,1)</f>
        <v>1.055232634827953</v>
      </c>
      <c r="V9" s="2" t="str">
        <f>IF(U9&lt;Setup!$B$12,"Red",IF(U9&lt;Setup!$B$13,"Amber","Green"))</f>
        <v>Green</v>
      </c>
      <c r="W9" s="2" t="s">
        <v>430</v>
      </c>
      <c r="X9" s="131" t="s">
        <v>549</v>
      </c>
      <c r="Y9" s="2"/>
      <c r="Z9" s="2"/>
    </row>
    <row r="10" spans="1:26" x14ac:dyDescent="0.35">
      <c r="A10" s="130" t="str">
        <f>Dim_WBS!A4</f>
        <v>WBS-03</v>
      </c>
      <c r="B10" s="2" t="str">
        <f>Dim_WBS!C4</f>
        <v>Design &amp; Engineering</v>
      </c>
      <c r="C10" s="2" t="str">
        <f>Dim_WBS!D4</f>
        <v>Labor</v>
      </c>
      <c r="D10" s="2" t="s">
        <v>550</v>
      </c>
      <c r="E10" s="50">
        <f>SUMIFS(Fact_Actual_Costs!$D$2:$D$100,Fact_Actual_Costs!$B$2:$B$100,$A10,Fact_Actual_Costs!$A$2:$A$100,"&gt;="&amp;MIN(Fact_Baseline_PV!$A$2:$A$44)+(0*7),Fact_Actual_Costs!$A$2:$A$100,"&lt;"&amp;MIN(Fact_Baseline_PV!$A$2:$A$44)+((0+1)*7))</f>
        <v>5995.04</v>
      </c>
      <c r="F10" s="50">
        <f>SUMIFS(Fact_Actual_Costs!$D$2:$D$100,Fact_Actual_Costs!$B$2:$B$100,$A10,Fact_Actual_Costs!$A$2:$A$100,"&gt;="&amp;MIN(Fact_Baseline_PV!$A$2:$A$44)+(1*7),Fact_Actual_Costs!$A$2:$A$100,"&lt;"&amp;MIN(Fact_Baseline_PV!$A$2:$A$44)+((1+1)*7))</f>
        <v>6000</v>
      </c>
      <c r="G10" s="50">
        <f>SUMIFS(Fact_Actual_Costs!$D$2:$D$100,Fact_Actual_Costs!$B$2:$B$100,$A10,Fact_Actual_Costs!$A$2:$A$100,"&gt;="&amp;MIN(Fact_Baseline_PV!$A$2:$A$44)+(2*7),Fact_Actual_Costs!$A$2:$A$100,"&lt;"&amp;MIN(Fact_Baseline_PV!$A$2:$A$44)+((2+1)*7))</f>
        <v>6200</v>
      </c>
      <c r="H10" s="50">
        <f>SUMIFS(Fact_Actual_Costs!$D$2:$D$100,Fact_Actual_Costs!$B$2:$B$100,$A10,Fact_Actual_Costs!$A$2:$A$100,"&gt;="&amp;MIN(Fact_Baseline_PV!$A$2:$A$44)+(3*7),Fact_Actual_Costs!$A$2:$A$100,"&lt;"&amp;MIN(Fact_Baseline_PV!$A$2:$A$44)+((3+1)*7))</f>
        <v>0</v>
      </c>
      <c r="I10" s="50">
        <f>SUMIFS(Fact_Actual_Costs!$D$2:$D$100,Fact_Actual_Costs!$B$2:$B$100,$A10,Fact_Actual_Costs!$A$2:$A$100,"&gt;="&amp;MIN(Fact_Baseline_PV!$A$2:$A$44)+(4*7),Fact_Actual_Costs!$A$2:$A$100,"&lt;"&amp;MIN(Fact_Baseline_PV!$A$2:$A$44)+((4+1)*7))</f>
        <v>0</v>
      </c>
      <c r="J10" s="50">
        <f>SUMIFS(Fact_Actual_Costs!$D$2:$D$100,Fact_Actual_Costs!$B$2:$B$100,$A10,Fact_Actual_Costs!$A$2:$A$100,"&gt;="&amp;MIN(Fact_Baseline_PV!$A$2:$A$44)+(5*7),Fact_Actual_Costs!$A$2:$A$100,"&lt;"&amp;MIN(Fact_Baseline_PV!$A$2:$A$44)+((5+1)*7))</f>
        <v>0</v>
      </c>
      <c r="K10" s="50">
        <f>SUMIFS(Fact_Actual_Costs!$D$2:$D$100,Fact_Actual_Costs!$B$2:$B$100,$A10,Fact_Actual_Costs!$A$2:$A$100,"&gt;="&amp;MIN(Fact_Baseline_PV!$A$2:$A$44)+(6*7),Fact_Actual_Costs!$A$2:$A$100,"&lt;"&amp;MIN(Fact_Baseline_PV!$A$2:$A$44)+((6+1)*7))</f>
        <v>0</v>
      </c>
      <c r="L10" s="50">
        <f>SUMIFS(Fact_Actual_Costs!$D$2:$D$100,Fact_Actual_Costs!$B$2:$B$100,$A10,Fact_Actual_Costs!$A$2:$A$100,"&gt;="&amp;MIN(Fact_Baseline_PV!$A$2:$A$44)+(7*7),Fact_Actual_Costs!$A$2:$A$100,"&lt;"&amp;MIN(Fact_Baseline_PV!$A$2:$A$44)+((7+1)*7))</f>
        <v>0</v>
      </c>
      <c r="M10" s="50">
        <f>SUMIFS(Fact_Actual_Costs!$D$2:$D$100,Fact_Actual_Costs!$B$2:$B$100,$A10,Fact_Actual_Costs!$A$2:$A$100,"&gt;="&amp;MIN(Fact_Baseline_PV!$A$2:$A$44)+(8*7),Fact_Actual_Costs!$A$2:$A$100,"&lt;"&amp;MIN(Fact_Baseline_PV!$A$2:$A$44)+((8+1)*7))</f>
        <v>0</v>
      </c>
      <c r="N10" s="50">
        <f>SUMIFS(Fact_Actual_Costs!$D$2:$D$100,Fact_Actual_Costs!$B$2:$B$100,$A10,Fact_Actual_Costs!$A$2:$A$100,"&gt;="&amp;MIN(Fact_Baseline_PV!$A$2:$A$44)+(9*7),Fact_Actual_Costs!$A$2:$A$100,"&lt;"&amp;MIN(Fact_Baseline_PV!$A$2:$A$44)+((9+1)*7))</f>
        <v>0</v>
      </c>
      <c r="O10" s="50">
        <f>SUMIFS(Fact_Actual_Costs!$D$2:$D$100,Fact_Actual_Costs!$B$2:$B$100,$A10,Fact_Actual_Costs!$A$2:$A$100,"&gt;="&amp;MIN(Fact_Baseline_PV!$A$2:$A$44)+(10*7),Fact_Actual_Costs!$A$2:$A$100,"&lt;"&amp;MIN(Fact_Baseline_PV!$A$2:$A$44)+((10+1)*7))</f>
        <v>0</v>
      </c>
      <c r="P10" s="50">
        <f>SUMIFS(Fact_Actual_Costs!$D$2:$D$100,Fact_Actual_Costs!$B$2:$B$100,$A10,Fact_Actual_Costs!$A$2:$A$100,"&gt;="&amp;MIN(Fact_Baseline_PV!$A$2:$A$44)+(11*7),Fact_Actual_Costs!$A$2:$A$100,"&lt;"&amp;MIN(Fact_Baseline_PV!$A$2:$A$44)+((11+1)*7))</f>
        <v>0</v>
      </c>
      <c r="Q10" s="50">
        <f t="shared" si="0"/>
        <v>18195.04</v>
      </c>
      <c r="R10" s="49">
        <f>VLOOKUP(A10,Dim_WBS!$A$2:$E$13,5,FALSE)</f>
        <v>19200</v>
      </c>
      <c r="S10" s="49">
        <f>SUMIFS(Fact_Actual_Costs!$D$2:$D$100,Fact_Actual_Costs!$B$2:$B$100,A10,Fact_Actual_Costs!$A$2:$A$100,"&lt;="&amp;Setup!$B$9)</f>
        <v>18195.04</v>
      </c>
      <c r="T10" s="49">
        <f t="shared" si="1"/>
        <v>1004.9599999999991</v>
      </c>
      <c r="U10" s="50">
        <f>IFERROR((R10*VLOOKUP(A10,'Task Plan'!$A$5:$K$16,11,FALSE))/S10,1)</f>
        <v>1.055232634827953</v>
      </c>
      <c r="V10" s="2" t="str">
        <f>IF(U10&lt;Setup!$B$12,"Red",IF(U10&lt;Setup!$B$13,"Amber","Green"))</f>
        <v>Green</v>
      </c>
      <c r="W10" s="2" t="s">
        <v>430</v>
      </c>
      <c r="X10" s="131" t="s">
        <v>551</v>
      </c>
      <c r="Y10" s="2"/>
      <c r="Z10" s="2"/>
    </row>
    <row r="11" spans="1:26" x14ac:dyDescent="0.35">
      <c r="A11" s="130" t="str">
        <f>Dim_WBS!A5</f>
        <v>WBS-04</v>
      </c>
      <c r="B11" s="2" t="str">
        <f>Dim_WBS!C5</f>
        <v>Procurement - Materials</v>
      </c>
      <c r="C11" s="2" t="str">
        <f>Dim_WBS!D5</f>
        <v>Material</v>
      </c>
      <c r="D11" s="2" t="s">
        <v>548</v>
      </c>
      <c r="E11" s="50">
        <f>SUMIFS(Fact_Actual_Costs!$E$2:$E$100,Fact_Actual_Costs!$B$2:$B$100,$A11,Fact_Actual_Costs!$A$2:$A$100,"&gt;="&amp;MIN(Fact_Baseline_PV!$A$2:$A$44)+(0*7),Fact_Actual_Costs!$A$2:$A$100,"&lt;"&amp;MIN(Fact_Baseline_PV!$A$2:$A$44)+((0+1)*7))</f>
        <v>0</v>
      </c>
      <c r="F11" s="50">
        <f>SUMIFS(Fact_Actual_Costs!$E$2:$E$100,Fact_Actual_Costs!$B$2:$B$100,$A11,Fact_Actual_Costs!$A$2:$A$100,"&gt;="&amp;MIN(Fact_Baseline_PV!$A$2:$A$44)+(1*7),Fact_Actual_Costs!$A$2:$A$100,"&lt;"&amp;MIN(Fact_Baseline_PV!$A$2:$A$44)+((1+1)*7))</f>
        <v>0</v>
      </c>
      <c r="G11" s="50">
        <f>SUMIFS(Fact_Actual_Costs!$E$2:$E$100,Fact_Actual_Costs!$B$2:$B$100,$A11,Fact_Actual_Costs!$A$2:$A$100,"&gt;="&amp;MIN(Fact_Baseline_PV!$A$2:$A$44)+(2*7),Fact_Actual_Costs!$A$2:$A$100,"&lt;"&amp;MIN(Fact_Baseline_PV!$A$2:$A$44)+((2+1)*7))</f>
        <v>0</v>
      </c>
      <c r="H11" s="50">
        <f>SUMIFS(Fact_Actual_Costs!$E$2:$E$100,Fact_Actual_Costs!$B$2:$B$100,$A11,Fact_Actual_Costs!$A$2:$A$100,"&gt;="&amp;MIN(Fact_Baseline_PV!$A$2:$A$44)+(3*7),Fact_Actual_Costs!$A$2:$A$100,"&lt;"&amp;MIN(Fact_Baseline_PV!$A$2:$A$44)+((3+1)*7))</f>
        <v>0</v>
      </c>
      <c r="I11" s="50">
        <f>SUMIFS(Fact_Actual_Costs!$E$2:$E$100,Fact_Actual_Costs!$B$2:$B$100,$A11,Fact_Actual_Costs!$A$2:$A$100,"&gt;="&amp;MIN(Fact_Baseline_PV!$A$2:$A$44)+(4*7),Fact_Actual_Costs!$A$2:$A$100,"&lt;"&amp;MIN(Fact_Baseline_PV!$A$2:$A$44)+((4+1)*7))</f>
        <v>0</v>
      </c>
      <c r="J11" s="50">
        <f>SUMIFS(Fact_Actual_Costs!$E$2:$E$100,Fact_Actual_Costs!$B$2:$B$100,$A11,Fact_Actual_Costs!$A$2:$A$100,"&gt;="&amp;MIN(Fact_Baseline_PV!$A$2:$A$44)+(5*7),Fact_Actual_Costs!$A$2:$A$100,"&lt;"&amp;MIN(Fact_Baseline_PV!$A$2:$A$44)+((5+1)*7))</f>
        <v>0</v>
      </c>
      <c r="K11" s="50">
        <f>SUMIFS(Fact_Actual_Costs!$E$2:$E$100,Fact_Actual_Costs!$B$2:$B$100,$A11,Fact_Actual_Costs!$A$2:$A$100,"&gt;="&amp;MIN(Fact_Baseline_PV!$A$2:$A$44)+(6*7),Fact_Actual_Costs!$A$2:$A$100,"&lt;"&amp;MIN(Fact_Baseline_PV!$A$2:$A$44)+((6+1)*7))</f>
        <v>0</v>
      </c>
      <c r="L11" s="50">
        <f>SUMIFS(Fact_Actual_Costs!$E$2:$E$100,Fact_Actual_Costs!$B$2:$B$100,$A11,Fact_Actual_Costs!$A$2:$A$100,"&gt;="&amp;MIN(Fact_Baseline_PV!$A$2:$A$44)+(7*7),Fact_Actual_Costs!$A$2:$A$100,"&lt;"&amp;MIN(Fact_Baseline_PV!$A$2:$A$44)+((7+1)*7))</f>
        <v>0</v>
      </c>
      <c r="M11" s="50">
        <f>SUMIFS(Fact_Actual_Costs!$E$2:$E$100,Fact_Actual_Costs!$B$2:$B$100,$A11,Fact_Actual_Costs!$A$2:$A$100,"&gt;="&amp;MIN(Fact_Baseline_PV!$A$2:$A$44)+(8*7),Fact_Actual_Costs!$A$2:$A$100,"&lt;"&amp;MIN(Fact_Baseline_PV!$A$2:$A$44)+((8+1)*7))</f>
        <v>0</v>
      </c>
      <c r="N11" s="50">
        <f>SUMIFS(Fact_Actual_Costs!$E$2:$E$100,Fact_Actual_Costs!$B$2:$B$100,$A11,Fact_Actual_Costs!$A$2:$A$100,"&gt;="&amp;MIN(Fact_Baseline_PV!$A$2:$A$44)+(9*7),Fact_Actual_Costs!$A$2:$A$100,"&lt;"&amp;MIN(Fact_Baseline_PV!$A$2:$A$44)+((9+1)*7))</f>
        <v>0</v>
      </c>
      <c r="O11" s="50">
        <f>SUMIFS(Fact_Actual_Costs!$E$2:$E$100,Fact_Actual_Costs!$B$2:$B$100,$A11,Fact_Actual_Costs!$A$2:$A$100,"&gt;="&amp;MIN(Fact_Baseline_PV!$A$2:$A$44)+(10*7),Fact_Actual_Costs!$A$2:$A$100,"&lt;"&amp;MIN(Fact_Baseline_PV!$A$2:$A$44)+((10+1)*7))</f>
        <v>0</v>
      </c>
      <c r="P11" s="50">
        <f>SUMIFS(Fact_Actual_Costs!$E$2:$E$100,Fact_Actual_Costs!$B$2:$B$100,$A11,Fact_Actual_Costs!$A$2:$A$100,"&gt;="&amp;MIN(Fact_Baseline_PV!$A$2:$A$44)+(11*7),Fact_Actual_Costs!$A$2:$A$100,"&lt;"&amp;MIN(Fact_Baseline_PV!$A$2:$A$44)+((11+1)*7))</f>
        <v>0</v>
      </c>
      <c r="Q11" s="50">
        <f t="shared" si="0"/>
        <v>0</v>
      </c>
      <c r="R11" s="49">
        <f>VLOOKUP(A11,Dim_WBS!$A$2:$E$13,5,FALSE)</f>
        <v>42000</v>
      </c>
      <c r="S11" s="49">
        <f>SUMIFS(Fact_Actual_Costs!$D$2:$D$100,Fact_Actual_Costs!$B$2:$B$100,A11,Fact_Actual_Costs!$A$2:$A$100,"&lt;="&amp;Setup!$B$9)</f>
        <v>41300</v>
      </c>
      <c r="T11" s="49">
        <f t="shared" si="1"/>
        <v>700</v>
      </c>
      <c r="U11" s="50">
        <f>IFERROR((R11*VLOOKUP(A11,'Task Plan'!$A$5:$K$16,11,FALSE))/S11,1)</f>
        <v>1.0169491525423728</v>
      </c>
      <c r="V11" s="2" t="str">
        <f>IF(U11&lt;Setup!$B$12,"Red",IF(U11&lt;Setup!$B$13,"Amber","Green"))</f>
        <v>Green</v>
      </c>
      <c r="W11" s="2" t="s">
        <v>430</v>
      </c>
      <c r="X11" s="131" t="s">
        <v>549</v>
      </c>
      <c r="Y11" s="2"/>
      <c r="Z11" s="2"/>
    </row>
    <row r="12" spans="1:26" x14ac:dyDescent="0.35">
      <c r="A12" s="130" t="str">
        <f>Dim_WBS!A5</f>
        <v>WBS-04</v>
      </c>
      <c r="B12" s="2" t="str">
        <f>Dim_WBS!C5</f>
        <v>Procurement - Materials</v>
      </c>
      <c r="C12" s="2" t="str">
        <f>Dim_WBS!D5</f>
        <v>Material</v>
      </c>
      <c r="D12" s="2" t="s">
        <v>550</v>
      </c>
      <c r="E12" s="50">
        <f>SUMIFS(Fact_Actual_Costs!$D$2:$D$100,Fact_Actual_Costs!$B$2:$B$100,$A12,Fact_Actual_Costs!$A$2:$A$100,"&gt;="&amp;MIN(Fact_Baseline_PV!$A$2:$A$44)+(0*7),Fact_Actual_Costs!$A$2:$A$100,"&lt;"&amp;MIN(Fact_Baseline_PV!$A$2:$A$44)+((0+1)*7))</f>
        <v>0</v>
      </c>
      <c r="F12" s="50">
        <f>SUMIFS(Fact_Actual_Costs!$D$2:$D$100,Fact_Actual_Costs!$B$2:$B$100,$A12,Fact_Actual_Costs!$A$2:$A$100,"&gt;="&amp;MIN(Fact_Baseline_PV!$A$2:$A$44)+(1*7),Fact_Actual_Costs!$A$2:$A$100,"&lt;"&amp;MIN(Fact_Baseline_PV!$A$2:$A$44)+((1+1)*7))</f>
        <v>10500</v>
      </c>
      <c r="G12" s="50">
        <f>SUMIFS(Fact_Actual_Costs!$D$2:$D$100,Fact_Actual_Costs!$B$2:$B$100,$A12,Fact_Actual_Costs!$A$2:$A$100,"&gt;="&amp;MIN(Fact_Baseline_PV!$A$2:$A$44)+(2*7),Fact_Actual_Costs!$A$2:$A$100,"&lt;"&amp;MIN(Fact_Baseline_PV!$A$2:$A$44)+((2+1)*7))</f>
        <v>10200</v>
      </c>
      <c r="H12" s="50">
        <f>SUMIFS(Fact_Actual_Costs!$D$2:$D$100,Fact_Actual_Costs!$B$2:$B$100,$A12,Fact_Actual_Costs!$A$2:$A$100,"&gt;="&amp;MIN(Fact_Baseline_PV!$A$2:$A$44)+(3*7),Fact_Actual_Costs!$A$2:$A$100,"&lt;"&amp;MIN(Fact_Baseline_PV!$A$2:$A$44)+((3+1)*7))</f>
        <v>10200</v>
      </c>
      <c r="I12" s="50">
        <f>SUMIFS(Fact_Actual_Costs!$D$2:$D$100,Fact_Actual_Costs!$B$2:$B$100,$A12,Fact_Actual_Costs!$A$2:$A$100,"&gt;="&amp;MIN(Fact_Baseline_PV!$A$2:$A$44)+(4*7),Fact_Actual_Costs!$A$2:$A$100,"&lt;"&amp;MIN(Fact_Baseline_PV!$A$2:$A$44)+((4+1)*7))</f>
        <v>10400</v>
      </c>
      <c r="J12" s="50">
        <f>SUMIFS(Fact_Actual_Costs!$D$2:$D$100,Fact_Actual_Costs!$B$2:$B$100,$A12,Fact_Actual_Costs!$A$2:$A$100,"&gt;="&amp;MIN(Fact_Baseline_PV!$A$2:$A$44)+(5*7),Fact_Actual_Costs!$A$2:$A$100,"&lt;"&amp;MIN(Fact_Baseline_PV!$A$2:$A$44)+((5+1)*7))</f>
        <v>0</v>
      </c>
      <c r="K12" s="50">
        <f>SUMIFS(Fact_Actual_Costs!$D$2:$D$100,Fact_Actual_Costs!$B$2:$B$100,$A12,Fact_Actual_Costs!$A$2:$A$100,"&gt;="&amp;MIN(Fact_Baseline_PV!$A$2:$A$44)+(6*7),Fact_Actual_Costs!$A$2:$A$100,"&lt;"&amp;MIN(Fact_Baseline_PV!$A$2:$A$44)+((6+1)*7))</f>
        <v>0</v>
      </c>
      <c r="L12" s="50">
        <f>SUMIFS(Fact_Actual_Costs!$D$2:$D$100,Fact_Actual_Costs!$B$2:$B$100,$A12,Fact_Actual_Costs!$A$2:$A$100,"&gt;="&amp;MIN(Fact_Baseline_PV!$A$2:$A$44)+(7*7),Fact_Actual_Costs!$A$2:$A$100,"&lt;"&amp;MIN(Fact_Baseline_PV!$A$2:$A$44)+((7+1)*7))</f>
        <v>0</v>
      </c>
      <c r="M12" s="50">
        <f>SUMIFS(Fact_Actual_Costs!$D$2:$D$100,Fact_Actual_Costs!$B$2:$B$100,$A12,Fact_Actual_Costs!$A$2:$A$100,"&gt;="&amp;MIN(Fact_Baseline_PV!$A$2:$A$44)+(8*7),Fact_Actual_Costs!$A$2:$A$100,"&lt;"&amp;MIN(Fact_Baseline_PV!$A$2:$A$44)+((8+1)*7))</f>
        <v>0</v>
      </c>
      <c r="N12" s="50">
        <f>SUMIFS(Fact_Actual_Costs!$D$2:$D$100,Fact_Actual_Costs!$B$2:$B$100,$A12,Fact_Actual_Costs!$A$2:$A$100,"&gt;="&amp;MIN(Fact_Baseline_PV!$A$2:$A$44)+(9*7),Fact_Actual_Costs!$A$2:$A$100,"&lt;"&amp;MIN(Fact_Baseline_PV!$A$2:$A$44)+((9+1)*7))</f>
        <v>0</v>
      </c>
      <c r="O12" s="50">
        <f>SUMIFS(Fact_Actual_Costs!$D$2:$D$100,Fact_Actual_Costs!$B$2:$B$100,$A12,Fact_Actual_Costs!$A$2:$A$100,"&gt;="&amp;MIN(Fact_Baseline_PV!$A$2:$A$44)+(10*7),Fact_Actual_Costs!$A$2:$A$100,"&lt;"&amp;MIN(Fact_Baseline_PV!$A$2:$A$44)+((10+1)*7))</f>
        <v>0</v>
      </c>
      <c r="P12" s="50">
        <f>SUMIFS(Fact_Actual_Costs!$D$2:$D$100,Fact_Actual_Costs!$B$2:$B$100,$A12,Fact_Actual_Costs!$A$2:$A$100,"&gt;="&amp;MIN(Fact_Baseline_PV!$A$2:$A$44)+(11*7),Fact_Actual_Costs!$A$2:$A$100,"&lt;"&amp;MIN(Fact_Baseline_PV!$A$2:$A$44)+((11+1)*7))</f>
        <v>0</v>
      </c>
      <c r="Q12" s="50">
        <f t="shared" si="0"/>
        <v>41300</v>
      </c>
      <c r="R12" s="49">
        <f>VLOOKUP(A12,Dim_WBS!$A$2:$E$13,5,FALSE)</f>
        <v>42000</v>
      </c>
      <c r="S12" s="49">
        <f>SUMIFS(Fact_Actual_Costs!$D$2:$D$100,Fact_Actual_Costs!$B$2:$B$100,A12,Fact_Actual_Costs!$A$2:$A$100,"&lt;="&amp;Setup!$B$9)</f>
        <v>41300</v>
      </c>
      <c r="T12" s="49">
        <f t="shared" si="1"/>
        <v>700</v>
      </c>
      <c r="U12" s="50">
        <f>IFERROR((R12*VLOOKUP(A12,'Task Plan'!$A$5:$K$16,11,FALSE))/S12,1)</f>
        <v>1.0169491525423728</v>
      </c>
      <c r="V12" s="2" t="str">
        <f>IF(U12&lt;Setup!$B$12,"Red",IF(U12&lt;Setup!$B$13,"Amber","Green"))</f>
        <v>Green</v>
      </c>
      <c r="W12" s="2" t="s">
        <v>430</v>
      </c>
      <c r="X12" s="131" t="s">
        <v>551</v>
      </c>
      <c r="Y12" s="2"/>
      <c r="Z12" s="2"/>
    </row>
    <row r="13" spans="1:26" x14ac:dyDescent="0.35">
      <c r="A13" s="130" t="str">
        <f>Dim_WBS!A6</f>
        <v>WBS-05</v>
      </c>
      <c r="B13" s="2" t="str">
        <f>Dim_WBS!C6</f>
        <v>Demolition &amp; Prep</v>
      </c>
      <c r="C13" s="2" t="str">
        <f>Dim_WBS!D6</f>
        <v>Labor</v>
      </c>
      <c r="D13" s="2" t="s">
        <v>548</v>
      </c>
      <c r="E13" s="50">
        <f>SUMIFS(Fact_Actual_Costs!$E$2:$E$100,Fact_Actual_Costs!$B$2:$B$100,$A13,Fact_Actual_Costs!$A$2:$A$100,"&gt;="&amp;MIN(Fact_Baseline_PV!$A$2:$A$44)+(0*7),Fact_Actual_Costs!$A$2:$A$100,"&lt;"&amp;MIN(Fact_Baseline_PV!$A$2:$A$44)+((0+1)*7))</f>
        <v>0</v>
      </c>
      <c r="F13" s="50">
        <f>SUMIFS(Fact_Actual_Costs!$E$2:$E$100,Fact_Actual_Costs!$B$2:$B$100,$A13,Fact_Actual_Costs!$A$2:$A$100,"&gt;="&amp;MIN(Fact_Baseline_PV!$A$2:$A$44)+(1*7),Fact_Actual_Costs!$A$2:$A$100,"&lt;"&amp;MIN(Fact_Baseline_PV!$A$2:$A$44)+((1+1)*7))</f>
        <v>2.0499999999999998</v>
      </c>
      <c r="G13" s="50">
        <f>SUMIFS(Fact_Actual_Costs!$E$2:$E$100,Fact_Actual_Costs!$B$2:$B$100,$A13,Fact_Actual_Costs!$A$2:$A$100,"&gt;="&amp;MIN(Fact_Baseline_PV!$A$2:$A$44)+(2*7),Fact_Actual_Costs!$A$2:$A$100,"&lt;"&amp;MIN(Fact_Baseline_PV!$A$2:$A$44)+((2+1)*7))</f>
        <v>2.1</v>
      </c>
      <c r="H13" s="50">
        <f>SUMIFS(Fact_Actual_Costs!$E$2:$E$100,Fact_Actual_Costs!$B$2:$B$100,$A13,Fact_Actual_Costs!$A$2:$A$100,"&gt;="&amp;MIN(Fact_Baseline_PV!$A$2:$A$44)+(3*7),Fact_Actual_Costs!$A$2:$A$100,"&lt;"&amp;MIN(Fact_Baseline_PV!$A$2:$A$44)+((3+1)*7))</f>
        <v>1.9</v>
      </c>
      <c r="I13" s="50">
        <f>SUMIFS(Fact_Actual_Costs!$E$2:$E$100,Fact_Actual_Costs!$B$2:$B$100,$A13,Fact_Actual_Costs!$A$2:$A$100,"&gt;="&amp;MIN(Fact_Baseline_PV!$A$2:$A$44)+(4*7),Fact_Actual_Costs!$A$2:$A$100,"&lt;"&amp;MIN(Fact_Baseline_PV!$A$2:$A$44)+((4+1)*7))</f>
        <v>0</v>
      </c>
      <c r="J13" s="50">
        <f>SUMIFS(Fact_Actual_Costs!$E$2:$E$100,Fact_Actual_Costs!$B$2:$B$100,$A13,Fact_Actual_Costs!$A$2:$A$100,"&gt;="&amp;MIN(Fact_Baseline_PV!$A$2:$A$44)+(5*7),Fact_Actual_Costs!$A$2:$A$100,"&lt;"&amp;MIN(Fact_Baseline_PV!$A$2:$A$44)+((5+1)*7))</f>
        <v>0</v>
      </c>
      <c r="K13" s="50">
        <f>SUMIFS(Fact_Actual_Costs!$E$2:$E$100,Fact_Actual_Costs!$B$2:$B$100,$A13,Fact_Actual_Costs!$A$2:$A$100,"&gt;="&amp;MIN(Fact_Baseline_PV!$A$2:$A$44)+(6*7),Fact_Actual_Costs!$A$2:$A$100,"&lt;"&amp;MIN(Fact_Baseline_PV!$A$2:$A$44)+((6+1)*7))</f>
        <v>0</v>
      </c>
      <c r="L13" s="50">
        <f>SUMIFS(Fact_Actual_Costs!$E$2:$E$100,Fact_Actual_Costs!$B$2:$B$100,$A13,Fact_Actual_Costs!$A$2:$A$100,"&gt;="&amp;MIN(Fact_Baseline_PV!$A$2:$A$44)+(7*7),Fact_Actual_Costs!$A$2:$A$100,"&lt;"&amp;MIN(Fact_Baseline_PV!$A$2:$A$44)+((7+1)*7))</f>
        <v>0</v>
      </c>
      <c r="M13" s="50">
        <f>SUMIFS(Fact_Actual_Costs!$E$2:$E$100,Fact_Actual_Costs!$B$2:$B$100,$A13,Fact_Actual_Costs!$A$2:$A$100,"&gt;="&amp;MIN(Fact_Baseline_PV!$A$2:$A$44)+(8*7),Fact_Actual_Costs!$A$2:$A$100,"&lt;"&amp;MIN(Fact_Baseline_PV!$A$2:$A$44)+((8+1)*7))</f>
        <v>0</v>
      </c>
      <c r="N13" s="50">
        <f>SUMIFS(Fact_Actual_Costs!$E$2:$E$100,Fact_Actual_Costs!$B$2:$B$100,$A13,Fact_Actual_Costs!$A$2:$A$100,"&gt;="&amp;MIN(Fact_Baseline_PV!$A$2:$A$44)+(9*7),Fact_Actual_Costs!$A$2:$A$100,"&lt;"&amp;MIN(Fact_Baseline_PV!$A$2:$A$44)+((9+1)*7))</f>
        <v>0</v>
      </c>
      <c r="O13" s="50">
        <f>SUMIFS(Fact_Actual_Costs!$E$2:$E$100,Fact_Actual_Costs!$B$2:$B$100,$A13,Fact_Actual_Costs!$A$2:$A$100,"&gt;="&amp;MIN(Fact_Baseline_PV!$A$2:$A$44)+(10*7),Fact_Actual_Costs!$A$2:$A$100,"&lt;"&amp;MIN(Fact_Baseline_PV!$A$2:$A$44)+((10+1)*7))</f>
        <v>0</v>
      </c>
      <c r="P13" s="50">
        <f>SUMIFS(Fact_Actual_Costs!$E$2:$E$100,Fact_Actual_Costs!$B$2:$B$100,$A13,Fact_Actual_Costs!$A$2:$A$100,"&gt;="&amp;MIN(Fact_Baseline_PV!$A$2:$A$44)+(11*7),Fact_Actual_Costs!$A$2:$A$100,"&lt;"&amp;MIN(Fact_Baseline_PV!$A$2:$A$44)+((11+1)*7))</f>
        <v>0</v>
      </c>
      <c r="Q13" s="50">
        <f t="shared" si="0"/>
        <v>6.0500000000000007</v>
      </c>
      <c r="R13" s="49">
        <f>VLOOKUP(A13,Dim_WBS!$A$2:$E$13,5,FALSE)</f>
        <v>13200</v>
      </c>
      <c r="S13" s="49">
        <f>SUMIFS(Fact_Actual_Costs!$D$2:$D$100,Fact_Actual_Costs!$B$2:$B$100,A13,Fact_Actual_Costs!$A$2:$A$100,"&lt;="&amp;Setup!$B$9)</f>
        <v>13408.159999999998</v>
      </c>
      <c r="T13" s="49">
        <f t="shared" si="1"/>
        <v>-208.15999999999804</v>
      </c>
      <c r="U13" s="50">
        <f>IFERROR((R13*VLOOKUP(A13,'Task Plan'!$A$5:$K$16,11,FALSE))/S13,1)</f>
        <v>0.98447512559516015</v>
      </c>
      <c r="V13" s="2" t="str">
        <f>IF(U13&lt;Setup!$B$12,"Red",IF(U13&lt;Setup!$B$13,"Amber","Green"))</f>
        <v>Amber</v>
      </c>
      <c r="W13" s="2" t="s">
        <v>430</v>
      </c>
      <c r="X13" s="131" t="s">
        <v>549</v>
      </c>
      <c r="Y13" s="2"/>
      <c r="Z13" s="2"/>
    </row>
    <row r="14" spans="1:26" x14ac:dyDescent="0.35">
      <c r="A14" s="130" t="str">
        <f>Dim_WBS!A6</f>
        <v>WBS-05</v>
      </c>
      <c r="B14" s="2" t="str">
        <f>Dim_WBS!C6</f>
        <v>Demolition &amp; Prep</v>
      </c>
      <c r="C14" s="2" t="str">
        <f>Dim_WBS!D6</f>
        <v>Labor</v>
      </c>
      <c r="D14" s="2" t="s">
        <v>550</v>
      </c>
      <c r="E14" s="50">
        <f>SUMIFS(Fact_Actual_Costs!$D$2:$D$100,Fact_Actual_Costs!$B$2:$B$100,$A14,Fact_Actual_Costs!$A$2:$A$100,"&gt;="&amp;MIN(Fact_Baseline_PV!$A$2:$A$44)+(0*7),Fact_Actual_Costs!$A$2:$A$100,"&lt;"&amp;MIN(Fact_Baseline_PV!$A$2:$A$44)+((0+1)*7))</f>
        <v>0</v>
      </c>
      <c r="F14" s="50">
        <f>SUMIFS(Fact_Actual_Costs!$D$2:$D$100,Fact_Actual_Costs!$B$2:$B$100,$A14,Fact_Actual_Costs!$A$2:$A$100,"&gt;="&amp;MIN(Fact_Baseline_PV!$A$2:$A$44)+(1*7),Fact_Actual_Costs!$A$2:$A$100,"&lt;"&amp;MIN(Fact_Baseline_PV!$A$2:$A$44)+((1+1)*7))</f>
        <v>4554.08</v>
      </c>
      <c r="G14" s="50">
        <f>SUMIFS(Fact_Actual_Costs!$D$2:$D$100,Fact_Actual_Costs!$B$2:$B$100,$A14,Fact_Actual_Costs!$A$2:$A$100,"&gt;="&amp;MIN(Fact_Baseline_PV!$A$2:$A$44)+(2*7),Fact_Actual_Costs!$A$2:$A$100,"&lt;"&amp;MIN(Fact_Baseline_PV!$A$2:$A$44)+((2+1)*7))</f>
        <v>4654.08</v>
      </c>
      <c r="H14" s="50">
        <f>SUMIFS(Fact_Actual_Costs!$D$2:$D$100,Fact_Actual_Costs!$B$2:$B$100,$A14,Fact_Actual_Costs!$A$2:$A$100,"&gt;="&amp;MIN(Fact_Baseline_PV!$A$2:$A$44)+(3*7),Fact_Actual_Costs!$A$2:$A$100,"&lt;"&amp;MIN(Fact_Baseline_PV!$A$2:$A$44)+((3+1)*7))</f>
        <v>4200</v>
      </c>
      <c r="I14" s="50">
        <f>SUMIFS(Fact_Actual_Costs!$D$2:$D$100,Fact_Actual_Costs!$B$2:$B$100,$A14,Fact_Actual_Costs!$A$2:$A$100,"&gt;="&amp;MIN(Fact_Baseline_PV!$A$2:$A$44)+(4*7),Fact_Actual_Costs!$A$2:$A$100,"&lt;"&amp;MIN(Fact_Baseline_PV!$A$2:$A$44)+((4+1)*7))</f>
        <v>0</v>
      </c>
      <c r="J14" s="50">
        <f>SUMIFS(Fact_Actual_Costs!$D$2:$D$100,Fact_Actual_Costs!$B$2:$B$100,$A14,Fact_Actual_Costs!$A$2:$A$100,"&gt;="&amp;MIN(Fact_Baseline_PV!$A$2:$A$44)+(5*7),Fact_Actual_Costs!$A$2:$A$100,"&lt;"&amp;MIN(Fact_Baseline_PV!$A$2:$A$44)+((5+1)*7))</f>
        <v>0</v>
      </c>
      <c r="K14" s="50">
        <f>SUMIFS(Fact_Actual_Costs!$D$2:$D$100,Fact_Actual_Costs!$B$2:$B$100,$A14,Fact_Actual_Costs!$A$2:$A$100,"&gt;="&amp;MIN(Fact_Baseline_PV!$A$2:$A$44)+(6*7),Fact_Actual_Costs!$A$2:$A$100,"&lt;"&amp;MIN(Fact_Baseline_PV!$A$2:$A$44)+((6+1)*7))</f>
        <v>0</v>
      </c>
      <c r="L14" s="50">
        <f>SUMIFS(Fact_Actual_Costs!$D$2:$D$100,Fact_Actual_Costs!$B$2:$B$100,$A14,Fact_Actual_Costs!$A$2:$A$100,"&gt;="&amp;MIN(Fact_Baseline_PV!$A$2:$A$44)+(7*7),Fact_Actual_Costs!$A$2:$A$100,"&lt;"&amp;MIN(Fact_Baseline_PV!$A$2:$A$44)+((7+1)*7))</f>
        <v>0</v>
      </c>
      <c r="M14" s="50">
        <f>SUMIFS(Fact_Actual_Costs!$D$2:$D$100,Fact_Actual_Costs!$B$2:$B$100,$A14,Fact_Actual_Costs!$A$2:$A$100,"&gt;="&amp;MIN(Fact_Baseline_PV!$A$2:$A$44)+(8*7),Fact_Actual_Costs!$A$2:$A$100,"&lt;"&amp;MIN(Fact_Baseline_PV!$A$2:$A$44)+((8+1)*7))</f>
        <v>0</v>
      </c>
      <c r="N14" s="50">
        <f>SUMIFS(Fact_Actual_Costs!$D$2:$D$100,Fact_Actual_Costs!$B$2:$B$100,$A14,Fact_Actual_Costs!$A$2:$A$100,"&gt;="&amp;MIN(Fact_Baseline_PV!$A$2:$A$44)+(9*7),Fact_Actual_Costs!$A$2:$A$100,"&lt;"&amp;MIN(Fact_Baseline_PV!$A$2:$A$44)+((9+1)*7))</f>
        <v>0</v>
      </c>
      <c r="O14" s="50">
        <f>SUMIFS(Fact_Actual_Costs!$D$2:$D$100,Fact_Actual_Costs!$B$2:$B$100,$A14,Fact_Actual_Costs!$A$2:$A$100,"&gt;="&amp;MIN(Fact_Baseline_PV!$A$2:$A$44)+(10*7),Fact_Actual_Costs!$A$2:$A$100,"&lt;"&amp;MIN(Fact_Baseline_PV!$A$2:$A$44)+((10+1)*7))</f>
        <v>0</v>
      </c>
      <c r="P14" s="50">
        <f>SUMIFS(Fact_Actual_Costs!$D$2:$D$100,Fact_Actual_Costs!$B$2:$B$100,$A14,Fact_Actual_Costs!$A$2:$A$100,"&gt;="&amp;MIN(Fact_Baseline_PV!$A$2:$A$44)+(11*7),Fact_Actual_Costs!$A$2:$A$100,"&lt;"&amp;MIN(Fact_Baseline_PV!$A$2:$A$44)+((11+1)*7))</f>
        <v>0</v>
      </c>
      <c r="Q14" s="50">
        <f t="shared" si="0"/>
        <v>13408.16</v>
      </c>
      <c r="R14" s="49">
        <f>VLOOKUP(A14,Dim_WBS!$A$2:$E$13,5,FALSE)</f>
        <v>13200</v>
      </c>
      <c r="S14" s="49">
        <f>SUMIFS(Fact_Actual_Costs!$D$2:$D$100,Fact_Actual_Costs!$B$2:$B$100,A14,Fact_Actual_Costs!$A$2:$A$100,"&lt;="&amp;Setup!$B$9)</f>
        <v>13408.159999999998</v>
      </c>
      <c r="T14" s="49">
        <f t="shared" si="1"/>
        <v>-208.15999999999804</v>
      </c>
      <c r="U14" s="50">
        <f>IFERROR((R14*VLOOKUP(A14,'Task Plan'!$A$5:$K$16,11,FALSE))/S14,1)</f>
        <v>0.98447512559516015</v>
      </c>
      <c r="V14" s="2" t="str">
        <f>IF(U14&lt;Setup!$B$12,"Red",IF(U14&lt;Setup!$B$13,"Amber","Green"))</f>
        <v>Amber</v>
      </c>
      <c r="W14" s="2" t="s">
        <v>430</v>
      </c>
      <c r="X14" s="131" t="s">
        <v>551</v>
      </c>
      <c r="Y14" s="2"/>
      <c r="Z14" s="2"/>
    </row>
    <row r="15" spans="1:26" x14ac:dyDescent="0.35">
      <c r="A15" s="130" t="str">
        <f>Dim_WBS!A7</f>
        <v>WBS-06</v>
      </c>
      <c r="B15" s="2" t="str">
        <f>Dim_WBS!C7</f>
        <v>Electrical Rough-In</v>
      </c>
      <c r="C15" s="2" t="str">
        <f>Dim_WBS!D7</f>
        <v>Labor</v>
      </c>
      <c r="D15" s="2" t="s">
        <v>548</v>
      </c>
      <c r="E15" s="50">
        <f>SUMIFS(Fact_Actual_Costs!$E$2:$E$100,Fact_Actual_Costs!$B$2:$B$100,$A15,Fact_Actual_Costs!$A$2:$A$100,"&gt;="&amp;MIN(Fact_Baseline_PV!$A$2:$A$44)+(0*7),Fact_Actual_Costs!$A$2:$A$100,"&lt;"&amp;MIN(Fact_Baseline_PV!$A$2:$A$44)+((0+1)*7))</f>
        <v>0</v>
      </c>
      <c r="F15" s="50">
        <f>SUMIFS(Fact_Actual_Costs!$E$2:$E$100,Fact_Actual_Costs!$B$2:$B$100,$A15,Fact_Actual_Costs!$A$2:$A$100,"&gt;="&amp;MIN(Fact_Baseline_PV!$A$2:$A$44)+(1*7),Fact_Actual_Costs!$A$2:$A$100,"&lt;"&amp;MIN(Fact_Baseline_PV!$A$2:$A$44)+((1+1)*7))</f>
        <v>0</v>
      </c>
      <c r="G15" s="50">
        <f>SUMIFS(Fact_Actual_Costs!$E$2:$E$100,Fact_Actual_Costs!$B$2:$B$100,$A15,Fact_Actual_Costs!$A$2:$A$100,"&gt;="&amp;MIN(Fact_Baseline_PV!$A$2:$A$44)+(2*7),Fact_Actual_Costs!$A$2:$A$100,"&lt;"&amp;MIN(Fact_Baseline_PV!$A$2:$A$44)+((2+1)*7))</f>
        <v>0</v>
      </c>
      <c r="H15" s="50">
        <f>SUMIFS(Fact_Actual_Costs!$E$2:$E$100,Fact_Actual_Costs!$B$2:$B$100,$A15,Fact_Actual_Costs!$A$2:$A$100,"&gt;="&amp;MIN(Fact_Baseline_PV!$A$2:$A$44)+(3*7),Fact_Actual_Costs!$A$2:$A$100,"&lt;"&amp;MIN(Fact_Baseline_PV!$A$2:$A$44)+((3+1)*7))</f>
        <v>3.4499999999999997</v>
      </c>
      <c r="I15" s="50">
        <f>SUMIFS(Fact_Actual_Costs!$E$2:$E$100,Fact_Actual_Costs!$B$2:$B$100,$A15,Fact_Actual_Costs!$A$2:$A$100,"&gt;="&amp;MIN(Fact_Baseline_PV!$A$2:$A$44)+(4*7),Fact_Actual_Costs!$A$2:$A$100,"&lt;"&amp;MIN(Fact_Baseline_PV!$A$2:$A$44)+((4+1)*7))</f>
        <v>3.4000000000000004</v>
      </c>
      <c r="J15" s="50">
        <f>SUMIFS(Fact_Actual_Costs!$E$2:$E$100,Fact_Actual_Costs!$B$2:$B$100,$A15,Fact_Actual_Costs!$A$2:$A$100,"&gt;="&amp;MIN(Fact_Baseline_PV!$A$2:$A$44)+(5*7),Fact_Actual_Costs!$A$2:$A$100,"&lt;"&amp;MIN(Fact_Baseline_PV!$A$2:$A$44)+((5+1)*7))</f>
        <v>3.25</v>
      </c>
      <c r="K15" s="50">
        <f>SUMIFS(Fact_Actual_Costs!$E$2:$E$100,Fact_Actual_Costs!$B$2:$B$100,$A15,Fact_Actual_Costs!$A$2:$A$100,"&gt;="&amp;MIN(Fact_Baseline_PV!$A$2:$A$44)+(6*7),Fact_Actual_Costs!$A$2:$A$100,"&lt;"&amp;MIN(Fact_Baseline_PV!$A$2:$A$44)+((6+1)*7))</f>
        <v>0</v>
      </c>
      <c r="L15" s="50">
        <f>SUMIFS(Fact_Actual_Costs!$E$2:$E$100,Fact_Actual_Costs!$B$2:$B$100,$A15,Fact_Actual_Costs!$A$2:$A$100,"&gt;="&amp;MIN(Fact_Baseline_PV!$A$2:$A$44)+(7*7),Fact_Actual_Costs!$A$2:$A$100,"&lt;"&amp;MIN(Fact_Baseline_PV!$A$2:$A$44)+((7+1)*7))</f>
        <v>0</v>
      </c>
      <c r="M15" s="50">
        <f>SUMIFS(Fact_Actual_Costs!$E$2:$E$100,Fact_Actual_Costs!$B$2:$B$100,$A15,Fact_Actual_Costs!$A$2:$A$100,"&gt;="&amp;MIN(Fact_Baseline_PV!$A$2:$A$44)+(8*7),Fact_Actual_Costs!$A$2:$A$100,"&lt;"&amp;MIN(Fact_Baseline_PV!$A$2:$A$44)+((8+1)*7))</f>
        <v>0</v>
      </c>
      <c r="N15" s="50">
        <f>SUMIFS(Fact_Actual_Costs!$E$2:$E$100,Fact_Actual_Costs!$B$2:$B$100,$A15,Fact_Actual_Costs!$A$2:$A$100,"&gt;="&amp;MIN(Fact_Baseline_PV!$A$2:$A$44)+(9*7),Fact_Actual_Costs!$A$2:$A$100,"&lt;"&amp;MIN(Fact_Baseline_PV!$A$2:$A$44)+((9+1)*7))</f>
        <v>0</v>
      </c>
      <c r="O15" s="50">
        <f>SUMIFS(Fact_Actual_Costs!$E$2:$E$100,Fact_Actual_Costs!$B$2:$B$100,$A15,Fact_Actual_Costs!$A$2:$A$100,"&gt;="&amp;MIN(Fact_Baseline_PV!$A$2:$A$44)+(10*7),Fact_Actual_Costs!$A$2:$A$100,"&lt;"&amp;MIN(Fact_Baseline_PV!$A$2:$A$44)+((10+1)*7))</f>
        <v>0</v>
      </c>
      <c r="P15" s="50">
        <f>SUMIFS(Fact_Actual_Costs!$E$2:$E$100,Fact_Actual_Costs!$B$2:$B$100,$A15,Fact_Actual_Costs!$A$2:$A$100,"&gt;="&amp;MIN(Fact_Baseline_PV!$A$2:$A$44)+(11*7),Fact_Actual_Costs!$A$2:$A$100,"&lt;"&amp;MIN(Fact_Baseline_PV!$A$2:$A$44)+((11+1)*7))</f>
        <v>0</v>
      </c>
      <c r="Q15" s="50">
        <f t="shared" si="0"/>
        <v>10.1</v>
      </c>
      <c r="R15" s="49">
        <f>VLOOKUP(A15,Dim_WBS!$A$2:$E$13,5,FALSE)</f>
        <v>26000</v>
      </c>
      <c r="S15" s="49">
        <f>SUMIFS(Fact_Actual_Costs!$D$2:$D$100,Fact_Actual_Costs!$B$2:$B$100,A15,Fact_Actual_Costs!$A$2:$A$100,"&lt;="&amp;Setup!$B$9)</f>
        <v>26206.239999999998</v>
      </c>
      <c r="T15" s="49">
        <f t="shared" si="1"/>
        <v>-206.23999999999796</v>
      </c>
      <c r="U15" s="50">
        <f>IFERROR((R15*VLOOKUP(A15,'Task Plan'!$A$5:$K$16,11,FALSE))/S15,1)</f>
        <v>0.69449108303976459</v>
      </c>
      <c r="V15" s="2" t="str">
        <f>IF(U15&lt;Setup!$B$12,"Red",IF(U15&lt;Setup!$B$13,"Amber","Green"))</f>
        <v>Red</v>
      </c>
      <c r="W15" s="2" t="s">
        <v>430</v>
      </c>
      <c r="X15" s="131" t="s">
        <v>549</v>
      </c>
      <c r="Y15" s="2"/>
      <c r="Z15" s="2"/>
    </row>
    <row r="16" spans="1:26" x14ac:dyDescent="0.35">
      <c r="A16" s="130" t="str">
        <f>Dim_WBS!A7</f>
        <v>WBS-06</v>
      </c>
      <c r="B16" s="2" t="str">
        <f>Dim_WBS!C7</f>
        <v>Electrical Rough-In</v>
      </c>
      <c r="C16" s="2" t="str">
        <f>Dim_WBS!D7</f>
        <v>Labor</v>
      </c>
      <c r="D16" s="2" t="s">
        <v>550</v>
      </c>
      <c r="E16" s="50">
        <f>SUMIFS(Fact_Actual_Costs!$D$2:$D$100,Fact_Actual_Costs!$B$2:$B$100,$A16,Fact_Actual_Costs!$A$2:$A$100,"&gt;="&amp;MIN(Fact_Baseline_PV!$A$2:$A$44)+(0*7),Fact_Actual_Costs!$A$2:$A$100,"&lt;"&amp;MIN(Fact_Baseline_PV!$A$2:$A$44)+((0+1)*7))</f>
        <v>0</v>
      </c>
      <c r="F16" s="50">
        <f>SUMIFS(Fact_Actual_Costs!$D$2:$D$100,Fact_Actual_Costs!$B$2:$B$100,$A16,Fact_Actual_Costs!$A$2:$A$100,"&gt;="&amp;MIN(Fact_Baseline_PV!$A$2:$A$44)+(1*7),Fact_Actual_Costs!$A$2:$A$100,"&lt;"&amp;MIN(Fact_Baseline_PV!$A$2:$A$44)+((1+1)*7))</f>
        <v>0</v>
      </c>
      <c r="G16" s="50">
        <f>SUMIFS(Fact_Actual_Costs!$D$2:$D$100,Fact_Actual_Costs!$B$2:$B$100,$A16,Fact_Actual_Costs!$A$2:$A$100,"&gt;="&amp;MIN(Fact_Baseline_PV!$A$2:$A$44)+(2*7),Fact_Actual_Costs!$A$2:$A$100,"&lt;"&amp;MIN(Fact_Baseline_PV!$A$2:$A$44)+((2+1)*7))</f>
        <v>0</v>
      </c>
      <c r="H16" s="50">
        <f>SUMIFS(Fact_Actual_Costs!$D$2:$D$100,Fact_Actual_Costs!$B$2:$B$100,$A16,Fact_Actual_Costs!$A$2:$A$100,"&gt;="&amp;MIN(Fact_Baseline_PV!$A$2:$A$44)+(3*7),Fact_Actual_Costs!$A$2:$A$100,"&lt;"&amp;MIN(Fact_Baseline_PV!$A$2:$A$44)+((3+1)*7))</f>
        <v>8906.24</v>
      </c>
      <c r="I16" s="50">
        <f>SUMIFS(Fact_Actual_Costs!$D$2:$D$100,Fact_Actual_Costs!$B$2:$B$100,$A16,Fact_Actual_Costs!$A$2:$A$100,"&gt;="&amp;MIN(Fact_Baseline_PV!$A$2:$A$44)+(4*7),Fact_Actual_Costs!$A$2:$A$100,"&lt;"&amp;MIN(Fact_Baseline_PV!$A$2:$A$44)+((4+1)*7))</f>
        <v>8800</v>
      </c>
      <c r="J16" s="50">
        <f>SUMIFS(Fact_Actual_Costs!$D$2:$D$100,Fact_Actual_Costs!$B$2:$B$100,$A16,Fact_Actual_Costs!$A$2:$A$100,"&gt;="&amp;MIN(Fact_Baseline_PV!$A$2:$A$44)+(5*7),Fact_Actual_Costs!$A$2:$A$100,"&lt;"&amp;MIN(Fact_Baseline_PV!$A$2:$A$44)+((5+1)*7))</f>
        <v>8500</v>
      </c>
      <c r="K16" s="50">
        <f>SUMIFS(Fact_Actual_Costs!$D$2:$D$100,Fact_Actual_Costs!$B$2:$B$100,$A16,Fact_Actual_Costs!$A$2:$A$100,"&gt;="&amp;MIN(Fact_Baseline_PV!$A$2:$A$44)+(6*7),Fact_Actual_Costs!$A$2:$A$100,"&lt;"&amp;MIN(Fact_Baseline_PV!$A$2:$A$44)+((6+1)*7))</f>
        <v>0</v>
      </c>
      <c r="L16" s="50">
        <f>SUMIFS(Fact_Actual_Costs!$D$2:$D$100,Fact_Actual_Costs!$B$2:$B$100,$A16,Fact_Actual_Costs!$A$2:$A$100,"&gt;="&amp;MIN(Fact_Baseline_PV!$A$2:$A$44)+(7*7),Fact_Actual_Costs!$A$2:$A$100,"&lt;"&amp;MIN(Fact_Baseline_PV!$A$2:$A$44)+((7+1)*7))</f>
        <v>0</v>
      </c>
      <c r="M16" s="50">
        <f>SUMIFS(Fact_Actual_Costs!$D$2:$D$100,Fact_Actual_Costs!$B$2:$B$100,$A16,Fact_Actual_Costs!$A$2:$A$100,"&gt;="&amp;MIN(Fact_Baseline_PV!$A$2:$A$44)+(8*7),Fact_Actual_Costs!$A$2:$A$100,"&lt;"&amp;MIN(Fact_Baseline_PV!$A$2:$A$44)+((8+1)*7))</f>
        <v>0</v>
      </c>
      <c r="N16" s="50">
        <f>SUMIFS(Fact_Actual_Costs!$D$2:$D$100,Fact_Actual_Costs!$B$2:$B$100,$A16,Fact_Actual_Costs!$A$2:$A$100,"&gt;="&amp;MIN(Fact_Baseline_PV!$A$2:$A$44)+(9*7),Fact_Actual_Costs!$A$2:$A$100,"&lt;"&amp;MIN(Fact_Baseline_PV!$A$2:$A$44)+((9+1)*7))</f>
        <v>0</v>
      </c>
      <c r="O16" s="50">
        <f>SUMIFS(Fact_Actual_Costs!$D$2:$D$100,Fact_Actual_Costs!$B$2:$B$100,$A16,Fact_Actual_Costs!$A$2:$A$100,"&gt;="&amp;MIN(Fact_Baseline_PV!$A$2:$A$44)+(10*7),Fact_Actual_Costs!$A$2:$A$100,"&lt;"&amp;MIN(Fact_Baseline_PV!$A$2:$A$44)+((10+1)*7))</f>
        <v>0</v>
      </c>
      <c r="P16" s="50">
        <f>SUMIFS(Fact_Actual_Costs!$D$2:$D$100,Fact_Actual_Costs!$B$2:$B$100,$A16,Fact_Actual_Costs!$A$2:$A$100,"&gt;="&amp;MIN(Fact_Baseline_PV!$A$2:$A$44)+(11*7),Fact_Actual_Costs!$A$2:$A$100,"&lt;"&amp;MIN(Fact_Baseline_PV!$A$2:$A$44)+((11+1)*7))</f>
        <v>0</v>
      </c>
      <c r="Q16" s="50">
        <f t="shared" si="0"/>
        <v>26206.239999999998</v>
      </c>
      <c r="R16" s="49">
        <f>VLOOKUP(A16,Dim_WBS!$A$2:$E$13,5,FALSE)</f>
        <v>26000</v>
      </c>
      <c r="S16" s="49">
        <f>SUMIFS(Fact_Actual_Costs!$D$2:$D$100,Fact_Actual_Costs!$B$2:$B$100,A16,Fact_Actual_Costs!$A$2:$A$100,"&lt;="&amp;Setup!$B$9)</f>
        <v>26206.239999999998</v>
      </c>
      <c r="T16" s="49">
        <f t="shared" si="1"/>
        <v>-206.23999999999796</v>
      </c>
      <c r="U16" s="50">
        <f>IFERROR((R16*VLOOKUP(A16,'Task Plan'!$A$5:$K$16,11,FALSE))/S16,1)</f>
        <v>0.69449108303976459</v>
      </c>
      <c r="V16" s="2" t="str">
        <f>IF(U16&lt;Setup!$B$12,"Red",IF(U16&lt;Setup!$B$13,"Amber","Green"))</f>
        <v>Red</v>
      </c>
      <c r="W16" s="2" t="s">
        <v>430</v>
      </c>
      <c r="X16" s="131" t="s">
        <v>551</v>
      </c>
      <c r="Y16" s="2"/>
      <c r="Z16" s="2"/>
    </row>
    <row r="17" spans="1:26" x14ac:dyDescent="0.35">
      <c r="A17" s="130" t="str">
        <f>Dim_WBS!A8</f>
        <v>WBS-07</v>
      </c>
      <c r="B17" s="2" t="str">
        <f>Dim_WBS!C8</f>
        <v>HVAC Installation</v>
      </c>
      <c r="C17" s="2" t="str">
        <f>Dim_WBS!D8</f>
        <v>Subcontractor</v>
      </c>
      <c r="D17" s="2" t="s">
        <v>548</v>
      </c>
      <c r="E17" s="50">
        <f>SUMIFS(Fact_Actual_Costs!$E$2:$E$100,Fact_Actual_Costs!$B$2:$B$100,$A17,Fact_Actual_Costs!$A$2:$A$100,"&gt;="&amp;MIN(Fact_Baseline_PV!$A$2:$A$44)+(0*7),Fact_Actual_Costs!$A$2:$A$100,"&lt;"&amp;MIN(Fact_Baseline_PV!$A$2:$A$44)+((0+1)*7))</f>
        <v>0</v>
      </c>
      <c r="F17" s="50">
        <f>SUMIFS(Fact_Actual_Costs!$E$2:$E$100,Fact_Actual_Costs!$B$2:$B$100,$A17,Fact_Actual_Costs!$A$2:$A$100,"&gt;="&amp;MIN(Fact_Baseline_PV!$A$2:$A$44)+(1*7),Fact_Actual_Costs!$A$2:$A$100,"&lt;"&amp;MIN(Fact_Baseline_PV!$A$2:$A$44)+((1+1)*7))</f>
        <v>0</v>
      </c>
      <c r="G17" s="50">
        <f>SUMIFS(Fact_Actual_Costs!$E$2:$E$100,Fact_Actual_Costs!$B$2:$B$100,$A17,Fact_Actual_Costs!$A$2:$A$100,"&gt;="&amp;MIN(Fact_Baseline_PV!$A$2:$A$44)+(2*7),Fact_Actual_Costs!$A$2:$A$100,"&lt;"&amp;MIN(Fact_Baseline_PV!$A$2:$A$44)+((2+1)*7))</f>
        <v>0</v>
      </c>
      <c r="H17" s="50">
        <f>SUMIFS(Fact_Actual_Costs!$E$2:$E$100,Fact_Actual_Costs!$B$2:$B$100,$A17,Fact_Actual_Costs!$A$2:$A$100,"&gt;="&amp;MIN(Fact_Baseline_PV!$A$2:$A$44)+(3*7),Fact_Actual_Costs!$A$2:$A$100,"&lt;"&amp;MIN(Fact_Baseline_PV!$A$2:$A$44)+((3+1)*7))</f>
        <v>0</v>
      </c>
      <c r="I17" s="50">
        <f>SUMIFS(Fact_Actual_Costs!$E$2:$E$100,Fact_Actual_Costs!$B$2:$B$100,$A17,Fact_Actual_Costs!$A$2:$A$100,"&gt;="&amp;MIN(Fact_Baseline_PV!$A$2:$A$44)+(4*7),Fact_Actual_Costs!$A$2:$A$100,"&lt;"&amp;MIN(Fact_Baseline_PV!$A$2:$A$44)+((4+1)*7))</f>
        <v>0</v>
      </c>
      <c r="J17" s="50">
        <f>SUMIFS(Fact_Actual_Costs!$E$2:$E$100,Fact_Actual_Costs!$B$2:$B$100,$A17,Fact_Actual_Costs!$A$2:$A$100,"&gt;="&amp;MIN(Fact_Baseline_PV!$A$2:$A$44)+(5*7),Fact_Actual_Costs!$A$2:$A$100,"&lt;"&amp;MIN(Fact_Baseline_PV!$A$2:$A$44)+((5+1)*7))</f>
        <v>0</v>
      </c>
      <c r="K17" s="50">
        <f>SUMIFS(Fact_Actual_Costs!$E$2:$E$100,Fact_Actual_Costs!$B$2:$B$100,$A17,Fact_Actual_Costs!$A$2:$A$100,"&gt;="&amp;MIN(Fact_Baseline_PV!$A$2:$A$44)+(6*7),Fact_Actual_Costs!$A$2:$A$100,"&lt;"&amp;MIN(Fact_Baseline_PV!$A$2:$A$44)+((6+1)*7))</f>
        <v>0</v>
      </c>
      <c r="L17" s="50">
        <f>SUMIFS(Fact_Actual_Costs!$E$2:$E$100,Fact_Actual_Costs!$B$2:$B$100,$A17,Fact_Actual_Costs!$A$2:$A$100,"&gt;="&amp;MIN(Fact_Baseline_PV!$A$2:$A$44)+(7*7),Fact_Actual_Costs!$A$2:$A$100,"&lt;"&amp;MIN(Fact_Baseline_PV!$A$2:$A$44)+((7+1)*7))</f>
        <v>0</v>
      </c>
      <c r="M17" s="50">
        <f>SUMIFS(Fact_Actual_Costs!$E$2:$E$100,Fact_Actual_Costs!$B$2:$B$100,$A17,Fact_Actual_Costs!$A$2:$A$100,"&gt;="&amp;MIN(Fact_Baseline_PV!$A$2:$A$44)+(8*7),Fact_Actual_Costs!$A$2:$A$100,"&lt;"&amp;MIN(Fact_Baseline_PV!$A$2:$A$44)+((8+1)*7))</f>
        <v>0</v>
      </c>
      <c r="N17" s="50">
        <f>SUMIFS(Fact_Actual_Costs!$E$2:$E$100,Fact_Actual_Costs!$B$2:$B$100,$A17,Fact_Actual_Costs!$A$2:$A$100,"&gt;="&amp;MIN(Fact_Baseline_PV!$A$2:$A$44)+(9*7),Fact_Actual_Costs!$A$2:$A$100,"&lt;"&amp;MIN(Fact_Baseline_PV!$A$2:$A$44)+((9+1)*7))</f>
        <v>0</v>
      </c>
      <c r="O17" s="50">
        <f>SUMIFS(Fact_Actual_Costs!$E$2:$E$100,Fact_Actual_Costs!$B$2:$B$100,$A17,Fact_Actual_Costs!$A$2:$A$100,"&gt;="&amp;MIN(Fact_Baseline_PV!$A$2:$A$44)+(10*7),Fact_Actual_Costs!$A$2:$A$100,"&lt;"&amp;MIN(Fact_Baseline_PV!$A$2:$A$44)+((10+1)*7))</f>
        <v>0</v>
      </c>
      <c r="P17" s="50">
        <f>SUMIFS(Fact_Actual_Costs!$E$2:$E$100,Fact_Actual_Costs!$B$2:$B$100,$A17,Fact_Actual_Costs!$A$2:$A$100,"&gt;="&amp;MIN(Fact_Baseline_PV!$A$2:$A$44)+(11*7),Fact_Actual_Costs!$A$2:$A$100,"&lt;"&amp;MIN(Fact_Baseline_PV!$A$2:$A$44)+((11+1)*7))</f>
        <v>0</v>
      </c>
      <c r="Q17" s="50">
        <f t="shared" si="0"/>
        <v>0</v>
      </c>
      <c r="R17" s="49">
        <f>VLOOKUP(A17,Dim_WBS!$A$2:$E$13,5,FALSE)</f>
        <v>36000</v>
      </c>
      <c r="S17" s="49">
        <f>SUMIFS(Fact_Actual_Costs!$D$2:$D$100,Fact_Actual_Costs!$B$2:$B$100,A17,Fact_Actual_Costs!$A$2:$A$100,"&lt;="&amp;Setup!$B$9)</f>
        <v>17476.8</v>
      </c>
      <c r="T17" s="49">
        <f t="shared" si="1"/>
        <v>18523.2</v>
      </c>
      <c r="U17" s="50">
        <f>IFERROR((R17*VLOOKUP(A17,'Task Plan'!$A$5:$K$16,11,FALSE))/S17,1)</f>
        <v>0.82394946443284811</v>
      </c>
      <c r="V17" s="2" t="str">
        <f>IF(U17&lt;Setup!$B$12,"Red",IF(U17&lt;Setup!$B$13,"Amber","Green"))</f>
        <v>Red</v>
      </c>
      <c r="W17" s="2" t="s">
        <v>430</v>
      </c>
      <c r="X17" s="131" t="s">
        <v>549</v>
      </c>
      <c r="Y17" s="2"/>
      <c r="Z17" s="2"/>
    </row>
    <row r="18" spans="1:26" x14ac:dyDescent="0.35">
      <c r="A18" s="130" t="str">
        <f>Dim_WBS!A8</f>
        <v>WBS-07</v>
      </c>
      <c r="B18" s="2" t="str">
        <f>Dim_WBS!C8</f>
        <v>HVAC Installation</v>
      </c>
      <c r="C18" s="2" t="str">
        <f>Dim_WBS!D8</f>
        <v>Subcontractor</v>
      </c>
      <c r="D18" s="2" t="s">
        <v>550</v>
      </c>
      <c r="E18" s="50">
        <f>SUMIFS(Fact_Actual_Costs!$D$2:$D$100,Fact_Actual_Costs!$B$2:$B$100,$A18,Fact_Actual_Costs!$A$2:$A$100,"&gt;="&amp;MIN(Fact_Baseline_PV!$A$2:$A$44)+(0*7),Fact_Actual_Costs!$A$2:$A$100,"&lt;"&amp;MIN(Fact_Baseline_PV!$A$2:$A$44)+((0+1)*7))</f>
        <v>0</v>
      </c>
      <c r="F18" s="50">
        <f>SUMIFS(Fact_Actual_Costs!$D$2:$D$100,Fact_Actual_Costs!$B$2:$B$100,$A18,Fact_Actual_Costs!$A$2:$A$100,"&gt;="&amp;MIN(Fact_Baseline_PV!$A$2:$A$44)+(1*7),Fact_Actual_Costs!$A$2:$A$100,"&lt;"&amp;MIN(Fact_Baseline_PV!$A$2:$A$44)+((1+1)*7))</f>
        <v>0</v>
      </c>
      <c r="G18" s="50">
        <f>SUMIFS(Fact_Actual_Costs!$D$2:$D$100,Fact_Actual_Costs!$B$2:$B$100,$A18,Fact_Actual_Costs!$A$2:$A$100,"&gt;="&amp;MIN(Fact_Baseline_PV!$A$2:$A$44)+(2*7),Fact_Actual_Costs!$A$2:$A$100,"&lt;"&amp;MIN(Fact_Baseline_PV!$A$2:$A$44)+((2+1)*7))</f>
        <v>0</v>
      </c>
      <c r="H18" s="50">
        <f>SUMIFS(Fact_Actual_Costs!$D$2:$D$100,Fact_Actual_Costs!$B$2:$B$100,$A18,Fact_Actual_Costs!$A$2:$A$100,"&gt;="&amp;MIN(Fact_Baseline_PV!$A$2:$A$44)+(3*7),Fact_Actual_Costs!$A$2:$A$100,"&lt;"&amp;MIN(Fact_Baseline_PV!$A$2:$A$44)+((3+1)*7))</f>
        <v>0</v>
      </c>
      <c r="I18" s="50">
        <f>SUMIFS(Fact_Actual_Costs!$D$2:$D$100,Fact_Actual_Costs!$B$2:$B$100,$A18,Fact_Actual_Costs!$A$2:$A$100,"&gt;="&amp;MIN(Fact_Baseline_PV!$A$2:$A$44)+(4*7),Fact_Actual_Costs!$A$2:$A$100,"&lt;"&amp;MIN(Fact_Baseline_PV!$A$2:$A$44)+((4+1)*7))</f>
        <v>8676.7999999999993</v>
      </c>
      <c r="J18" s="50">
        <f>SUMIFS(Fact_Actual_Costs!$D$2:$D$100,Fact_Actual_Costs!$B$2:$B$100,$A18,Fact_Actual_Costs!$A$2:$A$100,"&gt;="&amp;MIN(Fact_Baseline_PV!$A$2:$A$44)+(5*7),Fact_Actual_Costs!$A$2:$A$100,"&lt;"&amp;MIN(Fact_Baseline_PV!$A$2:$A$44)+((5+1)*7))</f>
        <v>8800</v>
      </c>
      <c r="K18" s="50">
        <f>SUMIFS(Fact_Actual_Costs!$D$2:$D$100,Fact_Actual_Costs!$B$2:$B$100,$A18,Fact_Actual_Costs!$A$2:$A$100,"&gt;="&amp;MIN(Fact_Baseline_PV!$A$2:$A$44)+(6*7),Fact_Actual_Costs!$A$2:$A$100,"&lt;"&amp;MIN(Fact_Baseline_PV!$A$2:$A$44)+((6+1)*7))</f>
        <v>0</v>
      </c>
      <c r="L18" s="50">
        <f>SUMIFS(Fact_Actual_Costs!$D$2:$D$100,Fact_Actual_Costs!$B$2:$B$100,$A18,Fact_Actual_Costs!$A$2:$A$100,"&gt;="&amp;MIN(Fact_Baseline_PV!$A$2:$A$44)+(7*7),Fact_Actual_Costs!$A$2:$A$100,"&lt;"&amp;MIN(Fact_Baseline_PV!$A$2:$A$44)+((7+1)*7))</f>
        <v>0</v>
      </c>
      <c r="M18" s="50">
        <f>SUMIFS(Fact_Actual_Costs!$D$2:$D$100,Fact_Actual_Costs!$B$2:$B$100,$A18,Fact_Actual_Costs!$A$2:$A$100,"&gt;="&amp;MIN(Fact_Baseline_PV!$A$2:$A$44)+(8*7),Fact_Actual_Costs!$A$2:$A$100,"&lt;"&amp;MIN(Fact_Baseline_PV!$A$2:$A$44)+((8+1)*7))</f>
        <v>0</v>
      </c>
      <c r="N18" s="50">
        <f>SUMIFS(Fact_Actual_Costs!$D$2:$D$100,Fact_Actual_Costs!$B$2:$B$100,$A18,Fact_Actual_Costs!$A$2:$A$100,"&gt;="&amp;MIN(Fact_Baseline_PV!$A$2:$A$44)+(9*7),Fact_Actual_Costs!$A$2:$A$100,"&lt;"&amp;MIN(Fact_Baseline_PV!$A$2:$A$44)+((9+1)*7))</f>
        <v>0</v>
      </c>
      <c r="O18" s="50">
        <f>SUMIFS(Fact_Actual_Costs!$D$2:$D$100,Fact_Actual_Costs!$B$2:$B$100,$A18,Fact_Actual_Costs!$A$2:$A$100,"&gt;="&amp;MIN(Fact_Baseline_PV!$A$2:$A$44)+(10*7),Fact_Actual_Costs!$A$2:$A$100,"&lt;"&amp;MIN(Fact_Baseline_PV!$A$2:$A$44)+((10+1)*7))</f>
        <v>0</v>
      </c>
      <c r="P18" s="50">
        <f>SUMIFS(Fact_Actual_Costs!$D$2:$D$100,Fact_Actual_Costs!$B$2:$B$100,$A18,Fact_Actual_Costs!$A$2:$A$100,"&gt;="&amp;MIN(Fact_Baseline_PV!$A$2:$A$44)+(11*7),Fact_Actual_Costs!$A$2:$A$100,"&lt;"&amp;MIN(Fact_Baseline_PV!$A$2:$A$44)+((11+1)*7))</f>
        <v>0</v>
      </c>
      <c r="Q18" s="50">
        <f t="shared" si="0"/>
        <v>17476.8</v>
      </c>
      <c r="R18" s="49">
        <f>VLOOKUP(A18,Dim_WBS!$A$2:$E$13,5,FALSE)</f>
        <v>36000</v>
      </c>
      <c r="S18" s="49">
        <f>SUMIFS(Fact_Actual_Costs!$D$2:$D$100,Fact_Actual_Costs!$B$2:$B$100,A18,Fact_Actual_Costs!$A$2:$A$100,"&lt;="&amp;Setup!$B$9)</f>
        <v>17476.8</v>
      </c>
      <c r="T18" s="49">
        <f t="shared" si="1"/>
        <v>18523.2</v>
      </c>
      <c r="U18" s="50">
        <f>IFERROR((R18*VLOOKUP(A18,'Task Plan'!$A$5:$K$16,11,FALSE))/S18,1)</f>
        <v>0.82394946443284811</v>
      </c>
      <c r="V18" s="2" t="str">
        <f>IF(U18&lt;Setup!$B$12,"Red",IF(U18&lt;Setup!$B$13,"Amber","Green"))</f>
        <v>Red</v>
      </c>
      <c r="W18" s="2" t="s">
        <v>430</v>
      </c>
      <c r="X18" s="131" t="s">
        <v>551</v>
      </c>
      <c r="Y18" s="2"/>
      <c r="Z18" s="2"/>
    </row>
    <row r="19" spans="1:26" x14ac:dyDescent="0.35">
      <c r="A19" s="130" t="str">
        <f>Dim_WBS!A9</f>
        <v>WBS-08</v>
      </c>
      <c r="B19" s="2" t="str">
        <f>Dim_WBS!C9</f>
        <v>Partitions &amp; Drywall</v>
      </c>
      <c r="C19" s="2" t="str">
        <f>Dim_WBS!D9</f>
        <v>Subcontractor</v>
      </c>
      <c r="D19" s="2" t="s">
        <v>548</v>
      </c>
      <c r="E19" s="50">
        <f>SUMIFS(Fact_Actual_Costs!$E$2:$E$100,Fact_Actual_Costs!$B$2:$B$100,$A19,Fact_Actual_Costs!$A$2:$A$100,"&gt;="&amp;MIN(Fact_Baseline_PV!$A$2:$A$44)+(0*7),Fact_Actual_Costs!$A$2:$A$100,"&lt;"&amp;MIN(Fact_Baseline_PV!$A$2:$A$44)+((0+1)*7))</f>
        <v>0</v>
      </c>
      <c r="F19" s="50">
        <f>SUMIFS(Fact_Actual_Costs!$E$2:$E$100,Fact_Actual_Costs!$B$2:$B$100,$A19,Fact_Actual_Costs!$A$2:$A$100,"&gt;="&amp;MIN(Fact_Baseline_PV!$A$2:$A$44)+(1*7),Fact_Actual_Costs!$A$2:$A$100,"&lt;"&amp;MIN(Fact_Baseline_PV!$A$2:$A$44)+((1+1)*7))</f>
        <v>0</v>
      </c>
      <c r="G19" s="50">
        <f>SUMIFS(Fact_Actual_Costs!$E$2:$E$100,Fact_Actual_Costs!$B$2:$B$100,$A19,Fact_Actual_Costs!$A$2:$A$100,"&gt;="&amp;MIN(Fact_Baseline_PV!$A$2:$A$44)+(2*7),Fact_Actual_Costs!$A$2:$A$100,"&lt;"&amp;MIN(Fact_Baseline_PV!$A$2:$A$44)+((2+1)*7))</f>
        <v>0</v>
      </c>
      <c r="H19" s="50">
        <f>SUMIFS(Fact_Actual_Costs!$E$2:$E$100,Fact_Actual_Costs!$B$2:$B$100,$A19,Fact_Actual_Costs!$A$2:$A$100,"&gt;="&amp;MIN(Fact_Baseline_PV!$A$2:$A$44)+(3*7),Fact_Actual_Costs!$A$2:$A$100,"&lt;"&amp;MIN(Fact_Baseline_PV!$A$2:$A$44)+((3+1)*7))</f>
        <v>0</v>
      </c>
      <c r="I19" s="50">
        <f>SUMIFS(Fact_Actual_Costs!$E$2:$E$100,Fact_Actual_Costs!$B$2:$B$100,$A19,Fact_Actual_Costs!$A$2:$A$100,"&gt;="&amp;MIN(Fact_Baseline_PV!$A$2:$A$44)+(4*7),Fact_Actual_Costs!$A$2:$A$100,"&lt;"&amp;MIN(Fact_Baseline_PV!$A$2:$A$44)+((4+1)*7))</f>
        <v>0</v>
      </c>
      <c r="J19" s="50">
        <f>SUMIFS(Fact_Actual_Costs!$E$2:$E$100,Fact_Actual_Costs!$B$2:$B$100,$A19,Fact_Actual_Costs!$A$2:$A$100,"&gt;="&amp;MIN(Fact_Baseline_PV!$A$2:$A$44)+(5*7),Fact_Actual_Costs!$A$2:$A$100,"&lt;"&amp;MIN(Fact_Baseline_PV!$A$2:$A$44)+((5+1)*7))</f>
        <v>0</v>
      </c>
      <c r="K19" s="50">
        <f>SUMIFS(Fact_Actual_Costs!$E$2:$E$100,Fact_Actual_Costs!$B$2:$B$100,$A19,Fact_Actual_Costs!$A$2:$A$100,"&gt;="&amp;MIN(Fact_Baseline_PV!$A$2:$A$44)+(6*7),Fact_Actual_Costs!$A$2:$A$100,"&lt;"&amp;MIN(Fact_Baseline_PV!$A$2:$A$44)+((6+1)*7))</f>
        <v>0</v>
      </c>
      <c r="L19" s="50">
        <f>SUMIFS(Fact_Actual_Costs!$E$2:$E$100,Fact_Actual_Costs!$B$2:$B$100,$A19,Fact_Actual_Costs!$A$2:$A$100,"&gt;="&amp;MIN(Fact_Baseline_PV!$A$2:$A$44)+(7*7),Fact_Actual_Costs!$A$2:$A$100,"&lt;"&amp;MIN(Fact_Baseline_PV!$A$2:$A$44)+((7+1)*7))</f>
        <v>0</v>
      </c>
      <c r="M19" s="50">
        <f>SUMIFS(Fact_Actual_Costs!$E$2:$E$100,Fact_Actual_Costs!$B$2:$B$100,$A19,Fact_Actual_Costs!$A$2:$A$100,"&gt;="&amp;MIN(Fact_Baseline_PV!$A$2:$A$44)+(8*7),Fact_Actual_Costs!$A$2:$A$100,"&lt;"&amp;MIN(Fact_Baseline_PV!$A$2:$A$44)+((8+1)*7))</f>
        <v>0</v>
      </c>
      <c r="N19" s="50">
        <f>SUMIFS(Fact_Actual_Costs!$E$2:$E$100,Fact_Actual_Costs!$B$2:$B$100,$A19,Fact_Actual_Costs!$A$2:$A$100,"&gt;="&amp;MIN(Fact_Baseline_PV!$A$2:$A$44)+(9*7),Fact_Actual_Costs!$A$2:$A$100,"&lt;"&amp;MIN(Fact_Baseline_PV!$A$2:$A$44)+((9+1)*7))</f>
        <v>0</v>
      </c>
      <c r="O19" s="50">
        <f>SUMIFS(Fact_Actual_Costs!$E$2:$E$100,Fact_Actual_Costs!$B$2:$B$100,$A19,Fact_Actual_Costs!$A$2:$A$100,"&gt;="&amp;MIN(Fact_Baseline_PV!$A$2:$A$44)+(10*7),Fact_Actual_Costs!$A$2:$A$100,"&lt;"&amp;MIN(Fact_Baseline_PV!$A$2:$A$44)+((10+1)*7))</f>
        <v>0</v>
      </c>
      <c r="P19" s="50">
        <f>SUMIFS(Fact_Actual_Costs!$E$2:$E$100,Fact_Actual_Costs!$B$2:$B$100,$A19,Fact_Actual_Costs!$A$2:$A$100,"&gt;="&amp;MIN(Fact_Baseline_PV!$A$2:$A$44)+(11*7),Fact_Actual_Costs!$A$2:$A$100,"&lt;"&amp;MIN(Fact_Baseline_PV!$A$2:$A$44)+((11+1)*7))</f>
        <v>0</v>
      </c>
      <c r="Q19" s="50">
        <f t="shared" si="0"/>
        <v>0</v>
      </c>
      <c r="R19" s="49">
        <f>VLOOKUP(A19,Dim_WBS!$A$2:$E$13,5,FALSE)</f>
        <v>28000</v>
      </c>
      <c r="S19" s="49">
        <f>SUMIFS(Fact_Actual_Costs!$D$2:$D$100,Fact_Actual_Costs!$B$2:$B$100,A19,Fact_Actual_Costs!$A$2:$A$100,"&lt;="&amp;Setup!$B$9)</f>
        <v>7099.2</v>
      </c>
      <c r="T19" s="49">
        <f t="shared" si="1"/>
        <v>20900.8</v>
      </c>
      <c r="U19" s="50">
        <f>IFERROR((R19*VLOOKUP(A19,'Task Plan'!$A$5:$K$16,11,FALSE))/S19,1)</f>
        <v>0.98151848095560068</v>
      </c>
      <c r="V19" s="2" t="str">
        <f>IF(U19&lt;Setup!$B$12,"Red",IF(U19&lt;Setup!$B$13,"Amber","Green"))</f>
        <v>Amber</v>
      </c>
      <c r="W19" s="2" t="s">
        <v>430</v>
      </c>
      <c r="X19" s="131" t="s">
        <v>549</v>
      </c>
      <c r="Y19" s="2"/>
      <c r="Z19" s="2"/>
    </row>
    <row r="20" spans="1:26" x14ac:dyDescent="0.35">
      <c r="A20" s="130" t="str">
        <f>Dim_WBS!A9</f>
        <v>WBS-08</v>
      </c>
      <c r="B20" s="2" t="str">
        <f>Dim_WBS!C9</f>
        <v>Partitions &amp; Drywall</v>
      </c>
      <c r="C20" s="2" t="str">
        <f>Dim_WBS!D9</f>
        <v>Subcontractor</v>
      </c>
      <c r="D20" s="2" t="s">
        <v>550</v>
      </c>
      <c r="E20" s="50">
        <f>SUMIFS(Fact_Actual_Costs!$D$2:$D$100,Fact_Actual_Costs!$B$2:$B$100,$A20,Fact_Actual_Costs!$A$2:$A$100,"&gt;="&amp;MIN(Fact_Baseline_PV!$A$2:$A$44)+(0*7),Fact_Actual_Costs!$A$2:$A$100,"&lt;"&amp;MIN(Fact_Baseline_PV!$A$2:$A$44)+((0+1)*7))</f>
        <v>0</v>
      </c>
      <c r="F20" s="50">
        <f>SUMIFS(Fact_Actual_Costs!$D$2:$D$100,Fact_Actual_Costs!$B$2:$B$100,$A20,Fact_Actual_Costs!$A$2:$A$100,"&gt;="&amp;MIN(Fact_Baseline_PV!$A$2:$A$44)+(1*7),Fact_Actual_Costs!$A$2:$A$100,"&lt;"&amp;MIN(Fact_Baseline_PV!$A$2:$A$44)+((1+1)*7))</f>
        <v>0</v>
      </c>
      <c r="G20" s="50">
        <f>SUMIFS(Fact_Actual_Costs!$D$2:$D$100,Fact_Actual_Costs!$B$2:$B$100,$A20,Fact_Actual_Costs!$A$2:$A$100,"&gt;="&amp;MIN(Fact_Baseline_PV!$A$2:$A$44)+(2*7),Fact_Actual_Costs!$A$2:$A$100,"&lt;"&amp;MIN(Fact_Baseline_PV!$A$2:$A$44)+((2+1)*7))</f>
        <v>0</v>
      </c>
      <c r="H20" s="50">
        <f>SUMIFS(Fact_Actual_Costs!$D$2:$D$100,Fact_Actual_Costs!$B$2:$B$100,$A20,Fact_Actual_Costs!$A$2:$A$100,"&gt;="&amp;MIN(Fact_Baseline_PV!$A$2:$A$44)+(3*7),Fact_Actual_Costs!$A$2:$A$100,"&lt;"&amp;MIN(Fact_Baseline_PV!$A$2:$A$44)+((3+1)*7))</f>
        <v>0</v>
      </c>
      <c r="I20" s="50">
        <f>SUMIFS(Fact_Actual_Costs!$D$2:$D$100,Fact_Actual_Costs!$B$2:$B$100,$A20,Fact_Actual_Costs!$A$2:$A$100,"&gt;="&amp;MIN(Fact_Baseline_PV!$A$2:$A$44)+(4*7),Fact_Actual_Costs!$A$2:$A$100,"&lt;"&amp;MIN(Fact_Baseline_PV!$A$2:$A$44)+((4+1)*7))</f>
        <v>0</v>
      </c>
      <c r="J20" s="50">
        <f>SUMIFS(Fact_Actual_Costs!$D$2:$D$100,Fact_Actual_Costs!$B$2:$B$100,$A20,Fact_Actual_Costs!$A$2:$A$100,"&gt;="&amp;MIN(Fact_Baseline_PV!$A$2:$A$44)+(5*7),Fact_Actual_Costs!$A$2:$A$100,"&lt;"&amp;MIN(Fact_Baseline_PV!$A$2:$A$44)+((5+1)*7))</f>
        <v>7099.2</v>
      </c>
      <c r="K20" s="50">
        <f>SUMIFS(Fact_Actual_Costs!$D$2:$D$100,Fact_Actual_Costs!$B$2:$B$100,$A20,Fact_Actual_Costs!$A$2:$A$100,"&gt;="&amp;MIN(Fact_Baseline_PV!$A$2:$A$44)+(6*7),Fact_Actual_Costs!$A$2:$A$100,"&lt;"&amp;MIN(Fact_Baseline_PV!$A$2:$A$44)+((6+1)*7))</f>
        <v>0</v>
      </c>
      <c r="L20" s="50">
        <f>SUMIFS(Fact_Actual_Costs!$D$2:$D$100,Fact_Actual_Costs!$B$2:$B$100,$A20,Fact_Actual_Costs!$A$2:$A$100,"&gt;="&amp;MIN(Fact_Baseline_PV!$A$2:$A$44)+(7*7),Fact_Actual_Costs!$A$2:$A$100,"&lt;"&amp;MIN(Fact_Baseline_PV!$A$2:$A$44)+((7+1)*7))</f>
        <v>0</v>
      </c>
      <c r="M20" s="50">
        <f>SUMIFS(Fact_Actual_Costs!$D$2:$D$100,Fact_Actual_Costs!$B$2:$B$100,$A20,Fact_Actual_Costs!$A$2:$A$100,"&gt;="&amp;MIN(Fact_Baseline_PV!$A$2:$A$44)+(8*7),Fact_Actual_Costs!$A$2:$A$100,"&lt;"&amp;MIN(Fact_Baseline_PV!$A$2:$A$44)+((8+1)*7))</f>
        <v>0</v>
      </c>
      <c r="N20" s="50">
        <f>SUMIFS(Fact_Actual_Costs!$D$2:$D$100,Fact_Actual_Costs!$B$2:$B$100,$A20,Fact_Actual_Costs!$A$2:$A$100,"&gt;="&amp;MIN(Fact_Baseline_PV!$A$2:$A$44)+(9*7),Fact_Actual_Costs!$A$2:$A$100,"&lt;"&amp;MIN(Fact_Baseline_PV!$A$2:$A$44)+((9+1)*7))</f>
        <v>0</v>
      </c>
      <c r="O20" s="50">
        <f>SUMIFS(Fact_Actual_Costs!$D$2:$D$100,Fact_Actual_Costs!$B$2:$B$100,$A20,Fact_Actual_Costs!$A$2:$A$100,"&gt;="&amp;MIN(Fact_Baseline_PV!$A$2:$A$44)+(10*7),Fact_Actual_Costs!$A$2:$A$100,"&lt;"&amp;MIN(Fact_Baseline_PV!$A$2:$A$44)+((10+1)*7))</f>
        <v>0</v>
      </c>
      <c r="P20" s="50">
        <f>SUMIFS(Fact_Actual_Costs!$D$2:$D$100,Fact_Actual_Costs!$B$2:$B$100,$A20,Fact_Actual_Costs!$A$2:$A$100,"&gt;="&amp;MIN(Fact_Baseline_PV!$A$2:$A$44)+(11*7),Fact_Actual_Costs!$A$2:$A$100,"&lt;"&amp;MIN(Fact_Baseline_PV!$A$2:$A$44)+((11+1)*7))</f>
        <v>0</v>
      </c>
      <c r="Q20" s="50">
        <f t="shared" si="0"/>
        <v>7099.2</v>
      </c>
      <c r="R20" s="49">
        <f>VLOOKUP(A20,Dim_WBS!$A$2:$E$13,5,FALSE)</f>
        <v>28000</v>
      </c>
      <c r="S20" s="49">
        <f>SUMIFS(Fact_Actual_Costs!$D$2:$D$100,Fact_Actual_Costs!$B$2:$B$100,A20,Fact_Actual_Costs!$A$2:$A$100,"&lt;="&amp;Setup!$B$9)</f>
        <v>7099.2</v>
      </c>
      <c r="T20" s="49">
        <f t="shared" si="1"/>
        <v>20900.8</v>
      </c>
      <c r="U20" s="50">
        <f>IFERROR((R20*VLOOKUP(A20,'Task Plan'!$A$5:$K$16,11,FALSE))/S20,1)</f>
        <v>0.98151848095560068</v>
      </c>
      <c r="V20" s="2" t="str">
        <f>IF(U20&lt;Setup!$B$12,"Red",IF(U20&lt;Setup!$B$13,"Amber","Green"))</f>
        <v>Amber</v>
      </c>
      <c r="W20" s="2" t="s">
        <v>430</v>
      </c>
      <c r="X20" s="131" t="s">
        <v>551</v>
      </c>
      <c r="Y20" s="2"/>
      <c r="Z20" s="2"/>
    </row>
    <row r="21" spans="1:26" x14ac:dyDescent="0.35">
      <c r="A21" s="130" t="str">
        <f>Dim_WBS!A10</f>
        <v>WBS-09</v>
      </c>
      <c r="B21" s="2" t="str">
        <f>Dim_WBS!C10</f>
        <v>Flooring</v>
      </c>
      <c r="C21" s="2" t="str">
        <f>Dim_WBS!D10</f>
        <v>Material</v>
      </c>
      <c r="D21" s="2" t="s">
        <v>548</v>
      </c>
      <c r="E21" s="50">
        <f>SUMIFS(Fact_Actual_Costs!$E$2:$E$100,Fact_Actual_Costs!$B$2:$B$100,$A21,Fact_Actual_Costs!$A$2:$A$100,"&gt;="&amp;MIN(Fact_Baseline_PV!$A$2:$A$44)+(0*7),Fact_Actual_Costs!$A$2:$A$100,"&lt;"&amp;MIN(Fact_Baseline_PV!$A$2:$A$44)+((0+1)*7))</f>
        <v>0</v>
      </c>
      <c r="F21" s="50">
        <f>SUMIFS(Fact_Actual_Costs!$E$2:$E$100,Fact_Actual_Costs!$B$2:$B$100,$A21,Fact_Actual_Costs!$A$2:$A$100,"&gt;="&amp;MIN(Fact_Baseline_PV!$A$2:$A$44)+(1*7),Fact_Actual_Costs!$A$2:$A$100,"&lt;"&amp;MIN(Fact_Baseline_PV!$A$2:$A$44)+((1+1)*7))</f>
        <v>0</v>
      </c>
      <c r="G21" s="50">
        <f>SUMIFS(Fact_Actual_Costs!$E$2:$E$100,Fact_Actual_Costs!$B$2:$B$100,$A21,Fact_Actual_Costs!$A$2:$A$100,"&gt;="&amp;MIN(Fact_Baseline_PV!$A$2:$A$44)+(2*7),Fact_Actual_Costs!$A$2:$A$100,"&lt;"&amp;MIN(Fact_Baseline_PV!$A$2:$A$44)+((2+1)*7))</f>
        <v>0</v>
      </c>
      <c r="H21" s="50">
        <f>SUMIFS(Fact_Actual_Costs!$E$2:$E$100,Fact_Actual_Costs!$B$2:$B$100,$A21,Fact_Actual_Costs!$A$2:$A$100,"&gt;="&amp;MIN(Fact_Baseline_PV!$A$2:$A$44)+(3*7),Fact_Actual_Costs!$A$2:$A$100,"&lt;"&amp;MIN(Fact_Baseline_PV!$A$2:$A$44)+((3+1)*7))</f>
        <v>0</v>
      </c>
      <c r="I21" s="50">
        <f>SUMIFS(Fact_Actual_Costs!$E$2:$E$100,Fact_Actual_Costs!$B$2:$B$100,$A21,Fact_Actual_Costs!$A$2:$A$100,"&gt;="&amp;MIN(Fact_Baseline_PV!$A$2:$A$44)+(4*7),Fact_Actual_Costs!$A$2:$A$100,"&lt;"&amp;MIN(Fact_Baseline_PV!$A$2:$A$44)+((4+1)*7))</f>
        <v>0</v>
      </c>
      <c r="J21" s="50">
        <f>SUMIFS(Fact_Actual_Costs!$E$2:$E$100,Fact_Actual_Costs!$B$2:$B$100,$A21,Fact_Actual_Costs!$A$2:$A$100,"&gt;="&amp;MIN(Fact_Baseline_PV!$A$2:$A$44)+(5*7),Fact_Actual_Costs!$A$2:$A$100,"&lt;"&amp;MIN(Fact_Baseline_PV!$A$2:$A$44)+((5+1)*7))</f>
        <v>0</v>
      </c>
      <c r="K21" s="50">
        <f>SUMIFS(Fact_Actual_Costs!$E$2:$E$100,Fact_Actual_Costs!$B$2:$B$100,$A21,Fact_Actual_Costs!$A$2:$A$100,"&gt;="&amp;MIN(Fact_Baseline_PV!$A$2:$A$44)+(6*7),Fact_Actual_Costs!$A$2:$A$100,"&lt;"&amp;MIN(Fact_Baseline_PV!$A$2:$A$44)+((6+1)*7))</f>
        <v>0</v>
      </c>
      <c r="L21" s="50">
        <f>SUMIFS(Fact_Actual_Costs!$E$2:$E$100,Fact_Actual_Costs!$B$2:$B$100,$A21,Fact_Actual_Costs!$A$2:$A$100,"&gt;="&amp;MIN(Fact_Baseline_PV!$A$2:$A$44)+(7*7),Fact_Actual_Costs!$A$2:$A$100,"&lt;"&amp;MIN(Fact_Baseline_PV!$A$2:$A$44)+((7+1)*7))</f>
        <v>0</v>
      </c>
      <c r="M21" s="50">
        <f>SUMIFS(Fact_Actual_Costs!$E$2:$E$100,Fact_Actual_Costs!$B$2:$B$100,$A21,Fact_Actual_Costs!$A$2:$A$100,"&gt;="&amp;MIN(Fact_Baseline_PV!$A$2:$A$44)+(8*7),Fact_Actual_Costs!$A$2:$A$100,"&lt;"&amp;MIN(Fact_Baseline_PV!$A$2:$A$44)+((8+1)*7))</f>
        <v>0</v>
      </c>
      <c r="N21" s="50">
        <f>SUMIFS(Fact_Actual_Costs!$E$2:$E$100,Fact_Actual_Costs!$B$2:$B$100,$A21,Fact_Actual_Costs!$A$2:$A$100,"&gt;="&amp;MIN(Fact_Baseline_PV!$A$2:$A$44)+(9*7),Fact_Actual_Costs!$A$2:$A$100,"&lt;"&amp;MIN(Fact_Baseline_PV!$A$2:$A$44)+((9+1)*7))</f>
        <v>0</v>
      </c>
      <c r="O21" s="50">
        <f>SUMIFS(Fact_Actual_Costs!$E$2:$E$100,Fact_Actual_Costs!$B$2:$B$100,$A21,Fact_Actual_Costs!$A$2:$A$100,"&gt;="&amp;MIN(Fact_Baseline_PV!$A$2:$A$44)+(10*7),Fact_Actual_Costs!$A$2:$A$100,"&lt;"&amp;MIN(Fact_Baseline_PV!$A$2:$A$44)+((10+1)*7))</f>
        <v>0</v>
      </c>
      <c r="P21" s="50">
        <f>SUMIFS(Fact_Actual_Costs!$E$2:$E$100,Fact_Actual_Costs!$B$2:$B$100,$A21,Fact_Actual_Costs!$A$2:$A$100,"&gt;="&amp;MIN(Fact_Baseline_PV!$A$2:$A$44)+(11*7),Fact_Actual_Costs!$A$2:$A$100,"&lt;"&amp;MIN(Fact_Baseline_PV!$A$2:$A$44)+((11+1)*7))</f>
        <v>0</v>
      </c>
      <c r="Q21" s="50">
        <f t="shared" si="0"/>
        <v>0</v>
      </c>
      <c r="R21" s="49">
        <f>VLOOKUP(A21,Dim_WBS!$A$2:$E$13,5,FALSE)</f>
        <v>35750</v>
      </c>
      <c r="S21" s="49">
        <f>SUMIFS(Fact_Actual_Costs!$D$2:$D$100,Fact_Actual_Costs!$B$2:$B$100,A21,Fact_Actual_Costs!$A$2:$A$100,"&lt;="&amp;Setup!$B$9)</f>
        <v>0</v>
      </c>
      <c r="T21" s="49">
        <f t="shared" si="1"/>
        <v>35750</v>
      </c>
      <c r="U21" s="50">
        <f>IFERROR((R21*VLOOKUP(A21,'Task Plan'!$A$5:$K$16,11,FALSE))/S21,1)</f>
        <v>1</v>
      </c>
      <c r="V21" s="2" t="str">
        <f>IF(U21&lt;Setup!$B$12,"Red",IF(U21&lt;Setup!$B$13,"Amber","Green"))</f>
        <v>Green</v>
      </c>
      <c r="W21" s="2" t="s">
        <v>430</v>
      </c>
      <c r="X21" s="131" t="s">
        <v>549</v>
      </c>
      <c r="Y21" s="2"/>
      <c r="Z21" s="2"/>
    </row>
    <row r="22" spans="1:26" x14ac:dyDescent="0.35">
      <c r="A22" s="130" t="str">
        <f>Dim_WBS!A10</f>
        <v>WBS-09</v>
      </c>
      <c r="B22" s="2" t="str">
        <f>Dim_WBS!C10</f>
        <v>Flooring</v>
      </c>
      <c r="C22" s="2" t="str">
        <f>Dim_WBS!D10</f>
        <v>Material</v>
      </c>
      <c r="D22" s="2" t="s">
        <v>550</v>
      </c>
      <c r="E22" s="50">
        <f>SUMIFS(Fact_Actual_Costs!$D$2:$D$100,Fact_Actual_Costs!$B$2:$B$100,$A22,Fact_Actual_Costs!$A$2:$A$100,"&gt;="&amp;MIN(Fact_Baseline_PV!$A$2:$A$44)+(0*7),Fact_Actual_Costs!$A$2:$A$100,"&lt;"&amp;MIN(Fact_Baseline_PV!$A$2:$A$44)+((0+1)*7))</f>
        <v>0</v>
      </c>
      <c r="F22" s="50">
        <f>SUMIFS(Fact_Actual_Costs!$D$2:$D$100,Fact_Actual_Costs!$B$2:$B$100,$A22,Fact_Actual_Costs!$A$2:$A$100,"&gt;="&amp;MIN(Fact_Baseline_PV!$A$2:$A$44)+(1*7),Fact_Actual_Costs!$A$2:$A$100,"&lt;"&amp;MIN(Fact_Baseline_PV!$A$2:$A$44)+((1+1)*7))</f>
        <v>0</v>
      </c>
      <c r="G22" s="50">
        <f>SUMIFS(Fact_Actual_Costs!$D$2:$D$100,Fact_Actual_Costs!$B$2:$B$100,$A22,Fact_Actual_Costs!$A$2:$A$100,"&gt;="&amp;MIN(Fact_Baseline_PV!$A$2:$A$44)+(2*7),Fact_Actual_Costs!$A$2:$A$100,"&lt;"&amp;MIN(Fact_Baseline_PV!$A$2:$A$44)+((2+1)*7))</f>
        <v>0</v>
      </c>
      <c r="H22" s="50">
        <f>SUMIFS(Fact_Actual_Costs!$D$2:$D$100,Fact_Actual_Costs!$B$2:$B$100,$A22,Fact_Actual_Costs!$A$2:$A$100,"&gt;="&amp;MIN(Fact_Baseline_PV!$A$2:$A$44)+(3*7),Fact_Actual_Costs!$A$2:$A$100,"&lt;"&amp;MIN(Fact_Baseline_PV!$A$2:$A$44)+((3+1)*7))</f>
        <v>0</v>
      </c>
      <c r="I22" s="50">
        <f>SUMIFS(Fact_Actual_Costs!$D$2:$D$100,Fact_Actual_Costs!$B$2:$B$100,$A22,Fact_Actual_Costs!$A$2:$A$100,"&gt;="&amp;MIN(Fact_Baseline_PV!$A$2:$A$44)+(4*7),Fact_Actual_Costs!$A$2:$A$100,"&lt;"&amp;MIN(Fact_Baseline_PV!$A$2:$A$44)+((4+1)*7))</f>
        <v>0</v>
      </c>
      <c r="J22" s="50">
        <f>SUMIFS(Fact_Actual_Costs!$D$2:$D$100,Fact_Actual_Costs!$B$2:$B$100,$A22,Fact_Actual_Costs!$A$2:$A$100,"&gt;="&amp;MIN(Fact_Baseline_PV!$A$2:$A$44)+(5*7),Fact_Actual_Costs!$A$2:$A$100,"&lt;"&amp;MIN(Fact_Baseline_PV!$A$2:$A$44)+((5+1)*7))</f>
        <v>0</v>
      </c>
      <c r="K22" s="50">
        <f>SUMIFS(Fact_Actual_Costs!$D$2:$D$100,Fact_Actual_Costs!$B$2:$B$100,$A22,Fact_Actual_Costs!$A$2:$A$100,"&gt;="&amp;MIN(Fact_Baseline_PV!$A$2:$A$44)+(6*7),Fact_Actual_Costs!$A$2:$A$100,"&lt;"&amp;MIN(Fact_Baseline_PV!$A$2:$A$44)+((6+1)*7))</f>
        <v>0</v>
      </c>
      <c r="L22" s="50">
        <f>SUMIFS(Fact_Actual_Costs!$D$2:$D$100,Fact_Actual_Costs!$B$2:$B$100,$A22,Fact_Actual_Costs!$A$2:$A$100,"&gt;="&amp;MIN(Fact_Baseline_PV!$A$2:$A$44)+(7*7),Fact_Actual_Costs!$A$2:$A$100,"&lt;"&amp;MIN(Fact_Baseline_PV!$A$2:$A$44)+((7+1)*7))</f>
        <v>0</v>
      </c>
      <c r="M22" s="50">
        <f>SUMIFS(Fact_Actual_Costs!$D$2:$D$100,Fact_Actual_Costs!$B$2:$B$100,$A22,Fact_Actual_Costs!$A$2:$A$100,"&gt;="&amp;MIN(Fact_Baseline_PV!$A$2:$A$44)+(8*7),Fact_Actual_Costs!$A$2:$A$100,"&lt;"&amp;MIN(Fact_Baseline_PV!$A$2:$A$44)+((8+1)*7))</f>
        <v>0</v>
      </c>
      <c r="N22" s="50">
        <f>SUMIFS(Fact_Actual_Costs!$D$2:$D$100,Fact_Actual_Costs!$B$2:$B$100,$A22,Fact_Actual_Costs!$A$2:$A$100,"&gt;="&amp;MIN(Fact_Baseline_PV!$A$2:$A$44)+(9*7),Fact_Actual_Costs!$A$2:$A$100,"&lt;"&amp;MIN(Fact_Baseline_PV!$A$2:$A$44)+((9+1)*7))</f>
        <v>0</v>
      </c>
      <c r="O22" s="50">
        <f>SUMIFS(Fact_Actual_Costs!$D$2:$D$100,Fact_Actual_Costs!$B$2:$B$100,$A22,Fact_Actual_Costs!$A$2:$A$100,"&gt;="&amp;MIN(Fact_Baseline_PV!$A$2:$A$44)+(10*7),Fact_Actual_Costs!$A$2:$A$100,"&lt;"&amp;MIN(Fact_Baseline_PV!$A$2:$A$44)+((10+1)*7))</f>
        <v>0</v>
      </c>
      <c r="P22" s="50">
        <f>SUMIFS(Fact_Actual_Costs!$D$2:$D$100,Fact_Actual_Costs!$B$2:$B$100,$A22,Fact_Actual_Costs!$A$2:$A$100,"&gt;="&amp;MIN(Fact_Baseline_PV!$A$2:$A$44)+(11*7),Fact_Actual_Costs!$A$2:$A$100,"&lt;"&amp;MIN(Fact_Baseline_PV!$A$2:$A$44)+((11+1)*7))</f>
        <v>0</v>
      </c>
      <c r="Q22" s="50">
        <f t="shared" si="0"/>
        <v>0</v>
      </c>
      <c r="R22" s="49">
        <f>VLOOKUP(A22,Dim_WBS!$A$2:$E$13,5,FALSE)</f>
        <v>35750</v>
      </c>
      <c r="S22" s="49">
        <f>SUMIFS(Fact_Actual_Costs!$D$2:$D$100,Fact_Actual_Costs!$B$2:$B$100,A22,Fact_Actual_Costs!$A$2:$A$100,"&lt;="&amp;Setup!$B$9)</f>
        <v>0</v>
      </c>
      <c r="T22" s="49">
        <f t="shared" si="1"/>
        <v>35750</v>
      </c>
      <c r="U22" s="50">
        <f>IFERROR((R22*VLOOKUP(A22,'Task Plan'!$A$5:$K$16,11,FALSE))/S22,1)</f>
        <v>1</v>
      </c>
      <c r="V22" s="2" t="str">
        <f>IF(U22&lt;Setup!$B$12,"Red",IF(U22&lt;Setup!$B$13,"Amber","Green"))</f>
        <v>Green</v>
      </c>
      <c r="W22" s="2" t="s">
        <v>430</v>
      </c>
      <c r="X22" s="131" t="s">
        <v>551</v>
      </c>
      <c r="Y22" s="2"/>
      <c r="Z22" s="2"/>
    </row>
    <row r="23" spans="1:26" x14ac:dyDescent="0.35">
      <c r="A23" s="130" t="str">
        <f>Dim_WBS!A11</f>
        <v>WBS-10</v>
      </c>
      <c r="B23" s="2" t="str">
        <f>Dim_WBS!C11</f>
        <v>Fixtures &amp; Furniture</v>
      </c>
      <c r="C23" s="2" t="str">
        <f>Dim_WBS!D11</f>
        <v>Material</v>
      </c>
      <c r="D23" s="2" t="s">
        <v>548</v>
      </c>
      <c r="E23" s="50">
        <f>SUMIFS(Fact_Actual_Costs!$E$2:$E$100,Fact_Actual_Costs!$B$2:$B$100,$A23,Fact_Actual_Costs!$A$2:$A$100,"&gt;="&amp;MIN(Fact_Baseline_PV!$A$2:$A$44)+(0*7),Fact_Actual_Costs!$A$2:$A$100,"&lt;"&amp;MIN(Fact_Baseline_PV!$A$2:$A$44)+((0+1)*7))</f>
        <v>0</v>
      </c>
      <c r="F23" s="50">
        <f>SUMIFS(Fact_Actual_Costs!$E$2:$E$100,Fact_Actual_Costs!$B$2:$B$100,$A23,Fact_Actual_Costs!$A$2:$A$100,"&gt;="&amp;MIN(Fact_Baseline_PV!$A$2:$A$44)+(1*7),Fact_Actual_Costs!$A$2:$A$100,"&lt;"&amp;MIN(Fact_Baseline_PV!$A$2:$A$44)+((1+1)*7))</f>
        <v>0</v>
      </c>
      <c r="G23" s="50">
        <f>SUMIFS(Fact_Actual_Costs!$E$2:$E$100,Fact_Actual_Costs!$B$2:$B$100,$A23,Fact_Actual_Costs!$A$2:$A$100,"&gt;="&amp;MIN(Fact_Baseline_PV!$A$2:$A$44)+(2*7),Fact_Actual_Costs!$A$2:$A$100,"&lt;"&amp;MIN(Fact_Baseline_PV!$A$2:$A$44)+((2+1)*7))</f>
        <v>0</v>
      </c>
      <c r="H23" s="50">
        <f>SUMIFS(Fact_Actual_Costs!$E$2:$E$100,Fact_Actual_Costs!$B$2:$B$100,$A23,Fact_Actual_Costs!$A$2:$A$100,"&gt;="&amp;MIN(Fact_Baseline_PV!$A$2:$A$44)+(3*7),Fact_Actual_Costs!$A$2:$A$100,"&lt;"&amp;MIN(Fact_Baseline_PV!$A$2:$A$44)+((3+1)*7))</f>
        <v>0</v>
      </c>
      <c r="I23" s="50">
        <f>SUMIFS(Fact_Actual_Costs!$E$2:$E$100,Fact_Actual_Costs!$B$2:$B$100,$A23,Fact_Actual_Costs!$A$2:$A$100,"&gt;="&amp;MIN(Fact_Baseline_PV!$A$2:$A$44)+(4*7),Fact_Actual_Costs!$A$2:$A$100,"&lt;"&amp;MIN(Fact_Baseline_PV!$A$2:$A$44)+((4+1)*7))</f>
        <v>0</v>
      </c>
      <c r="J23" s="50">
        <f>SUMIFS(Fact_Actual_Costs!$E$2:$E$100,Fact_Actual_Costs!$B$2:$B$100,$A23,Fact_Actual_Costs!$A$2:$A$100,"&gt;="&amp;MIN(Fact_Baseline_PV!$A$2:$A$44)+(5*7),Fact_Actual_Costs!$A$2:$A$100,"&lt;"&amp;MIN(Fact_Baseline_PV!$A$2:$A$44)+((5+1)*7))</f>
        <v>0</v>
      </c>
      <c r="K23" s="50">
        <f>SUMIFS(Fact_Actual_Costs!$E$2:$E$100,Fact_Actual_Costs!$B$2:$B$100,$A23,Fact_Actual_Costs!$A$2:$A$100,"&gt;="&amp;MIN(Fact_Baseline_PV!$A$2:$A$44)+(6*7),Fact_Actual_Costs!$A$2:$A$100,"&lt;"&amp;MIN(Fact_Baseline_PV!$A$2:$A$44)+((6+1)*7))</f>
        <v>0</v>
      </c>
      <c r="L23" s="50">
        <f>SUMIFS(Fact_Actual_Costs!$E$2:$E$100,Fact_Actual_Costs!$B$2:$B$100,$A23,Fact_Actual_Costs!$A$2:$A$100,"&gt;="&amp;MIN(Fact_Baseline_PV!$A$2:$A$44)+(7*7),Fact_Actual_Costs!$A$2:$A$100,"&lt;"&amp;MIN(Fact_Baseline_PV!$A$2:$A$44)+((7+1)*7))</f>
        <v>0</v>
      </c>
      <c r="M23" s="50">
        <f>SUMIFS(Fact_Actual_Costs!$E$2:$E$100,Fact_Actual_Costs!$B$2:$B$100,$A23,Fact_Actual_Costs!$A$2:$A$100,"&gt;="&amp;MIN(Fact_Baseline_PV!$A$2:$A$44)+(8*7),Fact_Actual_Costs!$A$2:$A$100,"&lt;"&amp;MIN(Fact_Baseline_PV!$A$2:$A$44)+((8+1)*7))</f>
        <v>0</v>
      </c>
      <c r="N23" s="50">
        <f>SUMIFS(Fact_Actual_Costs!$E$2:$E$100,Fact_Actual_Costs!$B$2:$B$100,$A23,Fact_Actual_Costs!$A$2:$A$100,"&gt;="&amp;MIN(Fact_Baseline_PV!$A$2:$A$44)+(9*7),Fact_Actual_Costs!$A$2:$A$100,"&lt;"&amp;MIN(Fact_Baseline_PV!$A$2:$A$44)+((9+1)*7))</f>
        <v>0</v>
      </c>
      <c r="O23" s="50">
        <f>SUMIFS(Fact_Actual_Costs!$E$2:$E$100,Fact_Actual_Costs!$B$2:$B$100,$A23,Fact_Actual_Costs!$A$2:$A$100,"&gt;="&amp;MIN(Fact_Baseline_PV!$A$2:$A$44)+(10*7),Fact_Actual_Costs!$A$2:$A$100,"&lt;"&amp;MIN(Fact_Baseline_PV!$A$2:$A$44)+((10+1)*7))</f>
        <v>0</v>
      </c>
      <c r="P23" s="50">
        <f>SUMIFS(Fact_Actual_Costs!$E$2:$E$100,Fact_Actual_Costs!$B$2:$B$100,$A23,Fact_Actual_Costs!$A$2:$A$100,"&gt;="&amp;MIN(Fact_Baseline_PV!$A$2:$A$44)+(11*7),Fact_Actual_Costs!$A$2:$A$100,"&lt;"&amp;MIN(Fact_Baseline_PV!$A$2:$A$44)+((11+1)*7))</f>
        <v>0</v>
      </c>
      <c r="Q23" s="50">
        <f t="shared" si="0"/>
        <v>0</v>
      </c>
      <c r="R23" s="49">
        <f>VLOOKUP(A23,Dim_WBS!$A$2:$E$13,5,FALSE)</f>
        <v>30000</v>
      </c>
      <c r="S23" s="49">
        <f>SUMIFS(Fact_Actual_Costs!$D$2:$D$100,Fact_Actual_Costs!$B$2:$B$100,A23,Fact_Actual_Costs!$A$2:$A$100,"&lt;="&amp;Setup!$B$9)</f>
        <v>0</v>
      </c>
      <c r="T23" s="49">
        <f t="shared" si="1"/>
        <v>30000</v>
      </c>
      <c r="U23" s="50">
        <f>IFERROR((R23*VLOOKUP(A23,'Task Plan'!$A$5:$K$16,11,FALSE))/S23,1)</f>
        <v>1</v>
      </c>
      <c r="V23" s="2" t="str">
        <f>IF(U23&lt;Setup!$B$12,"Red",IF(U23&lt;Setup!$B$13,"Amber","Green"))</f>
        <v>Green</v>
      </c>
      <c r="W23" s="2" t="s">
        <v>430</v>
      </c>
      <c r="X23" s="131" t="s">
        <v>549</v>
      </c>
      <c r="Y23" s="2"/>
      <c r="Z23" s="2"/>
    </row>
    <row r="24" spans="1:26" x14ac:dyDescent="0.35">
      <c r="A24" s="130" t="str">
        <f>Dim_WBS!A11</f>
        <v>WBS-10</v>
      </c>
      <c r="B24" s="2" t="str">
        <f>Dim_WBS!C11</f>
        <v>Fixtures &amp; Furniture</v>
      </c>
      <c r="C24" s="2" t="str">
        <f>Dim_WBS!D11</f>
        <v>Material</v>
      </c>
      <c r="D24" s="2" t="s">
        <v>550</v>
      </c>
      <c r="E24" s="50">
        <f>SUMIFS(Fact_Actual_Costs!$D$2:$D$100,Fact_Actual_Costs!$B$2:$B$100,$A24,Fact_Actual_Costs!$A$2:$A$100,"&gt;="&amp;MIN(Fact_Baseline_PV!$A$2:$A$44)+(0*7),Fact_Actual_Costs!$A$2:$A$100,"&lt;"&amp;MIN(Fact_Baseline_PV!$A$2:$A$44)+((0+1)*7))</f>
        <v>0</v>
      </c>
      <c r="F24" s="50">
        <f>SUMIFS(Fact_Actual_Costs!$D$2:$D$100,Fact_Actual_Costs!$B$2:$B$100,$A24,Fact_Actual_Costs!$A$2:$A$100,"&gt;="&amp;MIN(Fact_Baseline_PV!$A$2:$A$44)+(1*7),Fact_Actual_Costs!$A$2:$A$100,"&lt;"&amp;MIN(Fact_Baseline_PV!$A$2:$A$44)+((1+1)*7))</f>
        <v>0</v>
      </c>
      <c r="G24" s="50">
        <f>SUMIFS(Fact_Actual_Costs!$D$2:$D$100,Fact_Actual_Costs!$B$2:$B$100,$A24,Fact_Actual_Costs!$A$2:$A$100,"&gt;="&amp;MIN(Fact_Baseline_PV!$A$2:$A$44)+(2*7),Fact_Actual_Costs!$A$2:$A$100,"&lt;"&amp;MIN(Fact_Baseline_PV!$A$2:$A$44)+((2+1)*7))</f>
        <v>0</v>
      </c>
      <c r="H24" s="50">
        <f>SUMIFS(Fact_Actual_Costs!$D$2:$D$100,Fact_Actual_Costs!$B$2:$B$100,$A24,Fact_Actual_Costs!$A$2:$A$100,"&gt;="&amp;MIN(Fact_Baseline_PV!$A$2:$A$44)+(3*7),Fact_Actual_Costs!$A$2:$A$100,"&lt;"&amp;MIN(Fact_Baseline_PV!$A$2:$A$44)+((3+1)*7))</f>
        <v>0</v>
      </c>
      <c r="I24" s="50">
        <f>SUMIFS(Fact_Actual_Costs!$D$2:$D$100,Fact_Actual_Costs!$B$2:$B$100,$A24,Fact_Actual_Costs!$A$2:$A$100,"&gt;="&amp;MIN(Fact_Baseline_PV!$A$2:$A$44)+(4*7),Fact_Actual_Costs!$A$2:$A$100,"&lt;"&amp;MIN(Fact_Baseline_PV!$A$2:$A$44)+((4+1)*7))</f>
        <v>0</v>
      </c>
      <c r="J24" s="50">
        <f>SUMIFS(Fact_Actual_Costs!$D$2:$D$100,Fact_Actual_Costs!$B$2:$B$100,$A24,Fact_Actual_Costs!$A$2:$A$100,"&gt;="&amp;MIN(Fact_Baseline_PV!$A$2:$A$44)+(5*7),Fact_Actual_Costs!$A$2:$A$100,"&lt;"&amp;MIN(Fact_Baseline_PV!$A$2:$A$44)+((5+1)*7))</f>
        <v>0</v>
      </c>
      <c r="K24" s="50">
        <f>SUMIFS(Fact_Actual_Costs!$D$2:$D$100,Fact_Actual_Costs!$B$2:$B$100,$A24,Fact_Actual_Costs!$A$2:$A$100,"&gt;="&amp;MIN(Fact_Baseline_PV!$A$2:$A$44)+(6*7),Fact_Actual_Costs!$A$2:$A$100,"&lt;"&amp;MIN(Fact_Baseline_PV!$A$2:$A$44)+((6+1)*7))</f>
        <v>0</v>
      </c>
      <c r="L24" s="50">
        <f>SUMIFS(Fact_Actual_Costs!$D$2:$D$100,Fact_Actual_Costs!$B$2:$B$100,$A24,Fact_Actual_Costs!$A$2:$A$100,"&gt;="&amp;MIN(Fact_Baseline_PV!$A$2:$A$44)+(7*7),Fact_Actual_Costs!$A$2:$A$100,"&lt;"&amp;MIN(Fact_Baseline_PV!$A$2:$A$44)+((7+1)*7))</f>
        <v>0</v>
      </c>
      <c r="M24" s="50">
        <f>SUMIFS(Fact_Actual_Costs!$D$2:$D$100,Fact_Actual_Costs!$B$2:$B$100,$A24,Fact_Actual_Costs!$A$2:$A$100,"&gt;="&amp;MIN(Fact_Baseline_PV!$A$2:$A$44)+(8*7),Fact_Actual_Costs!$A$2:$A$100,"&lt;"&amp;MIN(Fact_Baseline_PV!$A$2:$A$44)+((8+1)*7))</f>
        <v>0</v>
      </c>
      <c r="N24" s="50">
        <f>SUMIFS(Fact_Actual_Costs!$D$2:$D$100,Fact_Actual_Costs!$B$2:$B$100,$A24,Fact_Actual_Costs!$A$2:$A$100,"&gt;="&amp;MIN(Fact_Baseline_PV!$A$2:$A$44)+(9*7),Fact_Actual_Costs!$A$2:$A$100,"&lt;"&amp;MIN(Fact_Baseline_PV!$A$2:$A$44)+((9+1)*7))</f>
        <v>0</v>
      </c>
      <c r="O24" s="50">
        <f>SUMIFS(Fact_Actual_Costs!$D$2:$D$100,Fact_Actual_Costs!$B$2:$B$100,$A24,Fact_Actual_Costs!$A$2:$A$100,"&gt;="&amp;MIN(Fact_Baseline_PV!$A$2:$A$44)+(10*7),Fact_Actual_Costs!$A$2:$A$100,"&lt;"&amp;MIN(Fact_Baseline_PV!$A$2:$A$44)+((10+1)*7))</f>
        <v>0</v>
      </c>
      <c r="P24" s="50">
        <f>SUMIFS(Fact_Actual_Costs!$D$2:$D$100,Fact_Actual_Costs!$B$2:$B$100,$A24,Fact_Actual_Costs!$A$2:$A$100,"&gt;="&amp;MIN(Fact_Baseline_PV!$A$2:$A$44)+(11*7),Fact_Actual_Costs!$A$2:$A$100,"&lt;"&amp;MIN(Fact_Baseline_PV!$A$2:$A$44)+((11+1)*7))</f>
        <v>0</v>
      </c>
      <c r="Q24" s="50">
        <f t="shared" si="0"/>
        <v>0</v>
      </c>
      <c r="R24" s="49">
        <f>VLOOKUP(A24,Dim_WBS!$A$2:$E$13,5,FALSE)</f>
        <v>30000</v>
      </c>
      <c r="S24" s="49">
        <f>SUMIFS(Fact_Actual_Costs!$D$2:$D$100,Fact_Actual_Costs!$B$2:$B$100,A24,Fact_Actual_Costs!$A$2:$A$100,"&lt;="&amp;Setup!$B$9)</f>
        <v>0</v>
      </c>
      <c r="T24" s="49">
        <f t="shared" si="1"/>
        <v>30000</v>
      </c>
      <c r="U24" s="50">
        <f>IFERROR((R24*VLOOKUP(A24,'Task Plan'!$A$5:$K$16,11,FALSE))/S24,1)</f>
        <v>1</v>
      </c>
      <c r="V24" s="2" t="str">
        <f>IF(U24&lt;Setup!$B$12,"Red",IF(U24&lt;Setup!$B$13,"Amber","Green"))</f>
        <v>Green</v>
      </c>
      <c r="W24" s="2" t="s">
        <v>430</v>
      </c>
      <c r="X24" s="131" t="s">
        <v>551</v>
      </c>
      <c r="Y24" s="2"/>
      <c r="Z24" s="2"/>
    </row>
    <row r="25" spans="1:26" x14ac:dyDescent="0.35">
      <c r="A25" s="130" t="str">
        <f>Dim_WBS!A12</f>
        <v>WBS-11</v>
      </c>
      <c r="B25" s="2" t="str">
        <f>Dim_WBS!C12</f>
        <v>Testing / Commissioning</v>
      </c>
      <c r="C25" s="2" t="str">
        <f>Dim_WBS!D12</f>
        <v>Labor</v>
      </c>
      <c r="D25" s="2" t="s">
        <v>548</v>
      </c>
      <c r="E25" s="50">
        <f>SUMIFS(Fact_Actual_Costs!$E$2:$E$100,Fact_Actual_Costs!$B$2:$B$100,$A25,Fact_Actual_Costs!$A$2:$A$100,"&gt;="&amp;MIN(Fact_Baseline_PV!$A$2:$A$44)+(0*7),Fact_Actual_Costs!$A$2:$A$100,"&lt;"&amp;MIN(Fact_Baseline_PV!$A$2:$A$44)+((0+1)*7))</f>
        <v>0</v>
      </c>
      <c r="F25" s="50">
        <f>SUMIFS(Fact_Actual_Costs!$E$2:$E$100,Fact_Actual_Costs!$B$2:$B$100,$A25,Fact_Actual_Costs!$A$2:$A$100,"&gt;="&amp;MIN(Fact_Baseline_PV!$A$2:$A$44)+(1*7),Fact_Actual_Costs!$A$2:$A$100,"&lt;"&amp;MIN(Fact_Baseline_PV!$A$2:$A$44)+((1+1)*7))</f>
        <v>0</v>
      </c>
      <c r="G25" s="50">
        <f>SUMIFS(Fact_Actual_Costs!$E$2:$E$100,Fact_Actual_Costs!$B$2:$B$100,$A25,Fact_Actual_Costs!$A$2:$A$100,"&gt;="&amp;MIN(Fact_Baseline_PV!$A$2:$A$44)+(2*7),Fact_Actual_Costs!$A$2:$A$100,"&lt;"&amp;MIN(Fact_Baseline_PV!$A$2:$A$44)+((2+1)*7))</f>
        <v>0</v>
      </c>
      <c r="H25" s="50">
        <f>SUMIFS(Fact_Actual_Costs!$E$2:$E$100,Fact_Actual_Costs!$B$2:$B$100,$A25,Fact_Actual_Costs!$A$2:$A$100,"&gt;="&amp;MIN(Fact_Baseline_PV!$A$2:$A$44)+(3*7),Fact_Actual_Costs!$A$2:$A$100,"&lt;"&amp;MIN(Fact_Baseline_PV!$A$2:$A$44)+((3+1)*7))</f>
        <v>0</v>
      </c>
      <c r="I25" s="50">
        <f>SUMIFS(Fact_Actual_Costs!$E$2:$E$100,Fact_Actual_Costs!$B$2:$B$100,$A25,Fact_Actual_Costs!$A$2:$A$100,"&gt;="&amp;MIN(Fact_Baseline_PV!$A$2:$A$44)+(4*7),Fact_Actual_Costs!$A$2:$A$100,"&lt;"&amp;MIN(Fact_Baseline_PV!$A$2:$A$44)+((4+1)*7))</f>
        <v>0</v>
      </c>
      <c r="J25" s="50">
        <f>SUMIFS(Fact_Actual_Costs!$E$2:$E$100,Fact_Actual_Costs!$B$2:$B$100,$A25,Fact_Actual_Costs!$A$2:$A$100,"&gt;="&amp;MIN(Fact_Baseline_PV!$A$2:$A$44)+(5*7),Fact_Actual_Costs!$A$2:$A$100,"&lt;"&amp;MIN(Fact_Baseline_PV!$A$2:$A$44)+((5+1)*7))</f>
        <v>0</v>
      </c>
      <c r="K25" s="50">
        <f>SUMIFS(Fact_Actual_Costs!$E$2:$E$100,Fact_Actual_Costs!$B$2:$B$100,$A25,Fact_Actual_Costs!$A$2:$A$100,"&gt;="&amp;MIN(Fact_Baseline_PV!$A$2:$A$44)+(6*7),Fact_Actual_Costs!$A$2:$A$100,"&lt;"&amp;MIN(Fact_Baseline_PV!$A$2:$A$44)+((6+1)*7))</f>
        <v>0</v>
      </c>
      <c r="L25" s="50">
        <f>SUMIFS(Fact_Actual_Costs!$E$2:$E$100,Fact_Actual_Costs!$B$2:$B$100,$A25,Fact_Actual_Costs!$A$2:$A$100,"&gt;="&amp;MIN(Fact_Baseline_PV!$A$2:$A$44)+(7*7),Fact_Actual_Costs!$A$2:$A$100,"&lt;"&amp;MIN(Fact_Baseline_PV!$A$2:$A$44)+((7+1)*7))</f>
        <v>0</v>
      </c>
      <c r="M25" s="50">
        <f>SUMIFS(Fact_Actual_Costs!$E$2:$E$100,Fact_Actual_Costs!$B$2:$B$100,$A25,Fact_Actual_Costs!$A$2:$A$100,"&gt;="&amp;MIN(Fact_Baseline_PV!$A$2:$A$44)+(8*7),Fact_Actual_Costs!$A$2:$A$100,"&lt;"&amp;MIN(Fact_Baseline_PV!$A$2:$A$44)+((8+1)*7))</f>
        <v>0</v>
      </c>
      <c r="N25" s="50">
        <f>SUMIFS(Fact_Actual_Costs!$E$2:$E$100,Fact_Actual_Costs!$B$2:$B$100,$A25,Fact_Actual_Costs!$A$2:$A$100,"&gt;="&amp;MIN(Fact_Baseline_PV!$A$2:$A$44)+(9*7),Fact_Actual_Costs!$A$2:$A$100,"&lt;"&amp;MIN(Fact_Baseline_PV!$A$2:$A$44)+((9+1)*7))</f>
        <v>0</v>
      </c>
      <c r="O25" s="50">
        <f>SUMIFS(Fact_Actual_Costs!$E$2:$E$100,Fact_Actual_Costs!$B$2:$B$100,$A25,Fact_Actual_Costs!$A$2:$A$100,"&gt;="&amp;MIN(Fact_Baseline_PV!$A$2:$A$44)+(10*7),Fact_Actual_Costs!$A$2:$A$100,"&lt;"&amp;MIN(Fact_Baseline_PV!$A$2:$A$44)+((10+1)*7))</f>
        <v>0</v>
      </c>
      <c r="P25" s="50">
        <f>SUMIFS(Fact_Actual_Costs!$E$2:$E$100,Fact_Actual_Costs!$B$2:$B$100,$A25,Fact_Actual_Costs!$A$2:$A$100,"&gt;="&amp;MIN(Fact_Baseline_PV!$A$2:$A$44)+(11*7),Fact_Actual_Costs!$A$2:$A$100,"&lt;"&amp;MIN(Fact_Baseline_PV!$A$2:$A$44)+((11+1)*7))</f>
        <v>0</v>
      </c>
      <c r="Q25" s="50">
        <f t="shared" si="0"/>
        <v>0</v>
      </c>
      <c r="R25" s="49">
        <f>VLOOKUP(A25,Dim_WBS!$A$2:$E$13,5,FALSE)</f>
        <v>8400</v>
      </c>
      <c r="S25" s="49">
        <f>SUMIFS(Fact_Actual_Costs!$D$2:$D$100,Fact_Actual_Costs!$B$2:$B$100,A25,Fact_Actual_Costs!$A$2:$A$100,"&lt;="&amp;Setup!$B$9)</f>
        <v>0</v>
      </c>
      <c r="T25" s="49">
        <f t="shared" si="1"/>
        <v>8400</v>
      </c>
      <c r="U25" s="50">
        <f>IFERROR((R25*VLOOKUP(A25,'Task Plan'!$A$5:$K$16,11,FALSE))/S25,1)</f>
        <v>1</v>
      </c>
      <c r="V25" s="2" t="str">
        <f>IF(U25&lt;Setup!$B$12,"Red",IF(U25&lt;Setup!$B$13,"Amber","Green"))</f>
        <v>Green</v>
      </c>
      <c r="W25" s="2" t="s">
        <v>430</v>
      </c>
      <c r="X25" s="131" t="s">
        <v>549</v>
      </c>
      <c r="Y25" s="2"/>
      <c r="Z25" s="2"/>
    </row>
    <row r="26" spans="1:26" x14ac:dyDescent="0.35">
      <c r="A26" s="130" t="str">
        <f>Dim_WBS!A12</f>
        <v>WBS-11</v>
      </c>
      <c r="B26" s="2" t="str">
        <f>Dim_WBS!C12</f>
        <v>Testing / Commissioning</v>
      </c>
      <c r="C26" s="2" t="str">
        <f>Dim_WBS!D12</f>
        <v>Labor</v>
      </c>
      <c r="D26" s="2" t="s">
        <v>550</v>
      </c>
      <c r="E26" s="50">
        <f>SUMIFS(Fact_Actual_Costs!$D$2:$D$100,Fact_Actual_Costs!$B$2:$B$100,$A26,Fact_Actual_Costs!$A$2:$A$100,"&gt;="&amp;MIN(Fact_Baseline_PV!$A$2:$A$44)+(0*7),Fact_Actual_Costs!$A$2:$A$100,"&lt;"&amp;MIN(Fact_Baseline_PV!$A$2:$A$44)+((0+1)*7))</f>
        <v>0</v>
      </c>
      <c r="F26" s="50">
        <f>SUMIFS(Fact_Actual_Costs!$D$2:$D$100,Fact_Actual_Costs!$B$2:$B$100,$A26,Fact_Actual_Costs!$A$2:$A$100,"&gt;="&amp;MIN(Fact_Baseline_PV!$A$2:$A$44)+(1*7),Fact_Actual_Costs!$A$2:$A$100,"&lt;"&amp;MIN(Fact_Baseline_PV!$A$2:$A$44)+((1+1)*7))</f>
        <v>0</v>
      </c>
      <c r="G26" s="50">
        <f>SUMIFS(Fact_Actual_Costs!$D$2:$D$100,Fact_Actual_Costs!$B$2:$B$100,$A26,Fact_Actual_Costs!$A$2:$A$100,"&gt;="&amp;MIN(Fact_Baseline_PV!$A$2:$A$44)+(2*7),Fact_Actual_Costs!$A$2:$A$100,"&lt;"&amp;MIN(Fact_Baseline_PV!$A$2:$A$44)+((2+1)*7))</f>
        <v>0</v>
      </c>
      <c r="H26" s="50">
        <f>SUMIFS(Fact_Actual_Costs!$D$2:$D$100,Fact_Actual_Costs!$B$2:$B$100,$A26,Fact_Actual_Costs!$A$2:$A$100,"&gt;="&amp;MIN(Fact_Baseline_PV!$A$2:$A$44)+(3*7),Fact_Actual_Costs!$A$2:$A$100,"&lt;"&amp;MIN(Fact_Baseline_PV!$A$2:$A$44)+((3+1)*7))</f>
        <v>0</v>
      </c>
      <c r="I26" s="50">
        <f>SUMIFS(Fact_Actual_Costs!$D$2:$D$100,Fact_Actual_Costs!$B$2:$B$100,$A26,Fact_Actual_Costs!$A$2:$A$100,"&gt;="&amp;MIN(Fact_Baseline_PV!$A$2:$A$44)+(4*7),Fact_Actual_Costs!$A$2:$A$100,"&lt;"&amp;MIN(Fact_Baseline_PV!$A$2:$A$44)+((4+1)*7))</f>
        <v>0</v>
      </c>
      <c r="J26" s="50">
        <f>SUMIFS(Fact_Actual_Costs!$D$2:$D$100,Fact_Actual_Costs!$B$2:$B$100,$A26,Fact_Actual_Costs!$A$2:$A$100,"&gt;="&amp;MIN(Fact_Baseline_PV!$A$2:$A$44)+(5*7),Fact_Actual_Costs!$A$2:$A$100,"&lt;"&amp;MIN(Fact_Baseline_PV!$A$2:$A$44)+((5+1)*7))</f>
        <v>0</v>
      </c>
      <c r="K26" s="50">
        <f>SUMIFS(Fact_Actual_Costs!$D$2:$D$100,Fact_Actual_Costs!$B$2:$B$100,$A26,Fact_Actual_Costs!$A$2:$A$100,"&gt;="&amp;MIN(Fact_Baseline_PV!$A$2:$A$44)+(6*7),Fact_Actual_Costs!$A$2:$A$100,"&lt;"&amp;MIN(Fact_Baseline_PV!$A$2:$A$44)+((6+1)*7))</f>
        <v>0</v>
      </c>
      <c r="L26" s="50">
        <f>SUMIFS(Fact_Actual_Costs!$D$2:$D$100,Fact_Actual_Costs!$B$2:$B$100,$A26,Fact_Actual_Costs!$A$2:$A$100,"&gt;="&amp;MIN(Fact_Baseline_PV!$A$2:$A$44)+(7*7),Fact_Actual_Costs!$A$2:$A$100,"&lt;"&amp;MIN(Fact_Baseline_PV!$A$2:$A$44)+((7+1)*7))</f>
        <v>0</v>
      </c>
      <c r="M26" s="50">
        <f>SUMIFS(Fact_Actual_Costs!$D$2:$D$100,Fact_Actual_Costs!$B$2:$B$100,$A26,Fact_Actual_Costs!$A$2:$A$100,"&gt;="&amp;MIN(Fact_Baseline_PV!$A$2:$A$44)+(8*7),Fact_Actual_Costs!$A$2:$A$100,"&lt;"&amp;MIN(Fact_Baseline_PV!$A$2:$A$44)+((8+1)*7))</f>
        <v>0</v>
      </c>
      <c r="N26" s="50">
        <f>SUMIFS(Fact_Actual_Costs!$D$2:$D$100,Fact_Actual_Costs!$B$2:$B$100,$A26,Fact_Actual_Costs!$A$2:$A$100,"&gt;="&amp;MIN(Fact_Baseline_PV!$A$2:$A$44)+(9*7),Fact_Actual_Costs!$A$2:$A$100,"&lt;"&amp;MIN(Fact_Baseline_PV!$A$2:$A$44)+((9+1)*7))</f>
        <v>0</v>
      </c>
      <c r="O26" s="50">
        <f>SUMIFS(Fact_Actual_Costs!$D$2:$D$100,Fact_Actual_Costs!$B$2:$B$100,$A26,Fact_Actual_Costs!$A$2:$A$100,"&gt;="&amp;MIN(Fact_Baseline_PV!$A$2:$A$44)+(10*7),Fact_Actual_Costs!$A$2:$A$100,"&lt;"&amp;MIN(Fact_Baseline_PV!$A$2:$A$44)+((10+1)*7))</f>
        <v>0</v>
      </c>
      <c r="P26" s="50">
        <f>SUMIFS(Fact_Actual_Costs!$D$2:$D$100,Fact_Actual_Costs!$B$2:$B$100,$A26,Fact_Actual_Costs!$A$2:$A$100,"&gt;="&amp;MIN(Fact_Baseline_PV!$A$2:$A$44)+(11*7),Fact_Actual_Costs!$A$2:$A$100,"&lt;"&amp;MIN(Fact_Baseline_PV!$A$2:$A$44)+((11+1)*7))</f>
        <v>0</v>
      </c>
      <c r="Q26" s="50">
        <f t="shared" si="0"/>
        <v>0</v>
      </c>
      <c r="R26" s="49">
        <f>VLOOKUP(A26,Dim_WBS!$A$2:$E$13,5,FALSE)</f>
        <v>8400</v>
      </c>
      <c r="S26" s="49">
        <f>SUMIFS(Fact_Actual_Costs!$D$2:$D$100,Fact_Actual_Costs!$B$2:$B$100,A26,Fact_Actual_Costs!$A$2:$A$100,"&lt;="&amp;Setup!$B$9)</f>
        <v>0</v>
      </c>
      <c r="T26" s="49">
        <f t="shared" si="1"/>
        <v>8400</v>
      </c>
      <c r="U26" s="50">
        <f>IFERROR((R26*VLOOKUP(A26,'Task Plan'!$A$5:$K$16,11,FALSE))/S26,1)</f>
        <v>1</v>
      </c>
      <c r="V26" s="2" t="str">
        <f>IF(U26&lt;Setup!$B$12,"Red",IF(U26&lt;Setup!$B$13,"Amber","Green"))</f>
        <v>Green</v>
      </c>
      <c r="W26" s="2" t="s">
        <v>430</v>
      </c>
      <c r="X26" s="131" t="s">
        <v>551</v>
      </c>
      <c r="Y26" s="2"/>
      <c r="Z26" s="2"/>
    </row>
    <row r="27" spans="1:26" x14ac:dyDescent="0.35">
      <c r="A27" s="130" t="str">
        <f>Dim_WBS!A13</f>
        <v>WBS-12</v>
      </c>
      <c r="B27" s="2" t="str">
        <f>Dim_WBS!C13</f>
        <v>Handover &amp; Closeout</v>
      </c>
      <c r="C27" s="2" t="str">
        <f>Dim_WBS!D13</f>
        <v>Labor</v>
      </c>
      <c r="D27" s="2" t="s">
        <v>548</v>
      </c>
      <c r="E27" s="50">
        <f>SUMIFS(Fact_Actual_Costs!$E$2:$E$100,Fact_Actual_Costs!$B$2:$B$100,$A27,Fact_Actual_Costs!$A$2:$A$100,"&gt;="&amp;MIN(Fact_Baseline_PV!$A$2:$A$44)+(0*7),Fact_Actual_Costs!$A$2:$A$100,"&lt;"&amp;MIN(Fact_Baseline_PV!$A$2:$A$44)+((0+1)*7))</f>
        <v>0</v>
      </c>
      <c r="F27" s="50">
        <f>SUMIFS(Fact_Actual_Costs!$E$2:$E$100,Fact_Actual_Costs!$B$2:$B$100,$A27,Fact_Actual_Costs!$A$2:$A$100,"&gt;="&amp;MIN(Fact_Baseline_PV!$A$2:$A$44)+(1*7),Fact_Actual_Costs!$A$2:$A$100,"&lt;"&amp;MIN(Fact_Baseline_PV!$A$2:$A$44)+((1+1)*7))</f>
        <v>0</v>
      </c>
      <c r="G27" s="50">
        <f>SUMIFS(Fact_Actual_Costs!$E$2:$E$100,Fact_Actual_Costs!$B$2:$B$100,$A27,Fact_Actual_Costs!$A$2:$A$100,"&gt;="&amp;MIN(Fact_Baseline_PV!$A$2:$A$44)+(2*7),Fact_Actual_Costs!$A$2:$A$100,"&lt;"&amp;MIN(Fact_Baseline_PV!$A$2:$A$44)+((2+1)*7))</f>
        <v>0</v>
      </c>
      <c r="H27" s="50">
        <f>SUMIFS(Fact_Actual_Costs!$E$2:$E$100,Fact_Actual_Costs!$B$2:$B$100,$A27,Fact_Actual_Costs!$A$2:$A$100,"&gt;="&amp;MIN(Fact_Baseline_PV!$A$2:$A$44)+(3*7),Fact_Actual_Costs!$A$2:$A$100,"&lt;"&amp;MIN(Fact_Baseline_PV!$A$2:$A$44)+((3+1)*7))</f>
        <v>0</v>
      </c>
      <c r="I27" s="50">
        <f>SUMIFS(Fact_Actual_Costs!$E$2:$E$100,Fact_Actual_Costs!$B$2:$B$100,$A27,Fact_Actual_Costs!$A$2:$A$100,"&gt;="&amp;MIN(Fact_Baseline_PV!$A$2:$A$44)+(4*7),Fact_Actual_Costs!$A$2:$A$100,"&lt;"&amp;MIN(Fact_Baseline_PV!$A$2:$A$44)+((4+1)*7))</f>
        <v>0</v>
      </c>
      <c r="J27" s="50">
        <f>SUMIFS(Fact_Actual_Costs!$E$2:$E$100,Fact_Actual_Costs!$B$2:$B$100,$A27,Fact_Actual_Costs!$A$2:$A$100,"&gt;="&amp;MIN(Fact_Baseline_PV!$A$2:$A$44)+(5*7),Fact_Actual_Costs!$A$2:$A$100,"&lt;"&amp;MIN(Fact_Baseline_PV!$A$2:$A$44)+((5+1)*7))</f>
        <v>0</v>
      </c>
      <c r="K27" s="50">
        <f>SUMIFS(Fact_Actual_Costs!$E$2:$E$100,Fact_Actual_Costs!$B$2:$B$100,$A27,Fact_Actual_Costs!$A$2:$A$100,"&gt;="&amp;MIN(Fact_Baseline_PV!$A$2:$A$44)+(6*7),Fact_Actual_Costs!$A$2:$A$100,"&lt;"&amp;MIN(Fact_Baseline_PV!$A$2:$A$44)+((6+1)*7))</f>
        <v>0</v>
      </c>
      <c r="L27" s="50">
        <f>SUMIFS(Fact_Actual_Costs!$E$2:$E$100,Fact_Actual_Costs!$B$2:$B$100,$A27,Fact_Actual_Costs!$A$2:$A$100,"&gt;="&amp;MIN(Fact_Baseline_PV!$A$2:$A$44)+(7*7),Fact_Actual_Costs!$A$2:$A$100,"&lt;"&amp;MIN(Fact_Baseline_PV!$A$2:$A$44)+((7+1)*7))</f>
        <v>0</v>
      </c>
      <c r="M27" s="50">
        <f>SUMIFS(Fact_Actual_Costs!$E$2:$E$100,Fact_Actual_Costs!$B$2:$B$100,$A27,Fact_Actual_Costs!$A$2:$A$100,"&gt;="&amp;MIN(Fact_Baseline_PV!$A$2:$A$44)+(8*7),Fact_Actual_Costs!$A$2:$A$100,"&lt;"&amp;MIN(Fact_Baseline_PV!$A$2:$A$44)+((8+1)*7))</f>
        <v>0</v>
      </c>
      <c r="N27" s="50">
        <f>SUMIFS(Fact_Actual_Costs!$E$2:$E$100,Fact_Actual_Costs!$B$2:$B$100,$A27,Fact_Actual_Costs!$A$2:$A$100,"&gt;="&amp;MIN(Fact_Baseline_PV!$A$2:$A$44)+(9*7),Fact_Actual_Costs!$A$2:$A$100,"&lt;"&amp;MIN(Fact_Baseline_PV!$A$2:$A$44)+((9+1)*7))</f>
        <v>0</v>
      </c>
      <c r="O27" s="50">
        <f>SUMIFS(Fact_Actual_Costs!$E$2:$E$100,Fact_Actual_Costs!$B$2:$B$100,$A27,Fact_Actual_Costs!$A$2:$A$100,"&gt;="&amp;MIN(Fact_Baseline_PV!$A$2:$A$44)+(10*7),Fact_Actual_Costs!$A$2:$A$100,"&lt;"&amp;MIN(Fact_Baseline_PV!$A$2:$A$44)+((10+1)*7))</f>
        <v>0</v>
      </c>
      <c r="P27" s="50">
        <f>SUMIFS(Fact_Actual_Costs!$E$2:$E$100,Fact_Actual_Costs!$B$2:$B$100,$A27,Fact_Actual_Costs!$A$2:$A$100,"&gt;="&amp;MIN(Fact_Baseline_PV!$A$2:$A$44)+(11*7),Fact_Actual_Costs!$A$2:$A$100,"&lt;"&amp;MIN(Fact_Baseline_PV!$A$2:$A$44)+((11+1)*7))</f>
        <v>0</v>
      </c>
      <c r="Q27" s="50">
        <f t="shared" si="0"/>
        <v>0</v>
      </c>
      <c r="R27" s="49">
        <f>VLOOKUP(A27,Dim_WBS!$A$2:$E$13,5,FALSE)</f>
        <v>3600</v>
      </c>
      <c r="S27" s="49">
        <f>SUMIFS(Fact_Actual_Costs!$D$2:$D$100,Fact_Actual_Costs!$B$2:$B$100,A27,Fact_Actual_Costs!$A$2:$A$100,"&lt;="&amp;Setup!$B$9)</f>
        <v>0</v>
      </c>
      <c r="T27" s="49">
        <f t="shared" si="1"/>
        <v>3600</v>
      </c>
      <c r="U27" s="50">
        <f>IFERROR((R27*VLOOKUP(A27,'Task Plan'!$A$5:$K$16,11,FALSE))/S27,1)</f>
        <v>1</v>
      </c>
      <c r="V27" s="2" t="str">
        <f>IF(U27&lt;Setup!$B$12,"Red",IF(U27&lt;Setup!$B$13,"Amber","Green"))</f>
        <v>Green</v>
      </c>
      <c r="W27" s="2" t="s">
        <v>430</v>
      </c>
      <c r="X27" s="131" t="s">
        <v>549</v>
      </c>
      <c r="Y27" s="2"/>
      <c r="Z27" s="2"/>
    </row>
    <row r="28" spans="1:26" x14ac:dyDescent="0.35">
      <c r="A28" s="134" t="str">
        <f>Dim_WBS!A13</f>
        <v>WBS-12</v>
      </c>
      <c r="B28" s="135" t="str">
        <f>Dim_WBS!C13</f>
        <v>Handover &amp; Closeout</v>
      </c>
      <c r="C28" s="135" t="str">
        <f>Dim_WBS!D13</f>
        <v>Labor</v>
      </c>
      <c r="D28" s="135" t="s">
        <v>550</v>
      </c>
      <c r="E28" s="160">
        <f>SUMIFS(Fact_Actual_Costs!$D$2:$D$100,Fact_Actual_Costs!$B$2:$B$100,$A28,Fact_Actual_Costs!$A$2:$A$100,"&gt;="&amp;MIN(Fact_Baseline_PV!$A$2:$A$44)+(0*7),Fact_Actual_Costs!$A$2:$A$100,"&lt;"&amp;MIN(Fact_Baseline_PV!$A$2:$A$44)+((0+1)*7))</f>
        <v>0</v>
      </c>
      <c r="F28" s="160">
        <f>SUMIFS(Fact_Actual_Costs!$D$2:$D$100,Fact_Actual_Costs!$B$2:$B$100,$A28,Fact_Actual_Costs!$A$2:$A$100,"&gt;="&amp;MIN(Fact_Baseline_PV!$A$2:$A$44)+(1*7),Fact_Actual_Costs!$A$2:$A$100,"&lt;"&amp;MIN(Fact_Baseline_PV!$A$2:$A$44)+((1+1)*7))</f>
        <v>0</v>
      </c>
      <c r="G28" s="160">
        <f>SUMIFS(Fact_Actual_Costs!$D$2:$D$100,Fact_Actual_Costs!$B$2:$B$100,$A28,Fact_Actual_Costs!$A$2:$A$100,"&gt;="&amp;MIN(Fact_Baseline_PV!$A$2:$A$44)+(2*7),Fact_Actual_Costs!$A$2:$A$100,"&lt;"&amp;MIN(Fact_Baseline_PV!$A$2:$A$44)+((2+1)*7))</f>
        <v>0</v>
      </c>
      <c r="H28" s="160">
        <f>SUMIFS(Fact_Actual_Costs!$D$2:$D$100,Fact_Actual_Costs!$B$2:$B$100,$A28,Fact_Actual_Costs!$A$2:$A$100,"&gt;="&amp;MIN(Fact_Baseline_PV!$A$2:$A$44)+(3*7),Fact_Actual_Costs!$A$2:$A$100,"&lt;"&amp;MIN(Fact_Baseline_PV!$A$2:$A$44)+((3+1)*7))</f>
        <v>0</v>
      </c>
      <c r="I28" s="160">
        <f>SUMIFS(Fact_Actual_Costs!$D$2:$D$100,Fact_Actual_Costs!$B$2:$B$100,$A28,Fact_Actual_Costs!$A$2:$A$100,"&gt;="&amp;MIN(Fact_Baseline_PV!$A$2:$A$44)+(4*7),Fact_Actual_Costs!$A$2:$A$100,"&lt;"&amp;MIN(Fact_Baseline_PV!$A$2:$A$44)+((4+1)*7))</f>
        <v>0</v>
      </c>
      <c r="J28" s="160">
        <f>SUMIFS(Fact_Actual_Costs!$D$2:$D$100,Fact_Actual_Costs!$B$2:$B$100,$A28,Fact_Actual_Costs!$A$2:$A$100,"&gt;="&amp;MIN(Fact_Baseline_PV!$A$2:$A$44)+(5*7),Fact_Actual_Costs!$A$2:$A$100,"&lt;"&amp;MIN(Fact_Baseline_PV!$A$2:$A$44)+((5+1)*7))</f>
        <v>0</v>
      </c>
      <c r="K28" s="160">
        <f>SUMIFS(Fact_Actual_Costs!$D$2:$D$100,Fact_Actual_Costs!$B$2:$B$100,$A28,Fact_Actual_Costs!$A$2:$A$100,"&gt;="&amp;MIN(Fact_Baseline_PV!$A$2:$A$44)+(6*7),Fact_Actual_Costs!$A$2:$A$100,"&lt;"&amp;MIN(Fact_Baseline_PV!$A$2:$A$44)+((6+1)*7))</f>
        <v>0</v>
      </c>
      <c r="L28" s="160">
        <f>SUMIFS(Fact_Actual_Costs!$D$2:$D$100,Fact_Actual_Costs!$B$2:$B$100,$A28,Fact_Actual_Costs!$A$2:$A$100,"&gt;="&amp;MIN(Fact_Baseline_PV!$A$2:$A$44)+(7*7),Fact_Actual_Costs!$A$2:$A$100,"&lt;"&amp;MIN(Fact_Baseline_PV!$A$2:$A$44)+((7+1)*7))</f>
        <v>0</v>
      </c>
      <c r="M28" s="160">
        <f>SUMIFS(Fact_Actual_Costs!$D$2:$D$100,Fact_Actual_Costs!$B$2:$B$100,$A28,Fact_Actual_Costs!$A$2:$A$100,"&gt;="&amp;MIN(Fact_Baseline_PV!$A$2:$A$44)+(8*7),Fact_Actual_Costs!$A$2:$A$100,"&lt;"&amp;MIN(Fact_Baseline_PV!$A$2:$A$44)+((8+1)*7))</f>
        <v>0</v>
      </c>
      <c r="N28" s="160">
        <f>SUMIFS(Fact_Actual_Costs!$D$2:$D$100,Fact_Actual_Costs!$B$2:$B$100,$A28,Fact_Actual_Costs!$A$2:$A$100,"&gt;="&amp;MIN(Fact_Baseline_PV!$A$2:$A$44)+(9*7),Fact_Actual_Costs!$A$2:$A$100,"&lt;"&amp;MIN(Fact_Baseline_PV!$A$2:$A$44)+((9+1)*7))</f>
        <v>0</v>
      </c>
      <c r="O28" s="160">
        <f>SUMIFS(Fact_Actual_Costs!$D$2:$D$100,Fact_Actual_Costs!$B$2:$B$100,$A28,Fact_Actual_Costs!$A$2:$A$100,"&gt;="&amp;MIN(Fact_Baseline_PV!$A$2:$A$44)+(10*7),Fact_Actual_Costs!$A$2:$A$100,"&lt;"&amp;MIN(Fact_Baseline_PV!$A$2:$A$44)+((10+1)*7))</f>
        <v>0</v>
      </c>
      <c r="P28" s="160">
        <f>SUMIFS(Fact_Actual_Costs!$D$2:$D$100,Fact_Actual_Costs!$B$2:$B$100,$A28,Fact_Actual_Costs!$A$2:$A$100,"&gt;="&amp;MIN(Fact_Baseline_PV!$A$2:$A$44)+(11*7),Fact_Actual_Costs!$A$2:$A$100,"&lt;"&amp;MIN(Fact_Baseline_PV!$A$2:$A$44)+((11+1)*7))</f>
        <v>0</v>
      </c>
      <c r="Q28" s="160">
        <f t="shared" si="0"/>
        <v>0</v>
      </c>
      <c r="R28" s="142">
        <f>VLOOKUP(A28,Dim_WBS!$A$2:$E$13,5,FALSE)</f>
        <v>3600</v>
      </c>
      <c r="S28" s="142">
        <f>SUMIFS(Fact_Actual_Costs!$D$2:$D$100,Fact_Actual_Costs!$B$2:$B$100,A28,Fact_Actual_Costs!$A$2:$A$100,"&lt;="&amp;Setup!$B$9)</f>
        <v>0</v>
      </c>
      <c r="T28" s="142">
        <f t="shared" si="1"/>
        <v>3600</v>
      </c>
      <c r="U28" s="160">
        <f>IFERROR((R28*VLOOKUP(A28,'Task Plan'!$A$5:$K$16,11,FALSE))/S28,1)</f>
        <v>1</v>
      </c>
      <c r="V28" s="135" t="str">
        <f>IF(U28&lt;Setup!$B$12,"Red",IF(U28&lt;Setup!$B$13,"Amber","Green"))</f>
        <v>Green</v>
      </c>
      <c r="W28" s="135" t="s">
        <v>430</v>
      </c>
      <c r="X28" s="136" t="s">
        <v>551</v>
      </c>
      <c r="Y28" s="2"/>
      <c r="Z28" s="2"/>
    </row>
    <row r="31" spans="1:26" x14ac:dyDescent="0.35">
      <c r="A31" s="132" t="s">
        <v>552</v>
      </c>
      <c r="B31" s="202" t="s">
        <v>698</v>
      </c>
      <c r="C31" s="202" t="s">
        <v>699</v>
      </c>
      <c r="D31" s="202" t="s">
        <v>700</v>
      </c>
      <c r="E31" s="202" t="s">
        <v>701</v>
      </c>
      <c r="F31" s="202" t="s">
        <v>702</v>
      </c>
      <c r="G31" s="202" t="s">
        <v>703</v>
      </c>
      <c r="H31" s="202" t="s">
        <v>704</v>
      </c>
      <c r="I31" s="202" t="s">
        <v>705</v>
      </c>
      <c r="J31" s="126" t="s">
        <v>544</v>
      </c>
      <c r="K31" s="126" t="s">
        <v>211</v>
      </c>
      <c r="L31" s="133" t="s">
        <v>187</v>
      </c>
      <c r="M31" s="45"/>
      <c r="N31" s="45"/>
    </row>
    <row r="32" spans="1:26" x14ac:dyDescent="0.35">
      <c r="A32" s="130" t="s">
        <v>553</v>
      </c>
      <c r="B32" s="49">
        <f>SUMIFS(Fact_Baseline_PV!$C$2:$C$44,Fact_Baseline_PV!$A$2:$A$44,"&gt;="&amp;DATE(2026,5,1),Fact_Baseline_PV!$A$2:$A$44,"&lt;"&amp;DATE(2026,6,1))</f>
        <v>87066.67</v>
      </c>
      <c r="C32" s="49">
        <f>SUMIFS(Fact_Baseline_PV!$C$2:$C$44,Fact_Baseline_PV!$A$2:$A$44,"&gt;="&amp;DATE(2026,6,1),Fact_Baseline_PV!$A$2:$A$44,"&lt;"&amp;DATE(2026,7,1))</f>
        <v>133166.66999999998</v>
      </c>
      <c r="D32" s="49">
        <f>SUMIFS(Fact_Baseline_PV!$C$2:$C$44,Fact_Baseline_PV!$A$2:$A$44,"&gt;="&amp;DATE(2026,7,1),Fact_Baseline_PV!$A$2:$A$44,"&lt;"&amp;DATE(2026,8,1))</f>
        <v>48416.66</v>
      </c>
      <c r="E32" s="49">
        <v>0</v>
      </c>
      <c r="F32" s="49">
        <v>0</v>
      </c>
      <c r="G32" s="49">
        <v>0</v>
      </c>
      <c r="H32" s="49">
        <v>0</v>
      </c>
      <c r="I32" s="49">
        <v>0</v>
      </c>
      <c r="J32" s="49">
        <f>SUM(B32:I32)</f>
        <v>268650</v>
      </c>
      <c r="K32" s="2" t="s">
        <v>554</v>
      </c>
      <c r="L32" s="131" t="s">
        <v>555</v>
      </c>
      <c r="M32" s="2"/>
      <c r="N32" s="2"/>
    </row>
    <row r="33" spans="1:14" x14ac:dyDescent="0.35">
      <c r="A33" s="130" t="s">
        <v>314</v>
      </c>
      <c r="B33" s="49">
        <f>SUMIFS(Fact_Actual_Costs!$D$2:$D$100,Fact_Actual_Costs!$A$2:$A$100,"&gt;="&amp;DATE(2026,5,1),Fact_Actual_Costs!$A$2:$A$100,"&lt;"&amp;DATE(2026,6,1))</f>
        <v>86509.440000000017</v>
      </c>
      <c r="C33" s="49">
        <f>SUMIFS(Fact_Actual_Costs!$D$2:$D$100,Fact_Actual_Costs!$A$2:$A$100,"&gt;="&amp;DATE(2026,6,1),Fact_Actual_Costs!$A$2:$A$100,"&lt;"&amp;DATE(2026,7,1))</f>
        <v>55475.999999999985</v>
      </c>
      <c r="D33" s="49">
        <f>SUMIFS(Fact_Actual_Costs!$D$2:$D$100,Fact_Actual_Costs!$A$2:$A$100,"&gt;="&amp;DATE(2026,7,1),Fact_Actual_Costs!$A$2:$A$100,"&lt;"&amp;DATE(2026,8,1))</f>
        <v>0</v>
      </c>
      <c r="E33" s="49">
        <v>0</v>
      </c>
      <c r="F33" s="49">
        <v>0</v>
      </c>
      <c r="G33" s="49">
        <v>0</v>
      </c>
      <c r="H33" s="49">
        <v>0</v>
      </c>
      <c r="I33" s="49">
        <v>0</v>
      </c>
      <c r="J33" s="49">
        <f>SUM(B33:I33)</f>
        <v>141985.44</v>
      </c>
      <c r="K33" s="2" t="s">
        <v>554</v>
      </c>
      <c r="L33" s="131" t="s">
        <v>556</v>
      </c>
      <c r="M33" s="2"/>
      <c r="N33" s="2"/>
    </row>
    <row r="34" spans="1:14" x14ac:dyDescent="0.35">
      <c r="A34" s="134" t="s">
        <v>557</v>
      </c>
      <c r="B34" s="135">
        <f>SUM(--(B32&gt;0))</f>
        <v>1</v>
      </c>
      <c r="C34" s="135">
        <f>SUM(--(C32&gt;0))</f>
        <v>1</v>
      </c>
      <c r="D34" s="135">
        <f>SUM(--(D32&gt;0))</f>
        <v>1</v>
      </c>
      <c r="E34" s="135">
        <v>0</v>
      </c>
      <c r="F34" s="135">
        <v>0</v>
      </c>
      <c r="G34" s="135">
        <v>0</v>
      </c>
      <c r="H34" s="135">
        <v>0</v>
      </c>
      <c r="I34" s="135">
        <v>0</v>
      </c>
      <c r="J34" s="135">
        <f>SUM(B34:I34)</f>
        <v>3</v>
      </c>
      <c r="K34" s="135" t="s">
        <v>554</v>
      </c>
      <c r="L34" s="136" t="s">
        <v>558</v>
      </c>
      <c r="M34" s="2"/>
      <c r="N34" s="2"/>
    </row>
    <row r="35" spans="1:14" x14ac:dyDescent="0.35">
      <c r="A35" s="2"/>
      <c r="B35" s="2"/>
      <c r="C35" s="2"/>
      <c r="D35" s="2"/>
      <c r="E35" s="2"/>
      <c r="F35" s="2"/>
      <c r="G35" s="2"/>
      <c r="H35" s="2"/>
      <c r="I35" s="2"/>
      <c r="J35" s="2"/>
      <c r="K35" s="2"/>
      <c r="L35" s="2"/>
      <c r="M35" s="2"/>
      <c r="N35" s="2"/>
    </row>
  </sheetData>
  <mergeCells count="2">
    <mergeCell ref="A1:Z1"/>
    <mergeCell ref="A2:Z2"/>
  </mergeCells>
  <conditionalFormatting sqref="V5:V28">
    <cfRule type="expression" dxfId="115" priority="1">
      <formula>ISNUMBER(SEARCH("Red",V5))</formula>
    </cfRule>
  </conditionalFormatting>
  <conditionalFormatting sqref="V5:V28">
    <cfRule type="expression" dxfId="114" priority="2">
      <formula>ISNUMBER(SEARCH("Amber",V5))</formula>
    </cfRule>
  </conditionalFormatting>
  <conditionalFormatting sqref="V5:V28">
    <cfRule type="expression" dxfId="113" priority="3">
      <formula>ISNUMBER(SEARCH("Green",V5))</formula>
    </cfRule>
  </conditionalFormatting>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6A6A6"/>
  </sheetPr>
  <dimension ref="A1:F2"/>
  <sheetViews>
    <sheetView workbookViewId="0">
      <selection activeCell="Q1" sqref="Q1"/>
    </sheetView>
  </sheetViews>
  <sheetFormatPr defaultRowHeight="14.5" x14ac:dyDescent="0.35"/>
  <cols>
    <col min="1" max="1" width="11.26953125" customWidth="1"/>
    <col min="2" max="2" width="14.36328125" customWidth="1"/>
    <col min="3" max="3" width="11.54296875" customWidth="1"/>
    <col min="4" max="4" width="10.7265625" customWidth="1"/>
    <col min="5" max="5" width="9.90625" bestFit="1" customWidth="1"/>
    <col min="6" max="6" width="18.36328125" bestFit="1" customWidth="1"/>
  </cols>
  <sheetData>
    <row r="1" spans="1:6" x14ac:dyDescent="0.35">
      <c r="A1" s="204" t="s">
        <v>71</v>
      </c>
      <c r="B1" s="205" t="s">
        <v>72</v>
      </c>
      <c r="C1" s="205" t="s">
        <v>73</v>
      </c>
      <c r="D1" s="205" t="s">
        <v>74</v>
      </c>
      <c r="E1" s="205" t="s">
        <v>75</v>
      </c>
      <c r="F1" s="206" t="s">
        <v>76</v>
      </c>
    </row>
    <row r="2" spans="1:6" x14ac:dyDescent="0.35">
      <c r="A2" s="207" t="s">
        <v>77</v>
      </c>
      <c r="B2" s="208" t="s">
        <v>78</v>
      </c>
      <c r="C2" s="209">
        <v>46146</v>
      </c>
      <c r="D2" s="210">
        <v>46229</v>
      </c>
      <c r="E2" s="211">
        <v>268650</v>
      </c>
      <c r="F2" s="212" t="s">
        <v>5</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E13"/>
  <sheetViews>
    <sheetView workbookViewId="0">
      <selection activeCell="Q1" sqref="Q1"/>
    </sheetView>
  </sheetViews>
  <sheetFormatPr defaultRowHeight="14.5" x14ac:dyDescent="0.35"/>
  <cols>
    <col min="1" max="1" width="9.36328125" customWidth="1"/>
    <col min="2" max="2" width="11.90625" customWidth="1"/>
    <col min="3" max="3" width="21.26953125" bestFit="1" customWidth="1"/>
    <col min="4" max="4" width="12" bestFit="1" customWidth="1"/>
    <col min="5" max="5" width="13.54296875" customWidth="1"/>
  </cols>
  <sheetData>
    <row r="1" spans="1:5" x14ac:dyDescent="0.35">
      <c r="A1" s="204" t="s">
        <v>79</v>
      </c>
      <c r="B1" s="205" t="s">
        <v>80</v>
      </c>
      <c r="C1" s="205" t="s">
        <v>81</v>
      </c>
      <c r="D1" s="205" t="s">
        <v>21</v>
      </c>
      <c r="E1" s="206" t="s">
        <v>82</v>
      </c>
    </row>
    <row r="2" spans="1:5" x14ac:dyDescent="0.35">
      <c r="A2" s="203" t="s">
        <v>35</v>
      </c>
      <c r="B2" s="28">
        <v>1</v>
      </c>
      <c r="C2" s="28" t="s">
        <v>36</v>
      </c>
      <c r="D2" s="28" t="s">
        <v>37</v>
      </c>
      <c r="E2" s="213">
        <v>18000</v>
      </c>
    </row>
    <row r="3" spans="1:5" x14ac:dyDescent="0.35">
      <c r="A3" s="203" t="s">
        <v>38</v>
      </c>
      <c r="B3" s="28">
        <v>2</v>
      </c>
      <c r="C3" s="28" t="s">
        <v>39</v>
      </c>
      <c r="D3" s="28" t="s">
        <v>37</v>
      </c>
      <c r="E3" s="213">
        <v>8500</v>
      </c>
    </row>
    <row r="4" spans="1:5" x14ac:dyDescent="0.35">
      <c r="A4" s="203" t="s">
        <v>40</v>
      </c>
      <c r="B4" s="28">
        <v>3</v>
      </c>
      <c r="C4" s="28" t="s">
        <v>41</v>
      </c>
      <c r="D4" s="28" t="s">
        <v>37</v>
      </c>
      <c r="E4" s="213">
        <v>19200</v>
      </c>
    </row>
    <row r="5" spans="1:5" x14ac:dyDescent="0.35">
      <c r="A5" s="203" t="s">
        <v>42</v>
      </c>
      <c r="B5" s="28">
        <v>4</v>
      </c>
      <c r="C5" s="28" t="s">
        <v>43</v>
      </c>
      <c r="D5" s="28" t="s">
        <v>44</v>
      </c>
      <c r="E5" s="213">
        <v>42000</v>
      </c>
    </row>
    <row r="6" spans="1:5" x14ac:dyDescent="0.35">
      <c r="A6" s="203" t="s">
        <v>45</v>
      </c>
      <c r="B6" s="28">
        <v>5</v>
      </c>
      <c r="C6" s="28" t="s">
        <v>46</v>
      </c>
      <c r="D6" s="28" t="s">
        <v>37</v>
      </c>
      <c r="E6" s="213">
        <v>13200</v>
      </c>
    </row>
    <row r="7" spans="1:5" x14ac:dyDescent="0.35">
      <c r="A7" s="203" t="s">
        <v>47</v>
      </c>
      <c r="B7" s="28">
        <v>6</v>
      </c>
      <c r="C7" s="28" t="s">
        <v>48</v>
      </c>
      <c r="D7" s="28" t="s">
        <v>37</v>
      </c>
      <c r="E7" s="213">
        <v>26000</v>
      </c>
    </row>
    <row r="8" spans="1:5" x14ac:dyDescent="0.35">
      <c r="A8" s="203" t="s">
        <v>49</v>
      </c>
      <c r="B8" s="28">
        <v>7</v>
      </c>
      <c r="C8" s="28" t="s">
        <v>50</v>
      </c>
      <c r="D8" s="28" t="s">
        <v>51</v>
      </c>
      <c r="E8" s="213">
        <v>36000</v>
      </c>
    </row>
    <row r="9" spans="1:5" x14ac:dyDescent="0.35">
      <c r="A9" s="203" t="s">
        <v>52</v>
      </c>
      <c r="B9" s="28">
        <v>8</v>
      </c>
      <c r="C9" s="28" t="s">
        <v>53</v>
      </c>
      <c r="D9" s="28" t="s">
        <v>51</v>
      </c>
      <c r="E9" s="213">
        <v>28000</v>
      </c>
    </row>
    <row r="10" spans="1:5" x14ac:dyDescent="0.35">
      <c r="A10" s="203" t="s">
        <v>54</v>
      </c>
      <c r="B10" s="28">
        <v>9</v>
      </c>
      <c r="C10" s="28" t="s">
        <v>55</v>
      </c>
      <c r="D10" s="28" t="s">
        <v>44</v>
      </c>
      <c r="E10" s="213">
        <v>35750</v>
      </c>
    </row>
    <row r="11" spans="1:5" x14ac:dyDescent="0.35">
      <c r="A11" s="203" t="s">
        <v>56</v>
      </c>
      <c r="B11" s="28">
        <v>10</v>
      </c>
      <c r="C11" s="28" t="s">
        <v>57</v>
      </c>
      <c r="D11" s="28" t="s">
        <v>44</v>
      </c>
      <c r="E11" s="213">
        <v>30000</v>
      </c>
    </row>
    <row r="12" spans="1:5" x14ac:dyDescent="0.35">
      <c r="A12" s="203" t="s">
        <v>58</v>
      </c>
      <c r="B12" s="28">
        <v>11</v>
      </c>
      <c r="C12" s="28" t="s">
        <v>59</v>
      </c>
      <c r="D12" s="28" t="s">
        <v>37</v>
      </c>
      <c r="E12" s="213">
        <v>8400</v>
      </c>
    </row>
    <row r="13" spans="1:5" x14ac:dyDescent="0.35">
      <c r="A13" s="207" t="s">
        <v>60</v>
      </c>
      <c r="B13" s="208">
        <v>12</v>
      </c>
      <c r="C13" s="208" t="s">
        <v>61</v>
      </c>
      <c r="D13" s="208" t="s">
        <v>37</v>
      </c>
      <c r="E13" s="214">
        <v>3600</v>
      </c>
    </row>
  </sheetData>
  <conditionalFormatting sqref="D2:D13">
    <cfRule type="containsText" dxfId="112" priority="4" operator="containsText" text="Labor">
      <formula>NOT(ISERROR(SEARCH("Labor",D2)))</formula>
    </cfRule>
    <cfRule type="containsText" dxfId="111" priority="5" operator="containsText" text="Material">
      <formula>NOT(ISERROR(SEARCH("Material",D2)))</formula>
    </cfRule>
    <cfRule type="containsText" dxfId="110" priority="6" operator="containsText" text="Subcontractor">
      <formula>NOT(ISERROR(SEARCH("Subcontractor",D2)))</formula>
    </cfRule>
  </conditionalFormatting>
  <conditionalFormatting sqref="E2:E13">
    <cfRule type="cellIs" dxfId="109" priority="1" operator="lessThanOrEqual">
      <formula>13200</formula>
    </cfRule>
    <cfRule type="cellIs" dxfId="108" priority="2" operator="between">
      <formula>13200</formula>
      <formula>28000</formula>
    </cfRule>
    <cfRule type="cellIs" dxfId="107" priority="3" operator="greaterThanOrEqual">
      <formula>28000</formula>
    </cfRule>
  </conditionalFormatting>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A6A6"/>
  </sheetPr>
  <dimension ref="A1:D12"/>
  <sheetViews>
    <sheetView workbookViewId="0">
      <selection activeCell="Q1" sqref="Q1"/>
    </sheetView>
  </sheetViews>
  <sheetFormatPr defaultRowHeight="14.5" x14ac:dyDescent="0.35"/>
  <cols>
    <col min="1" max="1" width="13.26953125" customWidth="1"/>
    <col min="2" max="2" width="16.36328125" customWidth="1"/>
    <col min="3" max="3" width="11.26953125" bestFit="1" customWidth="1"/>
    <col min="4" max="4" width="13" customWidth="1"/>
  </cols>
  <sheetData>
    <row r="1" spans="1:4" x14ac:dyDescent="0.35">
      <c r="A1" s="204" t="s">
        <v>83</v>
      </c>
      <c r="B1" s="205" t="s">
        <v>84</v>
      </c>
      <c r="C1" s="205" t="s">
        <v>85</v>
      </c>
      <c r="D1" s="206" t="s">
        <v>86</v>
      </c>
    </row>
    <row r="2" spans="1:4" x14ac:dyDescent="0.35">
      <c r="A2" s="203" t="s">
        <v>87</v>
      </c>
      <c r="B2" s="28" t="s">
        <v>88</v>
      </c>
      <c r="C2" s="28" t="s">
        <v>89</v>
      </c>
      <c r="D2" s="213">
        <v>1500</v>
      </c>
    </row>
    <row r="3" spans="1:4" x14ac:dyDescent="0.35">
      <c r="A3" s="203" t="s">
        <v>90</v>
      </c>
      <c r="B3" s="28" t="s">
        <v>91</v>
      </c>
      <c r="C3" s="28" t="s">
        <v>92</v>
      </c>
      <c r="D3" s="213">
        <v>2400</v>
      </c>
    </row>
    <row r="4" spans="1:4" x14ac:dyDescent="0.35">
      <c r="A4" s="203" t="s">
        <v>93</v>
      </c>
      <c r="B4" s="28" t="s">
        <v>94</v>
      </c>
      <c r="C4" s="28" t="s">
        <v>95</v>
      </c>
      <c r="D4" s="213">
        <v>2600</v>
      </c>
    </row>
    <row r="5" spans="1:4" x14ac:dyDescent="0.35">
      <c r="A5" s="203" t="s">
        <v>96</v>
      </c>
      <c r="B5" s="28" t="s">
        <v>97</v>
      </c>
      <c r="C5" s="28" t="s">
        <v>37</v>
      </c>
      <c r="D5" s="213">
        <v>2200</v>
      </c>
    </row>
    <row r="6" spans="1:4" x14ac:dyDescent="0.35">
      <c r="A6" s="203" t="s">
        <v>98</v>
      </c>
      <c r="B6" s="28" t="s">
        <v>99</v>
      </c>
      <c r="C6" s="28" t="s">
        <v>100</v>
      </c>
      <c r="D6" s="213">
        <v>2100</v>
      </c>
    </row>
    <row r="7" spans="1:4" x14ac:dyDescent="0.35">
      <c r="A7" s="203" t="s">
        <v>101</v>
      </c>
      <c r="B7" s="28" t="s">
        <v>102</v>
      </c>
      <c r="C7" s="28" t="s">
        <v>100</v>
      </c>
      <c r="D7" s="213">
        <v>1800</v>
      </c>
    </row>
    <row r="8" spans="1:4" x14ac:dyDescent="0.35">
      <c r="A8" s="203" t="s">
        <v>103</v>
      </c>
      <c r="B8" s="28" t="s">
        <v>104</v>
      </c>
      <c r="C8" s="28" t="s">
        <v>105</v>
      </c>
      <c r="D8" s="213">
        <v>0</v>
      </c>
    </row>
    <row r="9" spans="1:4" x14ac:dyDescent="0.35">
      <c r="A9" s="203" t="s">
        <v>106</v>
      </c>
      <c r="B9" s="28" t="s">
        <v>107</v>
      </c>
      <c r="C9" s="28" t="s">
        <v>108</v>
      </c>
      <c r="D9" s="213">
        <v>0</v>
      </c>
    </row>
    <row r="10" spans="1:4" x14ac:dyDescent="0.35">
      <c r="A10" s="203" t="s">
        <v>109</v>
      </c>
      <c r="B10" s="28" t="s">
        <v>110</v>
      </c>
      <c r="C10" s="28" t="s">
        <v>108</v>
      </c>
      <c r="D10" s="213">
        <v>0</v>
      </c>
    </row>
    <row r="11" spans="1:4" x14ac:dyDescent="0.35">
      <c r="A11" s="203" t="s">
        <v>111</v>
      </c>
      <c r="B11" s="28" t="s">
        <v>112</v>
      </c>
      <c r="C11" s="28" t="s">
        <v>105</v>
      </c>
      <c r="D11" s="213">
        <v>0</v>
      </c>
    </row>
    <row r="12" spans="1:4" x14ac:dyDescent="0.35">
      <c r="A12" s="207" t="s">
        <v>113</v>
      </c>
      <c r="B12" s="208" t="s">
        <v>114</v>
      </c>
      <c r="C12" s="208" t="s">
        <v>105</v>
      </c>
      <c r="D12" s="214">
        <v>0</v>
      </c>
    </row>
  </sheetData>
  <conditionalFormatting sqref="D2:D12">
    <cfRule type="cellIs" dxfId="106" priority="1" operator="equal">
      <formula>0</formula>
    </cfRule>
    <cfRule type="cellIs" dxfId="105" priority="2" operator="between">
      <formula>1</formula>
      <formula>2399.999</formula>
    </cfRule>
    <cfRule type="cellIs" dxfId="104" priority="3" operator="greaterThanOrEqual">
      <formula>2400</formula>
    </cfRule>
  </conditionalFormatting>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A6A6"/>
  </sheetPr>
  <dimension ref="A1:G85"/>
  <sheetViews>
    <sheetView topLeftCell="F1" workbookViewId="0">
      <selection activeCell="Q1" sqref="Q1"/>
    </sheetView>
  </sheetViews>
  <sheetFormatPr defaultRowHeight="14.5" x14ac:dyDescent="0.35"/>
  <cols>
    <col min="1" max="1" width="10.08984375" bestFit="1" customWidth="1"/>
    <col min="2" max="2" width="6.54296875" customWidth="1"/>
    <col min="3" max="3" width="8.08984375" customWidth="1"/>
    <col min="4" max="4" width="13.81640625" customWidth="1"/>
    <col min="5" max="5" width="9.1796875" customWidth="1"/>
    <col min="6" max="6" width="15.08984375" customWidth="1"/>
    <col min="7" max="7" width="12.81640625" customWidth="1"/>
  </cols>
  <sheetData>
    <row r="1" spans="1:7" x14ac:dyDescent="0.35">
      <c r="A1" s="204" t="s">
        <v>115</v>
      </c>
      <c r="B1" s="205" t="s">
        <v>116</v>
      </c>
      <c r="C1" s="205" t="s">
        <v>117</v>
      </c>
      <c r="D1" s="205" t="s">
        <v>118</v>
      </c>
      <c r="E1" s="205" t="s">
        <v>119</v>
      </c>
      <c r="F1" s="205" t="s">
        <v>120</v>
      </c>
      <c r="G1" s="206" t="s">
        <v>121</v>
      </c>
    </row>
    <row r="2" spans="1:7" x14ac:dyDescent="0.35">
      <c r="A2" s="215">
        <v>46146</v>
      </c>
      <c r="B2" s="28">
        <v>2026</v>
      </c>
      <c r="C2" s="28">
        <v>5</v>
      </c>
      <c r="D2" s="28" t="s">
        <v>122</v>
      </c>
      <c r="E2" s="28">
        <v>2</v>
      </c>
      <c r="F2" s="28">
        <v>1</v>
      </c>
      <c r="G2" s="216">
        <v>1</v>
      </c>
    </row>
    <row r="3" spans="1:7" x14ac:dyDescent="0.35">
      <c r="A3" s="215">
        <v>46147</v>
      </c>
      <c r="B3" s="28">
        <v>2026</v>
      </c>
      <c r="C3" s="28">
        <v>5</v>
      </c>
      <c r="D3" s="28" t="s">
        <v>122</v>
      </c>
      <c r="E3" s="28">
        <v>2</v>
      </c>
      <c r="F3" s="28">
        <v>1</v>
      </c>
      <c r="G3" s="216">
        <v>1</v>
      </c>
    </row>
    <row r="4" spans="1:7" x14ac:dyDescent="0.35">
      <c r="A4" s="215">
        <v>46148</v>
      </c>
      <c r="B4" s="28">
        <v>2026</v>
      </c>
      <c r="C4" s="28">
        <v>5</v>
      </c>
      <c r="D4" s="28" t="s">
        <v>122</v>
      </c>
      <c r="E4" s="28">
        <v>2</v>
      </c>
      <c r="F4" s="28">
        <v>1</v>
      </c>
      <c r="G4" s="216">
        <v>1</v>
      </c>
    </row>
    <row r="5" spans="1:7" x14ac:dyDescent="0.35">
      <c r="A5" s="215">
        <v>46149</v>
      </c>
      <c r="B5" s="28">
        <v>2026</v>
      </c>
      <c r="C5" s="28">
        <v>5</v>
      </c>
      <c r="D5" s="28" t="s">
        <v>122</v>
      </c>
      <c r="E5" s="28">
        <v>2</v>
      </c>
      <c r="F5" s="28">
        <v>1</v>
      </c>
      <c r="G5" s="216">
        <v>1</v>
      </c>
    </row>
    <row r="6" spans="1:7" x14ac:dyDescent="0.35">
      <c r="A6" s="215">
        <v>46150</v>
      </c>
      <c r="B6" s="28">
        <v>2026</v>
      </c>
      <c r="C6" s="28">
        <v>5</v>
      </c>
      <c r="D6" s="28" t="s">
        <v>122</v>
      </c>
      <c r="E6" s="28">
        <v>2</v>
      </c>
      <c r="F6" s="28">
        <v>1</v>
      </c>
      <c r="G6" s="216">
        <v>1</v>
      </c>
    </row>
    <row r="7" spans="1:7" x14ac:dyDescent="0.35">
      <c r="A7" s="215">
        <v>46151</v>
      </c>
      <c r="B7" s="28">
        <v>2026</v>
      </c>
      <c r="C7" s="28">
        <v>5</v>
      </c>
      <c r="D7" s="28" t="s">
        <v>122</v>
      </c>
      <c r="E7" s="28">
        <v>2</v>
      </c>
      <c r="F7" s="28">
        <v>1</v>
      </c>
      <c r="G7" s="216">
        <v>0</v>
      </c>
    </row>
    <row r="8" spans="1:7" x14ac:dyDescent="0.35">
      <c r="A8" s="215">
        <v>46152</v>
      </c>
      <c r="B8" s="28">
        <v>2026</v>
      </c>
      <c r="C8" s="28">
        <v>5</v>
      </c>
      <c r="D8" s="28" t="s">
        <v>122</v>
      </c>
      <c r="E8" s="28">
        <v>2</v>
      </c>
      <c r="F8" s="28">
        <v>1</v>
      </c>
      <c r="G8" s="216">
        <v>0</v>
      </c>
    </row>
    <row r="9" spans="1:7" x14ac:dyDescent="0.35">
      <c r="A9" s="215">
        <v>46153</v>
      </c>
      <c r="B9" s="28">
        <v>2026</v>
      </c>
      <c r="C9" s="28">
        <v>5</v>
      </c>
      <c r="D9" s="28" t="s">
        <v>122</v>
      </c>
      <c r="E9" s="28">
        <v>2</v>
      </c>
      <c r="F9" s="28">
        <v>2</v>
      </c>
      <c r="G9" s="216">
        <v>1</v>
      </c>
    </row>
    <row r="10" spans="1:7" x14ac:dyDescent="0.35">
      <c r="A10" s="215">
        <v>46154</v>
      </c>
      <c r="B10" s="28">
        <v>2026</v>
      </c>
      <c r="C10" s="28">
        <v>5</v>
      </c>
      <c r="D10" s="28" t="s">
        <v>122</v>
      </c>
      <c r="E10" s="28">
        <v>2</v>
      </c>
      <c r="F10" s="28">
        <v>2</v>
      </c>
      <c r="G10" s="216">
        <v>1</v>
      </c>
    </row>
    <row r="11" spans="1:7" x14ac:dyDescent="0.35">
      <c r="A11" s="215">
        <v>46155</v>
      </c>
      <c r="B11" s="28">
        <v>2026</v>
      </c>
      <c r="C11" s="28">
        <v>5</v>
      </c>
      <c r="D11" s="28" t="s">
        <v>122</v>
      </c>
      <c r="E11" s="28">
        <v>2</v>
      </c>
      <c r="F11" s="28">
        <v>2</v>
      </c>
      <c r="G11" s="216">
        <v>1</v>
      </c>
    </row>
    <row r="12" spans="1:7" x14ac:dyDescent="0.35">
      <c r="A12" s="215">
        <v>46156</v>
      </c>
      <c r="B12" s="28">
        <v>2026</v>
      </c>
      <c r="C12" s="28">
        <v>5</v>
      </c>
      <c r="D12" s="28" t="s">
        <v>122</v>
      </c>
      <c r="E12" s="28">
        <v>2</v>
      </c>
      <c r="F12" s="28">
        <v>2</v>
      </c>
      <c r="G12" s="216">
        <v>1</v>
      </c>
    </row>
    <row r="13" spans="1:7" x14ac:dyDescent="0.35">
      <c r="A13" s="215">
        <v>46157</v>
      </c>
      <c r="B13" s="28">
        <v>2026</v>
      </c>
      <c r="C13" s="28">
        <v>5</v>
      </c>
      <c r="D13" s="28" t="s">
        <v>122</v>
      </c>
      <c r="E13" s="28">
        <v>2</v>
      </c>
      <c r="F13" s="28">
        <v>2</v>
      </c>
      <c r="G13" s="216">
        <v>1</v>
      </c>
    </row>
    <row r="14" spans="1:7" x14ac:dyDescent="0.35">
      <c r="A14" s="215">
        <v>46158</v>
      </c>
      <c r="B14" s="28">
        <v>2026</v>
      </c>
      <c r="C14" s="28">
        <v>5</v>
      </c>
      <c r="D14" s="28" t="s">
        <v>122</v>
      </c>
      <c r="E14" s="28">
        <v>2</v>
      </c>
      <c r="F14" s="28">
        <v>2</v>
      </c>
      <c r="G14" s="216">
        <v>0</v>
      </c>
    </row>
    <row r="15" spans="1:7" x14ac:dyDescent="0.35">
      <c r="A15" s="215">
        <v>46159</v>
      </c>
      <c r="B15" s="28">
        <v>2026</v>
      </c>
      <c r="C15" s="28">
        <v>5</v>
      </c>
      <c r="D15" s="28" t="s">
        <v>122</v>
      </c>
      <c r="E15" s="28">
        <v>2</v>
      </c>
      <c r="F15" s="28">
        <v>2</v>
      </c>
      <c r="G15" s="216">
        <v>0</v>
      </c>
    </row>
    <row r="16" spans="1:7" x14ac:dyDescent="0.35">
      <c r="A16" s="215">
        <v>46160</v>
      </c>
      <c r="B16" s="28">
        <v>2026</v>
      </c>
      <c r="C16" s="28">
        <v>5</v>
      </c>
      <c r="D16" s="28" t="s">
        <v>122</v>
      </c>
      <c r="E16" s="28">
        <v>2</v>
      </c>
      <c r="F16" s="28">
        <v>3</v>
      </c>
      <c r="G16" s="216">
        <v>1</v>
      </c>
    </row>
    <row r="17" spans="1:7" x14ac:dyDescent="0.35">
      <c r="A17" s="215">
        <v>46161</v>
      </c>
      <c r="B17" s="28">
        <v>2026</v>
      </c>
      <c r="C17" s="28">
        <v>5</v>
      </c>
      <c r="D17" s="28" t="s">
        <v>122</v>
      </c>
      <c r="E17" s="28">
        <v>2</v>
      </c>
      <c r="F17" s="28">
        <v>3</v>
      </c>
      <c r="G17" s="216">
        <v>1</v>
      </c>
    </row>
    <row r="18" spans="1:7" x14ac:dyDescent="0.35">
      <c r="A18" s="215">
        <v>46162</v>
      </c>
      <c r="B18" s="28">
        <v>2026</v>
      </c>
      <c r="C18" s="28">
        <v>5</v>
      </c>
      <c r="D18" s="28" t="s">
        <v>122</v>
      </c>
      <c r="E18" s="28">
        <v>2</v>
      </c>
      <c r="F18" s="28">
        <v>3</v>
      </c>
      <c r="G18" s="216">
        <v>1</v>
      </c>
    </row>
    <row r="19" spans="1:7" x14ac:dyDescent="0.35">
      <c r="A19" s="215">
        <v>46163</v>
      </c>
      <c r="B19" s="28">
        <v>2026</v>
      </c>
      <c r="C19" s="28">
        <v>5</v>
      </c>
      <c r="D19" s="28" t="s">
        <v>122</v>
      </c>
      <c r="E19" s="28">
        <v>2</v>
      </c>
      <c r="F19" s="28">
        <v>3</v>
      </c>
      <c r="G19" s="216">
        <v>1</v>
      </c>
    </row>
    <row r="20" spans="1:7" x14ac:dyDescent="0.35">
      <c r="A20" s="215">
        <v>46164</v>
      </c>
      <c r="B20" s="28">
        <v>2026</v>
      </c>
      <c r="C20" s="28">
        <v>5</v>
      </c>
      <c r="D20" s="28" t="s">
        <v>122</v>
      </c>
      <c r="E20" s="28">
        <v>2</v>
      </c>
      <c r="F20" s="28">
        <v>3</v>
      </c>
      <c r="G20" s="216">
        <v>1</v>
      </c>
    </row>
    <row r="21" spans="1:7" x14ac:dyDescent="0.35">
      <c r="A21" s="215">
        <v>46165</v>
      </c>
      <c r="B21" s="28">
        <v>2026</v>
      </c>
      <c r="C21" s="28">
        <v>5</v>
      </c>
      <c r="D21" s="28" t="s">
        <v>122</v>
      </c>
      <c r="E21" s="28">
        <v>2</v>
      </c>
      <c r="F21" s="28">
        <v>3</v>
      </c>
      <c r="G21" s="216">
        <v>0</v>
      </c>
    </row>
    <row r="22" spans="1:7" x14ac:dyDescent="0.35">
      <c r="A22" s="215">
        <v>46166</v>
      </c>
      <c r="B22" s="28">
        <v>2026</v>
      </c>
      <c r="C22" s="28">
        <v>5</v>
      </c>
      <c r="D22" s="28" t="s">
        <v>122</v>
      </c>
      <c r="E22" s="28">
        <v>2</v>
      </c>
      <c r="F22" s="28">
        <v>3</v>
      </c>
      <c r="G22" s="216">
        <v>0</v>
      </c>
    </row>
    <row r="23" spans="1:7" x14ac:dyDescent="0.35">
      <c r="A23" s="215">
        <v>46167</v>
      </c>
      <c r="B23" s="28">
        <v>2026</v>
      </c>
      <c r="C23" s="28">
        <v>5</v>
      </c>
      <c r="D23" s="28" t="s">
        <v>122</v>
      </c>
      <c r="E23" s="28">
        <v>2</v>
      </c>
      <c r="F23" s="28">
        <v>4</v>
      </c>
      <c r="G23" s="216">
        <v>1</v>
      </c>
    </row>
    <row r="24" spans="1:7" x14ac:dyDescent="0.35">
      <c r="A24" s="215">
        <v>46168</v>
      </c>
      <c r="B24" s="28">
        <v>2026</v>
      </c>
      <c r="C24" s="28">
        <v>5</v>
      </c>
      <c r="D24" s="28" t="s">
        <v>122</v>
      </c>
      <c r="E24" s="28">
        <v>2</v>
      </c>
      <c r="F24" s="28">
        <v>4</v>
      </c>
      <c r="G24" s="216">
        <v>1</v>
      </c>
    </row>
    <row r="25" spans="1:7" x14ac:dyDescent="0.35">
      <c r="A25" s="215">
        <v>46169</v>
      </c>
      <c r="B25" s="28">
        <v>2026</v>
      </c>
      <c r="C25" s="28">
        <v>5</v>
      </c>
      <c r="D25" s="28" t="s">
        <v>122</v>
      </c>
      <c r="E25" s="28">
        <v>2</v>
      </c>
      <c r="F25" s="28">
        <v>4</v>
      </c>
      <c r="G25" s="216">
        <v>1</v>
      </c>
    </row>
    <row r="26" spans="1:7" x14ac:dyDescent="0.35">
      <c r="A26" s="215">
        <v>46170</v>
      </c>
      <c r="B26" s="28">
        <v>2026</v>
      </c>
      <c r="C26" s="28">
        <v>5</v>
      </c>
      <c r="D26" s="28" t="s">
        <v>122</v>
      </c>
      <c r="E26" s="28">
        <v>2</v>
      </c>
      <c r="F26" s="28">
        <v>4</v>
      </c>
      <c r="G26" s="216">
        <v>1</v>
      </c>
    </row>
    <row r="27" spans="1:7" x14ac:dyDescent="0.35">
      <c r="A27" s="215">
        <v>46171</v>
      </c>
      <c r="B27" s="28">
        <v>2026</v>
      </c>
      <c r="C27" s="28">
        <v>5</v>
      </c>
      <c r="D27" s="28" t="s">
        <v>122</v>
      </c>
      <c r="E27" s="28">
        <v>2</v>
      </c>
      <c r="F27" s="28">
        <v>4</v>
      </c>
      <c r="G27" s="216">
        <v>1</v>
      </c>
    </row>
    <row r="28" spans="1:7" x14ac:dyDescent="0.35">
      <c r="A28" s="215">
        <v>46172</v>
      </c>
      <c r="B28" s="28">
        <v>2026</v>
      </c>
      <c r="C28" s="28">
        <v>5</v>
      </c>
      <c r="D28" s="28" t="s">
        <v>122</v>
      </c>
      <c r="E28" s="28">
        <v>2</v>
      </c>
      <c r="F28" s="28">
        <v>4</v>
      </c>
      <c r="G28" s="216">
        <v>0</v>
      </c>
    </row>
    <row r="29" spans="1:7" x14ac:dyDescent="0.35">
      <c r="A29" s="215">
        <v>46173</v>
      </c>
      <c r="B29" s="28">
        <v>2026</v>
      </c>
      <c r="C29" s="28">
        <v>5</v>
      </c>
      <c r="D29" s="28" t="s">
        <v>122</v>
      </c>
      <c r="E29" s="28">
        <v>2</v>
      </c>
      <c r="F29" s="28">
        <v>4</v>
      </c>
      <c r="G29" s="216">
        <v>0</v>
      </c>
    </row>
    <row r="30" spans="1:7" x14ac:dyDescent="0.35">
      <c r="A30" s="215">
        <v>46174</v>
      </c>
      <c r="B30" s="28">
        <v>2026</v>
      </c>
      <c r="C30" s="28">
        <v>6</v>
      </c>
      <c r="D30" s="28" t="s">
        <v>123</v>
      </c>
      <c r="E30" s="28">
        <v>2</v>
      </c>
      <c r="F30" s="28">
        <v>5</v>
      </c>
      <c r="G30" s="216">
        <v>1</v>
      </c>
    </row>
    <row r="31" spans="1:7" x14ac:dyDescent="0.35">
      <c r="A31" s="215">
        <v>46175</v>
      </c>
      <c r="B31" s="28">
        <v>2026</v>
      </c>
      <c r="C31" s="28">
        <v>6</v>
      </c>
      <c r="D31" s="28" t="s">
        <v>123</v>
      </c>
      <c r="E31" s="28">
        <v>2</v>
      </c>
      <c r="F31" s="28">
        <v>5</v>
      </c>
      <c r="G31" s="216">
        <v>1</v>
      </c>
    </row>
    <row r="32" spans="1:7" x14ac:dyDescent="0.35">
      <c r="A32" s="215">
        <v>46176</v>
      </c>
      <c r="B32" s="28">
        <v>2026</v>
      </c>
      <c r="C32" s="28">
        <v>6</v>
      </c>
      <c r="D32" s="28" t="s">
        <v>123</v>
      </c>
      <c r="E32" s="28">
        <v>2</v>
      </c>
      <c r="F32" s="28">
        <v>5</v>
      </c>
      <c r="G32" s="216">
        <v>1</v>
      </c>
    </row>
    <row r="33" spans="1:7" x14ac:dyDescent="0.35">
      <c r="A33" s="215">
        <v>46177</v>
      </c>
      <c r="B33" s="28">
        <v>2026</v>
      </c>
      <c r="C33" s="28">
        <v>6</v>
      </c>
      <c r="D33" s="28" t="s">
        <v>123</v>
      </c>
      <c r="E33" s="28">
        <v>2</v>
      </c>
      <c r="F33" s="28">
        <v>5</v>
      </c>
      <c r="G33" s="216">
        <v>1</v>
      </c>
    </row>
    <row r="34" spans="1:7" x14ac:dyDescent="0.35">
      <c r="A34" s="215">
        <v>46178</v>
      </c>
      <c r="B34" s="28">
        <v>2026</v>
      </c>
      <c r="C34" s="28">
        <v>6</v>
      </c>
      <c r="D34" s="28" t="s">
        <v>123</v>
      </c>
      <c r="E34" s="28">
        <v>2</v>
      </c>
      <c r="F34" s="28">
        <v>5</v>
      </c>
      <c r="G34" s="216">
        <v>1</v>
      </c>
    </row>
    <row r="35" spans="1:7" x14ac:dyDescent="0.35">
      <c r="A35" s="215">
        <v>46179</v>
      </c>
      <c r="B35" s="28">
        <v>2026</v>
      </c>
      <c r="C35" s="28">
        <v>6</v>
      </c>
      <c r="D35" s="28" t="s">
        <v>123</v>
      </c>
      <c r="E35" s="28">
        <v>2</v>
      </c>
      <c r="F35" s="28">
        <v>5</v>
      </c>
      <c r="G35" s="216">
        <v>0</v>
      </c>
    </row>
    <row r="36" spans="1:7" x14ac:dyDescent="0.35">
      <c r="A36" s="215">
        <v>46180</v>
      </c>
      <c r="B36" s="28">
        <v>2026</v>
      </c>
      <c r="C36" s="28">
        <v>6</v>
      </c>
      <c r="D36" s="28" t="s">
        <v>123</v>
      </c>
      <c r="E36" s="28">
        <v>2</v>
      </c>
      <c r="F36" s="28">
        <v>5</v>
      </c>
      <c r="G36" s="216">
        <v>0</v>
      </c>
    </row>
    <row r="37" spans="1:7" x14ac:dyDescent="0.35">
      <c r="A37" s="215">
        <v>46181</v>
      </c>
      <c r="B37" s="28">
        <v>2026</v>
      </c>
      <c r="C37" s="28">
        <v>6</v>
      </c>
      <c r="D37" s="28" t="s">
        <v>123</v>
      </c>
      <c r="E37" s="28">
        <v>2</v>
      </c>
      <c r="F37" s="28">
        <v>6</v>
      </c>
      <c r="G37" s="216">
        <v>1</v>
      </c>
    </row>
    <row r="38" spans="1:7" x14ac:dyDescent="0.35">
      <c r="A38" s="215">
        <v>46182</v>
      </c>
      <c r="B38" s="28">
        <v>2026</v>
      </c>
      <c r="C38" s="28">
        <v>6</v>
      </c>
      <c r="D38" s="28" t="s">
        <v>123</v>
      </c>
      <c r="E38" s="28">
        <v>2</v>
      </c>
      <c r="F38" s="28">
        <v>6</v>
      </c>
      <c r="G38" s="216">
        <v>1</v>
      </c>
    </row>
    <row r="39" spans="1:7" x14ac:dyDescent="0.35">
      <c r="A39" s="215">
        <v>46183</v>
      </c>
      <c r="B39" s="28">
        <v>2026</v>
      </c>
      <c r="C39" s="28">
        <v>6</v>
      </c>
      <c r="D39" s="28" t="s">
        <v>123</v>
      </c>
      <c r="E39" s="28">
        <v>2</v>
      </c>
      <c r="F39" s="28">
        <v>6</v>
      </c>
      <c r="G39" s="216">
        <v>1</v>
      </c>
    </row>
    <row r="40" spans="1:7" x14ac:dyDescent="0.35">
      <c r="A40" s="215">
        <v>46184</v>
      </c>
      <c r="B40" s="28">
        <v>2026</v>
      </c>
      <c r="C40" s="28">
        <v>6</v>
      </c>
      <c r="D40" s="28" t="s">
        <v>123</v>
      </c>
      <c r="E40" s="28">
        <v>2</v>
      </c>
      <c r="F40" s="28">
        <v>6</v>
      </c>
      <c r="G40" s="216">
        <v>1</v>
      </c>
    </row>
    <row r="41" spans="1:7" x14ac:dyDescent="0.35">
      <c r="A41" s="215">
        <v>46185</v>
      </c>
      <c r="B41" s="28">
        <v>2026</v>
      </c>
      <c r="C41" s="28">
        <v>6</v>
      </c>
      <c r="D41" s="28" t="s">
        <v>123</v>
      </c>
      <c r="E41" s="28">
        <v>2</v>
      </c>
      <c r="F41" s="28">
        <v>6</v>
      </c>
      <c r="G41" s="216">
        <v>1</v>
      </c>
    </row>
    <row r="42" spans="1:7" x14ac:dyDescent="0.35">
      <c r="A42" s="215">
        <v>46186</v>
      </c>
      <c r="B42" s="28">
        <v>2026</v>
      </c>
      <c r="C42" s="28">
        <v>6</v>
      </c>
      <c r="D42" s="28" t="s">
        <v>123</v>
      </c>
      <c r="E42" s="28">
        <v>2</v>
      </c>
      <c r="F42" s="28">
        <v>6</v>
      </c>
      <c r="G42" s="216">
        <v>0</v>
      </c>
    </row>
    <row r="43" spans="1:7" x14ac:dyDescent="0.35">
      <c r="A43" s="215">
        <v>46187</v>
      </c>
      <c r="B43" s="28">
        <v>2026</v>
      </c>
      <c r="C43" s="28">
        <v>6</v>
      </c>
      <c r="D43" s="28" t="s">
        <v>123</v>
      </c>
      <c r="E43" s="28">
        <v>2</v>
      </c>
      <c r="F43" s="28">
        <v>6</v>
      </c>
      <c r="G43" s="216">
        <v>0</v>
      </c>
    </row>
    <row r="44" spans="1:7" x14ac:dyDescent="0.35">
      <c r="A44" s="215">
        <v>46188</v>
      </c>
      <c r="B44" s="28">
        <v>2026</v>
      </c>
      <c r="C44" s="28">
        <v>6</v>
      </c>
      <c r="D44" s="28" t="s">
        <v>123</v>
      </c>
      <c r="E44" s="28">
        <v>2</v>
      </c>
      <c r="F44" s="28">
        <v>7</v>
      </c>
      <c r="G44" s="216">
        <v>1</v>
      </c>
    </row>
    <row r="45" spans="1:7" x14ac:dyDescent="0.35">
      <c r="A45" s="215">
        <v>46189</v>
      </c>
      <c r="B45" s="28">
        <v>2026</v>
      </c>
      <c r="C45" s="28">
        <v>6</v>
      </c>
      <c r="D45" s="28" t="s">
        <v>123</v>
      </c>
      <c r="E45" s="28">
        <v>2</v>
      </c>
      <c r="F45" s="28">
        <v>7</v>
      </c>
      <c r="G45" s="216">
        <v>1</v>
      </c>
    </row>
    <row r="46" spans="1:7" x14ac:dyDescent="0.35">
      <c r="A46" s="215">
        <v>46190</v>
      </c>
      <c r="B46" s="28">
        <v>2026</v>
      </c>
      <c r="C46" s="28">
        <v>6</v>
      </c>
      <c r="D46" s="28" t="s">
        <v>123</v>
      </c>
      <c r="E46" s="28">
        <v>2</v>
      </c>
      <c r="F46" s="28">
        <v>7</v>
      </c>
      <c r="G46" s="216">
        <v>1</v>
      </c>
    </row>
    <row r="47" spans="1:7" x14ac:dyDescent="0.35">
      <c r="A47" s="215">
        <v>46191</v>
      </c>
      <c r="B47" s="28">
        <v>2026</v>
      </c>
      <c r="C47" s="28">
        <v>6</v>
      </c>
      <c r="D47" s="28" t="s">
        <v>123</v>
      </c>
      <c r="E47" s="28">
        <v>2</v>
      </c>
      <c r="F47" s="28">
        <v>7</v>
      </c>
      <c r="G47" s="216">
        <v>1</v>
      </c>
    </row>
    <row r="48" spans="1:7" x14ac:dyDescent="0.35">
      <c r="A48" s="215">
        <v>46192</v>
      </c>
      <c r="B48" s="28">
        <v>2026</v>
      </c>
      <c r="C48" s="28">
        <v>6</v>
      </c>
      <c r="D48" s="28" t="s">
        <v>123</v>
      </c>
      <c r="E48" s="28">
        <v>2</v>
      </c>
      <c r="F48" s="28">
        <v>7</v>
      </c>
      <c r="G48" s="216">
        <v>1</v>
      </c>
    </row>
    <row r="49" spans="1:7" x14ac:dyDescent="0.35">
      <c r="A49" s="215">
        <v>46193</v>
      </c>
      <c r="B49" s="28">
        <v>2026</v>
      </c>
      <c r="C49" s="28">
        <v>6</v>
      </c>
      <c r="D49" s="28" t="s">
        <v>123</v>
      </c>
      <c r="E49" s="28">
        <v>2</v>
      </c>
      <c r="F49" s="28">
        <v>7</v>
      </c>
      <c r="G49" s="216">
        <v>0</v>
      </c>
    </row>
    <row r="50" spans="1:7" x14ac:dyDescent="0.35">
      <c r="A50" s="215">
        <v>46194</v>
      </c>
      <c r="B50" s="28">
        <v>2026</v>
      </c>
      <c r="C50" s="28">
        <v>6</v>
      </c>
      <c r="D50" s="28" t="s">
        <v>123</v>
      </c>
      <c r="E50" s="28">
        <v>2</v>
      </c>
      <c r="F50" s="28">
        <v>7</v>
      </c>
      <c r="G50" s="216">
        <v>0</v>
      </c>
    </row>
    <row r="51" spans="1:7" x14ac:dyDescent="0.35">
      <c r="A51" s="215">
        <v>46195</v>
      </c>
      <c r="B51" s="28">
        <v>2026</v>
      </c>
      <c r="C51" s="28">
        <v>6</v>
      </c>
      <c r="D51" s="28" t="s">
        <v>123</v>
      </c>
      <c r="E51" s="28">
        <v>2</v>
      </c>
      <c r="F51" s="28">
        <v>8</v>
      </c>
      <c r="G51" s="216">
        <v>1</v>
      </c>
    </row>
    <row r="52" spans="1:7" x14ac:dyDescent="0.35">
      <c r="A52" s="215">
        <v>46196</v>
      </c>
      <c r="B52" s="28">
        <v>2026</v>
      </c>
      <c r="C52" s="28">
        <v>6</v>
      </c>
      <c r="D52" s="28" t="s">
        <v>123</v>
      </c>
      <c r="E52" s="28">
        <v>2</v>
      </c>
      <c r="F52" s="28">
        <v>8</v>
      </c>
      <c r="G52" s="216">
        <v>1</v>
      </c>
    </row>
    <row r="53" spans="1:7" x14ac:dyDescent="0.35">
      <c r="A53" s="215">
        <v>46197</v>
      </c>
      <c r="B53" s="28">
        <v>2026</v>
      </c>
      <c r="C53" s="28">
        <v>6</v>
      </c>
      <c r="D53" s="28" t="s">
        <v>123</v>
      </c>
      <c r="E53" s="28">
        <v>2</v>
      </c>
      <c r="F53" s="28">
        <v>8</v>
      </c>
      <c r="G53" s="216">
        <v>1</v>
      </c>
    </row>
    <row r="54" spans="1:7" x14ac:dyDescent="0.35">
      <c r="A54" s="215">
        <v>46198</v>
      </c>
      <c r="B54" s="28">
        <v>2026</v>
      </c>
      <c r="C54" s="28">
        <v>6</v>
      </c>
      <c r="D54" s="28" t="s">
        <v>123</v>
      </c>
      <c r="E54" s="28">
        <v>2</v>
      </c>
      <c r="F54" s="28">
        <v>8</v>
      </c>
      <c r="G54" s="216">
        <v>1</v>
      </c>
    </row>
    <row r="55" spans="1:7" x14ac:dyDescent="0.35">
      <c r="A55" s="215">
        <v>46199</v>
      </c>
      <c r="B55" s="28">
        <v>2026</v>
      </c>
      <c r="C55" s="28">
        <v>6</v>
      </c>
      <c r="D55" s="28" t="s">
        <v>123</v>
      </c>
      <c r="E55" s="28">
        <v>2</v>
      </c>
      <c r="F55" s="28">
        <v>8</v>
      </c>
      <c r="G55" s="216">
        <v>1</v>
      </c>
    </row>
    <row r="56" spans="1:7" x14ac:dyDescent="0.35">
      <c r="A56" s="215">
        <v>46200</v>
      </c>
      <c r="B56" s="28">
        <v>2026</v>
      </c>
      <c r="C56" s="28">
        <v>6</v>
      </c>
      <c r="D56" s="28" t="s">
        <v>123</v>
      </c>
      <c r="E56" s="28">
        <v>2</v>
      </c>
      <c r="F56" s="28">
        <v>8</v>
      </c>
      <c r="G56" s="216">
        <v>0</v>
      </c>
    </row>
    <row r="57" spans="1:7" x14ac:dyDescent="0.35">
      <c r="A57" s="215">
        <v>46201</v>
      </c>
      <c r="B57" s="28">
        <v>2026</v>
      </c>
      <c r="C57" s="28">
        <v>6</v>
      </c>
      <c r="D57" s="28" t="s">
        <v>123</v>
      </c>
      <c r="E57" s="28">
        <v>2</v>
      </c>
      <c r="F57" s="28">
        <v>8</v>
      </c>
      <c r="G57" s="216">
        <v>0</v>
      </c>
    </row>
    <row r="58" spans="1:7" x14ac:dyDescent="0.35">
      <c r="A58" s="215">
        <v>46202</v>
      </c>
      <c r="B58" s="28">
        <v>2026</v>
      </c>
      <c r="C58" s="28">
        <v>6</v>
      </c>
      <c r="D58" s="28" t="s">
        <v>123</v>
      </c>
      <c r="E58" s="28">
        <v>2</v>
      </c>
      <c r="F58" s="28">
        <v>9</v>
      </c>
      <c r="G58" s="216">
        <v>1</v>
      </c>
    </row>
    <row r="59" spans="1:7" x14ac:dyDescent="0.35">
      <c r="A59" s="215">
        <v>46203</v>
      </c>
      <c r="B59" s="28">
        <v>2026</v>
      </c>
      <c r="C59" s="28">
        <v>6</v>
      </c>
      <c r="D59" s="28" t="s">
        <v>123</v>
      </c>
      <c r="E59" s="28">
        <v>2</v>
      </c>
      <c r="F59" s="28">
        <v>9</v>
      </c>
      <c r="G59" s="216">
        <v>1</v>
      </c>
    </row>
    <row r="60" spans="1:7" x14ac:dyDescent="0.35">
      <c r="A60" s="215">
        <v>46204</v>
      </c>
      <c r="B60" s="28">
        <v>2026</v>
      </c>
      <c r="C60" s="28">
        <v>7</v>
      </c>
      <c r="D60" s="28" t="s">
        <v>124</v>
      </c>
      <c r="E60" s="28">
        <v>3</v>
      </c>
      <c r="F60" s="28">
        <v>9</v>
      </c>
      <c r="G60" s="216">
        <v>1</v>
      </c>
    </row>
    <row r="61" spans="1:7" x14ac:dyDescent="0.35">
      <c r="A61" s="215">
        <v>46205</v>
      </c>
      <c r="B61" s="28">
        <v>2026</v>
      </c>
      <c r="C61" s="28">
        <v>7</v>
      </c>
      <c r="D61" s="28" t="s">
        <v>124</v>
      </c>
      <c r="E61" s="28">
        <v>3</v>
      </c>
      <c r="F61" s="28">
        <v>9</v>
      </c>
      <c r="G61" s="216">
        <v>1</v>
      </c>
    </row>
    <row r="62" spans="1:7" x14ac:dyDescent="0.35">
      <c r="A62" s="215">
        <v>46206</v>
      </c>
      <c r="B62" s="28">
        <v>2026</v>
      </c>
      <c r="C62" s="28">
        <v>7</v>
      </c>
      <c r="D62" s="28" t="s">
        <v>124</v>
      </c>
      <c r="E62" s="28">
        <v>3</v>
      </c>
      <c r="F62" s="28">
        <v>9</v>
      </c>
      <c r="G62" s="216">
        <v>1</v>
      </c>
    </row>
    <row r="63" spans="1:7" x14ac:dyDescent="0.35">
      <c r="A63" s="215">
        <v>46207</v>
      </c>
      <c r="B63" s="28">
        <v>2026</v>
      </c>
      <c r="C63" s="28">
        <v>7</v>
      </c>
      <c r="D63" s="28" t="s">
        <v>124</v>
      </c>
      <c r="E63" s="28">
        <v>3</v>
      </c>
      <c r="F63" s="28">
        <v>9</v>
      </c>
      <c r="G63" s="216">
        <v>0</v>
      </c>
    </row>
    <row r="64" spans="1:7" x14ac:dyDescent="0.35">
      <c r="A64" s="215">
        <v>46208</v>
      </c>
      <c r="B64" s="28">
        <v>2026</v>
      </c>
      <c r="C64" s="28">
        <v>7</v>
      </c>
      <c r="D64" s="28" t="s">
        <v>124</v>
      </c>
      <c r="E64" s="28">
        <v>3</v>
      </c>
      <c r="F64" s="28">
        <v>9</v>
      </c>
      <c r="G64" s="216">
        <v>0</v>
      </c>
    </row>
    <row r="65" spans="1:7" x14ac:dyDescent="0.35">
      <c r="A65" s="215">
        <v>46209</v>
      </c>
      <c r="B65" s="28">
        <v>2026</v>
      </c>
      <c r="C65" s="28">
        <v>7</v>
      </c>
      <c r="D65" s="28" t="s">
        <v>124</v>
      </c>
      <c r="E65" s="28">
        <v>3</v>
      </c>
      <c r="F65" s="28">
        <v>10</v>
      </c>
      <c r="G65" s="216">
        <v>1</v>
      </c>
    </row>
    <row r="66" spans="1:7" x14ac:dyDescent="0.35">
      <c r="A66" s="215">
        <v>46210</v>
      </c>
      <c r="B66" s="28">
        <v>2026</v>
      </c>
      <c r="C66" s="28">
        <v>7</v>
      </c>
      <c r="D66" s="28" t="s">
        <v>124</v>
      </c>
      <c r="E66" s="28">
        <v>3</v>
      </c>
      <c r="F66" s="28">
        <v>10</v>
      </c>
      <c r="G66" s="216">
        <v>1</v>
      </c>
    </row>
    <row r="67" spans="1:7" x14ac:dyDescent="0.35">
      <c r="A67" s="215">
        <v>46211</v>
      </c>
      <c r="B67" s="28">
        <v>2026</v>
      </c>
      <c r="C67" s="28">
        <v>7</v>
      </c>
      <c r="D67" s="28" t="s">
        <v>124</v>
      </c>
      <c r="E67" s="28">
        <v>3</v>
      </c>
      <c r="F67" s="28">
        <v>10</v>
      </c>
      <c r="G67" s="216">
        <v>1</v>
      </c>
    </row>
    <row r="68" spans="1:7" x14ac:dyDescent="0.35">
      <c r="A68" s="215">
        <v>46212</v>
      </c>
      <c r="B68" s="28">
        <v>2026</v>
      </c>
      <c r="C68" s="28">
        <v>7</v>
      </c>
      <c r="D68" s="28" t="s">
        <v>124</v>
      </c>
      <c r="E68" s="28">
        <v>3</v>
      </c>
      <c r="F68" s="28">
        <v>10</v>
      </c>
      <c r="G68" s="216">
        <v>1</v>
      </c>
    </row>
    <row r="69" spans="1:7" x14ac:dyDescent="0.35">
      <c r="A69" s="215">
        <v>46213</v>
      </c>
      <c r="B69" s="28">
        <v>2026</v>
      </c>
      <c r="C69" s="28">
        <v>7</v>
      </c>
      <c r="D69" s="28" t="s">
        <v>124</v>
      </c>
      <c r="E69" s="28">
        <v>3</v>
      </c>
      <c r="F69" s="28">
        <v>10</v>
      </c>
      <c r="G69" s="216">
        <v>1</v>
      </c>
    </row>
    <row r="70" spans="1:7" x14ac:dyDescent="0.35">
      <c r="A70" s="215">
        <v>46214</v>
      </c>
      <c r="B70" s="28">
        <v>2026</v>
      </c>
      <c r="C70" s="28">
        <v>7</v>
      </c>
      <c r="D70" s="28" t="s">
        <v>124</v>
      </c>
      <c r="E70" s="28">
        <v>3</v>
      </c>
      <c r="F70" s="28">
        <v>10</v>
      </c>
      <c r="G70" s="216">
        <v>0</v>
      </c>
    </row>
    <row r="71" spans="1:7" x14ac:dyDescent="0.35">
      <c r="A71" s="215">
        <v>46215</v>
      </c>
      <c r="B71" s="28">
        <v>2026</v>
      </c>
      <c r="C71" s="28">
        <v>7</v>
      </c>
      <c r="D71" s="28" t="s">
        <v>124</v>
      </c>
      <c r="E71" s="28">
        <v>3</v>
      </c>
      <c r="F71" s="28">
        <v>10</v>
      </c>
      <c r="G71" s="216">
        <v>0</v>
      </c>
    </row>
    <row r="72" spans="1:7" x14ac:dyDescent="0.35">
      <c r="A72" s="215">
        <v>46216</v>
      </c>
      <c r="B72" s="28">
        <v>2026</v>
      </c>
      <c r="C72" s="28">
        <v>7</v>
      </c>
      <c r="D72" s="28" t="s">
        <v>124</v>
      </c>
      <c r="E72" s="28">
        <v>3</v>
      </c>
      <c r="F72" s="28">
        <v>11</v>
      </c>
      <c r="G72" s="216">
        <v>1</v>
      </c>
    </row>
    <row r="73" spans="1:7" x14ac:dyDescent="0.35">
      <c r="A73" s="215">
        <v>46217</v>
      </c>
      <c r="B73" s="28">
        <v>2026</v>
      </c>
      <c r="C73" s="28">
        <v>7</v>
      </c>
      <c r="D73" s="28" t="s">
        <v>124</v>
      </c>
      <c r="E73" s="28">
        <v>3</v>
      </c>
      <c r="F73" s="28">
        <v>11</v>
      </c>
      <c r="G73" s="216">
        <v>1</v>
      </c>
    </row>
    <row r="74" spans="1:7" x14ac:dyDescent="0.35">
      <c r="A74" s="215">
        <v>46218</v>
      </c>
      <c r="B74" s="28">
        <v>2026</v>
      </c>
      <c r="C74" s="28">
        <v>7</v>
      </c>
      <c r="D74" s="28" t="s">
        <v>124</v>
      </c>
      <c r="E74" s="28">
        <v>3</v>
      </c>
      <c r="F74" s="28">
        <v>11</v>
      </c>
      <c r="G74" s="216">
        <v>1</v>
      </c>
    </row>
    <row r="75" spans="1:7" x14ac:dyDescent="0.35">
      <c r="A75" s="215">
        <v>46219</v>
      </c>
      <c r="B75" s="28">
        <v>2026</v>
      </c>
      <c r="C75" s="28">
        <v>7</v>
      </c>
      <c r="D75" s="28" t="s">
        <v>124</v>
      </c>
      <c r="E75" s="28">
        <v>3</v>
      </c>
      <c r="F75" s="28">
        <v>11</v>
      </c>
      <c r="G75" s="216">
        <v>1</v>
      </c>
    </row>
    <row r="76" spans="1:7" x14ac:dyDescent="0.35">
      <c r="A76" s="215">
        <v>46220</v>
      </c>
      <c r="B76" s="28">
        <v>2026</v>
      </c>
      <c r="C76" s="28">
        <v>7</v>
      </c>
      <c r="D76" s="28" t="s">
        <v>124</v>
      </c>
      <c r="E76" s="28">
        <v>3</v>
      </c>
      <c r="F76" s="28">
        <v>11</v>
      </c>
      <c r="G76" s="216">
        <v>1</v>
      </c>
    </row>
    <row r="77" spans="1:7" x14ac:dyDescent="0.35">
      <c r="A77" s="215">
        <v>46221</v>
      </c>
      <c r="B77" s="28">
        <v>2026</v>
      </c>
      <c r="C77" s="28">
        <v>7</v>
      </c>
      <c r="D77" s="28" t="s">
        <v>124</v>
      </c>
      <c r="E77" s="28">
        <v>3</v>
      </c>
      <c r="F77" s="28">
        <v>11</v>
      </c>
      <c r="G77" s="216">
        <v>0</v>
      </c>
    </row>
    <row r="78" spans="1:7" x14ac:dyDescent="0.35">
      <c r="A78" s="215">
        <v>46222</v>
      </c>
      <c r="B78" s="28">
        <v>2026</v>
      </c>
      <c r="C78" s="28">
        <v>7</v>
      </c>
      <c r="D78" s="28" t="s">
        <v>124</v>
      </c>
      <c r="E78" s="28">
        <v>3</v>
      </c>
      <c r="F78" s="28">
        <v>11</v>
      </c>
      <c r="G78" s="216">
        <v>0</v>
      </c>
    </row>
    <row r="79" spans="1:7" x14ac:dyDescent="0.35">
      <c r="A79" s="215">
        <v>46223</v>
      </c>
      <c r="B79" s="28">
        <v>2026</v>
      </c>
      <c r="C79" s="28">
        <v>7</v>
      </c>
      <c r="D79" s="28" t="s">
        <v>124</v>
      </c>
      <c r="E79" s="28">
        <v>3</v>
      </c>
      <c r="F79" s="28">
        <v>12</v>
      </c>
      <c r="G79" s="216">
        <v>1</v>
      </c>
    </row>
    <row r="80" spans="1:7" x14ac:dyDescent="0.35">
      <c r="A80" s="215">
        <v>46224</v>
      </c>
      <c r="B80" s="28">
        <v>2026</v>
      </c>
      <c r="C80" s="28">
        <v>7</v>
      </c>
      <c r="D80" s="28" t="s">
        <v>124</v>
      </c>
      <c r="E80" s="28">
        <v>3</v>
      </c>
      <c r="F80" s="28">
        <v>12</v>
      </c>
      <c r="G80" s="216">
        <v>1</v>
      </c>
    </row>
    <row r="81" spans="1:7" x14ac:dyDescent="0.35">
      <c r="A81" s="215">
        <v>46225</v>
      </c>
      <c r="B81" s="28">
        <v>2026</v>
      </c>
      <c r="C81" s="28">
        <v>7</v>
      </c>
      <c r="D81" s="28" t="s">
        <v>124</v>
      </c>
      <c r="E81" s="28">
        <v>3</v>
      </c>
      <c r="F81" s="28">
        <v>12</v>
      </c>
      <c r="G81" s="216">
        <v>1</v>
      </c>
    </row>
    <row r="82" spans="1:7" x14ac:dyDescent="0.35">
      <c r="A82" s="215">
        <v>46226</v>
      </c>
      <c r="B82" s="28">
        <v>2026</v>
      </c>
      <c r="C82" s="28">
        <v>7</v>
      </c>
      <c r="D82" s="28" t="s">
        <v>124</v>
      </c>
      <c r="E82" s="28">
        <v>3</v>
      </c>
      <c r="F82" s="28">
        <v>12</v>
      </c>
      <c r="G82" s="216">
        <v>1</v>
      </c>
    </row>
    <row r="83" spans="1:7" x14ac:dyDescent="0.35">
      <c r="A83" s="215">
        <v>46227</v>
      </c>
      <c r="B83" s="28">
        <v>2026</v>
      </c>
      <c r="C83" s="28">
        <v>7</v>
      </c>
      <c r="D83" s="28" t="s">
        <v>124</v>
      </c>
      <c r="E83" s="28">
        <v>3</v>
      </c>
      <c r="F83" s="28">
        <v>12</v>
      </c>
      <c r="G83" s="216">
        <v>1</v>
      </c>
    </row>
    <row r="84" spans="1:7" x14ac:dyDescent="0.35">
      <c r="A84" s="215">
        <v>46228</v>
      </c>
      <c r="B84" s="28">
        <v>2026</v>
      </c>
      <c r="C84" s="28">
        <v>7</v>
      </c>
      <c r="D84" s="28" t="s">
        <v>124</v>
      </c>
      <c r="E84" s="28">
        <v>3</v>
      </c>
      <c r="F84" s="28">
        <v>12</v>
      </c>
      <c r="G84" s="216">
        <v>0</v>
      </c>
    </row>
    <row r="85" spans="1:7" x14ac:dyDescent="0.35">
      <c r="A85" s="217">
        <v>46229</v>
      </c>
      <c r="B85" s="208">
        <v>2026</v>
      </c>
      <c r="C85" s="208">
        <v>7</v>
      </c>
      <c r="D85" s="208" t="s">
        <v>124</v>
      </c>
      <c r="E85" s="208">
        <v>3</v>
      </c>
      <c r="F85" s="208">
        <v>12</v>
      </c>
      <c r="G85" s="218">
        <v>0</v>
      </c>
    </row>
  </sheetData>
  <conditionalFormatting sqref="G2:G85">
    <cfRule type="cellIs" dxfId="103" priority="1" operator="equal">
      <formula>1</formula>
    </cfRule>
    <cfRule type="cellIs" dxfId="102" priority="2" operator="equal">
      <formula>0</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D966"/>
  </sheetPr>
  <dimension ref="A1:C44"/>
  <sheetViews>
    <sheetView workbookViewId="0">
      <selection activeCell="Q1" sqref="Q1"/>
    </sheetView>
  </sheetViews>
  <sheetFormatPr defaultRowHeight="14.5" x14ac:dyDescent="0.35"/>
  <cols>
    <col min="1" max="1" width="10.08984375" bestFit="1" customWidth="1"/>
    <col min="2" max="2" width="9.36328125" customWidth="1"/>
    <col min="3" max="3" width="15.26953125" customWidth="1"/>
  </cols>
  <sheetData>
    <row r="1" spans="1:3" x14ac:dyDescent="0.35">
      <c r="A1" s="204" t="s">
        <v>115</v>
      </c>
      <c r="B1" s="205" t="s">
        <v>79</v>
      </c>
      <c r="C1" s="206" t="s">
        <v>125</v>
      </c>
    </row>
    <row r="2" spans="1:3" x14ac:dyDescent="0.35">
      <c r="A2" s="215">
        <v>46146</v>
      </c>
      <c r="B2" s="28" t="s">
        <v>35</v>
      </c>
      <c r="C2" s="213">
        <v>1500</v>
      </c>
    </row>
    <row r="3" spans="1:3" x14ac:dyDescent="0.35">
      <c r="A3" s="215">
        <v>46153</v>
      </c>
      <c r="B3" s="28" t="s">
        <v>35</v>
      </c>
      <c r="C3" s="213">
        <v>1500</v>
      </c>
    </row>
    <row r="4" spans="1:3" x14ac:dyDescent="0.35">
      <c r="A4" s="215">
        <v>46160</v>
      </c>
      <c r="B4" s="28" t="s">
        <v>35</v>
      </c>
      <c r="C4" s="213">
        <v>1500</v>
      </c>
    </row>
    <row r="5" spans="1:3" x14ac:dyDescent="0.35">
      <c r="A5" s="215">
        <v>46167</v>
      </c>
      <c r="B5" s="28" t="s">
        <v>35</v>
      </c>
      <c r="C5" s="213">
        <v>1500</v>
      </c>
    </row>
    <row r="6" spans="1:3" x14ac:dyDescent="0.35">
      <c r="A6" s="215">
        <v>46174</v>
      </c>
      <c r="B6" s="28" t="s">
        <v>35</v>
      </c>
      <c r="C6" s="213">
        <v>1500</v>
      </c>
    </row>
    <row r="7" spans="1:3" x14ac:dyDescent="0.35">
      <c r="A7" s="215">
        <v>46181</v>
      </c>
      <c r="B7" s="28" t="s">
        <v>35</v>
      </c>
      <c r="C7" s="213">
        <v>1500</v>
      </c>
    </row>
    <row r="8" spans="1:3" x14ac:dyDescent="0.35">
      <c r="A8" s="215">
        <v>46188</v>
      </c>
      <c r="B8" s="28" t="s">
        <v>35</v>
      </c>
      <c r="C8" s="213">
        <v>1500</v>
      </c>
    </row>
    <row r="9" spans="1:3" x14ac:dyDescent="0.35">
      <c r="A9" s="215">
        <v>46195</v>
      </c>
      <c r="B9" s="28" t="s">
        <v>35</v>
      </c>
      <c r="C9" s="213">
        <v>1500</v>
      </c>
    </row>
    <row r="10" spans="1:3" x14ac:dyDescent="0.35">
      <c r="A10" s="215">
        <v>46202</v>
      </c>
      <c r="B10" s="28" t="s">
        <v>35</v>
      </c>
      <c r="C10" s="213">
        <v>1500</v>
      </c>
    </row>
    <row r="11" spans="1:3" x14ac:dyDescent="0.35">
      <c r="A11" s="215">
        <v>46209</v>
      </c>
      <c r="B11" s="28" t="s">
        <v>35</v>
      </c>
      <c r="C11" s="213">
        <v>1500</v>
      </c>
    </row>
    <row r="12" spans="1:3" x14ac:dyDescent="0.35">
      <c r="A12" s="215">
        <v>46216</v>
      </c>
      <c r="B12" s="28" t="s">
        <v>35</v>
      </c>
      <c r="C12" s="213">
        <v>1500</v>
      </c>
    </row>
    <row r="13" spans="1:3" x14ac:dyDescent="0.35">
      <c r="A13" s="215">
        <v>46223</v>
      </c>
      <c r="B13" s="28" t="s">
        <v>35</v>
      </c>
      <c r="C13" s="213">
        <v>1500</v>
      </c>
    </row>
    <row r="14" spans="1:3" x14ac:dyDescent="0.35">
      <c r="A14" s="215">
        <v>46146</v>
      </c>
      <c r="B14" s="28" t="s">
        <v>38</v>
      </c>
      <c r="C14" s="213">
        <v>8500</v>
      </c>
    </row>
    <row r="15" spans="1:3" x14ac:dyDescent="0.35">
      <c r="A15" s="215">
        <v>46146</v>
      </c>
      <c r="B15" s="28" t="s">
        <v>40</v>
      </c>
      <c r="C15" s="213">
        <v>6400</v>
      </c>
    </row>
    <row r="16" spans="1:3" x14ac:dyDescent="0.35">
      <c r="A16" s="215">
        <v>46153</v>
      </c>
      <c r="B16" s="28" t="s">
        <v>40</v>
      </c>
      <c r="C16" s="213">
        <v>6400</v>
      </c>
    </row>
    <row r="17" spans="1:3" x14ac:dyDescent="0.35">
      <c r="A17" s="215">
        <v>46160</v>
      </c>
      <c r="B17" s="28" t="s">
        <v>40</v>
      </c>
      <c r="C17" s="213">
        <v>6400</v>
      </c>
    </row>
    <row r="18" spans="1:3" x14ac:dyDescent="0.35">
      <c r="A18" s="215">
        <v>46153</v>
      </c>
      <c r="B18" s="28" t="s">
        <v>42</v>
      </c>
      <c r="C18" s="213">
        <v>10500</v>
      </c>
    </row>
    <row r="19" spans="1:3" x14ac:dyDescent="0.35">
      <c r="A19" s="215">
        <v>46160</v>
      </c>
      <c r="B19" s="28" t="s">
        <v>42</v>
      </c>
      <c r="C19" s="213">
        <v>10500</v>
      </c>
    </row>
    <row r="20" spans="1:3" x14ac:dyDescent="0.35">
      <c r="A20" s="215">
        <v>46167</v>
      </c>
      <c r="B20" s="28" t="s">
        <v>42</v>
      </c>
      <c r="C20" s="213">
        <v>10500</v>
      </c>
    </row>
    <row r="21" spans="1:3" x14ac:dyDescent="0.35">
      <c r="A21" s="215">
        <v>46174</v>
      </c>
      <c r="B21" s="28" t="s">
        <v>42</v>
      </c>
      <c r="C21" s="213">
        <v>10500</v>
      </c>
    </row>
    <row r="22" spans="1:3" x14ac:dyDescent="0.35">
      <c r="A22" s="215">
        <v>46153</v>
      </c>
      <c r="B22" s="28" t="s">
        <v>45</v>
      </c>
      <c r="C22" s="213">
        <v>4400</v>
      </c>
    </row>
    <row r="23" spans="1:3" x14ac:dyDescent="0.35">
      <c r="A23" s="215">
        <v>46160</v>
      </c>
      <c r="B23" s="28" t="s">
        <v>45</v>
      </c>
      <c r="C23" s="213">
        <v>4400</v>
      </c>
    </row>
    <row r="24" spans="1:3" x14ac:dyDescent="0.35">
      <c r="A24" s="215">
        <v>46167</v>
      </c>
      <c r="B24" s="28" t="s">
        <v>45</v>
      </c>
      <c r="C24" s="213">
        <v>4400</v>
      </c>
    </row>
    <row r="25" spans="1:3" x14ac:dyDescent="0.35">
      <c r="A25" s="215">
        <v>46167</v>
      </c>
      <c r="B25" s="28" t="s">
        <v>47</v>
      </c>
      <c r="C25" s="213">
        <v>8666.67</v>
      </c>
    </row>
    <row r="26" spans="1:3" x14ac:dyDescent="0.35">
      <c r="A26" s="215">
        <v>46174</v>
      </c>
      <c r="B26" s="28" t="s">
        <v>47</v>
      </c>
      <c r="C26" s="213">
        <v>8666.67</v>
      </c>
    </row>
    <row r="27" spans="1:3" x14ac:dyDescent="0.35">
      <c r="A27" s="215">
        <v>46181</v>
      </c>
      <c r="B27" s="28" t="s">
        <v>47</v>
      </c>
      <c r="C27" s="213">
        <v>8666.66</v>
      </c>
    </row>
    <row r="28" spans="1:3" x14ac:dyDescent="0.35">
      <c r="A28" s="215">
        <v>46174</v>
      </c>
      <c r="B28" s="28" t="s">
        <v>49</v>
      </c>
      <c r="C28" s="213">
        <v>9000</v>
      </c>
    </row>
    <row r="29" spans="1:3" x14ac:dyDescent="0.35">
      <c r="A29" s="215">
        <v>46181</v>
      </c>
      <c r="B29" s="28" t="s">
        <v>49</v>
      </c>
      <c r="C29" s="213">
        <v>9000</v>
      </c>
    </row>
    <row r="30" spans="1:3" x14ac:dyDescent="0.35">
      <c r="A30" s="215">
        <v>46188</v>
      </c>
      <c r="B30" s="28" t="s">
        <v>49</v>
      </c>
      <c r="C30" s="213">
        <v>9000</v>
      </c>
    </row>
    <row r="31" spans="1:3" x14ac:dyDescent="0.35">
      <c r="A31" s="215">
        <v>46195</v>
      </c>
      <c r="B31" s="28" t="s">
        <v>49</v>
      </c>
      <c r="C31" s="213">
        <v>9000</v>
      </c>
    </row>
    <row r="32" spans="1:3" x14ac:dyDescent="0.35">
      <c r="A32" s="215">
        <v>46181</v>
      </c>
      <c r="B32" s="28" t="s">
        <v>52</v>
      </c>
      <c r="C32" s="213">
        <v>7000</v>
      </c>
    </row>
    <row r="33" spans="1:3" x14ac:dyDescent="0.35">
      <c r="A33" s="215">
        <v>46188</v>
      </c>
      <c r="B33" s="28" t="s">
        <v>52</v>
      </c>
      <c r="C33" s="213">
        <v>7000</v>
      </c>
    </row>
    <row r="34" spans="1:3" x14ac:dyDescent="0.35">
      <c r="A34" s="215">
        <v>46195</v>
      </c>
      <c r="B34" s="28" t="s">
        <v>52</v>
      </c>
      <c r="C34" s="213">
        <v>7000</v>
      </c>
    </row>
    <row r="35" spans="1:3" x14ac:dyDescent="0.35">
      <c r="A35" s="215">
        <v>46202</v>
      </c>
      <c r="B35" s="28" t="s">
        <v>52</v>
      </c>
      <c r="C35" s="213">
        <v>7000</v>
      </c>
    </row>
    <row r="36" spans="1:3" x14ac:dyDescent="0.35">
      <c r="A36" s="215">
        <v>46195</v>
      </c>
      <c r="B36" s="28" t="s">
        <v>54</v>
      </c>
      <c r="C36" s="213">
        <v>11916.67</v>
      </c>
    </row>
    <row r="37" spans="1:3" x14ac:dyDescent="0.35">
      <c r="A37" s="215">
        <v>46202</v>
      </c>
      <c r="B37" s="28" t="s">
        <v>54</v>
      </c>
      <c r="C37" s="213">
        <v>11916.67</v>
      </c>
    </row>
    <row r="38" spans="1:3" x14ac:dyDescent="0.35">
      <c r="A38" s="215">
        <v>46209</v>
      </c>
      <c r="B38" s="28" t="s">
        <v>54</v>
      </c>
      <c r="C38" s="213">
        <v>11916.66</v>
      </c>
    </row>
    <row r="39" spans="1:3" x14ac:dyDescent="0.35">
      <c r="A39" s="215">
        <v>46202</v>
      </c>
      <c r="B39" s="28" t="s">
        <v>56</v>
      </c>
      <c r="C39" s="213">
        <v>10000</v>
      </c>
    </row>
    <row r="40" spans="1:3" x14ac:dyDescent="0.35">
      <c r="A40" s="215">
        <v>46209</v>
      </c>
      <c r="B40" s="28" t="s">
        <v>56</v>
      </c>
      <c r="C40" s="213">
        <v>10000</v>
      </c>
    </row>
    <row r="41" spans="1:3" x14ac:dyDescent="0.35">
      <c r="A41" s="215">
        <v>46216</v>
      </c>
      <c r="B41" s="28" t="s">
        <v>56</v>
      </c>
      <c r="C41" s="213">
        <v>10000</v>
      </c>
    </row>
    <row r="42" spans="1:3" x14ac:dyDescent="0.35">
      <c r="A42" s="215">
        <v>46216</v>
      </c>
      <c r="B42" s="28" t="s">
        <v>58</v>
      </c>
      <c r="C42" s="213">
        <v>4200</v>
      </c>
    </row>
    <row r="43" spans="1:3" x14ac:dyDescent="0.35">
      <c r="A43" s="215">
        <v>46223</v>
      </c>
      <c r="B43" s="28" t="s">
        <v>58</v>
      </c>
      <c r="C43" s="213">
        <v>4200</v>
      </c>
    </row>
    <row r="44" spans="1:3" x14ac:dyDescent="0.35">
      <c r="A44" s="217">
        <v>46223</v>
      </c>
      <c r="B44" s="208" t="s">
        <v>60</v>
      </c>
      <c r="C44" s="214">
        <v>3600</v>
      </c>
    </row>
  </sheetData>
  <conditionalFormatting sqref="C2:C44">
    <cfRule type="cellIs" dxfId="101" priority="1" operator="lessThanOrEqual">
      <formula>4200</formula>
    </cfRule>
    <cfRule type="cellIs" dxfId="100" priority="2" operator="between">
      <formula>4200</formula>
      <formula>8666.67</formula>
    </cfRule>
    <cfRule type="cellIs" dxfId="99" priority="3" operator="greaterThanOrEqual">
      <formula>8666.67</formula>
    </cfRule>
  </conditionalFormatting>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966"/>
  </sheetPr>
  <dimension ref="A1:E100"/>
  <sheetViews>
    <sheetView workbookViewId="0">
      <selection activeCell="Q1" sqref="Q1"/>
    </sheetView>
  </sheetViews>
  <sheetFormatPr defaultRowHeight="14.5" x14ac:dyDescent="0.35"/>
  <cols>
    <col min="1" max="1" width="10.08984375" bestFit="1" customWidth="1"/>
    <col min="2" max="2" width="9.36328125" customWidth="1"/>
    <col min="3" max="3" width="13.26953125" customWidth="1"/>
    <col min="4" max="4" width="12.81640625" customWidth="1"/>
    <col min="5" max="5" width="15.08984375" customWidth="1"/>
  </cols>
  <sheetData>
    <row r="1" spans="1:5" x14ac:dyDescent="0.35">
      <c r="A1" s="204" t="s">
        <v>115</v>
      </c>
      <c r="B1" s="205" t="s">
        <v>79</v>
      </c>
      <c r="C1" s="205" t="s">
        <v>83</v>
      </c>
      <c r="D1" s="205" t="s">
        <v>126</v>
      </c>
      <c r="E1" s="206" t="s">
        <v>127</v>
      </c>
    </row>
    <row r="2" spans="1:5" x14ac:dyDescent="0.35">
      <c r="A2" s="215">
        <v>46146</v>
      </c>
      <c r="B2" s="28" t="s">
        <v>35</v>
      </c>
      <c r="C2" s="28" t="s">
        <v>87</v>
      </c>
      <c r="D2" s="34">
        <v>320</v>
      </c>
      <c r="E2" s="194">
        <v>0.21</v>
      </c>
    </row>
    <row r="3" spans="1:5" x14ac:dyDescent="0.35">
      <c r="A3" s="215">
        <v>46147</v>
      </c>
      <c r="B3" s="28" t="s">
        <v>35</v>
      </c>
      <c r="C3" s="28" t="s">
        <v>87</v>
      </c>
      <c r="D3" s="34">
        <v>320</v>
      </c>
      <c r="E3" s="194">
        <v>0.21</v>
      </c>
    </row>
    <row r="4" spans="1:5" x14ac:dyDescent="0.35">
      <c r="A4" s="215">
        <v>46148</v>
      </c>
      <c r="B4" s="28" t="s">
        <v>35</v>
      </c>
      <c r="C4" s="28" t="s">
        <v>87</v>
      </c>
      <c r="D4" s="34">
        <v>320</v>
      </c>
      <c r="E4" s="194">
        <v>0.21</v>
      </c>
    </row>
    <row r="5" spans="1:5" x14ac:dyDescent="0.35">
      <c r="A5" s="215">
        <v>46149</v>
      </c>
      <c r="B5" s="28" t="s">
        <v>35</v>
      </c>
      <c r="C5" s="28" t="s">
        <v>87</v>
      </c>
      <c r="D5" s="34">
        <v>320</v>
      </c>
      <c r="E5" s="194">
        <v>0.21</v>
      </c>
    </row>
    <row r="6" spans="1:5" x14ac:dyDescent="0.35">
      <c r="A6" s="215">
        <v>46150</v>
      </c>
      <c r="B6" s="28" t="s">
        <v>35</v>
      </c>
      <c r="C6" s="28" t="s">
        <v>87</v>
      </c>
      <c r="D6" s="34">
        <v>320</v>
      </c>
      <c r="E6" s="194">
        <v>0.21</v>
      </c>
    </row>
    <row r="7" spans="1:5" x14ac:dyDescent="0.35">
      <c r="A7" s="215">
        <v>46146</v>
      </c>
      <c r="B7" s="28" t="s">
        <v>38</v>
      </c>
      <c r="C7" s="28" t="s">
        <v>96</v>
      </c>
      <c r="D7" s="34">
        <v>1740</v>
      </c>
      <c r="E7" s="194">
        <v>0.79</v>
      </c>
    </row>
    <row r="8" spans="1:5" x14ac:dyDescent="0.35">
      <c r="A8" s="215">
        <v>46147</v>
      </c>
      <c r="B8" s="28" t="s">
        <v>38</v>
      </c>
      <c r="C8" s="28" t="s">
        <v>96</v>
      </c>
      <c r="D8" s="34">
        <v>1740</v>
      </c>
      <c r="E8" s="194">
        <v>0.79</v>
      </c>
    </row>
    <row r="9" spans="1:5" x14ac:dyDescent="0.35">
      <c r="A9" s="215">
        <v>46148</v>
      </c>
      <c r="B9" s="28" t="s">
        <v>38</v>
      </c>
      <c r="C9" s="28" t="s">
        <v>96</v>
      </c>
      <c r="D9" s="34">
        <v>1740</v>
      </c>
      <c r="E9" s="194">
        <v>0.79</v>
      </c>
    </row>
    <row r="10" spans="1:5" x14ac:dyDescent="0.35">
      <c r="A10" s="215">
        <v>46149</v>
      </c>
      <c r="B10" s="28" t="s">
        <v>38</v>
      </c>
      <c r="C10" s="28" t="s">
        <v>96</v>
      </c>
      <c r="D10" s="34">
        <v>1740</v>
      </c>
      <c r="E10" s="194">
        <v>0.79</v>
      </c>
    </row>
    <row r="11" spans="1:5" x14ac:dyDescent="0.35">
      <c r="A11" s="215">
        <v>46150</v>
      </c>
      <c r="B11" s="28" t="s">
        <v>38</v>
      </c>
      <c r="C11" s="28" t="s">
        <v>96</v>
      </c>
      <c r="D11" s="34">
        <v>1740</v>
      </c>
      <c r="E11" s="194">
        <v>0.79</v>
      </c>
    </row>
    <row r="12" spans="1:5" x14ac:dyDescent="0.35">
      <c r="A12" s="215">
        <v>46146</v>
      </c>
      <c r="B12" s="28" t="s">
        <v>40</v>
      </c>
      <c r="C12" s="28" t="s">
        <v>90</v>
      </c>
      <c r="D12" s="34">
        <v>1199.01</v>
      </c>
      <c r="E12" s="194">
        <v>0.5</v>
      </c>
    </row>
    <row r="13" spans="1:5" x14ac:dyDescent="0.35">
      <c r="A13" s="215">
        <v>46147</v>
      </c>
      <c r="B13" s="28" t="s">
        <v>40</v>
      </c>
      <c r="C13" s="28" t="s">
        <v>90</v>
      </c>
      <c r="D13" s="34">
        <v>1199.01</v>
      </c>
      <c r="E13" s="194">
        <v>0.5</v>
      </c>
    </row>
    <row r="14" spans="1:5" x14ac:dyDescent="0.35">
      <c r="A14" s="215">
        <v>46148</v>
      </c>
      <c r="B14" s="28" t="s">
        <v>40</v>
      </c>
      <c r="C14" s="28" t="s">
        <v>90</v>
      </c>
      <c r="D14" s="34">
        <v>1199.01</v>
      </c>
      <c r="E14" s="194">
        <v>0.5</v>
      </c>
    </row>
    <row r="15" spans="1:5" x14ac:dyDescent="0.35">
      <c r="A15" s="215">
        <v>46149</v>
      </c>
      <c r="B15" s="28" t="s">
        <v>40</v>
      </c>
      <c r="C15" s="28" t="s">
        <v>90</v>
      </c>
      <c r="D15" s="34">
        <v>1199.01</v>
      </c>
      <c r="E15" s="194">
        <v>0.5</v>
      </c>
    </row>
    <row r="16" spans="1:5" x14ac:dyDescent="0.35">
      <c r="A16" s="215">
        <v>46150</v>
      </c>
      <c r="B16" s="28" t="s">
        <v>40</v>
      </c>
      <c r="C16" s="28" t="s">
        <v>90</v>
      </c>
      <c r="D16" s="34">
        <v>1199</v>
      </c>
      <c r="E16" s="194">
        <v>0.5</v>
      </c>
    </row>
    <row r="17" spans="1:5" x14ac:dyDescent="0.35">
      <c r="A17" s="215">
        <v>46153</v>
      </c>
      <c r="B17" s="28" t="s">
        <v>35</v>
      </c>
      <c r="C17" s="28" t="s">
        <v>87</v>
      </c>
      <c r="D17" s="34">
        <v>320</v>
      </c>
      <c r="E17" s="194">
        <v>0.21</v>
      </c>
    </row>
    <row r="18" spans="1:5" x14ac:dyDescent="0.35">
      <c r="A18" s="215">
        <v>46154</v>
      </c>
      <c r="B18" s="28" t="s">
        <v>35</v>
      </c>
      <c r="C18" s="28" t="s">
        <v>87</v>
      </c>
      <c r="D18" s="34">
        <v>320</v>
      </c>
      <c r="E18" s="194">
        <v>0.21</v>
      </c>
    </row>
    <row r="19" spans="1:5" x14ac:dyDescent="0.35">
      <c r="A19" s="215">
        <v>46155</v>
      </c>
      <c r="B19" s="28" t="s">
        <v>35</v>
      </c>
      <c r="C19" s="28" t="s">
        <v>87</v>
      </c>
      <c r="D19" s="34">
        <v>320</v>
      </c>
      <c r="E19" s="194">
        <v>0.21</v>
      </c>
    </row>
    <row r="20" spans="1:5" x14ac:dyDescent="0.35">
      <c r="A20" s="215">
        <v>46156</v>
      </c>
      <c r="B20" s="28" t="s">
        <v>35</v>
      </c>
      <c r="C20" s="28" t="s">
        <v>87</v>
      </c>
      <c r="D20" s="34">
        <v>320</v>
      </c>
      <c r="E20" s="194">
        <v>0.21</v>
      </c>
    </row>
    <row r="21" spans="1:5" x14ac:dyDescent="0.35">
      <c r="A21" s="215">
        <v>46157</v>
      </c>
      <c r="B21" s="28" t="s">
        <v>35</v>
      </c>
      <c r="C21" s="28" t="s">
        <v>87</v>
      </c>
      <c r="D21" s="34">
        <v>320</v>
      </c>
      <c r="E21" s="194">
        <v>0.21</v>
      </c>
    </row>
    <row r="22" spans="1:5" x14ac:dyDescent="0.35">
      <c r="A22" s="215">
        <v>46153</v>
      </c>
      <c r="B22" s="28" t="s">
        <v>40</v>
      </c>
      <c r="C22" s="28" t="s">
        <v>90</v>
      </c>
      <c r="D22" s="34">
        <v>1200</v>
      </c>
      <c r="E22" s="194">
        <v>0.5</v>
      </c>
    </row>
    <row r="23" spans="1:5" x14ac:dyDescent="0.35">
      <c r="A23" s="215">
        <v>46154</v>
      </c>
      <c r="B23" s="28" t="s">
        <v>40</v>
      </c>
      <c r="C23" s="28" t="s">
        <v>90</v>
      </c>
      <c r="D23" s="34">
        <v>1200</v>
      </c>
      <c r="E23" s="194">
        <v>0.5</v>
      </c>
    </row>
    <row r="24" spans="1:5" x14ac:dyDescent="0.35">
      <c r="A24" s="215">
        <v>46155</v>
      </c>
      <c r="B24" s="28" t="s">
        <v>40</v>
      </c>
      <c r="C24" s="28" t="s">
        <v>90</v>
      </c>
      <c r="D24" s="34">
        <v>1200</v>
      </c>
      <c r="E24" s="194">
        <v>0.5</v>
      </c>
    </row>
    <row r="25" spans="1:5" x14ac:dyDescent="0.35">
      <c r="A25" s="215">
        <v>46156</v>
      </c>
      <c r="B25" s="28" t="s">
        <v>40</v>
      </c>
      <c r="C25" s="28" t="s">
        <v>90</v>
      </c>
      <c r="D25" s="34">
        <v>1200</v>
      </c>
      <c r="E25" s="194">
        <v>0.5</v>
      </c>
    </row>
    <row r="26" spans="1:5" x14ac:dyDescent="0.35">
      <c r="A26" s="215">
        <v>46157</v>
      </c>
      <c r="B26" s="28" t="s">
        <v>40</v>
      </c>
      <c r="C26" s="28" t="s">
        <v>90</v>
      </c>
      <c r="D26" s="34">
        <v>1200</v>
      </c>
      <c r="E26" s="194">
        <v>0.5</v>
      </c>
    </row>
    <row r="27" spans="1:5" x14ac:dyDescent="0.35">
      <c r="A27" s="215">
        <v>46155</v>
      </c>
      <c r="B27" s="28" t="s">
        <v>42</v>
      </c>
      <c r="C27" s="28" t="s">
        <v>103</v>
      </c>
      <c r="D27" s="34">
        <v>10500</v>
      </c>
      <c r="E27" s="194">
        <v>0</v>
      </c>
    </row>
    <row r="28" spans="1:5" x14ac:dyDescent="0.35">
      <c r="A28" s="215">
        <v>46153</v>
      </c>
      <c r="B28" s="28" t="s">
        <v>45</v>
      </c>
      <c r="C28" s="28" t="s">
        <v>96</v>
      </c>
      <c r="D28" s="34">
        <v>910.82</v>
      </c>
      <c r="E28" s="194">
        <v>0.41</v>
      </c>
    </row>
    <row r="29" spans="1:5" x14ac:dyDescent="0.35">
      <c r="A29" s="215">
        <v>46154</v>
      </c>
      <c r="B29" s="28" t="s">
        <v>45</v>
      </c>
      <c r="C29" s="28" t="s">
        <v>96</v>
      </c>
      <c r="D29" s="34">
        <v>910.82</v>
      </c>
      <c r="E29" s="194">
        <v>0.41</v>
      </c>
    </row>
    <row r="30" spans="1:5" x14ac:dyDescent="0.35">
      <c r="A30" s="215">
        <v>46155</v>
      </c>
      <c r="B30" s="28" t="s">
        <v>45</v>
      </c>
      <c r="C30" s="28" t="s">
        <v>96</v>
      </c>
      <c r="D30" s="34">
        <v>910.82</v>
      </c>
      <c r="E30" s="194">
        <v>0.41</v>
      </c>
    </row>
    <row r="31" spans="1:5" x14ac:dyDescent="0.35">
      <c r="A31" s="215">
        <v>46156</v>
      </c>
      <c r="B31" s="28" t="s">
        <v>45</v>
      </c>
      <c r="C31" s="28" t="s">
        <v>96</v>
      </c>
      <c r="D31" s="34">
        <v>910.82</v>
      </c>
      <c r="E31" s="194">
        <v>0.41</v>
      </c>
    </row>
    <row r="32" spans="1:5" x14ac:dyDescent="0.35">
      <c r="A32" s="215">
        <v>46157</v>
      </c>
      <c r="B32" s="28" t="s">
        <v>45</v>
      </c>
      <c r="C32" s="28" t="s">
        <v>96</v>
      </c>
      <c r="D32" s="34">
        <v>910.8</v>
      </c>
      <c r="E32" s="194">
        <v>0.41</v>
      </c>
    </row>
    <row r="33" spans="1:5" x14ac:dyDescent="0.35">
      <c r="A33" s="215">
        <v>46160</v>
      </c>
      <c r="B33" s="28" t="s">
        <v>35</v>
      </c>
      <c r="C33" s="28" t="s">
        <v>87</v>
      </c>
      <c r="D33" s="34">
        <v>320</v>
      </c>
      <c r="E33" s="194">
        <v>0.21</v>
      </c>
    </row>
    <row r="34" spans="1:5" x14ac:dyDescent="0.35">
      <c r="A34" s="215">
        <v>46161</v>
      </c>
      <c r="B34" s="28" t="s">
        <v>35</v>
      </c>
      <c r="C34" s="28" t="s">
        <v>87</v>
      </c>
      <c r="D34" s="34">
        <v>320</v>
      </c>
      <c r="E34" s="194">
        <v>0.21</v>
      </c>
    </row>
    <row r="35" spans="1:5" x14ac:dyDescent="0.35">
      <c r="A35" s="215">
        <v>46162</v>
      </c>
      <c r="B35" s="28" t="s">
        <v>35</v>
      </c>
      <c r="C35" s="28" t="s">
        <v>87</v>
      </c>
      <c r="D35" s="34">
        <v>320</v>
      </c>
      <c r="E35" s="194">
        <v>0.21</v>
      </c>
    </row>
    <row r="36" spans="1:5" x14ac:dyDescent="0.35">
      <c r="A36" s="215">
        <v>46163</v>
      </c>
      <c r="B36" s="28" t="s">
        <v>35</v>
      </c>
      <c r="C36" s="28" t="s">
        <v>87</v>
      </c>
      <c r="D36" s="34">
        <v>320</v>
      </c>
      <c r="E36" s="194">
        <v>0.21</v>
      </c>
    </row>
    <row r="37" spans="1:5" x14ac:dyDescent="0.35">
      <c r="A37" s="215">
        <v>46164</v>
      </c>
      <c r="B37" s="28" t="s">
        <v>35</v>
      </c>
      <c r="C37" s="28" t="s">
        <v>87</v>
      </c>
      <c r="D37" s="34">
        <v>320</v>
      </c>
      <c r="E37" s="194">
        <v>0.21</v>
      </c>
    </row>
    <row r="38" spans="1:5" x14ac:dyDescent="0.35">
      <c r="A38" s="215">
        <v>46160</v>
      </c>
      <c r="B38" s="28" t="s">
        <v>40</v>
      </c>
      <c r="C38" s="28" t="s">
        <v>90</v>
      </c>
      <c r="D38" s="34">
        <v>1240</v>
      </c>
      <c r="E38" s="194">
        <v>0.52</v>
      </c>
    </row>
    <row r="39" spans="1:5" x14ac:dyDescent="0.35">
      <c r="A39" s="215">
        <v>46161</v>
      </c>
      <c r="B39" s="28" t="s">
        <v>40</v>
      </c>
      <c r="C39" s="28" t="s">
        <v>90</v>
      </c>
      <c r="D39" s="34">
        <v>1240</v>
      </c>
      <c r="E39" s="194">
        <v>0.52</v>
      </c>
    </row>
    <row r="40" spans="1:5" x14ac:dyDescent="0.35">
      <c r="A40" s="215">
        <v>46162</v>
      </c>
      <c r="B40" s="28" t="s">
        <v>40</v>
      </c>
      <c r="C40" s="28" t="s">
        <v>90</v>
      </c>
      <c r="D40" s="34">
        <v>1240</v>
      </c>
      <c r="E40" s="194">
        <v>0.52</v>
      </c>
    </row>
    <row r="41" spans="1:5" x14ac:dyDescent="0.35">
      <c r="A41" s="215">
        <v>46163</v>
      </c>
      <c r="B41" s="28" t="s">
        <v>40</v>
      </c>
      <c r="C41" s="28" t="s">
        <v>90</v>
      </c>
      <c r="D41" s="34">
        <v>1240</v>
      </c>
      <c r="E41" s="194">
        <v>0.52</v>
      </c>
    </row>
    <row r="42" spans="1:5" x14ac:dyDescent="0.35">
      <c r="A42" s="215">
        <v>46164</v>
      </c>
      <c r="B42" s="28" t="s">
        <v>40</v>
      </c>
      <c r="C42" s="28" t="s">
        <v>90</v>
      </c>
      <c r="D42" s="34">
        <v>1240</v>
      </c>
      <c r="E42" s="194">
        <v>0.52</v>
      </c>
    </row>
    <row r="43" spans="1:5" x14ac:dyDescent="0.35">
      <c r="A43" s="215">
        <v>46162</v>
      </c>
      <c r="B43" s="28" t="s">
        <v>42</v>
      </c>
      <c r="C43" s="28" t="s">
        <v>103</v>
      </c>
      <c r="D43" s="34">
        <v>10200</v>
      </c>
      <c r="E43" s="194">
        <v>0</v>
      </c>
    </row>
    <row r="44" spans="1:5" x14ac:dyDescent="0.35">
      <c r="A44" s="215">
        <v>46160</v>
      </c>
      <c r="B44" s="28" t="s">
        <v>45</v>
      </c>
      <c r="C44" s="28" t="s">
        <v>96</v>
      </c>
      <c r="D44" s="34">
        <v>930.82</v>
      </c>
      <c r="E44" s="194">
        <v>0.42</v>
      </c>
    </row>
    <row r="45" spans="1:5" x14ac:dyDescent="0.35">
      <c r="A45" s="215">
        <v>46161</v>
      </c>
      <c r="B45" s="28" t="s">
        <v>45</v>
      </c>
      <c r="C45" s="28" t="s">
        <v>96</v>
      </c>
      <c r="D45" s="34">
        <v>930.82</v>
      </c>
      <c r="E45" s="194">
        <v>0.42</v>
      </c>
    </row>
    <row r="46" spans="1:5" x14ac:dyDescent="0.35">
      <c r="A46" s="215">
        <v>46162</v>
      </c>
      <c r="B46" s="28" t="s">
        <v>45</v>
      </c>
      <c r="C46" s="28" t="s">
        <v>96</v>
      </c>
      <c r="D46" s="34">
        <v>930.82</v>
      </c>
      <c r="E46" s="194">
        <v>0.42</v>
      </c>
    </row>
    <row r="47" spans="1:5" x14ac:dyDescent="0.35">
      <c r="A47" s="215">
        <v>46163</v>
      </c>
      <c r="B47" s="28" t="s">
        <v>45</v>
      </c>
      <c r="C47" s="28" t="s">
        <v>96</v>
      </c>
      <c r="D47" s="34">
        <v>930.82</v>
      </c>
      <c r="E47" s="194">
        <v>0.42</v>
      </c>
    </row>
    <row r="48" spans="1:5" x14ac:dyDescent="0.35">
      <c r="A48" s="215">
        <v>46164</v>
      </c>
      <c r="B48" s="28" t="s">
        <v>45</v>
      </c>
      <c r="C48" s="28" t="s">
        <v>96</v>
      </c>
      <c r="D48" s="34">
        <v>930.8</v>
      </c>
      <c r="E48" s="194">
        <v>0.42</v>
      </c>
    </row>
    <row r="49" spans="1:5" x14ac:dyDescent="0.35">
      <c r="A49" s="215">
        <v>46167</v>
      </c>
      <c r="B49" s="28" t="s">
        <v>35</v>
      </c>
      <c r="C49" s="28" t="s">
        <v>87</v>
      </c>
      <c r="D49" s="34">
        <v>320</v>
      </c>
      <c r="E49" s="194">
        <v>0.21</v>
      </c>
    </row>
    <row r="50" spans="1:5" x14ac:dyDescent="0.35">
      <c r="A50" s="215">
        <v>46168</v>
      </c>
      <c r="B50" s="28" t="s">
        <v>35</v>
      </c>
      <c r="C50" s="28" t="s">
        <v>87</v>
      </c>
      <c r="D50" s="34">
        <v>320</v>
      </c>
      <c r="E50" s="194">
        <v>0.21</v>
      </c>
    </row>
    <row r="51" spans="1:5" x14ac:dyDescent="0.35">
      <c r="A51" s="215">
        <v>46169</v>
      </c>
      <c r="B51" s="28" t="s">
        <v>35</v>
      </c>
      <c r="C51" s="28" t="s">
        <v>87</v>
      </c>
      <c r="D51" s="34">
        <v>320</v>
      </c>
      <c r="E51" s="194">
        <v>0.21</v>
      </c>
    </row>
    <row r="52" spans="1:5" x14ac:dyDescent="0.35">
      <c r="A52" s="215">
        <v>46170</v>
      </c>
      <c r="B52" s="28" t="s">
        <v>35</v>
      </c>
      <c r="C52" s="28" t="s">
        <v>87</v>
      </c>
      <c r="D52" s="34">
        <v>320</v>
      </c>
      <c r="E52" s="194">
        <v>0.21</v>
      </c>
    </row>
    <row r="53" spans="1:5" x14ac:dyDescent="0.35">
      <c r="A53" s="215">
        <v>46171</v>
      </c>
      <c r="B53" s="28" t="s">
        <v>35</v>
      </c>
      <c r="C53" s="28" t="s">
        <v>87</v>
      </c>
      <c r="D53" s="34">
        <v>320</v>
      </c>
      <c r="E53" s="194">
        <v>0.21</v>
      </c>
    </row>
    <row r="54" spans="1:5" x14ac:dyDescent="0.35">
      <c r="A54" s="215">
        <v>46169</v>
      </c>
      <c r="B54" s="28" t="s">
        <v>42</v>
      </c>
      <c r="C54" s="28" t="s">
        <v>103</v>
      </c>
      <c r="D54" s="34">
        <v>10200</v>
      </c>
      <c r="E54" s="194">
        <v>0</v>
      </c>
    </row>
    <row r="55" spans="1:5" x14ac:dyDescent="0.35">
      <c r="A55" s="215">
        <v>46167</v>
      </c>
      <c r="B55" s="28" t="s">
        <v>45</v>
      </c>
      <c r="C55" s="28" t="s">
        <v>96</v>
      </c>
      <c r="D55" s="34">
        <v>840</v>
      </c>
      <c r="E55" s="194">
        <v>0.38</v>
      </c>
    </row>
    <row r="56" spans="1:5" x14ac:dyDescent="0.35">
      <c r="A56" s="215">
        <v>46168</v>
      </c>
      <c r="B56" s="28" t="s">
        <v>45</v>
      </c>
      <c r="C56" s="28" t="s">
        <v>96</v>
      </c>
      <c r="D56" s="34">
        <v>840</v>
      </c>
      <c r="E56" s="194">
        <v>0.38</v>
      </c>
    </row>
    <row r="57" spans="1:5" x14ac:dyDescent="0.35">
      <c r="A57" s="215">
        <v>46169</v>
      </c>
      <c r="B57" s="28" t="s">
        <v>45</v>
      </c>
      <c r="C57" s="28" t="s">
        <v>96</v>
      </c>
      <c r="D57" s="34">
        <v>840</v>
      </c>
      <c r="E57" s="194">
        <v>0.38</v>
      </c>
    </row>
    <row r="58" spans="1:5" x14ac:dyDescent="0.35">
      <c r="A58" s="215">
        <v>46170</v>
      </c>
      <c r="B58" s="28" t="s">
        <v>45</v>
      </c>
      <c r="C58" s="28" t="s">
        <v>96</v>
      </c>
      <c r="D58" s="34">
        <v>840</v>
      </c>
      <c r="E58" s="194">
        <v>0.38</v>
      </c>
    </row>
    <row r="59" spans="1:5" x14ac:dyDescent="0.35">
      <c r="A59" s="215">
        <v>46171</v>
      </c>
      <c r="B59" s="28" t="s">
        <v>45</v>
      </c>
      <c r="C59" s="28" t="s">
        <v>96</v>
      </c>
      <c r="D59" s="34">
        <v>840</v>
      </c>
      <c r="E59" s="194">
        <v>0.38</v>
      </c>
    </row>
    <row r="60" spans="1:5" x14ac:dyDescent="0.35">
      <c r="A60" s="215">
        <v>46167</v>
      </c>
      <c r="B60" s="28" t="s">
        <v>47</v>
      </c>
      <c r="C60" s="28" t="s">
        <v>93</v>
      </c>
      <c r="D60" s="34">
        <v>1781.25</v>
      </c>
      <c r="E60" s="194">
        <v>0.69</v>
      </c>
    </row>
    <row r="61" spans="1:5" x14ac:dyDescent="0.35">
      <c r="A61" s="215">
        <v>46168</v>
      </c>
      <c r="B61" s="28" t="s">
        <v>47</v>
      </c>
      <c r="C61" s="28" t="s">
        <v>93</v>
      </c>
      <c r="D61" s="34">
        <v>1781.25</v>
      </c>
      <c r="E61" s="194">
        <v>0.69</v>
      </c>
    </row>
    <row r="62" spans="1:5" x14ac:dyDescent="0.35">
      <c r="A62" s="215">
        <v>46169</v>
      </c>
      <c r="B62" s="28" t="s">
        <v>47</v>
      </c>
      <c r="C62" s="28" t="s">
        <v>93</v>
      </c>
      <c r="D62" s="34">
        <v>1781.25</v>
      </c>
      <c r="E62" s="194">
        <v>0.69</v>
      </c>
    </row>
    <row r="63" spans="1:5" x14ac:dyDescent="0.35">
      <c r="A63" s="215">
        <v>46170</v>
      </c>
      <c r="B63" s="28" t="s">
        <v>47</v>
      </c>
      <c r="C63" s="28" t="s">
        <v>93</v>
      </c>
      <c r="D63" s="34">
        <v>1781.25</v>
      </c>
      <c r="E63" s="194">
        <v>0.69</v>
      </c>
    </row>
    <row r="64" spans="1:5" x14ac:dyDescent="0.35">
      <c r="A64" s="215">
        <v>46171</v>
      </c>
      <c r="B64" s="28" t="s">
        <v>47</v>
      </c>
      <c r="C64" s="28" t="s">
        <v>93</v>
      </c>
      <c r="D64" s="34">
        <v>1781.24</v>
      </c>
      <c r="E64" s="194">
        <v>0.69</v>
      </c>
    </row>
    <row r="65" spans="1:5" x14ac:dyDescent="0.35">
      <c r="A65" s="215">
        <v>46174</v>
      </c>
      <c r="B65" s="28" t="s">
        <v>35</v>
      </c>
      <c r="C65" s="28" t="s">
        <v>87</v>
      </c>
      <c r="D65" s="34">
        <v>320</v>
      </c>
      <c r="E65" s="194">
        <v>0.21</v>
      </c>
    </row>
    <row r="66" spans="1:5" x14ac:dyDescent="0.35">
      <c r="A66" s="215">
        <v>46175</v>
      </c>
      <c r="B66" s="28" t="s">
        <v>35</v>
      </c>
      <c r="C66" s="28" t="s">
        <v>87</v>
      </c>
      <c r="D66" s="34">
        <v>320</v>
      </c>
      <c r="E66" s="194">
        <v>0.21</v>
      </c>
    </row>
    <row r="67" spans="1:5" x14ac:dyDescent="0.35">
      <c r="A67" s="215">
        <v>46176</v>
      </c>
      <c r="B67" s="28" t="s">
        <v>35</v>
      </c>
      <c r="C67" s="28" t="s">
        <v>87</v>
      </c>
      <c r="D67" s="34">
        <v>320</v>
      </c>
      <c r="E67" s="194">
        <v>0.21</v>
      </c>
    </row>
    <row r="68" spans="1:5" x14ac:dyDescent="0.35">
      <c r="A68" s="215">
        <v>46177</v>
      </c>
      <c r="B68" s="28" t="s">
        <v>35</v>
      </c>
      <c r="C68" s="28" t="s">
        <v>87</v>
      </c>
      <c r="D68" s="34">
        <v>320</v>
      </c>
      <c r="E68" s="194">
        <v>0.21</v>
      </c>
    </row>
    <row r="69" spans="1:5" x14ac:dyDescent="0.35">
      <c r="A69" s="215">
        <v>46178</v>
      </c>
      <c r="B69" s="28" t="s">
        <v>35</v>
      </c>
      <c r="C69" s="28" t="s">
        <v>87</v>
      </c>
      <c r="D69" s="34">
        <v>320</v>
      </c>
      <c r="E69" s="194">
        <v>0.21</v>
      </c>
    </row>
    <row r="70" spans="1:5" x14ac:dyDescent="0.35">
      <c r="A70" s="215">
        <v>46176</v>
      </c>
      <c r="B70" s="28" t="s">
        <v>42</v>
      </c>
      <c r="C70" s="28" t="s">
        <v>103</v>
      </c>
      <c r="D70" s="34">
        <v>10400</v>
      </c>
      <c r="E70" s="194">
        <v>0</v>
      </c>
    </row>
    <row r="71" spans="1:5" x14ac:dyDescent="0.35">
      <c r="A71" s="215">
        <v>46174</v>
      </c>
      <c r="B71" s="28" t="s">
        <v>47</v>
      </c>
      <c r="C71" s="28" t="s">
        <v>93</v>
      </c>
      <c r="D71" s="34">
        <v>1760</v>
      </c>
      <c r="E71" s="194">
        <v>0.68</v>
      </c>
    </row>
    <row r="72" spans="1:5" x14ac:dyDescent="0.35">
      <c r="A72" s="215">
        <v>46175</v>
      </c>
      <c r="B72" s="28" t="s">
        <v>47</v>
      </c>
      <c r="C72" s="28" t="s">
        <v>93</v>
      </c>
      <c r="D72" s="34">
        <v>1760</v>
      </c>
      <c r="E72" s="194">
        <v>0.68</v>
      </c>
    </row>
    <row r="73" spans="1:5" x14ac:dyDescent="0.35">
      <c r="A73" s="215">
        <v>46176</v>
      </c>
      <c r="B73" s="28" t="s">
        <v>47</v>
      </c>
      <c r="C73" s="28" t="s">
        <v>93</v>
      </c>
      <c r="D73" s="34">
        <v>1760</v>
      </c>
      <c r="E73" s="194">
        <v>0.68</v>
      </c>
    </row>
    <row r="74" spans="1:5" x14ac:dyDescent="0.35">
      <c r="A74" s="215">
        <v>46177</v>
      </c>
      <c r="B74" s="28" t="s">
        <v>47</v>
      </c>
      <c r="C74" s="28" t="s">
        <v>93</v>
      </c>
      <c r="D74" s="34">
        <v>1760</v>
      </c>
      <c r="E74" s="194">
        <v>0.68</v>
      </c>
    </row>
    <row r="75" spans="1:5" x14ac:dyDescent="0.35">
      <c r="A75" s="215">
        <v>46178</v>
      </c>
      <c r="B75" s="28" t="s">
        <v>47</v>
      </c>
      <c r="C75" s="28" t="s">
        <v>93</v>
      </c>
      <c r="D75" s="34">
        <v>1760</v>
      </c>
      <c r="E75" s="194">
        <v>0.68</v>
      </c>
    </row>
    <row r="76" spans="1:5" x14ac:dyDescent="0.35">
      <c r="A76" s="215">
        <v>46174</v>
      </c>
      <c r="B76" s="28" t="s">
        <v>49</v>
      </c>
      <c r="C76" s="28" t="s">
        <v>106</v>
      </c>
      <c r="D76" s="34">
        <v>1735.36</v>
      </c>
      <c r="E76" s="194">
        <v>0</v>
      </c>
    </row>
    <row r="77" spans="1:5" x14ac:dyDescent="0.35">
      <c r="A77" s="215">
        <v>46175</v>
      </c>
      <c r="B77" s="28" t="s">
        <v>49</v>
      </c>
      <c r="C77" s="28" t="s">
        <v>106</v>
      </c>
      <c r="D77" s="34">
        <v>1735.36</v>
      </c>
      <c r="E77" s="194">
        <v>0</v>
      </c>
    </row>
    <row r="78" spans="1:5" x14ac:dyDescent="0.35">
      <c r="A78" s="215">
        <v>46176</v>
      </c>
      <c r="B78" s="28" t="s">
        <v>49</v>
      </c>
      <c r="C78" s="28" t="s">
        <v>106</v>
      </c>
      <c r="D78" s="34">
        <v>1735.36</v>
      </c>
      <c r="E78" s="194">
        <v>0</v>
      </c>
    </row>
    <row r="79" spans="1:5" x14ac:dyDescent="0.35">
      <c r="A79" s="215">
        <v>46177</v>
      </c>
      <c r="B79" s="28" t="s">
        <v>49</v>
      </c>
      <c r="C79" s="28" t="s">
        <v>106</v>
      </c>
      <c r="D79" s="34">
        <v>1735.36</v>
      </c>
      <c r="E79" s="194">
        <v>0</v>
      </c>
    </row>
    <row r="80" spans="1:5" x14ac:dyDescent="0.35">
      <c r="A80" s="215">
        <v>46178</v>
      </c>
      <c r="B80" s="28" t="s">
        <v>49</v>
      </c>
      <c r="C80" s="28" t="s">
        <v>106</v>
      </c>
      <c r="D80" s="34">
        <v>1735.36</v>
      </c>
      <c r="E80" s="194">
        <v>0</v>
      </c>
    </row>
    <row r="81" spans="1:5" x14ac:dyDescent="0.35">
      <c r="A81" s="215">
        <v>46181</v>
      </c>
      <c r="B81" s="28" t="s">
        <v>35</v>
      </c>
      <c r="C81" s="28" t="s">
        <v>87</v>
      </c>
      <c r="D81" s="34">
        <v>320</v>
      </c>
      <c r="E81" s="194">
        <v>0.21</v>
      </c>
    </row>
    <row r="82" spans="1:5" x14ac:dyDescent="0.35">
      <c r="A82" s="215">
        <v>46182</v>
      </c>
      <c r="B82" s="28" t="s">
        <v>35</v>
      </c>
      <c r="C82" s="28" t="s">
        <v>87</v>
      </c>
      <c r="D82" s="34">
        <v>320</v>
      </c>
      <c r="E82" s="194">
        <v>0.21</v>
      </c>
    </row>
    <row r="83" spans="1:5" x14ac:dyDescent="0.35">
      <c r="A83" s="215">
        <v>46183</v>
      </c>
      <c r="B83" s="28" t="s">
        <v>35</v>
      </c>
      <c r="C83" s="28" t="s">
        <v>87</v>
      </c>
      <c r="D83" s="34">
        <v>320</v>
      </c>
      <c r="E83" s="194">
        <v>0.21</v>
      </c>
    </row>
    <row r="84" spans="1:5" x14ac:dyDescent="0.35">
      <c r="A84" s="215">
        <v>46184</v>
      </c>
      <c r="B84" s="28" t="s">
        <v>35</v>
      </c>
      <c r="C84" s="28" t="s">
        <v>87</v>
      </c>
      <c r="D84" s="34">
        <v>320</v>
      </c>
      <c r="E84" s="194">
        <v>0.21</v>
      </c>
    </row>
    <row r="85" spans="1:5" x14ac:dyDescent="0.35">
      <c r="A85" s="215">
        <v>46185</v>
      </c>
      <c r="B85" s="28" t="s">
        <v>35</v>
      </c>
      <c r="C85" s="28" t="s">
        <v>87</v>
      </c>
      <c r="D85" s="34">
        <v>320</v>
      </c>
      <c r="E85" s="194">
        <v>0.21</v>
      </c>
    </row>
    <row r="86" spans="1:5" x14ac:dyDescent="0.35">
      <c r="A86" s="215">
        <v>46181</v>
      </c>
      <c r="B86" s="28" t="s">
        <v>47</v>
      </c>
      <c r="C86" s="28" t="s">
        <v>93</v>
      </c>
      <c r="D86" s="34">
        <v>1700</v>
      </c>
      <c r="E86" s="194">
        <v>0.65</v>
      </c>
    </row>
    <row r="87" spans="1:5" x14ac:dyDescent="0.35">
      <c r="A87" s="215">
        <v>46182</v>
      </c>
      <c r="B87" s="28" t="s">
        <v>47</v>
      </c>
      <c r="C87" s="28" t="s">
        <v>93</v>
      </c>
      <c r="D87" s="34">
        <v>1700</v>
      </c>
      <c r="E87" s="194">
        <v>0.65</v>
      </c>
    </row>
    <row r="88" spans="1:5" x14ac:dyDescent="0.35">
      <c r="A88" s="215">
        <v>46183</v>
      </c>
      <c r="B88" s="28" t="s">
        <v>47</v>
      </c>
      <c r="C88" s="28" t="s">
        <v>93</v>
      </c>
      <c r="D88" s="34">
        <v>1700</v>
      </c>
      <c r="E88" s="194">
        <v>0.65</v>
      </c>
    </row>
    <row r="89" spans="1:5" x14ac:dyDescent="0.35">
      <c r="A89" s="215">
        <v>46184</v>
      </c>
      <c r="B89" s="28" t="s">
        <v>47</v>
      </c>
      <c r="C89" s="28" t="s">
        <v>93</v>
      </c>
      <c r="D89" s="34">
        <v>1700</v>
      </c>
      <c r="E89" s="194">
        <v>0.65</v>
      </c>
    </row>
    <row r="90" spans="1:5" x14ac:dyDescent="0.35">
      <c r="A90" s="215">
        <v>46185</v>
      </c>
      <c r="B90" s="28" t="s">
        <v>47</v>
      </c>
      <c r="C90" s="28" t="s">
        <v>93</v>
      </c>
      <c r="D90" s="34">
        <v>1700</v>
      </c>
      <c r="E90" s="194">
        <v>0.65</v>
      </c>
    </row>
    <row r="91" spans="1:5" x14ac:dyDescent="0.35">
      <c r="A91" s="215">
        <v>46181</v>
      </c>
      <c r="B91" s="28" t="s">
        <v>49</v>
      </c>
      <c r="C91" s="28" t="s">
        <v>106</v>
      </c>
      <c r="D91" s="34">
        <v>1760</v>
      </c>
      <c r="E91" s="194">
        <v>0</v>
      </c>
    </row>
    <row r="92" spans="1:5" x14ac:dyDescent="0.35">
      <c r="A92" s="215">
        <v>46182</v>
      </c>
      <c r="B92" s="28" t="s">
        <v>49</v>
      </c>
      <c r="C92" s="28" t="s">
        <v>106</v>
      </c>
      <c r="D92" s="34">
        <v>1760</v>
      </c>
      <c r="E92" s="194">
        <v>0</v>
      </c>
    </row>
    <row r="93" spans="1:5" x14ac:dyDescent="0.35">
      <c r="A93" s="215">
        <v>46183</v>
      </c>
      <c r="B93" s="28" t="s">
        <v>49</v>
      </c>
      <c r="C93" s="28" t="s">
        <v>106</v>
      </c>
      <c r="D93" s="34">
        <v>1760</v>
      </c>
      <c r="E93" s="194">
        <v>0</v>
      </c>
    </row>
    <row r="94" spans="1:5" x14ac:dyDescent="0.35">
      <c r="A94" s="215">
        <v>46184</v>
      </c>
      <c r="B94" s="28" t="s">
        <v>49</v>
      </c>
      <c r="C94" s="28" t="s">
        <v>106</v>
      </c>
      <c r="D94" s="34">
        <v>1760</v>
      </c>
      <c r="E94" s="194">
        <v>0</v>
      </c>
    </row>
    <row r="95" spans="1:5" x14ac:dyDescent="0.35">
      <c r="A95" s="215">
        <v>46185</v>
      </c>
      <c r="B95" s="28" t="s">
        <v>49</v>
      </c>
      <c r="C95" s="28" t="s">
        <v>106</v>
      </c>
      <c r="D95" s="34">
        <v>1760</v>
      </c>
      <c r="E95" s="194">
        <v>0</v>
      </c>
    </row>
    <row r="96" spans="1:5" x14ac:dyDescent="0.35">
      <c r="A96" s="215">
        <v>46181</v>
      </c>
      <c r="B96" s="28" t="s">
        <v>52</v>
      </c>
      <c r="C96" s="28" t="s">
        <v>109</v>
      </c>
      <c r="D96" s="34">
        <v>1419.84</v>
      </c>
      <c r="E96" s="194">
        <v>0</v>
      </c>
    </row>
    <row r="97" spans="1:5" x14ac:dyDescent="0.35">
      <c r="A97" s="215">
        <v>46182</v>
      </c>
      <c r="B97" s="28" t="s">
        <v>52</v>
      </c>
      <c r="C97" s="28" t="s">
        <v>109</v>
      </c>
      <c r="D97" s="34">
        <v>1419.84</v>
      </c>
      <c r="E97" s="194">
        <v>0</v>
      </c>
    </row>
    <row r="98" spans="1:5" x14ac:dyDescent="0.35">
      <c r="A98" s="215">
        <v>46183</v>
      </c>
      <c r="B98" s="28" t="s">
        <v>52</v>
      </c>
      <c r="C98" s="28" t="s">
        <v>109</v>
      </c>
      <c r="D98" s="34">
        <v>1419.84</v>
      </c>
      <c r="E98" s="194">
        <v>0</v>
      </c>
    </row>
    <row r="99" spans="1:5" x14ac:dyDescent="0.35">
      <c r="A99" s="215">
        <v>46184</v>
      </c>
      <c r="B99" s="28" t="s">
        <v>52</v>
      </c>
      <c r="C99" s="28" t="s">
        <v>109</v>
      </c>
      <c r="D99" s="34">
        <v>1419.84</v>
      </c>
      <c r="E99" s="194">
        <v>0</v>
      </c>
    </row>
    <row r="100" spans="1:5" x14ac:dyDescent="0.35">
      <c r="A100" s="217">
        <v>46185</v>
      </c>
      <c r="B100" s="208" t="s">
        <v>52</v>
      </c>
      <c r="C100" s="208" t="s">
        <v>109</v>
      </c>
      <c r="D100" s="199">
        <v>1419.84</v>
      </c>
      <c r="E100" s="201">
        <v>0</v>
      </c>
    </row>
  </sheetData>
  <conditionalFormatting sqref="D2:D100">
    <cfRule type="cellIs" dxfId="98" priority="1" operator="lessThanOrEqual">
      <formula>840</formula>
    </cfRule>
    <cfRule type="cellIs" dxfId="97" priority="2" operator="between">
      <formula>840</formula>
      <formula>1700</formula>
    </cfRule>
    <cfRule type="cellIs" dxfId="96" priority="3" operator="greaterThanOrEqual">
      <formula>1700</formula>
    </cfRule>
  </conditionalFormatting>
  <conditionalFormatting sqref="E2:E100">
    <cfRule type="cellIs" dxfId="95" priority="4" operator="lessThanOrEqual">
      <formula>0.21</formula>
    </cfRule>
    <cfRule type="cellIs" dxfId="94" priority="5" operator="between">
      <formula>0.21</formula>
      <formula>0.5</formula>
    </cfRule>
    <cfRule type="cellIs" dxfId="93" priority="6" operator="greaterThanOrEqual">
      <formula>0.5</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D966"/>
  </sheetPr>
  <dimension ref="A1:C35"/>
  <sheetViews>
    <sheetView workbookViewId="0">
      <selection activeCell="Q1" sqref="Q1"/>
    </sheetView>
  </sheetViews>
  <sheetFormatPr defaultRowHeight="14.5" x14ac:dyDescent="0.35"/>
  <cols>
    <col min="1" max="1" width="10.08984375" bestFit="1" customWidth="1"/>
    <col min="2" max="2" width="9.36328125" customWidth="1"/>
    <col min="3" max="3" width="21.26953125" customWidth="1"/>
  </cols>
  <sheetData>
    <row r="1" spans="1:3" x14ac:dyDescent="0.35">
      <c r="A1" s="204" t="s">
        <v>115</v>
      </c>
      <c r="B1" s="205" t="s">
        <v>79</v>
      </c>
      <c r="C1" s="206" t="s">
        <v>128</v>
      </c>
    </row>
    <row r="2" spans="1:3" x14ac:dyDescent="0.35">
      <c r="A2" s="215">
        <v>46150</v>
      </c>
      <c r="B2" s="28" t="s">
        <v>35</v>
      </c>
      <c r="C2" s="219">
        <v>8.3333000000000004E-2</v>
      </c>
    </row>
    <row r="3" spans="1:3" x14ac:dyDescent="0.35">
      <c r="A3" s="215">
        <v>46150</v>
      </c>
      <c r="B3" s="28" t="s">
        <v>38</v>
      </c>
      <c r="C3" s="219">
        <v>1</v>
      </c>
    </row>
    <row r="4" spans="1:3" x14ac:dyDescent="0.35">
      <c r="A4" s="215">
        <v>46150</v>
      </c>
      <c r="B4" s="28" t="s">
        <v>40</v>
      </c>
      <c r="C4" s="219">
        <v>0.26500000000000001</v>
      </c>
    </row>
    <row r="5" spans="1:3" x14ac:dyDescent="0.35">
      <c r="A5" s="215">
        <v>46157</v>
      </c>
      <c r="B5" s="28" t="s">
        <v>35</v>
      </c>
      <c r="C5" s="219">
        <v>0.16666700000000001</v>
      </c>
    </row>
    <row r="6" spans="1:3" x14ac:dyDescent="0.35">
      <c r="A6" s="215">
        <v>46157</v>
      </c>
      <c r="B6" s="28" t="s">
        <v>38</v>
      </c>
      <c r="C6" s="219">
        <v>1</v>
      </c>
    </row>
    <row r="7" spans="1:3" x14ac:dyDescent="0.35">
      <c r="A7" s="215">
        <v>46157</v>
      </c>
      <c r="B7" s="28" t="s">
        <v>40</v>
      </c>
      <c r="C7" s="219">
        <v>0.6</v>
      </c>
    </row>
    <row r="8" spans="1:3" x14ac:dyDescent="0.35">
      <c r="A8" s="215">
        <v>46157</v>
      </c>
      <c r="B8" s="28" t="s">
        <v>42</v>
      </c>
      <c r="C8" s="219">
        <v>0.2</v>
      </c>
    </row>
    <row r="9" spans="1:3" x14ac:dyDescent="0.35">
      <c r="A9" s="215">
        <v>46157</v>
      </c>
      <c r="B9" s="28" t="s">
        <v>45</v>
      </c>
      <c r="C9" s="219">
        <v>0.35181800000000002</v>
      </c>
    </row>
    <row r="10" spans="1:3" x14ac:dyDescent="0.35">
      <c r="A10" s="215">
        <v>46164</v>
      </c>
      <c r="B10" s="28" t="s">
        <v>35</v>
      </c>
      <c r="C10" s="219">
        <v>0.25</v>
      </c>
    </row>
    <row r="11" spans="1:3" x14ac:dyDescent="0.35">
      <c r="A11" s="215">
        <v>46164</v>
      </c>
      <c r="B11" s="28" t="s">
        <v>38</v>
      </c>
      <c r="C11" s="219">
        <v>1</v>
      </c>
    </row>
    <row r="12" spans="1:3" x14ac:dyDescent="0.35">
      <c r="A12" s="215">
        <v>46164</v>
      </c>
      <c r="B12" s="28" t="s">
        <v>40</v>
      </c>
      <c r="C12" s="219">
        <v>1</v>
      </c>
    </row>
    <row r="13" spans="1:3" x14ac:dyDescent="0.35">
      <c r="A13" s="215">
        <v>46164</v>
      </c>
      <c r="B13" s="28" t="s">
        <v>42</v>
      </c>
      <c r="C13" s="219">
        <v>0.45</v>
      </c>
    </row>
    <row r="14" spans="1:3" x14ac:dyDescent="0.35">
      <c r="A14" s="215">
        <v>46164</v>
      </c>
      <c r="B14" s="28" t="s">
        <v>45</v>
      </c>
      <c r="C14" s="219">
        <v>0.45</v>
      </c>
    </row>
    <row r="15" spans="1:3" x14ac:dyDescent="0.35">
      <c r="A15" s="215">
        <v>46171</v>
      </c>
      <c r="B15" s="28" t="s">
        <v>35</v>
      </c>
      <c r="C15" s="219">
        <v>0.33333299999999999</v>
      </c>
    </row>
    <row r="16" spans="1:3" x14ac:dyDescent="0.35">
      <c r="A16" s="215">
        <v>46171</v>
      </c>
      <c r="B16" s="28" t="s">
        <v>38</v>
      </c>
      <c r="C16" s="219">
        <v>1</v>
      </c>
    </row>
    <row r="17" spans="1:3" x14ac:dyDescent="0.35">
      <c r="A17" s="215">
        <v>46171</v>
      </c>
      <c r="B17" s="28" t="s">
        <v>40</v>
      </c>
      <c r="C17" s="219">
        <v>1</v>
      </c>
    </row>
    <row r="18" spans="1:3" x14ac:dyDescent="0.35">
      <c r="A18" s="215">
        <v>46171</v>
      </c>
      <c r="B18" s="28" t="s">
        <v>42</v>
      </c>
      <c r="C18" s="219">
        <v>0.7</v>
      </c>
    </row>
    <row r="19" spans="1:3" x14ac:dyDescent="0.35">
      <c r="A19" s="215">
        <v>46171</v>
      </c>
      <c r="B19" s="28" t="s">
        <v>45</v>
      </c>
      <c r="C19" s="219">
        <v>0.85</v>
      </c>
    </row>
    <row r="20" spans="1:3" x14ac:dyDescent="0.35">
      <c r="A20" s="215">
        <v>46171</v>
      </c>
      <c r="B20" s="28" t="s">
        <v>47</v>
      </c>
      <c r="C20" s="219">
        <v>0.222359</v>
      </c>
    </row>
    <row r="21" spans="1:3" x14ac:dyDescent="0.35">
      <c r="A21" s="215">
        <v>46178</v>
      </c>
      <c r="B21" s="28" t="s">
        <v>35</v>
      </c>
      <c r="C21" s="219">
        <v>0.41666700000000001</v>
      </c>
    </row>
    <row r="22" spans="1:3" x14ac:dyDescent="0.35">
      <c r="A22" s="215">
        <v>46178</v>
      </c>
      <c r="B22" s="28" t="s">
        <v>38</v>
      </c>
      <c r="C22" s="219">
        <v>1</v>
      </c>
    </row>
    <row r="23" spans="1:3" x14ac:dyDescent="0.35">
      <c r="A23" s="215">
        <v>46178</v>
      </c>
      <c r="B23" s="28" t="s">
        <v>40</v>
      </c>
      <c r="C23" s="219">
        <v>1</v>
      </c>
    </row>
    <row r="24" spans="1:3" x14ac:dyDescent="0.35">
      <c r="A24" s="215">
        <v>46178</v>
      </c>
      <c r="B24" s="28" t="s">
        <v>42</v>
      </c>
      <c r="C24" s="219">
        <v>1</v>
      </c>
    </row>
    <row r="25" spans="1:3" x14ac:dyDescent="0.35">
      <c r="A25" s="215">
        <v>46178</v>
      </c>
      <c r="B25" s="28" t="s">
        <v>45</v>
      </c>
      <c r="C25" s="219">
        <v>1</v>
      </c>
    </row>
    <row r="26" spans="1:3" x14ac:dyDescent="0.35">
      <c r="A26" s="215">
        <v>46178</v>
      </c>
      <c r="B26" s="28" t="s">
        <v>47</v>
      </c>
      <c r="C26" s="219">
        <v>0.5</v>
      </c>
    </row>
    <row r="27" spans="1:3" x14ac:dyDescent="0.35">
      <c r="A27" s="215">
        <v>46178</v>
      </c>
      <c r="B27" s="28" t="s">
        <v>49</v>
      </c>
      <c r="C27" s="219">
        <v>0.11096300000000001</v>
      </c>
    </row>
    <row r="28" spans="1:3" x14ac:dyDescent="0.35">
      <c r="A28" s="215">
        <v>46185</v>
      </c>
      <c r="B28" s="28" t="s">
        <v>35</v>
      </c>
      <c r="C28" s="219">
        <v>0.5</v>
      </c>
    </row>
    <row r="29" spans="1:3" x14ac:dyDescent="0.35">
      <c r="A29" s="215">
        <v>46185</v>
      </c>
      <c r="B29" s="28" t="s">
        <v>38</v>
      </c>
      <c r="C29" s="219">
        <v>1</v>
      </c>
    </row>
    <row r="30" spans="1:3" x14ac:dyDescent="0.35">
      <c r="A30" s="215">
        <v>46185</v>
      </c>
      <c r="B30" s="28" t="s">
        <v>40</v>
      </c>
      <c r="C30" s="219">
        <v>1</v>
      </c>
    </row>
    <row r="31" spans="1:3" x14ac:dyDescent="0.35">
      <c r="A31" s="215">
        <v>46185</v>
      </c>
      <c r="B31" s="28" t="s">
        <v>42</v>
      </c>
      <c r="C31" s="219">
        <v>1</v>
      </c>
    </row>
    <row r="32" spans="1:3" x14ac:dyDescent="0.35">
      <c r="A32" s="215">
        <v>46185</v>
      </c>
      <c r="B32" s="28" t="s">
        <v>45</v>
      </c>
      <c r="C32" s="219">
        <v>1</v>
      </c>
    </row>
    <row r="33" spans="1:3" x14ac:dyDescent="0.35">
      <c r="A33" s="215">
        <v>46185</v>
      </c>
      <c r="B33" s="28" t="s">
        <v>47</v>
      </c>
      <c r="C33" s="219">
        <v>0.7</v>
      </c>
    </row>
    <row r="34" spans="1:3" x14ac:dyDescent="0.35">
      <c r="A34" s="215">
        <v>46185</v>
      </c>
      <c r="B34" s="28" t="s">
        <v>49</v>
      </c>
      <c r="C34" s="219">
        <v>0.4</v>
      </c>
    </row>
    <row r="35" spans="1:3" x14ac:dyDescent="0.35">
      <c r="A35" s="217">
        <v>46185</v>
      </c>
      <c r="B35" s="208" t="s">
        <v>52</v>
      </c>
      <c r="C35" s="220">
        <v>0.24885699999999999</v>
      </c>
    </row>
  </sheetData>
  <conditionalFormatting sqref="C2:C35">
    <cfRule type="cellIs" dxfId="92" priority="1" operator="lessThan">
      <formula>0.5</formula>
    </cfRule>
    <cfRule type="cellIs" dxfId="91" priority="2" operator="between">
      <formula>0.5</formula>
      <formula>0.799999</formula>
    </cfRule>
    <cfRule type="cellIs" dxfId="90" priority="3" operator="greaterThanOrEqual">
      <formula>0.8</formula>
    </cfRule>
  </conditionalFormatting>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43CC-D12E-4B09-9C6D-489474980C24}">
  <sheetPr>
    <tabColor rgb="FFED7D31"/>
  </sheetPr>
  <dimension ref="A1:N25"/>
  <sheetViews>
    <sheetView showGridLines="0" workbookViewId="0">
      <selection activeCell="Q1" sqref="Q1"/>
    </sheetView>
  </sheetViews>
  <sheetFormatPr defaultRowHeight="14.5" x14ac:dyDescent="0.35"/>
  <cols>
    <col min="1" max="1" width="10" customWidth="1"/>
    <col min="2" max="2" width="25.6328125" customWidth="1"/>
    <col min="3" max="3" width="18.36328125" customWidth="1"/>
    <col min="4" max="4" width="24.26953125" customWidth="1"/>
    <col min="5" max="8" width="15.453125" customWidth="1"/>
    <col min="9" max="9" width="16.90625" customWidth="1"/>
    <col min="10" max="10" width="15.6328125" customWidth="1"/>
    <col min="11" max="13" width="15.453125" customWidth="1"/>
    <col min="14" max="14" width="13.6328125" customWidth="1"/>
    <col min="15" max="15" width="7.26953125" customWidth="1"/>
  </cols>
  <sheetData>
    <row r="1" spans="1:14" ht="23.5" x14ac:dyDescent="0.55000000000000004">
      <c r="A1" s="100" t="s">
        <v>204</v>
      </c>
      <c r="B1" s="101"/>
      <c r="C1" s="101"/>
      <c r="D1" s="101"/>
      <c r="E1" s="101"/>
      <c r="F1" s="101"/>
      <c r="G1" s="101"/>
      <c r="H1" s="101"/>
      <c r="I1" s="101"/>
      <c r="J1" s="101"/>
      <c r="K1" s="101"/>
      <c r="L1" s="101"/>
      <c r="M1" s="101"/>
      <c r="N1" s="101"/>
    </row>
    <row r="2" spans="1:14" x14ac:dyDescent="0.35">
      <c r="A2" s="102" t="s">
        <v>205</v>
      </c>
      <c r="B2" s="102"/>
      <c r="C2" s="102"/>
      <c r="D2" s="102"/>
      <c r="E2" s="102"/>
      <c r="F2" s="102"/>
      <c r="G2" s="102"/>
      <c r="H2" s="102"/>
      <c r="I2" s="102"/>
      <c r="J2" s="102"/>
      <c r="K2" s="102"/>
      <c r="L2" s="102"/>
      <c r="M2" s="102"/>
      <c r="N2" s="102"/>
    </row>
    <row r="4" spans="1:14" x14ac:dyDescent="0.35">
      <c r="A4" s="132" t="s">
        <v>64</v>
      </c>
      <c r="B4" s="126" t="s">
        <v>65</v>
      </c>
      <c r="C4" s="126" t="s">
        <v>67</v>
      </c>
      <c r="D4" s="126" t="s">
        <v>69</v>
      </c>
      <c r="E4" s="126" t="s">
        <v>70</v>
      </c>
      <c r="F4" s="126" t="s">
        <v>28</v>
      </c>
      <c r="G4" s="126" t="s">
        <v>27</v>
      </c>
      <c r="H4" s="126" t="s">
        <v>30</v>
      </c>
      <c r="I4" s="126" t="s">
        <v>29</v>
      </c>
      <c r="J4" s="126" t="s">
        <v>75</v>
      </c>
      <c r="K4" s="126" t="s">
        <v>31</v>
      </c>
      <c r="L4" s="126" t="s">
        <v>32</v>
      </c>
      <c r="M4" s="126" t="s">
        <v>33</v>
      </c>
      <c r="N4" s="133" t="s">
        <v>34</v>
      </c>
    </row>
    <row r="5" spans="1:14" x14ac:dyDescent="0.35">
      <c r="A5" s="130">
        <v>1</v>
      </c>
      <c r="B5" s="46">
        <f>MIN(Fact_Baseline_PV!$A:$A)+4+(0*7)</f>
        <v>46150</v>
      </c>
      <c r="C5" s="49">
        <f>SUMIFS(Fact_Baseline_PV!$C:$C,Fact_Baseline_PV!$A:$A,"&lt;="&amp;B5)</f>
        <v>16400</v>
      </c>
      <c r="D5" s="49">
        <f>SUMIFS(Fact_Actual_Costs!$D:$D,Fact_Actual_Costs!$A:$A,"&lt;="&amp;B5)</f>
        <v>16295.04</v>
      </c>
      <c r="E5" s="49" cm="1">
        <f t="array" ref="E5">SUM(IFERROR(LOOKUP(2,1/(Fact_Physical_Progress!$B$2:$B$35=Dim_WBS!$A$2)/(Fact_Physical_Progress!$A$2:$A$35&lt;=B5),Fact_Physical_Progress!$C$2:$C$35),0)*Dim_WBS!$E$2,IFERROR(LOOKUP(2,1/(Fact_Physical_Progress!$B$2:$B$35=Dim_WBS!$A$3)/(Fact_Physical_Progress!$A$2:$A$35&lt;=B5),Fact_Physical_Progress!$C$2:$C$35),0)*Dim_WBS!$E$3,IFERROR(LOOKUP(2,1/(Fact_Physical_Progress!$B$2:$B$35=Dim_WBS!$A$4)/(Fact_Physical_Progress!$A$2:$A$35&lt;=B5),Fact_Physical_Progress!$C$2:$C$35),0)*Dim_WBS!$E$4,IFERROR(LOOKUP(2,1/(Fact_Physical_Progress!$B$2:$B$35=Dim_WBS!$A$5)/(Fact_Physical_Progress!$A$2:$A$35&lt;=B5),Fact_Physical_Progress!$C$2:$C$35),0)*Dim_WBS!$E$5,IFERROR(LOOKUP(2,1/(Fact_Physical_Progress!$B$2:$B$35=Dim_WBS!$A$6)/(Fact_Physical_Progress!$A$2:$A$35&lt;=B5),Fact_Physical_Progress!$C$2:$C$35),0)*Dim_WBS!$E$6,IFERROR(LOOKUP(2,1/(Fact_Physical_Progress!$B$2:$B$35=Dim_WBS!$A$7)/(Fact_Physical_Progress!$A$2:$A$35&lt;=B5),Fact_Physical_Progress!$C$2:$C$35),0)*Dim_WBS!$E$7,IFERROR(LOOKUP(2,1/(Fact_Physical_Progress!$B$2:$B$35=Dim_WBS!$A$8)/(Fact_Physical_Progress!$A$2:$A$35&lt;=B5),Fact_Physical_Progress!$C$2:$C$35),0)*Dim_WBS!$E$8,IFERROR(LOOKUP(2,1/(Fact_Physical_Progress!$B$2:$B$35=Dim_WBS!$A$9)/(Fact_Physical_Progress!$A$2:$A$35&lt;=B5),Fact_Physical_Progress!$C$2:$C$35),0)*Dim_WBS!$E$9,IFERROR(LOOKUP(2,1/(Fact_Physical_Progress!$B$2:$B$35=Dim_WBS!$A$10)/(Fact_Physical_Progress!$A$2:$A$35&lt;=B5),Fact_Physical_Progress!$C$2:$C$35),0)*Dim_WBS!$E$10,IFERROR(LOOKUP(2,1/(Fact_Physical_Progress!$B$2:$B$35=Dim_WBS!$A$11)/(Fact_Physical_Progress!$A$2:$A$35&lt;=B5),Fact_Physical_Progress!$C$2:$C$35),0)*Dim_WBS!$E$11,IFERROR(LOOKUP(2,1/(Fact_Physical_Progress!$B$2:$B$35=Dim_WBS!$A$12)/(Fact_Physical_Progress!$A$2:$A$35&lt;=B5),Fact_Physical_Progress!$C$2:$C$35),0)*Dim_WBS!$E$12,IFERROR(LOOKUP(2,1/(Fact_Physical_Progress!$B$2:$B$35=Dim_WBS!$A$13)/(Fact_Physical_Progress!$A$2:$A$35&lt;=B5),Fact_Physical_Progress!$C$2:$C$35),0)*Dim_WBS!$E$13)</f>
        <v>15087.994000000001</v>
      </c>
      <c r="F5" s="49">
        <f t="shared" ref="F5:F16" si="0">E5-C5</f>
        <v>-1312.0059999999994</v>
      </c>
      <c r="G5" s="49">
        <f t="shared" ref="G5:G16" si="1">E5-D5</f>
        <v>-1207.0460000000003</v>
      </c>
      <c r="H5" s="50">
        <f t="shared" ref="H5:H16" si="2">IFERROR(E5/C5,1)</f>
        <v>0.91999963414634145</v>
      </c>
      <c r="I5" s="50">
        <f t="shared" ref="I5:I16" si="3">IFERROR(E5/D5,1)</f>
        <v>0.92592555771572205</v>
      </c>
      <c r="J5" s="49">
        <f>Setup!$B$11</f>
        <v>268650</v>
      </c>
      <c r="K5" s="49">
        <f t="shared" ref="K5:K16" si="4">IF(I5&gt;0,J5/I5,J5)</f>
        <v>290142.11537995044</v>
      </c>
      <c r="L5" s="49">
        <f t="shared" ref="L5:L16" si="5">K5-D5</f>
        <v>273847.07537995046</v>
      </c>
      <c r="M5" s="49">
        <f t="shared" ref="M5:M16" si="6">J5-K5</f>
        <v>-21492.115379950439</v>
      </c>
      <c r="N5" s="131" t="str">
        <f>IF(OR(F5&lt;0,G5&lt;0,H5&lt;Setup!$B$12,I5&lt;Setup!$B$12),"Red",IF(OR(H5&lt;Setup!$B$13,I5&lt;Setup!$B$13),"Amber","Green"))</f>
        <v>Red</v>
      </c>
    </row>
    <row r="6" spans="1:14" x14ac:dyDescent="0.35">
      <c r="A6" s="130">
        <v>2</v>
      </c>
      <c r="B6" s="46">
        <f>MIN(Fact_Baseline_PV!$A:$A)+4+(1*7)</f>
        <v>46157</v>
      </c>
      <c r="C6" s="49">
        <f>SUMIFS(Fact_Baseline_PV!$C:$C,Fact_Baseline_PV!$A:$A,"&lt;="&amp;B6)</f>
        <v>39200</v>
      </c>
      <c r="D6" s="49">
        <f>SUMIFS(Fact_Actual_Costs!$D:$D,Fact_Actual_Costs!$A:$A,"&lt;="&amp;B6)</f>
        <v>38949.120000000003</v>
      </c>
      <c r="E6" s="49" cm="1">
        <f t="array" ref="E6">SUM(IFERROR(LOOKUP(2,1/(Fact_Physical_Progress!$B$2:$B$35=Dim_WBS!$A$2)/(Fact_Physical_Progress!$A$2:$A$35&lt;=B6),Fact_Physical_Progress!$C$2:$C$35),0)*Dim_WBS!$E$2,IFERROR(LOOKUP(2,1/(Fact_Physical_Progress!$B$2:$B$35=Dim_WBS!$A$3)/(Fact_Physical_Progress!$A$2:$A$35&lt;=B6),Fact_Physical_Progress!$C$2:$C$35),0)*Dim_WBS!$E$3,IFERROR(LOOKUP(2,1/(Fact_Physical_Progress!$B$2:$B$35=Dim_WBS!$A$4)/(Fact_Physical_Progress!$A$2:$A$35&lt;=B6),Fact_Physical_Progress!$C$2:$C$35),0)*Dim_WBS!$E$4,IFERROR(LOOKUP(2,1/(Fact_Physical_Progress!$B$2:$B$35=Dim_WBS!$A$5)/(Fact_Physical_Progress!$A$2:$A$35&lt;=B6),Fact_Physical_Progress!$C$2:$C$35),0)*Dim_WBS!$E$5,IFERROR(LOOKUP(2,1/(Fact_Physical_Progress!$B$2:$B$35=Dim_WBS!$A$6)/(Fact_Physical_Progress!$A$2:$A$35&lt;=B6),Fact_Physical_Progress!$C$2:$C$35),0)*Dim_WBS!$E$6,IFERROR(LOOKUP(2,1/(Fact_Physical_Progress!$B$2:$B$35=Dim_WBS!$A$7)/(Fact_Physical_Progress!$A$2:$A$35&lt;=B6),Fact_Physical_Progress!$C$2:$C$35),0)*Dim_WBS!$E$7,IFERROR(LOOKUP(2,1/(Fact_Physical_Progress!$B$2:$B$35=Dim_WBS!$A$8)/(Fact_Physical_Progress!$A$2:$A$35&lt;=B6),Fact_Physical_Progress!$C$2:$C$35),0)*Dim_WBS!$E$8,IFERROR(LOOKUP(2,1/(Fact_Physical_Progress!$B$2:$B$35=Dim_WBS!$A$9)/(Fact_Physical_Progress!$A$2:$A$35&lt;=B6),Fact_Physical_Progress!$C$2:$C$35),0)*Dim_WBS!$E$9,IFERROR(LOOKUP(2,1/(Fact_Physical_Progress!$B$2:$B$35=Dim_WBS!$A$10)/(Fact_Physical_Progress!$A$2:$A$35&lt;=B6),Fact_Physical_Progress!$C$2:$C$35),0)*Dim_WBS!$E$10,IFERROR(LOOKUP(2,1/(Fact_Physical_Progress!$B$2:$B$35=Dim_WBS!$A$11)/(Fact_Physical_Progress!$A$2:$A$35&lt;=B6),Fact_Physical_Progress!$C$2:$C$35),0)*Dim_WBS!$E$11,IFERROR(LOOKUP(2,1/(Fact_Physical_Progress!$B$2:$B$35=Dim_WBS!$A$12)/(Fact_Physical_Progress!$A$2:$A$35&lt;=B6),Fact_Physical_Progress!$C$2:$C$35),0)*Dim_WBS!$E$12,IFERROR(LOOKUP(2,1/(Fact_Physical_Progress!$B$2:$B$35=Dim_WBS!$A$13)/(Fact_Physical_Progress!$A$2:$A$35&lt;=B6),Fact_Physical_Progress!$C$2:$C$35),0)*Dim_WBS!$E$13)</f>
        <v>36064.003600000004</v>
      </c>
      <c r="F6" s="49">
        <f t="shared" si="0"/>
        <v>-3135.9963999999964</v>
      </c>
      <c r="G6" s="49">
        <f t="shared" si="1"/>
        <v>-2885.116399999999</v>
      </c>
      <c r="H6" s="50">
        <f t="shared" si="2"/>
        <v>0.92000009183673481</v>
      </c>
      <c r="I6" s="50">
        <f t="shared" si="3"/>
        <v>0.92592601835420163</v>
      </c>
      <c r="J6" s="49">
        <f>Setup!$B$11</f>
        <v>268650</v>
      </c>
      <c r="K6" s="49">
        <f t="shared" si="4"/>
        <v>290141.97103729215</v>
      </c>
      <c r="L6" s="49">
        <f t="shared" si="5"/>
        <v>251192.85103729216</v>
      </c>
      <c r="M6" s="49">
        <f t="shared" si="6"/>
        <v>-21491.971037292155</v>
      </c>
      <c r="N6" s="131" t="str">
        <f>IF(OR(F6&lt;0,G6&lt;0,H6&lt;Setup!$B$12,I6&lt;Setup!$B$12),"Red",IF(OR(H6&lt;Setup!$B$13,I6&lt;Setup!$B$13),"Amber","Green"))</f>
        <v>Red</v>
      </c>
    </row>
    <row r="7" spans="1:14" x14ac:dyDescent="0.35">
      <c r="A7" s="130">
        <v>3</v>
      </c>
      <c r="B7" s="46">
        <f>MIN(Fact_Baseline_PV!$A:$A)+4+(2*7)</f>
        <v>46164</v>
      </c>
      <c r="C7" s="49">
        <f>SUMIFS(Fact_Baseline_PV!$C:$C,Fact_Baseline_PV!$A:$A,"&lt;="&amp;B7)</f>
        <v>62000</v>
      </c>
      <c r="D7" s="49">
        <f>SUMIFS(Fact_Actual_Costs!$D:$D,Fact_Actual_Costs!$A:$A,"&lt;="&amp;B7)</f>
        <v>61603.200000000004</v>
      </c>
      <c r="E7" s="49" cm="1">
        <f t="array" ref="E7">SUM(IFERROR(LOOKUP(2,1/(Fact_Physical_Progress!$B$2:$B$35=Dim_WBS!$A$2)/(Fact_Physical_Progress!$A$2:$A$35&lt;=B7),Fact_Physical_Progress!$C$2:$C$35),0)*Dim_WBS!$E$2,IFERROR(LOOKUP(2,1/(Fact_Physical_Progress!$B$2:$B$35=Dim_WBS!$A$3)/(Fact_Physical_Progress!$A$2:$A$35&lt;=B7),Fact_Physical_Progress!$C$2:$C$35),0)*Dim_WBS!$E$3,IFERROR(LOOKUP(2,1/(Fact_Physical_Progress!$B$2:$B$35=Dim_WBS!$A$4)/(Fact_Physical_Progress!$A$2:$A$35&lt;=B7),Fact_Physical_Progress!$C$2:$C$35),0)*Dim_WBS!$E$4,IFERROR(LOOKUP(2,1/(Fact_Physical_Progress!$B$2:$B$35=Dim_WBS!$A$5)/(Fact_Physical_Progress!$A$2:$A$35&lt;=B7),Fact_Physical_Progress!$C$2:$C$35),0)*Dim_WBS!$E$5,IFERROR(LOOKUP(2,1/(Fact_Physical_Progress!$B$2:$B$35=Dim_WBS!$A$6)/(Fact_Physical_Progress!$A$2:$A$35&lt;=B7),Fact_Physical_Progress!$C$2:$C$35),0)*Dim_WBS!$E$6,IFERROR(LOOKUP(2,1/(Fact_Physical_Progress!$B$2:$B$35=Dim_WBS!$A$7)/(Fact_Physical_Progress!$A$2:$A$35&lt;=B7),Fact_Physical_Progress!$C$2:$C$35),0)*Dim_WBS!$E$7,IFERROR(LOOKUP(2,1/(Fact_Physical_Progress!$B$2:$B$35=Dim_WBS!$A$8)/(Fact_Physical_Progress!$A$2:$A$35&lt;=B7),Fact_Physical_Progress!$C$2:$C$35),0)*Dim_WBS!$E$8,IFERROR(LOOKUP(2,1/(Fact_Physical_Progress!$B$2:$B$35=Dim_WBS!$A$9)/(Fact_Physical_Progress!$A$2:$A$35&lt;=B7),Fact_Physical_Progress!$C$2:$C$35),0)*Dim_WBS!$E$9,IFERROR(LOOKUP(2,1/(Fact_Physical_Progress!$B$2:$B$35=Dim_WBS!$A$10)/(Fact_Physical_Progress!$A$2:$A$35&lt;=B7),Fact_Physical_Progress!$C$2:$C$35),0)*Dim_WBS!$E$10,IFERROR(LOOKUP(2,1/(Fact_Physical_Progress!$B$2:$B$35=Dim_WBS!$A$11)/(Fact_Physical_Progress!$A$2:$A$35&lt;=B7),Fact_Physical_Progress!$C$2:$C$35),0)*Dim_WBS!$E$11,IFERROR(LOOKUP(2,1/(Fact_Physical_Progress!$B$2:$B$35=Dim_WBS!$A$12)/(Fact_Physical_Progress!$A$2:$A$35&lt;=B7),Fact_Physical_Progress!$C$2:$C$35),0)*Dim_WBS!$E$12,IFERROR(LOOKUP(2,1/(Fact_Physical_Progress!$B$2:$B$35=Dim_WBS!$A$13)/(Fact_Physical_Progress!$A$2:$A$35&lt;=B7),Fact_Physical_Progress!$C$2:$C$35),0)*Dim_WBS!$E$13)</f>
        <v>57040</v>
      </c>
      <c r="F7" s="49">
        <f t="shared" si="0"/>
        <v>-4960</v>
      </c>
      <c r="G7" s="49">
        <f t="shared" si="1"/>
        <v>-4563.2000000000044</v>
      </c>
      <c r="H7" s="50">
        <f t="shared" si="2"/>
        <v>0.92</v>
      </c>
      <c r="I7" s="50">
        <f t="shared" si="3"/>
        <v>0.92592592592592582</v>
      </c>
      <c r="J7" s="49">
        <f>Setup!$B$11</f>
        <v>268650</v>
      </c>
      <c r="K7" s="49">
        <f t="shared" si="4"/>
        <v>290142.00000000006</v>
      </c>
      <c r="L7" s="49">
        <f t="shared" si="5"/>
        <v>228538.80000000005</v>
      </c>
      <c r="M7" s="49">
        <f t="shared" si="6"/>
        <v>-21492.000000000058</v>
      </c>
      <c r="N7" s="131" t="str">
        <f>IF(OR(F7&lt;0,G7&lt;0,H7&lt;Setup!$B$12,I7&lt;Setup!$B$12),"Red",IF(OR(H7&lt;Setup!$B$13,I7&lt;Setup!$B$13),"Amber","Green"))</f>
        <v>Red</v>
      </c>
    </row>
    <row r="8" spans="1:14" x14ac:dyDescent="0.35">
      <c r="A8" s="130">
        <v>4</v>
      </c>
      <c r="B8" s="46">
        <f>MIN(Fact_Baseline_PV!$A:$A)+4+(3*7)</f>
        <v>46171</v>
      </c>
      <c r="C8" s="49">
        <f>SUMIFS(Fact_Baseline_PV!$C:$C,Fact_Baseline_PV!$A:$A,"&lt;="&amp;B8)</f>
        <v>87066.67</v>
      </c>
      <c r="D8" s="49">
        <f>SUMIFS(Fact_Actual_Costs!$D:$D,Fact_Actual_Costs!$A:$A,"&lt;="&amp;B8)</f>
        <v>86509.440000000017</v>
      </c>
      <c r="E8" s="49" cm="1">
        <f t="array" ref="E8">SUM(IFERROR(LOOKUP(2,1/(Fact_Physical_Progress!$B$2:$B$35=Dim_WBS!$A$2)/(Fact_Physical_Progress!$A$2:$A$35&lt;=B8),Fact_Physical_Progress!$C$2:$C$35),0)*Dim_WBS!$E$2,IFERROR(LOOKUP(2,1/(Fact_Physical_Progress!$B$2:$B$35=Dim_WBS!$A$3)/(Fact_Physical_Progress!$A$2:$A$35&lt;=B8),Fact_Physical_Progress!$C$2:$C$35),0)*Dim_WBS!$E$3,IFERROR(LOOKUP(2,1/(Fact_Physical_Progress!$B$2:$B$35=Dim_WBS!$A$4)/(Fact_Physical_Progress!$A$2:$A$35&lt;=B8),Fact_Physical_Progress!$C$2:$C$35),0)*Dim_WBS!$E$4,IFERROR(LOOKUP(2,1/(Fact_Physical_Progress!$B$2:$B$35=Dim_WBS!$A$5)/(Fact_Physical_Progress!$A$2:$A$35&lt;=B8),Fact_Physical_Progress!$C$2:$C$35),0)*Dim_WBS!$E$5,IFERROR(LOOKUP(2,1/(Fact_Physical_Progress!$B$2:$B$35=Dim_WBS!$A$6)/(Fact_Physical_Progress!$A$2:$A$35&lt;=B8),Fact_Physical_Progress!$C$2:$C$35),0)*Dim_WBS!$E$6,IFERROR(LOOKUP(2,1/(Fact_Physical_Progress!$B$2:$B$35=Dim_WBS!$A$7)/(Fact_Physical_Progress!$A$2:$A$35&lt;=B8),Fact_Physical_Progress!$C$2:$C$35),0)*Dim_WBS!$E$7,IFERROR(LOOKUP(2,1/(Fact_Physical_Progress!$B$2:$B$35=Dim_WBS!$A$8)/(Fact_Physical_Progress!$A$2:$A$35&lt;=B8),Fact_Physical_Progress!$C$2:$C$35),0)*Dim_WBS!$E$8,IFERROR(LOOKUP(2,1/(Fact_Physical_Progress!$B$2:$B$35=Dim_WBS!$A$9)/(Fact_Physical_Progress!$A$2:$A$35&lt;=B8),Fact_Physical_Progress!$C$2:$C$35),0)*Dim_WBS!$E$9,IFERROR(LOOKUP(2,1/(Fact_Physical_Progress!$B$2:$B$35=Dim_WBS!$A$10)/(Fact_Physical_Progress!$A$2:$A$35&lt;=B8),Fact_Physical_Progress!$C$2:$C$35),0)*Dim_WBS!$E$10,IFERROR(LOOKUP(2,1/(Fact_Physical_Progress!$B$2:$B$35=Dim_WBS!$A$11)/(Fact_Physical_Progress!$A$2:$A$35&lt;=B8),Fact_Physical_Progress!$C$2:$C$35),0)*Dim_WBS!$E$11,IFERROR(LOOKUP(2,1/(Fact_Physical_Progress!$B$2:$B$35=Dim_WBS!$A$12)/(Fact_Physical_Progress!$A$2:$A$35&lt;=B8),Fact_Physical_Progress!$C$2:$C$35),0)*Dim_WBS!$E$12,IFERROR(LOOKUP(2,1/(Fact_Physical_Progress!$B$2:$B$35=Dim_WBS!$A$13)/(Fact_Physical_Progress!$A$2:$A$35&lt;=B8),Fact_Physical_Progress!$C$2:$C$35),0)*Dim_WBS!$E$13)</f>
        <v>80101.327999999994</v>
      </c>
      <c r="F8" s="49">
        <f t="shared" si="0"/>
        <v>-6965.3420000000042</v>
      </c>
      <c r="G8" s="49">
        <f t="shared" si="1"/>
        <v>-6408.1120000000228</v>
      </c>
      <c r="H8" s="50">
        <f t="shared" si="2"/>
        <v>0.91999990352220884</v>
      </c>
      <c r="I8" s="50">
        <f t="shared" si="3"/>
        <v>0.92592586427562096</v>
      </c>
      <c r="J8" s="49">
        <f>Setup!$B$11</f>
        <v>268650</v>
      </c>
      <c r="K8" s="49">
        <f t="shared" si="4"/>
        <v>290142.0193183315</v>
      </c>
      <c r="L8" s="49">
        <f t="shared" si="5"/>
        <v>203632.5793183315</v>
      </c>
      <c r="M8" s="49">
        <f t="shared" si="6"/>
        <v>-21492.019318331499</v>
      </c>
      <c r="N8" s="131" t="str">
        <f>IF(OR(F8&lt;0,G8&lt;0,H8&lt;Setup!$B$12,I8&lt;Setup!$B$12),"Red",IF(OR(H8&lt;Setup!$B$13,I8&lt;Setup!$B$13),"Amber","Green"))</f>
        <v>Red</v>
      </c>
    </row>
    <row r="9" spans="1:14" x14ac:dyDescent="0.35">
      <c r="A9" s="130">
        <v>5</v>
      </c>
      <c r="B9" s="46">
        <f>MIN(Fact_Baseline_PV!$A:$A)+4+(4*7)</f>
        <v>46178</v>
      </c>
      <c r="C9" s="49">
        <f>SUMIFS(Fact_Baseline_PV!$C:$C,Fact_Baseline_PV!$A:$A,"&lt;="&amp;B9)</f>
        <v>116733.34</v>
      </c>
      <c r="D9" s="49">
        <f>SUMIFS(Fact_Actual_Costs!$D:$D,Fact_Actual_Costs!$A:$A,"&lt;="&amp;B9)</f>
        <v>115986.24000000002</v>
      </c>
      <c r="E9" s="49" cm="1">
        <f t="array" ref="E9">SUM(IFERROR(LOOKUP(2,1/(Fact_Physical_Progress!$B$2:$B$35=Dim_WBS!$A$2)/(Fact_Physical_Progress!$A$2:$A$35&lt;=B9),Fact_Physical_Progress!$C$2:$C$35),0)*Dim_WBS!$E$2,IFERROR(LOOKUP(2,1/(Fact_Physical_Progress!$B$2:$B$35=Dim_WBS!$A$3)/(Fact_Physical_Progress!$A$2:$A$35&lt;=B9),Fact_Physical_Progress!$C$2:$C$35),0)*Dim_WBS!$E$3,IFERROR(LOOKUP(2,1/(Fact_Physical_Progress!$B$2:$B$35=Dim_WBS!$A$4)/(Fact_Physical_Progress!$A$2:$A$35&lt;=B9),Fact_Physical_Progress!$C$2:$C$35),0)*Dim_WBS!$E$4,IFERROR(LOOKUP(2,1/(Fact_Physical_Progress!$B$2:$B$35=Dim_WBS!$A$5)/(Fact_Physical_Progress!$A$2:$A$35&lt;=B9),Fact_Physical_Progress!$C$2:$C$35),0)*Dim_WBS!$E$5,IFERROR(LOOKUP(2,1/(Fact_Physical_Progress!$B$2:$B$35=Dim_WBS!$A$6)/(Fact_Physical_Progress!$A$2:$A$35&lt;=B9),Fact_Physical_Progress!$C$2:$C$35),0)*Dim_WBS!$E$6,IFERROR(LOOKUP(2,1/(Fact_Physical_Progress!$B$2:$B$35=Dim_WBS!$A$7)/(Fact_Physical_Progress!$A$2:$A$35&lt;=B9),Fact_Physical_Progress!$C$2:$C$35),0)*Dim_WBS!$E$7,IFERROR(LOOKUP(2,1/(Fact_Physical_Progress!$B$2:$B$35=Dim_WBS!$A$8)/(Fact_Physical_Progress!$A$2:$A$35&lt;=B9),Fact_Physical_Progress!$C$2:$C$35),0)*Dim_WBS!$E$8,IFERROR(LOOKUP(2,1/(Fact_Physical_Progress!$B$2:$B$35=Dim_WBS!$A$9)/(Fact_Physical_Progress!$A$2:$A$35&lt;=B9),Fact_Physical_Progress!$C$2:$C$35),0)*Dim_WBS!$E$9,IFERROR(LOOKUP(2,1/(Fact_Physical_Progress!$B$2:$B$35=Dim_WBS!$A$10)/(Fact_Physical_Progress!$A$2:$A$35&lt;=B9),Fact_Physical_Progress!$C$2:$C$35),0)*Dim_WBS!$E$10,IFERROR(LOOKUP(2,1/(Fact_Physical_Progress!$B$2:$B$35=Dim_WBS!$A$11)/(Fact_Physical_Progress!$A$2:$A$35&lt;=B9),Fact_Physical_Progress!$C$2:$C$35),0)*Dim_WBS!$E$11,IFERROR(LOOKUP(2,1/(Fact_Physical_Progress!$B$2:$B$35=Dim_WBS!$A$12)/(Fact_Physical_Progress!$A$2:$A$35&lt;=B9),Fact_Physical_Progress!$C$2:$C$35),0)*Dim_WBS!$E$12,IFERROR(LOOKUP(2,1/(Fact_Physical_Progress!$B$2:$B$35=Dim_WBS!$A$13)/(Fact_Physical_Progress!$A$2:$A$35&lt;=B9),Fact_Physical_Progress!$C$2:$C$35),0)*Dim_WBS!$E$13)</f>
        <v>107394.674</v>
      </c>
      <c r="F9" s="49">
        <f t="shared" si="0"/>
        <v>-9338.6659999999974</v>
      </c>
      <c r="G9" s="49">
        <f t="shared" si="1"/>
        <v>-8591.5660000000207</v>
      </c>
      <c r="H9" s="50">
        <f t="shared" si="2"/>
        <v>0.92000001027983958</v>
      </c>
      <c r="I9" s="50">
        <f t="shared" si="3"/>
        <v>0.92592598915181645</v>
      </c>
      <c r="J9" s="49">
        <f>Setup!$B$11</f>
        <v>268650</v>
      </c>
      <c r="K9" s="49">
        <f t="shared" si="4"/>
        <v>290141.98018795613</v>
      </c>
      <c r="L9" s="49">
        <f t="shared" si="5"/>
        <v>174155.74018795611</v>
      </c>
      <c r="M9" s="49">
        <f t="shared" si="6"/>
        <v>-21491.980187956127</v>
      </c>
      <c r="N9" s="131" t="str">
        <f>IF(OR(F9&lt;0,G9&lt;0,H9&lt;Setup!$B$12,I9&lt;Setup!$B$12),"Red",IF(OR(H9&lt;Setup!$B$13,I9&lt;Setup!$B$13),"Amber","Green"))</f>
        <v>Red</v>
      </c>
    </row>
    <row r="10" spans="1:14" x14ac:dyDescent="0.35">
      <c r="A10" s="130">
        <v>6</v>
      </c>
      <c r="B10" s="46">
        <f>MIN(Fact_Baseline_PV!$A:$A)+4+(5*7)</f>
        <v>46185</v>
      </c>
      <c r="C10" s="49">
        <f>SUMIFS(Fact_Baseline_PV!$C:$C,Fact_Baseline_PV!$A:$A,"&lt;="&amp;B10)</f>
        <v>142900</v>
      </c>
      <c r="D10" s="49">
        <f>SUMIFS(Fact_Actual_Costs!$D:$D,Fact_Actual_Costs!$A:$A,"&lt;="&amp;B10)</f>
        <v>141985.44</v>
      </c>
      <c r="E10" s="49" cm="1">
        <f t="array" ref="E10">SUM(IFERROR(LOOKUP(2,1/(Fact_Physical_Progress!$B$2:$B$35=Dim_WBS!$A$2)/(Fact_Physical_Progress!$A$2:$A$35&lt;=B10),Fact_Physical_Progress!$C$2:$C$35),0)*Dim_WBS!$E$2,IFERROR(LOOKUP(2,1/(Fact_Physical_Progress!$B$2:$B$35=Dim_WBS!$A$3)/(Fact_Physical_Progress!$A$2:$A$35&lt;=B10),Fact_Physical_Progress!$C$2:$C$35),0)*Dim_WBS!$E$3,IFERROR(LOOKUP(2,1/(Fact_Physical_Progress!$B$2:$B$35=Dim_WBS!$A$4)/(Fact_Physical_Progress!$A$2:$A$35&lt;=B10),Fact_Physical_Progress!$C$2:$C$35),0)*Dim_WBS!$E$4,IFERROR(LOOKUP(2,1/(Fact_Physical_Progress!$B$2:$B$35=Dim_WBS!$A$5)/(Fact_Physical_Progress!$A$2:$A$35&lt;=B10),Fact_Physical_Progress!$C$2:$C$35),0)*Dim_WBS!$E$5,IFERROR(LOOKUP(2,1/(Fact_Physical_Progress!$B$2:$B$35=Dim_WBS!$A$6)/(Fact_Physical_Progress!$A$2:$A$35&lt;=B10),Fact_Physical_Progress!$C$2:$C$35),0)*Dim_WBS!$E$6,IFERROR(LOOKUP(2,1/(Fact_Physical_Progress!$B$2:$B$35=Dim_WBS!$A$7)/(Fact_Physical_Progress!$A$2:$A$35&lt;=B10),Fact_Physical_Progress!$C$2:$C$35),0)*Dim_WBS!$E$7,IFERROR(LOOKUP(2,1/(Fact_Physical_Progress!$B$2:$B$35=Dim_WBS!$A$8)/(Fact_Physical_Progress!$A$2:$A$35&lt;=B10),Fact_Physical_Progress!$C$2:$C$35),0)*Dim_WBS!$E$8,IFERROR(LOOKUP(2,1/(Fact_Physical_Progress!$B$2:$B$35=Dim_WBS!$A$9)/(Fact_Physical_Progress!$A$2:$A$35&lt;=B10),Fact_Physical_Progress!$C$2:$C$35),0)*Dim_WBS!$E$9,IFERROR(LOOKUP(2,1/(Fact_Physical_Progress!$B$2:$B$35=Dim_WBS!$A$10)/(Fact_Physical_Progress!$A$2:$A$35&lt;=B10),Fact_Physical_Progress!$C$2:$C$35),0)*Dim_WBS!$E$10,IFERROR(LOOKUP(2,1/(Fact_Physical_Progress!$B$2:$B$35=Dim_WBS!$A$11)/(Fact_Physical_Progress!$A$2:$A$35&lt;=B10),Fact_Physical_Progress!$C$2:$C$35),0)*Dim_WBS!$E$11,IFERROR(LOOKUP(2,1/(Fact_Physical_Progress!$B$2:$B$35=Dim_WBS!$A$12)/(Fact_Physical_Progress!$A$2:$A$35&lt;=B10),Fact_Physical_Progress!$C$2:$C$35),0)*Dim_WBS!$E$12,IFERROR(LOOKUP(2,1/(Fact_Physical_Progress!$B$2:$B$35=Dim_WBS!$A$13)/(Fact_Physical_Progress!$A$2:$A$35&lt;=B10),Fact_Physical_Progress!$C$2:$C$35),0)*Dim_WBS!$E$13)</f>
        <v>131467.99600000001</v>
      </c>
      <c r="F10" s="49">
        <f t="shared" si="0"/>
        <v>-11432.003999999986</v>
      </c>
      <c r="G10" s="49">
        <f t="shared" si="1"/>
        <v>-10517.443999999989</v>
      </c>
      <c r="H10" s="50">
        <f t="shared" si="2"/>
        <v>0.91999997200839756</v>
      </c>
      <c r="I10" s="50">
        <f t="shared" si="3"/>
        <v>0.92592589775402334</v>
      </c>
      <c r="J10" s="49">
        <f>Setup!$B$11</f>
        <v>268650</v>
      </c>
      <c r="K10" s="49">
        <f t="shared" si="4"/>
        <v>290142.00882776058</v>
      </c>
      <c r="L10" s="49">
        <f t="shared" si="5"/>
        <v>148156.56882776058</v>
      </c>
      <c r="M10" s="49">
        <f t="shared" si="6"/>
        <v>-21492.008827760583</v>
      </c>
      <c r="N10" s="131" t="str">
        <f>IF(OR(F10&lt;0,G10&lt;0,H10&lt;Setup!$B$12,I10&lt;Setup!$B$12),"Red",IF(OR(H10&lt;Setup!$B$13,I10&lt;Setup!$B$13),"Amber","Green"))</f>
        <v>Red</v>
      </c>
    </row>
    <row r="11" spans="1:14" x14ac:dyDescent="0.35">
      <c r="A11" s="130">
        <v>7</v>
      </c>
      <c r="B11" s="46">
        <f>MIN(Fact_Baseline_PV!$A:$A)+4+(6*7)</f>
        <v>46192</v>
      </c>
      <c r="C11" s="49">
        <f>SUMIFS(Fact_Baseline_PV!$C:$C,Fact_Baseline_PV!$A:$A,"&lt;="&amp;B11)</f>
        <v>160400</v>
      </c>
      <c r="D11" s="49">
        <f>SUMIFS(Fact_Actual_Costs!$D:$D,Fact_Actual_Costs!$A:$A,"&lt;="&amp;B11)</f>
        <v>141985.44</v>
      </c>
      <c r="E11" s="49" cm="1">
        <f t="array" ref="E11">SUM(IFERROR(LOOKUP(2,1/(Fact_Physical_Progress!$B$2:$B$35=Dim_WBS!$A$2)/(Fact_Physical_Progress!$A$2:$A$35&lt;=B11),Fact_Physical_Progress!$C$2:$C$35),0)*Dim_WBS!$E$2,IFERROR(LOOKUP(2,1/(Fact_Physical_Progress!$B$2:$B$35=Dim_WBS!$A$3)/(Fact_Physical_Progress!$A$2:$A$35&lt;=B11),Fact_Physical_Progress!$C$2:$C$35),0)*Dim_WBS!$E$3,IFERROR(LOOKUP(2,1/(Fact_Physical_Progress!$B$2:$B$35=Dim_WBS!$A$4)/(Fact_Physical_Progress!$A$2:$A$35&lt;=B11),Fact_Physical_Progress!$C$2:$C$35),0)*Dim_WBS!$E$4,IFERROR(LOOKUP(2,1/(Fact_Physical_Progress!$B$2:$B$35=Dim_WBS!$A$5)/(Fact_Physical_Progress!$A$2:$A$35&lt;=B11),Fact_Physical_Progress!$C$2:$C$35),0)*Dim_WBS!$E$5,IFERROR(LOOKUP(2,1/(Fact_Physical_Progress!$B$2:$B$35=Dim_WBS!$A$6)/(Fact_Physical_Progress!$A$2:$A$35&lt;=B11),Fact_Physical_Progress!$C$2:$C$35),0)*Dim_WBS!$E$6,IFERROR(LOOKUP(2,1/(Fact_Physical_Progress!$B$2:$B$35=Dim_WBS!$A$7)/(Fact_Physical_Progress!$A$2:$A$35&lt;=B11),Fact_Physical_Progress!$C$2:$C$35),0)*Dim_WBS!$E$7,IFERROR(LOOKUP(2,1/(Fact_Physical_Progress!$B$2:$B$35=Dim_WBS!$A$8)/(Fact_Physical_Progress!$A$2:$A$35&lt;=B11),Fact_Physical_Progress!$C$2:$C$35),0)*Dim_WBS!$E$8,IFERROR(LOOKUP(2,1/(Fact_Physical_Progress!$B$2:$B$35=Dim_WBS!$A$9)/(Fact_Physical_Progress!$A$2:$A$35&lt;=B11),Fact_Physical_Progress!$C$2:$C$35),0)*Dim_WBS!$E$9,IFERROR(LOOKUP(2,1/(Fact_Physical_Progress!$B$2:$B$35=Dim_WBS!$A$10)/(Fact_Physical_Progress!$A$2:$A$35&lt;=B11),Fact_Physical_Progress!$C$2:$C$35),0)*Dim_WBS!$E$10,IFERROR(LOOKUP(2,1/(Fact_Physical_Progress!$B$2:$B$35=Dim_WBS!$A$11)/(Fact_Physical_Progress!$A$2:$A$35&lt;=B11),Fact_Physical_Progress!$C$2:$C$35),0)*Dim_WBS!$E$11,IFERROR(LOOKUP(2,1/(Fact_Physical_Progress!$B$2:$B$35=Dim_WBS!$A$12)/(Fact_Physical_Progress!$A$2:$A$35&lt;=B11),Fact_Physical_Progress!$C$2:$C$35),0)*Dim_WBS!$E$12,IFERROR(LOOKUP(2,1/(Fact_Physical_Progress!$B$2:$B$35=Dim_WBS!$A$13)/(Fact_Physical_Progress!$A$2:$A$35&lt;=B11),Fact_Physical_Progress!$C$2:$C$35),0)*Dim_WBS!$E$13)</f>
        <v>131467.99600000001</v>
      </c>
      <c r="F11" s="49">
        <f t="shared" si="0"/>
        <v>-28932.003999999986</v>
      </c>
      <c r="G11" s="49">
        <f t="shared" si="1"/>
        <v>-10517.443999999989</v>
      </c>
      <c r="H11" s="50">
        <f t="shared" si="2"/>
        <v>0.81962591022443898</v>
      </c>
      <c r="I11" s="50">
        <f t="shared" si="3"/>
        <v>0.92592589775402334</v>
      </c>
      <c r="J11" s="49">
        <f>Setup!$B$11</f>
        <v>268650</v>
      </c>
      <c r="K11" s="49">
        <f t="shared" si="4"/>
        <v>290142.00882776058</v>
      </c>
      <c r="L11" s="49">
        <f t="shared" si="5"/>
        <v>148156.56882776058</v>
      </c>
      <c r="M11" s="49">
        <f t="shared" si="6"/>
        <v>-21492.008827760583</v>
      </c>
      <c r="N11" s="131" t="str">
        <f>IF(OR(F11&lt;0,G11&lt;0,H11&lt;Setup!$B$12,I11&lt;Setup!$B$12),"Red",IF(OR(H11&lt;Setup!$B$13,I11&lt;Setup!$B$13),"Amber","Green"))</f>
        <v>Red</v>
      </c>
    </row>
    <row r="12" spans="1:14" x14ac:dyDescent="0.35">
      <c r="A12" s="130">
        <v>8</v>
      </c>
      <c r="B12" s="46">
        <f>MIN(Fact_Baseline_PV!$A:$A)+4+(7*7)</f>
        <v>46199</v>
      </c>
      <c r="C12" s="49">
        <f>SUMIFS(Fact_Baseline_PV!$C:$C,Fact_Baseline_PV!$A:$A,"&lt;="&amp;B12)</f>
        <v>189816.67</v>
      </c>
      <c r="D12" s="49">
        <f>SUMIFS(Fact_Actual_Costs!$D:$D,Fact_Actual_Costs!$A:$A,"&lt;="&amp;B12)</f>
        <v>141985.44</v>
      </c>
      <c r="E12" s="49" cm="1">
        <f t="array" ref="E12">SUM(IFERROR(LOOKUP(2,1/(Fact_Physical_Progress!$B$2:$B$35=Dim_WBS!$A$2)/(Fact_Physical_Progress!$A$2:$A$35&lt;=B12),Fact_Physical_Progress!$C$2:$C$35),0)*Dim_WBS!$E$2,IFERROR(LOOKUP(2,1/(Fact_Physical_Progress!$B$2:$B$35=Dim_WBS!$A$3)/(Fact_Physical_Progress!$A$2:$A$35&lt;=B12),Fact_Physical_Progress!$C$2:$C$35),0)*Dim_WBS!$E$3,IFERROR(LOOKUP(2,1/(Fact_Physical_Progress!$B$2:$B$35=Dim_WBS!$A$4)/(Fact_Physical_Progress!$A$2:$A$35&lt;=B12),Fact_Physical_Progress!$C$2:$C$35),0)*Dim_WBS!$E$4,IFERROR(LOOKUP(2,1/(Fact_Physical_Progress!$B$2:$B$35=Dim_WBS!$A$5)/(Fact_Physical_Progress!$A$2:$A$35&lt;=B12),Fact_Physical_Progress!$C$2:$C$35),0)*Dim_WBS!$E$5,IFERROR(LOOKUP(2,1/(Fact_Physical_Progress!$B$2:$B$35=Dim_WBS!$A$6)/(Fact_Physical_Progress!$A$2:$A$35&lt;=B12),Fact_Physical_Progress!$C$2:$C$35),0)*Dim_WBS!$E$6,IFERROR(LOOKUP(2,1/(Fact_Physical_Progress!$B$2:$B$35=Dim_WBS!$A$7)/(Fact_Physical_Progress!$A$2:$A$35&lt;=B12),Fact_Physical_Progress!$C$2:$C$35),0)*Dim_WBS!$E$7,IFERROR(LOOKUP(2,1/(Fact_Physical_Progress!$B$2:$B$35=Dim_WBS!$A$8)/(Fact_Physical_Progress!$A$2:$A$35&lt;=B12),Fact_Physical_Progress!$C$2:$C$35),0)*Dim_WBS!$E$8,IFERROR(LOOKUP(2,1/(Fact_Physical_Progress!$B$2:$B$35=Dim_WBS!$A$9)/(Fact_Physical_Progress!$A$2:$A$35&lt;=B12),Fact_Physical_Progress!$C$2:$C$35),0)*Dim_WBS!$E$9,IFERROR(LOOKUP(2,1/(Fact_Physical_Progress!$B$2:$B$35=Dim_WBS!$A$10)/(Fact_Physical_Progress!$A$2:$A$35&lt;=B12),Fact_Physical_Progress!$C$2:$C$35),0)*Dim_WBS!$E$10,IFERROR(LOOKUP(2,1/(Fact_Physical_Progress!$B$2:$B$35=Dim_WBS!$A$11)/(Fact_Physical_Progress!$A$2:$A$35&lt;=B12),Fact_Physical_Progress!$C$2:$C$35),0)*Dim_WBS!$E$11,IFERROR(LOOKUP(2,1/(Fact_Physical_Progress!$B$2:$B$35=Dim_WBS!$A$12)/(Fact_Physical_Progress!$A$2:$A$35&lt;=B12),Fact_Physical_Progress!$C$2:$C$35),0)*Dim_WBS!$E$12,IFERROR(LOOKUP(2,1/(Fact_Physical_Progress!$B$2:$B$35=Dim_WBS!$A$13)/(Fact_Physical_Progress!$A$2:$A$35&lt;=B12),Fact_Physical_Progress!$C$2:$C$35),0)*Dim_WBS!$E$13)</f>
        <v>131467.99600000001</v>
      </c>
      <c r="F12" s="49">
        <f t="shared" si="0"/>
        <v>-58348.673999999999</v>
      </c>
      <c r="G12" s="49">
        <f t="shared" si="1"/>
        <v>-10517.443999999989</v>
      </c>
      <c r="H12" s="50">
        <f t="shared" si="2"/>
        <v>0.69260511207998754</v>
      </c>
      <c r="I12" s="50">
        <f t="shared" si="3"/>
        <v>0.92592589775402334</v>
      </c>
      <c r="J12" s="49">
        <f>Setup!$B$11</f>
        <v>268650</v>
      </c>
      <c r="K12" s="49">
        <f t="shared" si="4"/>
        <v>290142.00882776058</v>
      </c>
      <c r="L12" s="49">
        <f t="shared" si="5"/>
        <v>148156.56882776058</v>
      </c>
      <c r="M12" s="49">
        <f t="shared" si="6"/>
        <v>-21492.008827760583</v>
      </c>
      <c r="N12" s="131" t="str">
        <f>IF(OR(F12&lt;0,G12&lt;0,H12&lt;Setup!$B$12,I12&lt;Setup!$B$12),"Red",IF(OR(H12&lt;Setup!$B$13,I12&lt;Setup!$B$13),"Amber","Green"))</f>
        <v>Red</v>
      </c>
    </row>
    <row r="13" spans="1:14" x14ac:dyDescent="0.35">
      <c r="A13" s="130">
        <v>9</v>
      </c>
      <c r="B13" s="46">
        <f>MIN(Fact_Baseline_PV!$A:$A)+4+(8*7)</f>
        <v>46206</v>
      </c>
      <c r="C13" s="49">
        <f>SUMIFS(Fact_Baseline_PV!$C:$C,Fact_Baseline_PV!$A:$A,"&lt;="&amp;B13)</f>
        <v>220233.34000000003</v>
      </c>
      <c r="D13" s="49">
        <f>SUMIFS(Fact_Actual_Costs!$D:$D,Fact_Actual_Costs!$A:$A,"&lt;="&amp;B13)</f>
        <v>141985.44</v>
      </c>
      <c r="E13" s="49" cm="1">
        <f t="array" ref="E13">SUM(IFERROR(LOOKUP(2,1/(Fact_Physical_Progress!$B$2:$B$35=Dim_WBS!$A$2)/(Fact_Physical_Progress!$A$2:$A$35&lt;=B13),Fact_Physical_Progress!$C$2:$C$35),0)*Dim_WBS!$E$2,IFERROR(LOOKUP(2,1/(Fact_Physical_Progress!$B$2:$B$35=Dim_WBS!$A$3)/(Fact_Physical_Progress!$A$2:$A$35&lt;=B13),Fact_Physical_Progress!$C$2:$C$35),0)*Dim_WBS!$E$3,IFERROR(LOOKUP(2,1/(Fact_Physical_Progress!$B$2:$B$35=Dim_WBS!$A$4)/(Fact_Physical_Progress!$A$2:$A$35&lt;=B13),Fact_Physical_Progress!$C$2:$C$35),0)*Dim_WBS!$E$4,IFERROR(LOOKUP(2,1/(Fact_Physical_Progress!$B$2:$B$35=Dim_WBS!$A$5)/(Fact_Physical_Progress!$A$2:$A$35&lt;=B13),Fact_Physical_Progress!$C$2:$C$35),0)*Dim_WBS!$E$5,IFERROR(LOOKUP(2,1/(Fact_Physical_Progress!$B$2:$B$35=Dim_WBS!$A$6)/(Fact_Physical_Progress!$A$2:$A$35&lt;=B13),Fact_Physical_Progress!$C$2:$C$35),0)*Dim_WBS!$E$6,IFERROR(LOOKUP(2,1/(Fact_Physical_Progress!$B$2:$B$35=Dim_WBS!$A$7)/(Fact_Physical_Progress!$A$2:$A$35&lt;=B13),Fact_Physical_Progress!$C$2:$C$35),0)*Dim_WBS!$E$7,IFERROR(LOOKUP(2,1/(Fact_Physical_Progress!$B$2:$B$35=Dim_WBS!$A$8)/(Fact_Physical_Progress!$A$2:$A$35&lt;=B13),Fact_Physical_Progress!$C$2:$C$35),0)*Dim_WBS!$E$8,IFERROR(LOOKUP(2,1/(Fact_Physical_Progress!$B$2:$B$35=Dim_WBS!$A$9)/(Fact_Physical_Progress!$A$2:$A$35&lt;=B13),Fact_Physical_Progress!$C$2:$C$35),0)*Dim_WBS!$E$9,IFERROR(LOOKUP(2,1/(Fact_Physical_Progress!$B$2:$B$35=Dim_WBS!$A$10)/(Fact_Physical_Progress!$A$2:$A$35&lt;=B13),Fact_Physical_Progress!$C$2:$C$35),0)*Dim_WBS!$E$10,IFERROR(LOOKUP(2,1/(Fact_Physical_Progress!$B$2:$B$35=Dim_WBS!$A$11)/(Fact_Physical_Progress!$A$2:$A$35&lt;=B13),Fact_Physical_Progress!$C$2:$C$35),0)*Dim_WBS!$E$11,IFERROR(LOOKUP(2,1/(Fact_Physical_Progress!$B$2:$B$35=Dim_WBS!$A$12)/(Fact_Physical_Progress!$A$2:$A$35&lt;=B13),Fact_Physical_Progress!$C$2:$C$35),0)*Dim_WBS!$E$12,IFERROR(LOOKUP(2,1/(Fact_Physical_Progress!$B$2:$B$35=Dim_WBS!$A$13)/(Fact_Physical_Progress!$A$2:$A$35&lt;=B13),Fact_Physical_Progress!$C$2:$C$35),0)*Dim_WBS!$E$13)</f>
        <v>131467.99600000001</v>
      </c>
      <c r="F13" s="49">
        <f t="shared" si="0"/>
        <v>-88765.344000000012</v>
      </c>
      <c r="G13" s="49">
        <f t="shared" si="1"/>
        <v>-10517.443999999989</v>
      </c>
      <c r="H13" s="50">
        <f t="shared" si="2"/>
        <v>0.59694865454976076</v>
      </c>
      <c r="I13" s="50">
        <f t="shared" si="3"/>
        <v>0.92592589775402334</v>
      </c>
      <c r="J13" s="49">
        <f>Setup!$B$11</f>
        <v>268650</v>
      </c>
      <c r="K13" s="49">
        <f t="shared" si="4"/>
        <v>290142.00882776058</v>
      </c>
      <c r="L13" s="49">
        <f t="shared" si="5"/>
        <v>148156.56882776058</v>
      </c>
      <c r="M13" s="49">
        <f t="shared" si="6"/>
        <v>-21492.008827760583</v>
      </c>
      <c r="N13" s="131" t="str">
        <f>IF(OR(F13&lt;0,G13&lt;0,H13&lt;Setup!$B$12,I13&lt;Setup!$B$12),"Red",IF(OR(H13&lt;Setup!$B$13,I13&lt;Setup!$B$13),"Amber","Green"))</f>
        <v>Red</v>
      </c>
    </row>
    <row r="14" spans="1:14" x14ac:dyDescent="0.35">
      <c r="A14" s="130">
        <v>10</v>
      </c>
      <c r="B14" s="46">
        <f>MIN(Fact_Baseline_PV!$A:$A)+4+(9*7)</f>
        <v>46213</v>
      </c>
      <c r="C14" s="49">
        <f>SUMIFS(Fact_Baseline_PV!$C:$C,Fact_Baseline_PV!$A:$A,"&lt;="&amp;B14)</f>
        <v>243650.00000000003</v>
      </c>
      <c r="D14" s="49">
        <f>SUMIFS(Fact_Actual_Costs!$D:$D,Fact_Actual_Costs!$A:$A,"&lt;="&amp;B14)</f>
        <v>141985.44</v>
      </c>
      <c r="E14" s="49" cm="1">
        <f t="array" ref="E14">SUM(IFERROR(LOOKUP(2,1/(Fact_Physical_Progress!$B$2:$B$35=Dim_WBS!$A$2)/(Fact_Physical_Progress!$A$2:$A$35&lt;=B14),Fact_Physical_Progress!$C$2:$C$35),0)*Dim_WBS!$E$2,IFERROR(LOOKUP(2,1/(Fact_Physical_Progress!$B$2:$B$35=Dim_WBS!$A$3)/(Fact_Physical_Progress!$A$2:$A$35&lt;=B14),Fact_Physical_Progress!$C$2:$C$35),0)*Dim_WBS!$E$3,IFERROR(LOOKUP(2,1/(Fact_Physical_Progress!$B$2:$B$35=Dim_WBS!$A$4)/(Fact_Physical_Progress!$A$2:$A$35&lt;=B14),Fact_Physical_Progress!$C$2:$C$35),0)*Dim_WBS!$E$4,IFERROR(LOOKUP(2,1/(Fact_Physical_Progress!$B$2:$B$35=Dim_WBS!$A$5)/(Fact_Physical_Progress!$A$2:$A$35&lt;=B14),Fact_Physical_Progress!$C$2:$C$35),0)*Dim_WBS!$E$5,IFERROR(LOOKUP(2,1/(Fact_Physical_Progress!$B$2:$B$35=Dim_WBS!$A$6)/(Fact_Physical_Progress!$A$2:$A$35&lt;=B14),Fact_Physical_Progress!$C$2:$C$35),0)*Dim_WBS!$E$6,IFERROR(LOOKUP(2,1/(Fact_Physical_Progress!$B$2:$B$35=Dim_WBS!$A$7)/(Fact_Physical_Progress!$A$2:$A$35&lt;=B14),Fact_Physical_Progress!$C$2:$C$35),0)*Dim_WBS!$E$7,IFERROR(LOOKUP(2,1/(Fact_Physical_Progress!$B$2:$B$35=Dim_WBS!$A$8)/(Fact_Physical_Progress!$A$2:$A$35&lt;=B14),Fact_Physical_Progress!$C$2:$C$35),0)*Dim_WBS!$E$8,IFERROR(LOOKUP(2,1/(Fact_Physical_Progress!$B$2:$B$35=Dim_WBS!$A$9)/(Fact_Physical_Progress!$A$2:$A$35&lt;=B14),Fact_Physical_Progress!$C$2:$C$35),0)*Dim_WBS!$E$9,IFERROR(LOOKUP(2,1/(Fact_Physical_Progress!$B$2:$B$35=Dim_WBS!$A$10)/(Fact_Physical_Progress!$A$2:$A$35&lt;=B14),Fact_Physical_Progress!$C$2:$C$35),0)*Dim_WBS!$E$10,IFERROR(LOOKUP(2,1/(Fact_Physical_Progress!$B$2:$B$35=Dim_WBS!$A$11)/(Fact_Physical_Progress!$A$2:$A$35&lt;=B14),Fact_Physical_Progress!$C$2:$C$35),0)*Dim_WBS!$E$11,IFERROR(LOOKUP(2,1/(Fact_Physical_Progress!$B$2:$B$35=Dim_WBS!$A$12)/(Fact_Physical_Progress!$A$2:$A$35&lt;=B14),Fact_Physical_Progress!$C$2:$C$35),0)*Dim_WBS!$E$12,IFERROR(LOOKUP(2,1/(Fact_Physical_Progress!$B$2:$B$35=Dim_WBS!$A$13)/(Fact_Physical_Progress!$A$2:$A$35&lt;=B14),Fact_Physical_Progress!$C$2:$C$35),0)*Dim_WBS!$E$13)</f>
        <v>131467.99600000001</v>
      </c>
      <c r="F14" s="49">
        <f t="shared" si="0"/>
        <v>-112182.00400000002</v>
      </c>
      <c r="G14" s="49">
        <f t="shared" si="1"/>
        <v>-10517.443999999989</v>
      </c>
      <c r="H14" s="50">
        <f t="shared" si="2"/>
        <v>0.5395772460496614</v>
      </c>
      <c r="I14" s="50">
        <f t="shared" si="3"/>
        <v>0.92592589775402334</v>
      </c>
      <c r="J14" s="49">
        <f>Setup!$B$11</f>
        <v>268650</v>
      </c>
      <c r="K14" s="49">
        <f t="shared" si="4"/>
        <v>290142.00882776058</v>
      </c>
      <c r="L14" s="49">
        <f t="shared" si="5"/>
        <v>148156.56882776058</v>
      </c>
      <c r="M14" s="49">
        <f t="shared" si="6"/>
        <v>-21492.008827760583</v>
      </c>
      <c r="N14" s="131" t="str">
        <f>IF(OR(F14&lt;0,G14&lt;0,H14&lt;Setup!$B$12,I14&lt;Setup!$B$12),"Red",IF(OR(H14&lt;Setup!$B$13,I14&lt;Setup!$B$13),"Amber","Green"))</f>
        <v>Red</v>
      </c>
    </row>
    <row r="15" spans="1:14" x14ac:dyDescent="0.35">
      <c r="A15" s="130">
        <v>11</v>
      </c>
      <c r="B15" s="46">
        <f>MIN(Fact_Baseline_PV!$A:$A)+4+(10*7)</f>
        <v>46220</v>
      </c>
      <c r="C15" s="49">
        <f>SUMIFS(Fact_Baseline_PV!$C:$C,Fact_Baseline_PV!$A:$A,"&lt;="&amp;B15)</f>
        <v>259350.00000000003</v>
      </c>
      <c r="D15" s="49">
        <f>SUMIFS(Fact_Actual_Costs!$D:$D,Fact_Actual_Costs!$A:$A,"&lt;="&amp;B15)</f>
        <v>141985.44</v>
      </c>
      <c r="E15" s="49" cm="1">
        <f t="array" ref="E15">SUM(IFERROR(LOOKUP(2,1/(Fact_Physical_Progress!$B$2:$B$35=Dim_WBS!$A$2)/(Fact_Physical_Progress!$A$2:$A$35&lt;=B15),Fact_Physical_Progress!$C$2:$C$35),0)*Dim_WBS!$E$2,IFERROR(LOOKUP(2,1/(Fact_Physical_Progress!$B$2:$B$35=Dim_WBS!$A$3)/(Fact_Physical_Progress!$A$2:$A$35&lt;=B15),Fact_Physical_Progress!$C$2:$C$35),0)*Dim_WBS!$E$3,IFERROR(LOOKUP(2,1/(Fact_Physical_Progress!$B$2:$B$35=Dim_WBS!$A$4)/(Fact_Physical_Progress!$A$2:$A$35&lt;=B15),Fact_Physical_Progress!$C$2:$C$35),0)*Dim_WBS!$E$4,IFERROR(LOOKUP(2,1/(Fact_Physical_Progress!$B$2:$B$35=Dim_WBS!$A$5)/(Fact_Physical_Progress!$A$2:$A$35&lt;=B15),Fact_Physical_Progress!$C$2:$C$35),0)*Dim_WBS!$E$5,IFERROR(LOOKUP(2,1/(Fact_Physical_Progress!$B$2:$B$35=Dim_WBS!$A$6)/(Fact_Physical_Progress!$A$2:$A$35&lt;=B15),Fact_Physical_Progress!$C$2:$C$35),0)*Dim_WBS!$E$6,IFERROR(LOOKUP(2,1/(Fact_Physical_Progress!$B$2:$B$35=Dim_WBS!$A$7)/(Fact_Physical_Progress!$A$2:$A$35&lt;=B15),Fact_Physical_Progress!$C$2:$C$35),0)*Dim_WBS!$E$7,IFERROR(LOOKUP(2,1/(Fact_Physical_Progress!$B$2:$B$35=Dim_WBS!$A$8)/(Fact_Physical_Progress!$A$2:$A$35&lt;=B15),Fact_Physical_Progress!$C$2:$C$35),0)*Dim_WBS!$E$8,IFERROR(LOOKUP(2,1/(Fact_Physical_Progress!$B$2:$B$35=Dim_WBS!$A$9)/(Fact_Physical_Progress!$A$2:$A$35&lt;=B15),Fact_Physical_Progress!$C$2:$C$35),0)*Dim_WBS!$E$9,IFERROR(LOOKUP(2,1/(Fact_Physical_Progress!$B$2:$B$35=Dim_WBS!$A$10)/(Fact_Physical_Progress!$A$2:$A$35&lt;=B15),Fact_Physical_Progress!$C$2:$C$35),0)*Dim_WBS!$E$10,IFERROR(LOOKUP(2,1/(Fact_Physical_Progress!$B$2:$B$35=Dim_WBS!$A$11)/(Fact_Physical_Progress!$A$2:$A$35&lt;=B15),Fact_Physical_Progress!$C$2:$C$35),0)*Dim_WBS!$E$11,IFERROR(LOOKUP(2,1/(Fact_Physical_Progress!$B$2:$B$35=Dim_WBS!$A$12)/(Fact_Physical_Progress!$A$2:$A$35&lt;=B15),Fact_Physical_Progress!$C$2:$C$35),0)*Dim_WBS!$E$12,IFERROR(LOOKUP(2,1/(Fact_Physical_Progress!$B$2:$B$35=Dim_WBS!$A$13)/(Fact_Physical_Progress!$A$2:$A$35&lt;=B15),Fact_Physical_Progress!$C$2:$C$35),0)*Dim_WBS!$E$13)</f>
        <v>131467.99600000001</v>
      </c>
      <c r="F15" s="49">
        <f t="shared" si="0"/>
        <v>-127882.00400000002</v>
      </c>
      <c r="G15" s="49">
        <f t="shared" si="1"/>
        <v>-10517.443999999989</v>
      </c>
      <c r="H15" s="50">
        <f t="shared" si="2"/>
        <v>0.50691342201657996</v>
      </c>
      <c r="I15" s="50">
        <f t="shared" si="3"/>
        <v>0.92592589775402334</v>
      </c>
      <c r="J15" s="49">
        <f>Setup!$B$11</f>
        <v>268650</v>
      </c>
      <c r="K15" s="49">
        <f t="shared" si="4"/>
        <v>290142.00882776058</v>
      </c>
      <c r="L15" s="49">
        <f t="shared" si="5"/>
        <v>148156.56882776058</v>
      </c>
      <c r="M15" s="49">
        <f t="shared" si="6"/>
        <v>-21492.008827760583</v>
      </c>
      <c r="N15" s="131" t="str">
        <f>IF(OR(F15&lt;0,G15&lt;0,H15&lt;Setup!$B$12,I15&lt;Setup!$B$12),"Red",IF(OR(H15&lt;Setup!$B$13,I15&lt;Setup!$B$13),"Amber","Green"))</f>
        <v>Red</v>
      </c>
    </row>
    <row r="16" spans="1:14" x14ac:dyDescent="0.35">
      <c r="A16" s="134">
        <v>12</v>
      </c>
      <c r="B16" s="157">
        <f>MIN(Fact_Baseline_PV!$A:$A)+4+(11*7)</f>
        <v>46227</v>
      </c>
      <c r="C16" s="142">
        <f>SUMIFS(Fact_Baseline_PV!$C:$C,Fact_Baseline_PV!$A:$A,"&lt;="&amp;B16)</f>
        <v>268650</v>
      </c>
      <c r="D16" s="142">
        <f>SUMIFS(Fact_Actual_Costs!$D:$D,Fact_Actual_Costs!$A:$A,"&lt;="&amp;B16)</f>
        <v>141985.44</v>
      </c>
      <c r="E16" s="142" cm="1">
        <f t="array" ref="E16">SUM(IFERROR(LOOKUP(2,1/(Fact_Physical_Progress!$B$2:$B$35=Dim_WBS!$A$2)/(Fact_Physical_Progress!$A$2:$A$35&lt;=B16),Fact_Physical_Progress!$C$2:$C$35),0)*Dim_WBS!$E$2,IFERROR(LOOKUP(2,1/(Fact_Physical_Progress!$B$2:$B$35=Dim_WBS!$A$3)/(Fact_Physical_Progress!$A$2:$A$35&lt;=B16),Fact_Physical_Progress!$C$2:$C$35),0)*Dim_WBS!$E$3,IFERROR(LOOKUP(2,1/(Fact_Physical_Progress!$B$2:$B$35=Dim_WBS!$A$4)/(Fact_Physical_Progress!$A$2:$A$35&lt;=B16),Fact_Physical_Progress!$C$2:$C$35),0)*Dim_WBS!$E$4,IFERROR(LOOKUP(2,1/(Fact_Physical_Progress!$B$2:$B$35=Dim_WBS!$A$5)/(Fact_Physical_Progress!$A$2:$A$35&lt;=B16),Fact_Physical_Progress!$C$2:$C$35),0)*Dim_WBS!$E$5,IFERROR(LOOKUP(2,1/(Fact_Physical_Progress!$B$2:$B$35=Dim_WBS!$A$6)/(Fact_Physical_Progress!$A$2:$A$35&lt;=B16),Fact_Physical_Progress!$C$2:$C$35),0)*Dim_WBS!$E$6,IFERROR(LOOKUP(2,1/(Fact_Physical_Progress!$B$2:$B$35=Dim_WBS!$A$7)/(Fact_Physical_Progress!$A$2:$A$35&lt;=B16),Fact_Physical_Progress!$C$2:$C$35),0)*Dim_WBS!$E$7,IFERROR(LOOKUP(2,1/(Fact_Physical_Progress!$B$2:$B$35=Dim_WBS!$A$8)/(Fact_Physical_Progress!$A$2:$A$35&lt;=B16),Fact_Physical_Progress!$C$2:$C$35),0)*Dim_WBS!$E$8,IFERROR(LOOKUP(2,1/(Fact_Physical_Progress!$B$2:$B$35=Dim_WBS!$A$9)/(Fact_Physical_Progress!$A$2:$A$35&lt;=B16),Fact_Physical_Progress!$C$2:$C$35),0)*Dim_WBS!$E$9,IFERROR(LOOKUP(2,1/(Fact_Physical_Progress!$B$2:$B$35=Dim_WBS!$A$10)/(Fact_Physical_Progress!$A$2:$A$35&lt;=B16),Fact_Physical_Progress!$C$2:$C$35),0)*Dim_WBS!$E$10,IFERROR(LOOKUP(2,1/(Fact_Physical_Progress!$B$2:$B$35=Dim_WBS!$A$11)/(Fact_Physical_Progress!$A$2:$A$35&lt;=B16),Fact_Physical_Progress!$C$2:$C$35),0)*Dim_WBS!$E$11,IFERROR(LOOKUP(2,1/(Fact_Physical_Progress!$B$2:$B$35=Dim_WBS!$A$12)/(Fact_Physical_Progress!$A$2:$A$35&lt;=B16),Fact_Physical_Progress!$C$2:$C$35),0)*Dim_WBS!$E$12,IFERROR(LOOKUP(2,1/(Fact_Physical_Progress!$B$2:$B$35=Dim_WBS!$A$13)/(Fact_Physical_Progress!$A$2:$A$35&lt;=B16),Fact_Physical_Progress!$C$2:$C$35),0)*Dim_WBS!$E$13)</f>
        <v>131467.99600000001</v>
      </c>
      <c r="F16" s="142">
        <f t="shared" si="0"/>
        <v>-137182.00399999999</v>
      </c>
      <c r="G16" s="142">
        <f t="shared" si="1"/>
        <v>-10517.443999999989</v>
      </c>
      <c r="H16" s="160">
        <f t="shared" si="2"/>
        <v>0.48936533035548119</v>
      </c>
      <c r="I16" s="160">
        <f t="shared" si="3"/>
        <v>0.92592589775402334</v>
      </c>
      <c r="J16" s="142">
        <f>Setup!$B$11</f>
        <v>268650</v>
      </c>
      <c r="K16" s="142">
        <f t="shared" si="4"/>
        <v>290142.00882776058</v>
      </c>
      <c r="L16" s="142">
        <f t="shared" si="5"/>
        <v>148156.56882776058</v>
      </c>
      <c r="M16" s="142">
        <f t="shared" si="6"/>
        <v>-21492.008827760583</v>
      </c>
      <c r="N16" s="136" t="str">
        <f>IF(OR(F16&lt;0,G16&lt;0,H16&lt;Setup!$B$12,I16&lt;Setup!$B$12),"Red",IF(OR(H16&lt;Setup!$B$13,I16&lt;Setup!$B$13),"Amber","Green"))</f>
        <v>Red</v>
      </c>
    </row>
    <row r="19" spans="1:13" x14ac:dyDescent="0.35">
      <c r="A19" s="129" t="s">
        <v>206</v>
      </c>
      <c r="B19" s="45" t="s">
        <v>207</v>
      </c>
      <c r="C19" s="45" t="s">
        <v>208</v>
      </c>
      <c r="D19" s="45" t="s">
        <v>209</v>
      </c>
      <c r="E19" s="45" t="s">
        <v>210</v>
      </c>
      <c r="F19" s="45" t="s">
        <v>211</v>
      </c>
      <c r="G19" t="s">
        <v>706</v>
      </c>
      <c r="H19" s="3" t="s">
        <v>266</v>
      </c>
      <c r="I19" s="3" t="s">
        <v>267</v>
      </c>
      <c r="J19" s="3" t="s">
        <v>381</v>
      </c>
      <c r="K19" s="3" t="s">
        <v>268</v>
      </c>
      <c r="L19" s="3" t="s">
        <v>707</v>
      </c>
      <c r="M19" s="137" t="s">
        <v>708</v>
      </c>
    </row>
    <row r="20" spans="1:13" x14ac:dyDescent="0.35">
      <c r="A20" s="130" t="s">
        <v>212</v>
      </c>
      <c r="B20" s="49" t="e">
        <f>INDEX(E5:E16,MATCH(Setup!$B$9,B5:B16,0))-INDEX(C5:C16,MATCH(Setup!$B$9,B5:B16,0))</f>
        <v>#N/A</v>
      </c>
      <c r="C20" s="2" t="s">
        <v>213</v>
      </c>
      <c r="D20" s="49" t="e">
        <f t="shared" ref="D20:D25" si="7">B20</f>
        <v>#N/A</v>
      </c>
      <c r="E20" s="2" t="s">
        <v>214</v>
      </c>
      <c r="F20" s="2" t="s">
        <v>215</v>
      </c>
      <c r="H20" s="2" t="s">
        <v>269</v>
      </c>
      <c r="I20" s="49">
        <f>'EVM Dashboard'!D7</f>
        <v>220233.34</v>
      </c>
      <c r="J20" s="49">
        <f>'Task Plan'!I17</f>
        <v>220233.34</v>
      </c>
      <c r="K20" s="49">
        <f t="shared" ref="K20:K25" si="8">J20-I20</f>
        <v>0</v>
      </c>
      <c r="L20" s="2" t="str">
        <f t="shared" ref="L20:L25" si="9">IF(ABS(K20)&lt;0.01,"OK","Review")</f>
        <v>OK</v>
      </c>
      <c r="M20" s="131" t="s">
        <v>382</v>
      </c>
    </row>
    <row r="21" spans="1:13" x14ac:dyDescent="0.35">
      <c r="A21" s="130" t="s">
        <v>216</v>
      </c>
      <c r="B21" s="49" t="e">
        <f>INDEX(E5:E16,MATCH(Setup!$B$9,B5:B16,0))-INDEX(D5:D16,MATCH(Setup!$B$9,B5:B16,0))</f>
        <v>#N/A</v>
      </c>
      <c r="C21" s="2" t="s">
        <v>217</v>
      </c>
      <c r="D21" s="49" t="e">
        <f t="shared" si="7"/>
        <v>#N/A</v>
      </c>
      <c r="E21" s="2" t="s">
        <v>214</v>
      </c>
      <c r="F21" s="2" t="s">
        <v>215</v>
      </c>
      <c r="H21" s="2" t="s">
        <v>270</v>
      </c>
      <c r="I21" s="49">
        <f>'EVM Dashboard'!G7</f>
        <v>141985.44</v>
      </c>
      <c r="J21" s="49">
        <f>'Task Plan'!J17</f>
        <v>141985.44</v>
      </c>
      <c r="K21" s="49">
        <f t="shared" si="8"/>
        <v>0</v>
      </c>
      <c r="L21" s="2" t="str">
        <f t="shared" si="9"/>
        <v>OK</v>
      </c>
      <c r="M21" s="131" t="s">
        <v>383</v>
      </c>
    </row>
    <row r="22" spans="1:13" x14ac:dyDescent="0.35">
      <c r="A22" s="130" t="s">
        <v>218</v>
      </c>
      <c r="B22" s="49" t="e">
        <f>INDEX(E5:E16,MATCH(Setup!$B$9,B5:B16,0))/INDEX(C5:C16,MATCH(Setup!$B$9,B5:B16,0))</f>
        <v>#N/A</v>
      </c>
      <c r="C22" s="2" t="s">
        <v>219</v>
      </c>
      <c r="D22" s="50" t="e">
        <f t="shared" si="7"/>
        <v>#N/A</v>
      </c>
      <c r="E22" s="2" t="s">
        <v>214</v>
      </c>
      <c r="F22" s="2" t="s">
        <v>215</v>
      </c>
      <c r="H22" s="2" t="s">
        <v>271</v>
      </c>
      <c r="I22" s="49">
        <f>'EVM Dashboard'!J7</f>
        <v>131467.99600000001</v>
      </c>
      <c r="J22" s="49">
        <f>'Task Plan'!L17</f>
        <v>131467.99600000001</v>
      </c>
      <c r="K22" s="49">
        <f t="shared" si="8"/>
        <v>0</v>
      </c>
      <c r="L22" s="2" t="str">
        <f t="shared" si="9"/>
        <v>OK</v>
      </c>
      <c r="M22" s="131" t="s">
        <v>384</v>
      </c>
    </row>
    <row r="23" spans="1:13" x14ac:dyDescent="0.35">
      <c r="A23" s="130" t="s">
        <v>220</v>
      </c>
      <c r="B23" s="49" t="e">
        <f>INDEX(E5:E16,MATCH(Setup!$B$9,B5:B16,0))/INDEX(D5:D16,MATCH(Setup!$B$9,B5:B16,0))</f>
        <v>#N/A</v>
      </c>
      <c r="C23" s="2" t="s">
        <v>221</v>
      </c>
      <c r="D23" s="50" t="e">
        <f t="shared" si="7"/>
        <v>#N/A</v>
      </c>
      <c r="E23" s="2" t="s">
        <v>214</v>
      </c>
      <c r="F23" s="2" t="s">
        <v>215</v>
      </c>
      <c r="H23" s="2" t="s">
        <v>30</v>
      </c>
      <c r="I23" s="50">
        <f>'EVM Dashboard'!J10</f>
        <v>0.59694865454976076</v>
      </c>
      <c r="J23" s="50">
        <f>'Task Plan'!O17</f>
        <v>0.59694865454976076</v>
      </c>
      <c r="K23" s="50">
        <f t="shared" si="8"/>
        <v>0</v>
      </c>
      <c r="L23" s="2" t="str">
        <f t="shared" si="9"/>
        <v>OK</v>
      </c>
      <c r="M23" s="131" t="s">
        <v>385</v>
      </c>
    </row>
    <row r="24" spans="1:13" x14ac:dyDescent="0.35">
      <c r="A24" s="130" t="s">
        <v>222</v>
      </c>
      <c r="B24" s="49" t="e">
        <f>Setup!$B$11/B23</f>
        <v>#N/A</v>
      </c>
      <c r="C24" s="2" t="s">
        <v>223</v>
      </c>
      <c r="D24" s="49" t="e">
        <f t="shared" si="7"/>
        <v>#N/A</v>
      </c>
      <c r="E24" s="2" t="s">
        <v>214</v>
      </c>
      <c r="F24" s="2" t="s">
        <v>224</v>
      </c>
      <c r="H24" s="2" t="s">
        <v>29</v>
      </c>
      <c r="I24" s="50">
        <f>'EVM Dashboard'!G10</f>
        <v>0.92592589775402334</v>
      </c>
      <c r="J24" s="50">
        <f>'Task Plan'!P17</f>
        <v>0.92592589775402334</v>
      </c>
      <c r="K24" s="50">
        <f t="shared" si="8"/>
        <v>0</v>
      </c>
      <c r="L24" s="2" t="str">
        <f t="shared" si="9"/>
        <v>OK</v>
      </c>
      <c r="M24" s="131" t="s">
        <v>386</v>
      </c>
    </row>
    <row r="25" spans="1:13" x14ac:dyDescent="0.35">
      <c r="A25" s="130" t="s">
        <v>225</v>
      </c>
      <c r="B25" s="49" t="e">
        <f>Setup!$B$11/B23*-1+Setup!$B$11</f>
        <v>#N/A</v>
      </c>
      <c r="C25" s="2" t="s">
        <v>226</v>
      </c>
      <c r="D25" s="49" t="e">
        <f t="shared" si="7"/>
        <v>#N/A</v>
      </c>
      <c r="E25" s="2" t="s">
        <v>214</v>
      </c>
      <c r="F25" s="2" t="s">
        <v>224</v>
      </c>
      <c r="H25" s="2" t="s">
        <v>33</v>
      </c>
      <c r="I25" s="49">
        <f>'EVM Dashboard'!G13</f>
        <v>-21492.008827760583</v>
      </c>
      <c r="J25" s="49">
        <f>'Task Plan'!S17</f>
        <v>-21492.008827760583</v>
      </c>
      <c r="K25" s="49">
        <f t="shared" si="8"/>
        <v>0</v>
      </c>
      <c r="L25" s="2" t="str">
        <f t="shared" si="9"/>
        <v>OK</v>
      </c>
      <c r="M25" s="131" t="s">
        <v>387</v>
      </c>
    </row>
  </sheetData>
  <mergeCells count="2">
    <mergeCell ref="A1:N1"/>
    <mergeCell ref="A2:N2"/>
  </mergeCells>
  <conditionalFormatting sqref="F5:G16">
    <cfRule type="cellIs" dxfId="89" priority="7" operator="lessThan">
      <formula>0</formula>
    </cfRule>
    <cfRule type="cellIs" dxfId="88" priority="8" operator="greaterThanOrEqual">
      <formula>0</formula>
    </cfRule>
  </conditionalFormatting>
  <conditionalFormatting sqref="H5:I16">
    <cfRule type="cellIs" dxfId="87" priority="4" operator="lessThan">
      <formula>0.95</formula>
    </cfRule>
    <cfRule type="cellIs" dxfId="86" priority="5" operator="between">
      <formula>0.95</formula>
      <formula>0.999999</formula>
    </cfRule>
    <cfRule type="cellIs" dxfId="85" priority="6" operator="greaterThanOrEqual">
      <formula>1</formula>
    </cfRule>
  </conditionalFormatting>
  <conditionalFormatting sqref="L20:L25">
    <cfRule type="containsText" dxfId="84" priority="9" operator="containsText" text="OK">
      <formula>NOT(ISERROR(SEARCH("OK",L20)))</formula>
    </cfRule>
    <cfRule type="containsText" dxfId="83" priority="10" operator="containsText" text="Review">
      <formula>NOT(ISERROR(SEARCH("Review",L20)))</formula>
    </cfRule>
  </conditionalFormatting>
  <conditionalFormatting sqref="N5:N16">
    <cfRule type="expression" dxfId="76" priority="11">
      <formula>ISNUMBER(SEARCH("Red",N5))</formula>
    </cfRule>
  </conditionalFormatting>
  <conditionalFormatting sqref="N5:N16">
    <cfRule type="expression" dxfId="75" priority="12">
      <formula>ISNUMBER(SEARCH("Amber",N5))</formula>
    </cfRule>
  </conditionalFormatting>
  <conditionalFormatting sqref="N5:N16">
    <cfRule type="expression" dxfId="74" priority="13">
      <formula>ISNUMBER(SEARCH("Green",N5))</formula>
    </cfRule>
  </conditionalFormatting>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E00E-E4AF-4D1D-A88D-AE793939C385}">
  <sheetPr>
    <tabColor rgb="FFED7D31"/>
  </sheetPr>
  <dimension ref="A1:P35"/>
  <sheetViews>
    <sheetView showGridLines="0" workbookViewId="0">
      <selection activeCell="Q1" sqref="Q1"/>
    </sheetView>
  </sheetViews>
  <sheetFormatPr defaultRowHeight="14.5" x14ac:dyDescent="0.35"/>
  <cols>
    <col min="1" max="1" width="8.90625" customWidth="1"/>
    <col min="2" max="2" width="12.08984375" customWidth="1"/>
    <col min="3" max="4" width="11.36328125" customWidth="1"/>
    <col min="5" max="5" width="12.54296875" customWidth="1"/>
    <col min="6" max="6" width="14.7265625" customWidth="1"/>
    <col min="7" max="7" width="11.90625" customWidth="1"/>
    <col min="12" max="12" width="38.6328125" customWidth="1"/>
    <col min="14" max="14" width="15.453125" customWidth="1"/>
    <col min="15" max="15" width="23.6328125" customWidth="1"/>
    <col min="16" max="16" width="30.90625" customWidth="1"/>
  </cols>
  <sheetData>
    <row r="1" spans="1:16" ht="23.5" x14ac:dyDescent="0.55000000000000004">
      <c r="A1" s="43" t="s">
        <v>143</v>
      </c>
      <c r="B1" s="1"/>
      <c r="C1" s="1"/>
      <c r="D1" s="1"/>
      <c r="E1" s="1"/>
      <c r="F1" s="1"/>
      <c r="G1" s="1"/>
      <c r="H1" s="1"/>
      <c r="I1" s="1"/>
      <c r="J1" s="1"/>
      <c r="K1" s="1"/>
      <c r="L1" s="1"/>
      <c r="N1" s="45" t="s">
        <v>145</v>
      </c>
      <c r="O1" s="46">
        <f>Control_Project_Start</f>
        <v>46146</v>
      </c>
    </row>
    <row r="2" spans="1:16" ht="304.5" x14ac:dyDescent="0.35">
      <c r="A2" s="44" t="s">
        <v>144</v>
      </c>
      <c r="B2" s="44"/>
      <c r="C2" s="44"/>
      <c r="D2" s="44"/>
      <c r="E2" s="44"/>
      <c r="F2" s="44"/>
      <c r="G2" s="44"/>
      <c r="H2" s="44"/>
      <c r="I2" s="44"/>
      <c r="J2" s="44"/>
      <c r="K2" s="44"/>
      <c r="L2" s="44"/>
      <c r="N2" s="45" t="s">
        <v>146</v>
      </c>
      <c r="O2" s="46">
        <f>Control_Project_End</f>
        <v>46229</v>
      </c>
    </row>
    <row r="3" spans="1:16" x14ac:dyDescent="0.35">
      <c r="N3" s="45" t="s">
        <v>147</v>
      </c>
      <c r="O3" s="46">
        <f>Control_Status_Date</f>
        <v>46203</v>
      </c>
    </row>
    <row r="4" spans="1:16" x14ac:dyDescent="0.35">
      <c r="A4" s="132" t="s">
        <v>19</v>
      </c>
      <c r="B4" s="126" t="s">
        <v>148</v>
      </c>
      <c r="C4" s="126" t="s">
        <v>149</v>
      </c>
      <c r="D4" s="126" t="s">
        <v>150</v>
      </c>
      <c r="E4" s="126" t="s">
        <v>151</v>
      </c>
      <c r="F4" s="126" t="s">
        <v>152</v>
      </c>
      <c r="G4" s="126" t="s">
        <v>25</v>
      </c>
      <c r="H4" s="133" t="s">
        <v>153</v>
      </c>
    </row>
    <row r="5" spans="1:16" x14ac:dyDescent="0.35">
      <c r="A5" s="130" t="str">
        <f>Dim_WBS!A2</f>
        <v>WBS-01</v>
      </c>
      <c r="B5" s="2" t="str">
        <f>Dim_WBS!C2</f>
        <v>Project Management</v>
      </c>
      <c r="C5" s="46">
        <f>_xlfn.MINIFS(Fact_Baseline_PV!$A:$A,Fact_Baseline_PV!$B:$B,A5)</f>
        <v>46146</v>
      </c>
      <c r="D5" s="46">
        <f>_xlfn.MAXIFS(Fact_Baseline_PV!$A:$A,Fact_Baseline_PV!$B:$B,A5)+6</f>
        <v>46229</v>
      </c>
      <c r="E5" s="47">
        <f t="shared" ref="E5:E16" si="0">C5-$O$1</f>
        <v>0</v>
      </c>
      <c r="F5" s="47">
        <f t="shared" ref="F5:F16" si="1">D5-C5+1</f>
        <v>84</v>
      </c>
      <c r="G5" s="48" cm="1">
        <f t="array" ref="G5">IFERROR(LOOKUP(2,1/(Fact_Physical_Progress!$B$2:$B$35=A5)/(Fact_Physical_Progress!$A$2:$A$35&lt;=$O$3),Fact_Physical_Progress!$C$2:$C$35),0)</f>
        <v>0.5</v>
      </c>
      <c r="H5" s="131" t="str">
        <f t="shared" ref="H5:H16" si="2">IF(G5&lt;0.5,"Red",IF(G5&lt;0.8,"Amber","Green"))</f>
        <v>Amber</v>
      </c>
      <c r="N5" s="126" t="s">
        <v>129</v>
      </c>
      <c r="O5" s="126" t="s">
        <v>130</v>
      </c>
      <c r="P5" s="126" t="s">
        <v>371</v>
      </c>
    </row>
    <row r="6" spans="1:16" x14ac:dyDescent="0.35">
      <c r="A6" s="130" t="str">
        <f>Dim_WBS!A3</f>
        <v>WBS-02</v>
      </c>
      <c r="B6" s="2" t="str">
        <f>Dim_WBS!C3</f>
        <v>Site Survey &amp; Mobilization</v>
      </c>
      <c r="C6" s="46">
        <f>_xlfn.MINIFS(Fact_Baseline_PV!$A:$A,Fact_Baseline_PV!$B:$B,A6)</f>
        <v>46146</v>
      </c>
      <c r="D6" s="46">
        <f>_xlfn.MAXIFS(Fact_Baseline_PV!$A:$A,Fact_Baseline_PV!$B:$B,A6)+6</f>
        <v>46152</v>
      </c>
      <c r="E6" s="47">
        <f t="shared" si="0"/>
        <v>0</v>
      </c>
      <c r="F6" s="47">
        <f t="shared" si="1"/>
        <v>7</v>
      </c>
      <c r="G6" s="48" cm="1">
        <f t="array" ref="G6">IFERROR(LOOKUP(2,1/(Fact_Physical_Progress!$B$2:$B$35=A6)/(Fact_Physical_Progress!$A$2:$A$35&lt;=$O$3),Fact_Physical_Progress!$C$2:$C$35),0)</f>
        <v>1</v>
      </c>
      <c r="H6" s="131" t="str">
        <f t="shared" si="2"/>
        <v>Green</v>
      </c>
      <c r="N6" s="65" t="s">
        <v>132</v>
      </c>
      <c r="O6" s="7" t="s">
        <v>372</v>
      </c>
      <c r="P6" s="69" t="s">
        <v>373</v>
      </c>
    </row>
    <row r="7" spans="1:16" x14ac:dyDescent="0.35">
      <c r="A7" s="130" t="str">
        <f>Dim_WBS!A4</f>
        <v>WBS-03</v>
      </c>
      <c r="B7" s="2" t="str">
        <f>Dim_WBS!C4</f>
        <v>Design &amp; Engineering</v>
      </c>
      <c r="C7" s="46">
        <f>_xlfn.MINIFS(Fact_Baseline_PV!$A:$A,Fact_Baseline_PV!$B:$B,A7)</f>
        <v>46146</v>
      </c>
      <c r="D7" s="46">
        <f>_xlfn.MAXIFS(Fact_Baseline_PV!$A:$A,Fact_Baseline_PV!$B:$B,A7)+6</f>
        <v>46166</v>
      </c>
      <c r="E7" s="47">
        <f t="shared" si="0"/>
        <v>0</v>
      </c>
      <c r="F7" s="47">
        <f t="shared" si="1"/>
        <v>21</v>
      </c>
      <c r="G7" s="48" cm="1">
        <f t="array" ref="G7">IFERROR(LOOKUP(2,1/(Fact_Physical_Progress!$B$2:$B$35=A7)/(Fact_Physical_Progress!$A$2:$A$35&lt;=$O$3),Fact_Physical_Progress!$C$2:$C$35),0)</f>
        <v>1</v>
      </c>
      <c r="H7" s="131" t="str">
        <f t="shared" si="2"/>
        <v>Green</v>
      </c>
      <c r="N7" s="66" t="s">
        <v>134</v>
      </c>
      <c r="O7" s="7" t="s">
        <v>374</v>
      </c>
      <c r="P7" s="69" t="s">
        <v>375</v>
      </c>
    </row>
    <row r="8" spans="1:16" x14ac:dyDescent="0.35">
      <c r="A8" s="130" t="str">
        <f>Dim_WBS!A5</f>
        <v>WBS-04</v>
      </c>
      <c r="B8" s="2" t="str">
        <f>Dim_WBS!C5</f>
        <v>Procurement - Materials</v>
      </c>
      <c r="C8" s="46">
        <f>_xlfn.MINIFS(Fact_Baseline_PV!$A:$A,Fact_Baseline_PV!$B:$B,A8)</f>
        <v>46153</v>
      </c>
      <c r="D8" s="46">
        <f>_xlfn.MAXIFS(Fact_Baseline_PV!$A:$A,Fact_Baseline_PV!$B:$B,A8)+6</f>
        <v>46180</v>
      </c>
      <c r="E8" s="47">
        <f t="shared" si="0"/>
        <v>7</v>
      </c>
      <c r="F8" s="47">
        <f t="shared" si="1"/>
        <v>28</v>
      </c>
      <c r="G8" s="48" cm="1">
        <f t="array" ref="G8">IFERROR(LOOKUP(2,1/(Fact_Physical_Progress!$B$2:$B$35=A8)/(Fact_Physical_Progress!$A$2:$A$35&lt;=$O$3),Fact_Physical_Progress!$C$2:$C$35),0)</f>
        <v>1</v>
      </c>
      <c r="H8" s="131" t="str">
        <f t="shared" si="2"/>
        <v>Green</v>
      </c>
      <c r="N8" s="67" t="s">
        <v>137</v>
      </c>
      <c r="O8" s="7" t="s">
        <v>376</v>
      </c>
      <c r="P8" s="69" t="s">
        <v>377</v>
      </c>
    </row>
    <row r="9" spans="1:16" x14ac:dyDescent="0.35">
      <c r="A9" s="130" t="str">
        <f>Dim_WBS!A6</f>
        <v>WBS-05</v>
      </c>
      <c r="B9" s="2" t="str">
        <f>Dim_WBS!C6</f>
        <v>Demolition &amp; Prep</v>
      </c>
      <c r="C9" s="46">
        <f>_xlfn.MINIFS(Fact_Baseline_PV!$A:$A,Fact_Baseline_PV!$B:$B,A9)</f>
        <v>46153</v>
      </c>
      <c r="D9" s="46">
        <f>_xlfn.MAXIFS(Fact_Baseline_PV!$A:$A,Fact_Baseline_PV!$B:$B,A9)+6</f>
        <v>46173</v>
      </c>
      <c r="E9" s="47">
        <f t="shared" si="0"/>
        <v>7</v>
      </c>
      <c r="F9" s="47">
        <f t="shared" si="1"/>
        <v>21</v>
      </c>
      <c r="G9" s="48" cm="1">
        <f t="array" ref="G9">IFERROR(LOOKUP(2,1/(Fact_Physical_Progress!$B$2:$B$35=A9)/(Fact_Physical_Progress!$A$2:$A$35&lt;=$O$3),Fact_Physical_Progress!$C$2:$C$35),0)</f>
        <v>1</v>
      </c>
      <c r="H9" s="131" t="str">
        <f t="shared" si="2"/>
        <v>Green</v>
      </c>
      <c r="N9" s="68" t="s">
        <v>378</v>
      </c>
      <c r="O9" s="7" t="s">
        <v>379</v>
      </c>
      <c r="P9" s="69" t="s">
        <v>380</v>
      </c>
    </row>
    <row r="10" spans="1:16" x14ac:dyDescent="0.35">
      <c r="A10" s="130" t="str">
        <f>Dim_WBS!A7</f>
        <v>WBS-06</v>
      </c>
      <c r="B10" s="2" t="str">
        <f>Dim_WBS!C7</f>
        <v>Electrical Rough-In</v>
      </c>
      <c r="C10" s="46">
        <f>_xlfn.MINIFS(Fact_Baseline_PV!$A:$A,Fact_Baseline_PV!$B:$B,A10)</f>
        <v>46167</v>
      </c>
      <c r="D10" s="46">
        <f>_xlfn.MAXIFS(Fact_Baseline_PV!$A:$A,Fact_Baseline_PV!$B:$B,A10)+6</f>
        <v>46187</v>
      </c>
      <c r="E10" s="47">
        <f t="shared" si="0"/>
        <v>21</v>
      </c>
      <c r="F10" s="47">
        <f t="shared" si="1"/>
        <v>21</v>
      </c>
      <c r="G10" s="48" cm="1">
        <f t="array" ref="G10">IFERROR(LOOKUP(2,1/(Fact_Physical_Progress!$B$2:$B$35=A10)/(Fact_Physical_Progress!$A$2:$A$35&lt;=$O$3),Fact_Physical_Progress!$C$2:$C$35),0)</f>
        <v>0.7</v>
      </c>
      <c r="H10" s="131" t="str">
        <f t="shared" si="2"/>
        <v>Amber</v>
      </c>
      <c r="N10" s="52" t="s">
        <v>388</v>
      </c>
      <c r="O10" s="51" t="s">
        <v>389</v>
      </c>
      <c r="P10" s="51" t="s">
        <v>390</v>
      </c>
    </row>
    <row r="11" spans="1:16" x14ac:dyDescent="0.35">
      <c r="A11" s="130" t="str">
        <f>Dim_WBS!A8</f>
        <v>WBS-07</v>
      </c>
      <c r="B11" s="2" t="str">
        <f>Dim_WBS!C8</f>
        <v>HVAC Installation</v>
      </c>
      <c r="C11" s="46">
        <f>_xlfn.MINIFS(Fact_Baseline_PV!$A:$A,Fact_Baseline_PV!$B:$B,A11)</f>
        <v>46174</v>
      </c>
      <c r="D11" s="46">
        <f>_xlfn.MAXIFS(Fact_Baseline_PV!$A:$A,Fact_Baseline_PV!$B:$B,A11)+6</f>
        <v>46201</v>
      </c>
      <c r="E11" s="47">
        <f t="shared" si="0"/>
        <v>28</v>
      </c>
      <c r="F11" s="47">
        <f t="shared" si="1"/>
        <v>28</v>
      </c>
      <c r="G11" s="48" cm="1">
        <f t="array" ref="G11">IFERROR(LOOKUP(2,1/(Fact_Physical_Progress!$B$2:$B$35=A11)/(Fact_Physical_Progress!$A$2:$A$35&lt;=$O$3),Fact_Physical_Progress!$C$2:$C$35),0)</f>
        <v>0.4</v>
      </c>
      <c r="H11" s="131" t="str">
        <f t="shared" si="2"/>
        <v>Red</v>
      </c>
    </row>
    <row r="12" spans="1:16" x14ac:dyDescent="0.35">
      <c r="A12" s="130" t="str">
        <f>Dim_WBS!A9</f>
        <v>WBS-08</v>
      </c>
      <c r="B12" s="2" t="str">
        <f>Dim_WBS!C9</f>
        <v>Partitions &amp; Drywall</v>
      </c>
      <c r="C12" s="46">
        <f>_xlfn.MINIFS(Fact_Baseline_PV!$A:$A,Fact_Baseline_PV!$B:$B,A12)</f>
        <v>46181</v>
      </c>
      <c r="D12" s="46">
        <f>_xlfn.MAXIFS(Fact_Baseline_PV!$A:$A,Fact_Baseline_PV!$B:$B,A12)+6</f>
        <v>46208</v>
      </c>
      <c r="E12" s="47">
        <f t="shared" si="0"/>
        <v>35</v>
      </c>
      <c r="F12" s="47">
        <f t="shared" si="1"/>
        <v>28</v>
      </c>
      <c r="G12" s="48" cm="1">
        <f t="array" ref="G12">IFERROR(LOOKUP(2,1/(Fact_Physical_Progress!$B$2:$B$35=A12)/(Fact_Physical_Progress!$A$2:$A$35&lt;=$O$3),Fact_Physical_Progress!$C$2:$C$35),0)</f>
        <v>0.24885699999999999</v>
      </c>
      <c r="H12" s="131" t="str">
        <f t="shared" si="2"/>
        <v>Red</v>
      </c>
    </row>
    <row r="13" spans="1:16" x14ac:dyDescent="0.35">
      <c r="A13" s="130" t="str">
        <f>Dim_WBS!A10</f>
        <v>WBS-09</v>
      </c>
      <c r="B13" s="2" t="str">
        <f>Dim_WBS!C10</f>
        <v>Flooring</v>
      </c>
      <c r="C13" s="46">
        <f>_xlfn.MINIFS(Fact_Baseline_PV!$A:$A,Fact_Baseline_PV!$B:$B,A13)</f>
        <v>46195</v>
      </c>
      <c r="D13" s="46">
        <f>_xlfn.MAXIFS(Fact_Baseline_PV!$A:$A,Fact_Baseline_PV!$B:$B,A13)+6</f>
        <v>46215</v>
      </c>
      <c r="E13" s="47">
        <f t="shared" si="0"/>
        <v>49</v>
      </c>
      <c r="F13" s="47">
        <f t="shared" si="1"/>
        <v>21</v>
      </c>
      <c r="G13" s="48" cm="1">
        <f t="array" ref="G13">IFERROR(LOOKUP(2,1/(Fact_Physical_Progress!$B$2:$B$35=A13)/(Fact_Physical_Progress!$A$2:$A$35&lt;=$O$3),Fact_Physical_Progress!$C$2:$C$35),0)</f>
        <v>0</v>
      </c>
      <c r="H13" s="131" t="str">
        <f t="shared" si="2"/>
        <v>Red</v>
      </c>
    </row>
    <row r="14" spans="1:16" x14ac:dyDescent="0.35">
      <c r="A14" s="130" t="str">
        <f>Dim_WBS!A11</f>
        <v>WBS-10</v>
      </c>
      <c r="B14" s="2" t="str">
        <f>Dim_WBS!C11</f>
        <v>Fixtures &amp; Furniture</v>
      </c>
      <c r="C14" s="46">
        <f>_xlfn.MINIFS(Fact_Baseline_PV!$A:$A,Fact_Baseline_PV!$B:$B,A14)</f>
        <v>46202</v>
      </c>
      <c r="D14" s="46">
        <f>_xlfn.MAXIFS(Fact_Baseline_PV!$A:$A,Fact_Baseline_PV!$B:$B,A14)+6</f>
        <v>46222</v>
      </c>
      <c r="E14" s="47">
        <f t="shared" si="0"/>
        <v>56</v>
      </c>
      <c r="F14" s="47">
        <f t="shared" si="1"/>
        <v>21</v>
      </c>
      <c r="G14" s="48" cm="1">
        <f t="array" ref="G14">IFERROR(LOOKUP(2,1/(Fact_Physical_Progress!$B$2:$B$35=A14)/(Fact_Physical_Progress!$A$2:$A$35&lt;=$O$3),Fact_Physical_Progress!$C$2:$C$35),0)</f>
        <v>0</v>
      </c>
      <c r="H14" s="131" t="str">
        <f t="shared" si="2"/>
        <v>Red</v>
      </c>
    </row>
    <row r="15" spans="1:16" x14ac:dyDescent="0.35">
      <c r="A15" s="130" t="str">
        <f>Dim_WBS!A12</f>
        <v>WBS-11</v>
      </c>
      <c r="B15" s="2" t="str">
        <f>Dim_WBS!C12</f>
        <v>Testing / Commissioning</v>
      </c>
      <c r="C15" s="46">
        <f>_xlfn.MINIFS(Fact_Baseline_PV!$A:$A,Fact_Baseline_PV!$B:$B,A15)</f>
        <v>46216</v>
      </c>
      <c r="D15" s="46">
        <f>_xlfn.MAXIFS(Fact_Baseline_PV!$A:$A,Fact_Baseline_PV!$B:$B,A15)+6</f>
        <v>46229</v>
      </c>
      <c r="E15" s="47">
        <f t="shared" si="0"/>
        <v>70</v>
      </c>
      <c r="F15" s="47">
        <f t="shared" si="1"/>
        <v>14</v>
      </c>
      <c r="G15" s="48" cm="1">
        <f t="array" ref="G15">IFERROR(LOOKUP(2,1/(Fact_Physical_Progress!$B$2:$B$35=A15)/(Fact_Physical_Progress!$A$2:$A$35&lt;=$O$3),Fact_Physical_Progress!$C$2:$C$35),0)</f>
        <v>0</v>
      </c>
      <c r="H15" s="131" t="str">
        <f t="shared" si="2"/>
        <v>Red</v>
      </c>
    </row>
    <row r="16" spans="1:16" x14ac:dyDescent="0.35">
      <c r="A16" s="134" t="str">
        <f>Dim_WBS!A13</f>
        <v>WBS-12</v>
      </c>
      <c r="B16" s="135" t="str">
        <f>Dim_WBS!C13</f>
        <v>Handover &amp; Closeout</v>
      </c>
      <c r="C16" s="157">
        <f>_xlfn.MINIFS(Fact_Baseline_PV!$A:$A,Fact_Baseline_PV!$B:$B,A16)</f>
        <v>46223</v>
      </c>
      <c r="D16" s="157">
        <f>_xlfn.MAXIFS(Fact_Baseline_PV!$A:$A,Fact_Baseline_PV!$B:$B,A16)+6</f>
        <v>46229</v>
      </c>
      <c r="E16" s="158">
        <f t="shared" si="0"/>
        <v>77</v>
      </c>
      <c r="F16" s="158">
        <f t="shared" si="1"/>
        <v>7</v>
      </c>
      <c r="G16" s="159" cm="1">
        <f t="array" ref="G16">IFERROR(LOOKUP(2,1/(Fact_Physical_Progress!$B$2:$B$35=A16)/(Fact_Physical_Progress!$A$2:$A$35&lt;=$O$3),Fact_Physical_Progress!$C$2:$C$35),0)</f>
        <v>0</v>
      </c>
      <c r="H16" s="136" t="str">
        <f t="shared" si="2"/>
        <v>Red</v>
      </c>
    </row>
    <row r="23" spans="1:7" x14ac:dyDescent="0.35">
      <c r="A23" s="132" t="s">
        <v>64</v>
      </c>
      <c r="B23" s="126" t="s">
        <v>65</v>
      </c>
      <c r="C23" s="126" t="s">
        <v>67</v>
      </c>
      <c r="D23" s="126" t="s">
        <v>69</v>
      </c>
      <c r="E23" s="126" t="s">
        <v>70</v>
      </c>
      <c r="F23" s="126" t="s">
        <v>29</v>
      </c>
      <c r="G23" s="133" t="s">
        <v>30</v>
      </c>
    </row>
    <row r="24" spans="1:7" x14ac:dyDescent="0.35">
      <c r="A24" s="130">
        <v>1</v>
      </c>
      <c r="B24" s="46">
        <f>MIN(Fact_Baseline_PV!$A:$A)+4+(0*7)</f>
        <v>46150</v>
      </c>
      <c r="C24" s="49">
        <f>SUMIFS(Fact_Baseline_PV!$C:$C,Fact_Baseline_PV!$A:$A,"&lt;="&amp;B24)</f>
        <v>16400</v>
      </c>
      <c r="D24" s="49">
        <f>SUMIFS(Fact_Actual_Costs!$D:$D,Fact_Actual_Costs!$A:$A,"&lt;="&amp;B24)</f>
        <v>16295.04</v>
      </c>
      <c r="E24" s="49" cm="1">
        <f t="array" ref="E24">SUM(IFERROR(LOOKUP(2,1/(Fact_Physical_Progress!$B$2:$B$35=Dim_WBS!$A$2)/(Fact_Physical_Progress!$A$2:$A$35&lt;=B24),Fact_Physical_Progress!$C$2:$C$35),0)*Dim_WBS!$E$2,IFERROR(LOOKUP(2,1/(Fact_Physical_Progress!$B$2:$B$35=Dim_WBS!$A$3)/(Fact_Physical_Progress!$A$2:$A$35&lt;=B24),Fact_Physical_Progress!$C$2:$C$35),0)*Dim_WBS!$E$3,IFERROR(LOOKUP(2,1/(Fact_Physical_Progress!$B$2:$B$35=Dim_WBS!$A$4)/(Fact_Physical_Progress!$A$2:$A$35&lt;=B24),Fact_Physical_Progress!$C$2:$C$35),0)*Dim_WBS!$E$4,IFERROR(LOOKUP(2,1/(Fact_Physical_Progress!$B$2:$B$35=Dim_WBS!$A$5)/(Fact_Physical_Progress!$A$2:$A$35&lt;=B24),Fact_Physical_Progress!$C$2:$C$35),0)*Dim_WBS!$E$5,IFERROR(LOOKUP(2,1/(Fact_Physical_Progress!$B$2:$B$35=Dim_WBS!$A$6)/(Fact_Physical_Progress!$A$2:$A$35&lt;=B24),Fact_Physical_Progress!$C$2:$C$35),0)*Dim_WBS!$E$6,IFERROR(LOOKUP(2,1/(Fact_Physical_Progress!$B$2:$B$35=Dim_WBS!$A$7)/(Fact_Physical_Progress!$A$2:$A$35&lt;=B24),Fact_Physical_Progress!$C$2:$C$35),0)*Dim_WBS!$E$7,IFERROR(LOOKUP(2,1/(Fact_Physical_Progress!$B$2:$B$35=Dim_WBS!$A$8)/(Fact_Physical_Progress!$A$2:$A$35&lt;=B24),Fact_Physical_Progress!$C$2:$C$35),0)*Dim_WBS!$E$8,IFERROR(LOOKUP(2,1/(Fact_Physical_Progress!$B$2:$B$35=Dim_WBS!$A$9)/(Fact_Physical_Progress!$A$2:$A$35&lt;=B24),Fact_Physical_Progress!$C$2:$C$35),0)*Dim_WBS!$E$9,IFERROR(LOOKUP(2,1/(Fact_Physical_Progress!$B$2:$B$35=Dim_WBS!$A$10)/(Fact_Physical_Progress!$A$2:$A$35&lt;=B24),Fact_Physical_Progress!$C$2:$C$35),0)*Dim_WBS!$E$10,IFERROR(LOOKUP(2,1/(Fact_Physical_Progress!$B$2:$B$35=Dim_WBS!$A$11)/(Fact_Physical_Progress!$A$2:$A$35&lt;=B24),Fact_Physical_Progress!$C$2:$C$35),0)*Dim_WBS!$E$11,IFERROR(LOOKUP(2,1/(Fact_Physical_Progress!$B$2:$B$35=Dim_WBS!$A$12)/(Fact_Physical_Progress!$A$2:$A$35&lt;=B24),Fact_Physical_Progress!$C$2:$C$35),0)*Dim_WBS!$E$12,IFERROR(LOOKUP(2,1/(Fact_Physical_Progress!$B$2:$B$35=Dim_WBS!$A$13)/(Fact_Physical_Progress!$A$2:$A$35&lt;=B24),Fact_Physical_Progress!$C$2:$C$35),0)*Dim_WBS!$E$13)</f>
        <v>15087.994000000001</v>
      </c>
      <c r="F24" s="50">
        <f t="shared" ref="F24:F35" si="3">IFERROR(E24/D24,0)</f>
        <v>0.92592555771572205</v>
      </c>
      <c r="G24" s="151">
        <f t="shared" ref="G24:G35" si="4">IFERROR(E24/C24,0)</f>
        <v>0.91999963414634145</v>
      </c>
    </row>
    <row r="25" spans="1:7" x14ac:dyDescent="0.35">
      <c r="A25" s="130">
        <v>2</v>
      </c>
      <c r="B25" s="46">
        <f>MIN(Fact_Baseline_PV!$A:$A)+4+(1*7)</f>
        <v>46157</v>
      </c>
      <c r="C25" s="49">
        <f>SUMIFS(Fact_Baseline_PV!$C:$C,Fact_Baseline_PV!$A:$A,"&lt;="&amp;B25)</f>
        <v>39200</v>
      </c>
      <c r="D25" s="49">
        <f>SUMIFS(Fact_Actual_Costs!$D:$D,Fact_Actual_Costs!$A:$A,"&lt;="&amp;B25)</f>
        <v>38949.120000000003</v>
      </c>
      <c r="E25" s="49" cm="1">
        <f t="array" ref="E25">SUM(IFERROR(LOOKUP(2,1/(Fact_Physical_Progress!$B$2:$B$35=Dim_WBS!$A$2)/(Fact_Physical_Progress!$A$2:$A$35&lt;=B25),Fact_Physical_Progress!$C$2:$C$35),0)*Dim_WBS!$E$2,IFERROR(LOOKUP(2,1/(Fact_Physical_Progress!$B$2:$B$35=Dim_WBS!$A$3)/(Fact_Physical_Progress!$A$2:$A$35&lt;=B25),Fact_Physical_Progress!$C$2:$C$35),0)*Dim_WBS!$E$3,IFERROR(LOOKUP(2,1/(Fact_Physical_Progress!$B$2:$B$35=Dim_WBS!$A$4)/(Fact_Physical_Progress!$A$2:$A$35&lt;=B25),Fact_Physical_Progress!$C$2:$C$35),0)*Dim_WBS!$E$4,IFERROR(LOOKUP(2,1/(Fact_Physical_Progress!$B$2:$B$35=Dim_WBS!$A$5)/(Fact_Physical_Progress!$A$2:$A$35&lt;=B25),Fact_Physical_Progress!$C$2:$C$35),0)*Dim_WBS!$E$5,IFERROR(LOOKUP(2,1/(Fact_Physical_Progress!$B$2:$B$35=Dim_WBS!$A$6)/(Fact_Physical_Progress!$A$2:$A$35&lt;=B25),Fact_Physical_Progress!$C$2:$C$35),0)*Dim_WBS!$E$6,IFERROR(LOOKUP(2,1/(Fact_Physical_Progress!$B$2:$B$35=Dim_WBS!$A$7)/(Fact_Physical_Progress!$A$2:$A$35&lt;=B25),Fact_Physical_Progress!$C$2:$C$35),0)*Dim_WBS!$E$7,IFERROR(LOOKUP(2,1/(Fact_Physical_Progress!$B$2:$B$35=Dim_WBS!$A$8)/(Fact_Physical_Progress!$A$2:$A$35&lt;=B25),Fact_Physical_Progress!$C$2:$C$35),0)*Dim_WBS!$E$8,IFERROR(LOOKUP(2,1/(Fact_Physical_Progress!$B$2:$B$35=Dim_WBS!$A$9)/(Fact_Physical_Progress!$A$2:$A$35&lt;=B25),Fact_Physical_Progress!$C$2:$C$35),0)*Dim_WBS!$E$9,IFERROR(LOOKUP(2,1/(Fact_Physical_Progress!$B$2:$B$35=Dim_WBS!$A$10)/(Fact_Physical_Progress!$A$2:$A$35&lt;=B25),Fact_Physical_Progress!$C$2:$C$35),0)*Dim_WBS!$E$10,IFERROR(LOOKUP(2,1/(Fact_Physical_Progress!$B$2:$B$35=Dim_WBS!$A$11)/(Fact_Physical_Progress!$A$2:$A$35&lt;=B25),Fact_Physical_Progress!$C$2:$C$35),0)*Dim_WBS!$E$11,IFERROR(LOOKUP(2,1/(Fact_Physical_Progress!$B$2:$B$35=Dim_WBS!$A$12)/(Fact_Physical_Progress!$A$2:$A$35&lt;=B25),Fact_Physical_Progress!$C$2:$C$35),0)*Dim_WBS!$E$12,IFERROR(LOOKUP(2,1/(Fact_Physical_Progress!$B$2:$B$35=Dim_WBS!$A$13)/(Fact_Physical_Progress!$A$2:$A$35&lt;=B25),Fact_Physical_Progress!$C$2:$C$35),0)*Dim_WBS!$E$13)</f>
        <v>36064.003600000004</v>
      </c>
      <c r="F25" s="50">
        <f t="shared" si="3"/>
        <v>0.92592601835420163</v>
      </c>
      <c r="G25" s="151">
        <f t="shared" si="4"/>
        <v>0.92000009183673481</v>
      </c>
    </row>
    <row r="26" spans="1:7" x14ac:dyDescent="0.35">
      <c r="A26" s="130">
        <v>3</v>
      </c>
      <c r="B26" s="46">
        <f>MIN(Fact_Baseline_PV!$A:$A)+4+(2*7)</f>
        <v>46164</v>
      </c>
      <c r="C26" s="49">
        <f>SUMIFS(Fact_Baseline_PV!$C:$C,Fact_Baseline_PV!$A:$A,"&lt;="&amp;B26)</f>
        <v>62000</v>
      </c>
      <c r="D26" s="49">
        <f>SUMIFS(Fact_Actual_Costs!$D:$D,Fact_Actual_Costs!$A:$A,"&lt;="&amp;B26)</f>
        <v>61603.200000000004</v>
      </c>
      <c r="E26" s="49" cm="1">
        <f t="array" ref="E26">SUM(IFERROR(LOOKUP(2,1/(Fact_Physical_Progress!$B$2:$B$35=Dim_WBS!$A$2)/(Fact_Physical_Progress!$A$2:$A$35&lt;=B26),Fact_Physical_Progress!$C$2:$C$35),0)*Dim_WBS!$E$2,IFERROR(LOOKUP(2,1/(Fact_Physical_Progress!$B$2:$B$35=Dim_WBS!$A$3)/(Fact_Physical_Progress!$A$2:$A$35&lt;=B26),Fact_Physical_Progress!$C$2:$C$35),0)*Dim_WBS!$E$3,IFERROR(LOOKUP(2,1/(Fact_Physical_Progress!$B$2:$B$35=Dim_WBS!$A$4)/(Fact_Physical_Progress!$A$2:$A$35&lt;=B26),Fact_Physical_Progress!$C$2:$C$35),0)*Dim_WBS!$E$4,IFERROR(LOOKUP(2,1/(Fact_Physical_Progress!$B$2:$B$35=Dim_WBS!$A$5)/(Fact_Physical_Progress!$A$2:$A$35&lt;=B26),Fact_Physical_Progress!$C$2:$C$35),0)*Dim_WBS!$E$5,IFERROR(LOOKUP(2,1/(Fact_Physical_Progress!$B$2:$B$35=Dim_WBS!$A$6)/(Fact_Physical_Progress!$A$2:$A$35&lt;=B26),Fact_Physical_Progress!$C$2:$C$35),0)*Dim_WBS!$E$6,IFERROR(LOOKUP(2,1/(Fact_Physical_Progress!$B$2:$B$35=Dim_WBS!$A$7)/(Fact_Physical_Progress!$A$2:$A$35&lt;=B26),Fact_Physical_Progress!$C$2:$C$35),0)*Dim_WBS!$E$7,IFERROR(LOOKUP(2,1/(Fact_Physical_Progress!$B$2:$B$35=Dim_WBS!$A$8)/(Fact_Physical_Progress!$A$2:$A$35&lt;=B26),Fact_Physical_Progress!$C$2:$C$35),0)*Dim_WBS!$E$8,IFERROR(LOOKUP(2,1/(Fact_Physical_Progress!$B$2:$B$35=Dim_WBS!$A$9)/(Fact_Physical_Progress!$A$2:$A$35&lt;=B26),Fact_Physical_Progress!$C$2:$C$35),0)*Dim_WBS!$E$9,IFERROR(LOOKUP(2,1/(Fact_Physical_Progress!$B$2:$B$35=Dim_WBS!$A$10)/(Fact_Physical_Progress!$A$2:$A$35&lt;=B26),Fact_Physical_Progress!$C$2:$C$35),0)*Dim_WBS!$E$10,IFERROR(LOOKUP(2,1/(Fact_Physical_Progress!$B$2:$B$35=Dim_WBS!$A$11)/(Fact_Physical_Progress!$A$2:$A$35&lt;=B26),Fact_Physical_Progress!$C$2:$C$35),0)*Dim_WBS!$E$11,IFERROR(LOOKUP(2,1/(Fact_Physical_Progress!$B$2:$B$35=Dim_WBS!$A$12)/(Fact_Physical_Progress!$A$2:$A$35&lt;=B26),Fact_Physical_Progress!$C$2:$C$35),0)*Dim_WBS!$E$12,IFERROR(LOOKUP(2,1/(Fact_Physical_Progress!$B$2:$B$35=Dim_WBS!$A$13)/(Fact_Physical_Progress!$A$2:$A$35&lt;=B26),Fact_Physical_Progress!$C$2:$C$35),0)*Dim_WBS!$E$13)</f>
        <v>57040</v>
      </c>
      <c r="F26" s="50">
        <f t="shared" si="3"/>
        <v>0.92592592592592582</v>
      </c>
      <c r="G26" s="151">
        <f t="shared" si="4"/>
        <v>0.92</v>
      </c>
    </row>
    <row r="27" spans="1:7" x14ac:dyDescent="0.35">
      <c r="A27" s="130">
        <v>4</v>
      </c>
      <c r="B27" s="46">
        <f>MIN(Fact_Baseline_PV!$A:$A)+4+(3*7)</f>
        <v>46171</v>
      </c>
      <c r="C27" s="49">
        <f>SUMIFS(Fact_Baseline_PV!$C:$C,Fact_Baseline_PV!$A:$A,"&lt;="&amp;B27)</f>
        <v>87066.67</v>
      </c>
      <c r="D27" s="49">
        <f>SUMIFS(Fact_Actual_Costs!$D:$D,Fact_Actual_Costs!$A:$A,"&lt;="&amp;B27)</f>
        <v>86509.440000000017</v>
      </c>
      <c r="E27" s="49" cm="1">
        <f t="array" ref="E27">SUM(IFERROR(LOOKUP(2,1/(Fact_Physical_Progress!$B$2:$B$35=Dim_WBS!$A$2)/(Fact_Physical_Progress!$A$2:$A$35&lt;=B27),Fact_Physical_Progress!$C$2:$C$35),0)*Dim_WBS!$E$2,IFERROR(LOOKUP(2,1/(Fact_Physical_Progress!$B$2:$B$35=Dim_WBS!$A$3)/(Fact_Physical_Progress!$A$2:$A$35&lt;=B27),Fact_Physical_Progress!$C$2:$C$35),0)*Dim_WBS!$E$3,IFERROR(LOOKUP(2,1/(Fact_Physical_Progress!$B$2:$B$35=Dim_WBS!$A$4)/(Fact_Physical_Progress!$A$2:$A$35&lt;=B27),Fact_Physical_Progress!$C$2:$C$35),0)*Dim_WBS!$E$4,IFERROR(LOOKUP(2,1/(Fact_Physical_Progress!$B$2:$B$35=Dim_WBS!$A$5)/(Fact_Physical_Progress!$A$2:$A$35&lt;=B27),Fact_Physical_Progress!$C$2:$C$35),0)*Dim_WBS!$E$5,IFERROR(LOOKUP(2,1/(Fact_Physical_Progress!$B$2:$B$35=Dim_WBS!$A$6)/(Fact_Physical_Progress!$A$2:$A$35&lt;=B27),Fact_Physical_Progress!$C$2:$C$35),0)*Dim_WBS!$E$6,IFERROR(LOOKUP(2,1/(Fact_Physical_Progress!$B$2:$B$35=Dim_WBS!$A$7)/(Fact_Physical_Progress!$A$2:$A$35&lt;=B27),Fact_Physical_Progress!$C$2:$C$35),0)*Dim_WBS!$E$7,IFERROR(LOOKUP(2,1/(Fact_Physical_Progress!$B$2:$B$35=Dim_WBS!$A$8)/(Fact_Physical_Progress!$A$2:$A$35&lt;=B27),Fact_Physical_Progress!$C$2:$C$35),0)*Dim_WBS!$E$8,IFERROR(LOOKUP(2,1/(Fact_Physical_Progress!$B$2:$B$35=Dim_WBS!$A$9)/(Fact_Physical_Progress!$A$2:$A$35&lt;=B27),Fact_Physical_Progress!$C$2:$C$35),0)*Dim_WBS!$E$9,IFERROR(LOOKUP(2,1/(Fact_Physical_Progress!$B$2:$B$35=Dim_WBS!$A$10)/(Fact_Physical_Progress!$A$2:$A$35&lt;=B27),Fact_Physical_Progress!$C$2:$C$35),0)*Dim_WBS!$E$10,IFERROR(LOOKUP(2,1/(Fact_Physical_Progress!$B$2:$B$35=Dim_WBS!$A$11)/(Fact_Physical_Progress!$A$2:$A$35&lt;=B27),Fact_Physical_Progress!$C$2:$C$35),0)*Dim_WBS!$E$11,IFERROR(LOOKUP(2,1/(Fact_Physical_Progress!$B$2:$B$35=Dim_WBS!$A$12)/(Fact_Physical_Progress!$A$2:$A$35&lt;=B27),Fact_Physical_Progress!$C$2:$C$35),0)*Dim_WBS!$E$12,IFERROR(LOOKUP(2,1/(Fact_Physical_Progress!$B$2:$B$35=Dim_WBS!$A$13)/(Fact_Physical_Progress!$A$2:$A$35&lt;=B27),Fact_Physical_Progress!$C$2:$C$35),0)*Dim_WBS!$E$13)</f>
        <v>80101.327999999994</v>
      </c>
      <c r="F27" s="50">
        <f t="shared" si="3"/>
        <v>0.92592586427562096</v>
      </c>
      <c r="G27" s="151">
        <f t="shared" si="4"/>
        <v>0.91999990352220884</v>
      </c>
    </row>
    <row r="28" spans="1:7" x14ac:dyDescent="0.35">
      <c r="A28" s="130">
        <v>5</v>
      </c>
      <c r="B28" s="46">
        <f>MIN(Fact_Baseline_PV!$A:$A)+4+(4*7)</f>
        <v>46178</v>
      </c>
      <c r="C28" s="49">
        <f>SUMIFS(Fact_Baseline_PV!$C:$C,Fact_Baseline_PV!$A:$A,"&lt;="&amp;B28)</f>
        <v>116733.34</v>
      </c>
      <c r="D28" s="49">
        <f>SUMIFS(Fact_Actual_Costs!$D:$D,Fact_Actual_Costs!$A:$A,"&lt;="&amp;B28)</f>
        <v>115986.24000000002</v>
      </c>
      <c r="E28" s="49" cm="1">
        <f t="array" ref="E28">SUM(IFERROR(LOOKUP(2,1/(Fact_Physical_Progress!$B$2:$B$35=Dim_WBS!$A$2)/(Fact_Physical_Progress!$A$2:$A$35&lt;=B28),Fact_Physical_Progress!$C$2:$C$35),0)*Dim_WBS!$E$2,IFERROR(LOOKUP(2,1/(Fact_Physical_Progress!$B$2:$B$35=Dim_WBS!$A$3)/(Fact_Physical_Progress!$A$2:$A$35&lt;=B28),Fact_Physical_Progress!$C$2:$C$35),0)*Dim_WBS!$E$3,IFERROR(LOOKUP(2,1/(Fact_Physical_Progress!$B$2:$B$35=Dim_WBS!$A$4)/(Fact_Physical_Progress!$A$2:$A$35&lt;=B28),Fact_Physical_Progress!$C$2:$C$35),0)*Dim_WBS!$E$4,IFERROR(LOOKUP(2,1/(Fact_Physical_Progress!$B$2:$B$35=Dim_WBS!$A$5)/(Fact_Physical_Progress!$A$2:$A$35&lt;=B28),Fact_Physical_Progress!$C$2:$C$35),0)*Dim_WBS!$E$5,IFERROR(LOOKUP(2,1/(Fact_Physical_Progress!$B$2:$B$35=Dim_WBS!$A$6)/(Fact_Physical_Progress!$A$2:$A$35&lt;=B28),Fact_Physical_Progress!$C$2:$C$35),0)*Dim_WBS!$E$6,IFERROR(LOOKUP(2,1/(Fact_Physical_Progress!$B$2:$B$35=Dim_WBS!$A$7)/(Fact_Physical_Progress!$A$2:$A$35&lt;=B28),Fact_Physical_Progress!$C$2:$C$35),0)*Dim_WBS!$E$7,IFERROR(LOOKUP(2,1/(Fact_Physical_Progress!$B$2:$B$35=Dim_WBS!$A$8)/(Fact_Physical_Progress!$A$2:$A$35&lt;=B28),Fact_Physical_Progress!$C$2:$C$35),0)*Dim_WBS!$E$8,IFERROR(LOOKUP(2,1/(Fact_Physical_Progress!$B$2:$B$35=Dim_WBS!$A$9)/(Fact_Physical_Progress!$A$2:$A$35&lt;=B28),Fact_Physical_Progress!$C$2:$C$35),0)*Dim_WBS!$E$9,IFERROR(LOOKUP(2,1/(Fact_Physical_Progress!$B$2:$B$35=Dim_WBS!$A$10)/(Fact_Physical_Progress!$A$2:$A$35&lt;=B28),Fact_Physical_Progress!$C$2:$C$35),0)*Dim_WBS!$E$10,IFERROR(LOOKUP(2,1/(Fact_Physical_Progress!$B$2:$B$35=Dim_WBS!$A$11)/(Fact_Physical_Progress!$A$2:$A$35&lt;=B28),Fact_Physical_Progress!$C$2:$C$35),0)*Dim_WBS!$E$11,IFERROR(LOOKUP(2,1/(Fact_Physical_Progress!$B$2:$B$35=Dim_WBS!$A$12)/(Fact_Physical_Progress!$A$2:$A$35&lt;=B28),Fact_Physical_Progress!$C$2:$C$35),0)*Dim_WBS!$E$12,IFERROR(LOOKUP(2,1/(Fact_Physical_Progress!$B$2:$B$35=Dim_WBS!$A$13)/(Fact_Physical_Progress!$A$2:$A$35&lt;=B28),Fact_Physical_Progress!$C$2:$C$35),0)*Dim_WBS!$E$13)</f>
        <v>107394.674</v>
      </c>
      <c r="F28" s="50">
        <f t="shared" si="3"/>
        <v>0.92592598915181645</v>
      </c>
      <c r="G28" s="151">
        <f t="shared" si="4"/>
        <v>0.92000001027983958</v>
      </c>
    </row>
    <row r="29" spans="1:7" x14ac:dyDescent="0.35">
      <c r="A29" s="130">
        <v>6</v>
      </c>
      <c r="B29" s="46">
        <f>MIN(Fact_Baseline_PV!$A:$A)+4+(5*7)</f>
        <v>46185</v>
      </c>
      <c r="C29" s="49">
        <f>SUMIFS(Fact_Baseline_PV!$C:$C,Fact_Baseline_PV!$A:$A,"&lt;="&amp;B29)</f>
        <v>142900</v>
      </c>
      <c r="D29" s="49">
        <f>SUMIFS(Fact_Actual_Costs!$D:$D,Fact_Actual_Costs!$A:$A,"&lt;="&amp;B29)</f>
        <v>141985.44</v>
      </c>
      <c r="E29" s="49" cm="1">
        <f t="array" ref="E29">SUM(IFERROR(LOOKUP(2,1/(Fact_Physical_Progress!$B$2:$B$35=Dim_WBS!$A$2)/(Fact_Physical_Progress!$A$2:$A$35&lt;=B29),Fact_Physical_Progress!$C$2:$C$35),0)*Dim_WBS!$E$2,IFERROR(LOOKUP(2,1/(Fact_Physical_Progress!$B$2:$B$35=Dim_WBS!$A$3)/(Fact_Physical_Progress!$A$2:$A$35&lt;=B29),Fact_Physical_Progress!$C$2:$C$35),0)*Dim_WBS!$E$3,IFERROR(LOOKUP(2,1/(Fact_Physical_Progress!$B$2:$B$35=Dim_WBS!$A$4)/(Fact_Physical_Progress!$A$2:$A$35&lt;=B29),Fact_Physical_Progress!$C$2:$C$35),0)*Dim_WBS!$E$4,IFERROR(LOOKUP(2,1/(Fact_Physical_Progress!$B$2:$B$35=Dim_WBS!$A$5)/(Fact_Physical_Progress!$A$2:$A$35&lt;=B29),Fact_Physical_Progress!$C$2:$C$35),0)*Dim_WBS!$E$5,IFERROR(LOOKUP(2,1/(Fact_Physical_Progress!$B$2:$B$35=Dim_WBS!$A$6)/(Fact_Physical_Progress!$A$2:$A$35&lt;=B29),Fact_Physical_Progress!$C$2:$C$35),0)*Dim_WBS!$E$6,IFERROR(LOOKUP(2,1/(Fact_Physical_Progress!$B$2:$B$35=Dim_WBS!$A$7)/(Fact_Physical_Progress!$A$2:$A$35&lt;=B29),Fact_Physical_Progress!$C$2:$C$35),0)*Dim_WBS!$E$7,IFERROR(LOOKUP(2,1/(Fact_Physical_Progress!$B$2:$B$35=Dim_WBS!$A$8)/(Fact_Physical_Progress!$A$2:$A$35&lt;=B29),Fact_Physical_Progress!$C$2:$C$35),0)*Dim_WBS!$E$8,IFERROR(LOOKUP(2,1/(Fact_Physical_Progress!$B$2:$B$35=Dim_WBS!$A$9)/(Fact_Physical_Progress!$A$2:$A$35&lt;=B29),Fact_Physical_Progress!$C$2:$C$35),0)*Dim_WBS!$E$9,IFERROR(LOOKUP(2,1/(Fact_Physical_Progress!$B$2:$B$35=Dim_WBS!$A$10)/(Fact_Physical_Progress!$A$2:$A$35&lt;=B29),Fact_Physical_Progress!$C$2:$C$35),0)*Dim_WBS!$E$10,IFERROR(LOOKUP(2,1/(Fact_Physical_Progress!$B$2:$B$35=Dim_WBS!$A$11)/(Fact_Physical_Progress!$A$2:$A$35&lt;=B29),Fact_Physical_Progress!$C$2:$C$35),0)*Dim_WBS!$E$11,IFERROR(LOOKUP(2,1/(Fact_Physical_Progress!$B$2:$B$35=Dim_WBS!$A$12)/(Fact_Physical_Progress!$A$2:$A$35&lt;=B29),Fact_Physical_Progress!$C$2:$C$35),0)*Dim_WBS!$E$12,IFERROR(LOOKUP(2,1/(Fact_Physical_Progress!$B$2:$B$35=Dim_WBS!$A$13)/(Fact_Physical_Progress!$A$2:$A$35&lt;=B29),Fact_Physical_Progress!$C$2:$C$35),0)*Dim_WBS!$E$13)</f>
        <v>131467.99600000001</v>
      </c>
      <c r="F29" s="50">
        <f t="shared" si="3"/>
        <v>0.92592589775402334</v>
      </c>
      <c r="G29" s="151">
        <f t="shared" si="4"/>
        <v>0.91999997200839756</v>
      </c>
    </row>
    <row r="30" spans="1:7" x14ac:dyDescent="0.35">
      <c r="A30" s="130">
        <v>7</v>
      </c>
      <c r="B30" s="46">
        <f>MIN(Fact_Baseline_PV!$A:$A)+4+(6*7)</f>
        <v>46192</v>
      </c>
      <c r="C30" s="49">
        <f>SUMIFS(Fact_Baseline_PV!$C:$C,Fact_Baseline_PV!$A:$A,"&lt;="&amp;B30)</f>
        <v>160400</v>
      </c>
      <c r="D30" s="49">
        <f>SUMIFS(Fact_Actual_Costs!$D:$D,Fact_Actual_Costs!$A:$A,"&lt;="&amp;B30)</f>
        <v>141985.44</v>
      </c>
      <c r="E30" s="49" cm="1">
        <f t="array" ref="E30">SUM(IFERROR(LOOKUP(2,1/(Fact_Physical_Progress!$B$2:$B$35=Dim_WBS!$A$2)/(Fact_Physical_Progress!$A$2:$A$35&lt;=B30),Fact_Physical_Progress!$C$2:$C$35),0)*Dim_WBS!$E$2,IFERROR(LOOKUP(2,1/(Fact_Physical_Progress!$B$2:$B$35=Dim_WBS!$A$3)/(Fact_Physical_Progress!$A$2:$A$35&lt;=B30),Fact_Physical_Progress!$C$2:$C$35),0)*Dim_WBS!$E$3,IFERROR(LOOKUP(2,1/(Fact_Physical_Progress!$B$2:$B$35=Dim_WBS!$A$4)/(Fact_Physical_Progress!$A$2:$A$35&lt;=B30),Fact_Physical_Progress!$C$2:$C$35),0)*Dim_WBS!$E$4,IFERROR(LOOKUP(2,1/(Fact_Physical_Progress!$B$2:$B$35=Dim_WBS!$A$5)/(Fact_Physical_Progress!$A$2:$A$35&lt;=B30),Fact_Physical_Progress!$C$2:$C$35),0)*Dim_WBS!$E$5,IFERROR(LOOKUP(2,1/(Fact_Physical_Progress!$B$2:$B$35=Dim_WBS!$A$6)/(Fact_Physical_Progress!$A$2:$A$35&lt;=B30),Fact_Physical_Progress!$C$2:$C$35),0)*Dim_WBS!$E$6,IFERROR(LOOKUP(2,1/(Fact_Physical_Progress!$B$2:$B$35=Dim_WBS!$A$7)/(Fact_Physical_Progress!$A$2:$A$35&lt;=B30),Fact_Physical_Progress!$C$2:$C$35),0)*Dim_WBS!$E$7,IFERROR(LOOKUP(2,1/(Fact_Physical_Progress!$B$2:$B$35=Dim_WBS!$A$8)/(Fact_Physical_Progress!$A$2:$A$35&lt;=B30),Fact_Physical_Progress!$C$2:$C$35),0)*Dim_WBS!$E$8,IFERROR(LOOKUP(2,1/(Fact_Physical_Progress!$B$2:$B$35=Dim_WBS!$A$9)/(Fact_Physical_Progress!$A$2:$A$35&lt;=B30),Fact_Physical_Progress!$C$2:$C$35),0)*Dim_WBS!$E$9,IFERROR(LOOKUP(2,1/(Fact_Physical_Progress!$B$2:$B$35=Dim_WBS!$A$10)/(Fact_Physical_Progress!$A$2:$A$35&lt;=B30),Fact_Physical_Progress!$C$2:$C$35),0)*Dim_WBS!$E$10,IFERROR(LOOKUP(2,1/(Fact_Physical_Progress!$B$2:$B$35=Dim_WBS!$A$11)/(Fact_Physical_Progress!$A$2:$A$35&lt;=B30),Fact_Physical_Progress!$C$2:$C$35),0)*Dim_WBS!$E$11,IFERROR(LOOKUP(2,1/(Fact_Physical_Progress!$B$2:$B$35=Dim_WBS!$A$12)/(Fact_Physical_Progress!$A$2:$A$35&lt;=B30),Fact_Physical_Progress!$C$2:$C$35),0)*Dim_WBS!$E$12,IFERROR(LOOKUP(2,1/(Fact_Physical_Progress!$B$2:$B$35=Dim_WBS!$A$13)/(Fact_Physical_Progress!$A$2:$A$35&lt;=B30),Fact_Physical_Progress!$C$2:$C$35),0)*Dim_WBS!$E$13)</f>
        <v>131467.99600000001</v>
      </c>
      <c r="F30" s="50">
        <f t="shared" si="3"/>
        <v>0.92592589775402334</v>
      </c>
      <c r="G30" s="151">
        <f t="shared" si="4"/>
        <v>0.81962591022443898</v>
      </c>
    </row>
    <row r="31" spans="1:7" x14ac:dyDescent="0.35">
      <c r="A31" s="130">
        <v>8</v>
      </c>
      <c r="B31" s="46">
        <f>MIN(Fact_Baseline_PV!$A:$A)+4+(7*7)</f>
        <v>46199</v>
      </c>
      <c r="C31" s="49">
        <f>SUMIFS(Fact_Baseline_PV!$C:$C,Fact_Baseline_PV!$A:$A,"&lt;="&amp;B31)</f>
        <v>189816.67</v>
      </c>
      <c r="D31" s="49">
        <f>SUMIFS(Fact_Actual_Costs!$D:$D,Fact_Actual_Costs!$A:$A,"&lt;="&amp;B31)</f>
        <v>141985.44</v>
      </c>
      <c r="E31" s="49" cm="1">
        <f t="array" ref="E31">SUM(IFERROR(LOOKUP(2,1/(Fact_Physical_Progress!$B$2:$B$35=Dim_WBS!$A$2)/(Fact_Physical_Progress!$A$2:$A$35&lt;=B31),Fact_Physical_Progress!$C$2:$C$35),0)*Dim_WBS!$E$2,IFERROR(LOOKUP(2,1/(Fact_Physical_Progress!$B$2:$B$35=Dim_WBS!$A$3)/(Fact_Physical_Progress!$A$2:$A$35&lt;=B31),Fact_Physical_Progress!$C$2:$C$35),0)*Dim_WBS!$E$3,IFERROR(LOOKUP(2,1/(Fact_Physical_Progress!$B$2:$B$35=Dim_WBS!$A$4)/(Fact_Physical_Progress!$A$2:$A$35&lt;=B31),Fact_Physical_Progress!$C$2:$C$35),0)*Dim_WBS!$E$4,IFERROR(LOOKUP(2,1/(Fact_Physical_Progress!$B$2:$B$35=Dim_WBS!$A$5)/(Fact_Physical_Progress!$A$2:$A$35&lt;=B31),Fact_Physical_Progress!$C$2:$C$35),0)*Dim_WBS!$E$5,IFERROR(LOOKUP(2,1/(Fact_Physical_Progress!$B$2:$B$35=Dim_WBS!$A$6)/(Fact_Physical_Progress!$A$2:$A$35&lt;=B31),Fact_Physical_Progress!$C$2:$C$35),0)*Dim_WBS!$E$6,IFERROR(LOOKUP(2,1/(Fact_Physical_Progress!$B$2:$B$35=Dim_WBS!$A$7)/(Fact_Physical_Progress!$A$2:$A$35&lt;=B31),Fact_Physical_Progress!$C$2:$C$35),0)*Dim_WBS!$E$7,IFERROR(LOOKUP(2,1/(Fact_Physical_Progress!$B$2:$B$35=Dim_WBS!$A$8)/(Fact_Physical_Progress!$A$2:$A$35&lt;=B31),Fact_Physical_Progress!$C$2:$C$35),0)*Dim_WBS!$E$8,IFERROR(LOOKUP(2,1/(Fact_Physical_Progress!$B$2:$B$35=Dim_WBS!$A$9)/(Fact_Physical_Progress!$A$2:$A$35&lt;=B31),Fact_Physical_Progress!$C$2:$C$35),0)*Dim_WBS!$E$9,IFERROR(LOOKUP(2,1/(Fact_Physical_Progress!$B$2:$B$35=Dim_WBS!$A$10)/(Fact_Physical_Progress!$A$2:$A$35&lt;=B31),Fact_Physical_Progress!$C$2:$C$35),0)*Dim_WBS!$E$10,IFERROR(LOOKUP(2,1/(Fact_Physical_Progress!$B$2:$B$35=Dim_WBS!$A$11)/(Fact_Physical_Progress!$A$2:$A$35&lt;=B31),Fact_Physical_Progress!$C$2:$C$35),0)*Dim_WBS!$E$11,IFERROR(LOOKUP(2,1/(Fact_Physical_Progress!$B$2:$B$35=Dim_WBS!$A$12)/(Fact_Physical_Progress!$A$2:$A$35&lt;=B31),Fact_Physical_Progress!$C$2:$C$35),0)*Dim_WBS!$E$12,IFERROR(LOOKUP(2,1/(Fact_Physical_Progress!$B$2:$B$35=Dim_WBS!$A$13)/(Fact_Physical_Progress!$A$2:$A$35&lt;=B31),Fact_Physical_Progress!$C$2:$C$35),0)*Dim_WBS!$E$13)</f>
        <v>131467.99600000001</v>
      </c>
      <c r="F31" s="50">
        <f t="shared" si="3"/>
        <v>0.92592589775402334</v>
      </c>
      <c r="G31" s="151">
        <f t="shared" si="4"/>
        <v>0.69260511207998754</v>
      </c>
    </row>
    <row r="32" spans="1:7" x14ac:dyDescent="0.35">
      <c r="A32" s="130">
        <v>9</v>
      </c>
      <c r="B32" s="46">
        <f>MIN(Fact_Baseline_PV!$A:$A)+4+(8*7)</f>
        <v>46206</v>
      </c>
      <c r="C32" s="49">
        <f>SUMIFS(Fact_Baseline_PV!$C:$C,Fact_Baseline_PV!$A:$A,"&lt;="&amp;B32)</f>
        <v>220233.34000000003</v>
      </c>
      <c r="D32" s="49">
        <f>SUMIFS(Fact_Actual_Costs!$D:$D,Fact_Actual_Costs!$A:$A,"&lt;="&amp;B32)</f>
        <v>141985.44</v>
      </c>
      <c r="E32" s="49" cm="1">
        <f t="array" ref="E32">SUM(IFERROR(LOOKUP(2,1/(Fact_Physical_Progress!$B$2:$B$35=Dim_WBS!$A$2)/(Fact_Physical_Progress!$A$2:$A$35&lt;=B32),Fact_Physical_Progress!$C$2:$C$35),0)*Dim_WBS!$E$2,IFERROR(LOOKUP(2,1/(Fact_Physical_Progress!$B$2:$B$35=Dim_WBS!$A$3)/(Fact_Physical_Progress!$A$2:$A$35&lt;=B32),Fact_Physical_Progress!$C$2:$C$35),0)*Dim_WBS!$E$3,IFERROR(LOOKUP(2,1/(Fact_Physical_Progress!$B$2:$B$35=Dim_WBS!$A$4)/(Fact_Physical_Progress!$A$2:$A$35&lt;=B32),Fact_Physical_Progress!$C$2:$C$35),0)*Dim_WBS!$E$4,IFERROR(LOOKUP(2,1/(Fact_Physical_Progress!$B$2:$B$35=Dim_WBS!$A$5)/(Fact_Physical_Progress!$A$2:$A$35&lt;=B32),Fact_Physical_Progress!$C$2:$C$35),0)*Dim_WBS!$E$5,IFERROR(LOOKUP(2,1/(Fact_Physical_Progress!$B$2:$B$35=Dim_WBS!$A$6)/(Fact_Physical_Progress!$A$2:$A$35&lt;=B32),Fact_Physical_Progress!$C$2:$C$35),0)*Dim_WBS!$E$6,IFERROR(LOOKUP(2,1/(Fact_Physical_Progress!$B$2:$B$35=Dim_WBS!$A$7)/(Fact_Physical_Progress!$A$2:$A$35&lt;=B32),Fact_Physical_Progress!$C$2:$C$35),0)*Dim_WBS!$E$7,IFERROR(LOOKUP(2,1/(Fact_Physical_Progress!$B$2:$B$35=Dim_WBS!$A$8)/(Fact_Physical_Progress!$A$2:$A$35&lt;=B32),Fact_Physical_Progress!$C$2:$C$35),0)*Dim_WBS!$E$8,IFERROR(LOOKUP(2,1/(Fact_Physical_Progress!$B$2:$B$35=Dim_WBS!$A$9)/(Fact_Physical_Progress!$A$2:$A$35&lt;=B32),Fact_Physical_Progress!$C$2:$C$35),0)*Dim_WBS!$E$9,IFERROR(LOOKUP(2,1/(Fact_Physical_Progress!$B$2:$B$35=Dim_WBS!$A$10)/(Fact_Physical_Progress!$A$2:$A$35&lt;=B32),Fact_Physical_Progress!$C$2:$C$35),0)*Dim_WBS!$E$10,IFERROR(LOOKUP(2,1/(Fact_Physical_Progress!$B$2:$B$35=Dim_WBS!$A$11)/(Fact_Physical_Progress!$A$2:$A$35&lt;=B32),Fact_Physical_Progress!$C$2:$C$35),0)*Dim_WBS!$E$11,IFERROR(LOOKUP(2,1/(Fact_Physical_Progress!$B$2:$B$35=Dim_WBS!$A$12)/(Fact_Physical_Progress!$A$2:$A$35&lt;=B32),Fact_Physical_Progress!$C$2:$C$35),0)*Dim_WBS!$E$12,IFERROR(LOOKUP(2,1/(Fact_Physical_Progress!$B$2:$B$35=Dim_WBS!$A$13)/(Fact_Physical_Progress!$A$2:$A$35&lt;=B32),Fact_Physical_Progress!$C$2:$C$35),0)*Dim_WBS!$E$13)</f>
        <v>131467.99600000001</v>
      </c>
      <c r="F32" s="50">
        <f t="shared" si="3"/>
        <v>0.92592589775402334</v>
      </c>
      <c r="G32" s="151">
        <f t="shared" si="4"/>
        <v>0.59694865454976076</v>
      </c>
    </row>
    <row r="33" spans="1:7" x14ac:dyDescent="0.35">
      <c r="A33" s="130">
        <v>10</v>
      </c>
      <c r="B33" s="46">
        <f>MIN(Fact_Baseline_PV!$A:$A)+4+(9*7)</f>
        <v>46213</v>
      </c>
      <c r="C33" s="49">
        <f>SUMIFS(Fact_Baseline_PV!$C:$C,Fact_Baseline_PV!$A:$A,"&lt;="&amp;B33)</f>
        <v>243650.00000000003</v>
      </c>
      <c r="D33" s="49">
        <f>SUMIFS(Fact_Actual_Costs!$D:$D,Fact_Actual_Costs!$A:$A,"&lt;="&amp;B33)</f>
        <v>141985.44</v>
      </c>
      <c r="E33" s="49" cm="1">
        <f t="array" ref="E33">SUM(IFERROR(LOOKUP(2,1/(Fact_Physical_Progress!$B$2:$B$35=Dim_WBS!$A$2)/(Fact_Physical_Progress!$A$2:$A$35&lt;=B33),Fact_Physical_Progress!$C$2:$C$35),0)*Dim_WBS!$E$2,IFERROR(LOOKUP(2,1/(Fact_Physical_Progress!$B$2:$B$35=Dim_WBS!$A$3)/(Fact_Physical_Progress!$A$2:$A$35&lt;=B33),Fact_Physical_Progress!$C$2:$C$35),0)*Dim_WBS!$E$3,IFERROR(LOOKUP(2,1/(Fact_Physical_Progress!$B$2:$B$35=Dim_WBS!$A$4)/(Fact_Physical_Progress!$A$2:$A$35&lt;=B33),Fact_Physical_Progress!$C$2:$C$35),0)*Dim_WBS!$E$4,IFERROR(LOOKUP(2,1/(Fact_Physical_Progress!$B$2:$B$35=Dim_WBS!$A$5)/(Fact_Physical_Progress!$A$2:$A$35&lt;=B33),Fact_Physical_Progress!$C$2:$C$35),0)*Dim_WBS!$E$5,IFERROR(LOOKUP(2,1/(Fact_Physical_Progress!$B$2:$B$35=Dim_WBS!$A$6)/(Fact_Physical_Progress!$A$2:$A$35&lt;=B33),Fact_Physical_Progress!$C$2:$C$35),0)*Dim_WBS!$E$6,IFERROR(LOOKUP(2,1/(Fact_Physical_Progress!$B$2:$B$35=Dim_WBS!$A$7)/(Fact_Physical_Progress!$A$2:$A$35&lt;=B33),Fact_Physical_Progress!$C$2:$C$35),0)*Dim_WBS!$E$7,IFERROR(LOOKUP(2,1/(Fact_Physical_Progress!$B$2:$B$35=Dim_WBS!$A$8)/(Fact_Physical_Progress!$A$2:$A$35&lt;=B33),Fact_Physical_Progress!$C$2:$C$35),0)*Dim_WBS!$E$8,IFERROR(LOOKUP(2,1/(Fact_Physical_Progress!$B$2:$B$35=Dim_WBS!$A$9)/(Fact_Physical_Progress!$A$2:$A$35&lt;=B33),Fact_Physical_Progress!$C$2:$C$35),0)*Dim_WBS!$E$9,IFERROR(LOOKUP(2,1/(Fact_Physical_Progress!$B$2:$B$35=Dim_WBS!$A$10)/(Fact_Physical_Progress!$A$2:$A$35&lt;=B33),Fact_Physical_Progress!$C$2:$C$35),0)*Dim_WBS!$E$10,IFERROR(LOOKUP(2,1/(Fact_Physical_Progress!$B$2:$B$35=Dim_WBS!$A$11)/(Fact_Physical_Progress!$A$2:$A$35&lt;=B33),Fact_Physical_Progress!$C$2:$C$35),0)*Dim_WBS!$E$11,IFERROR(LOOKUP(2,1/(Fact_Physical_Progress!$B$2:$B$35=Dim_WBS!$A$12)/(Fact_Physical_Progress!$A$2:$A$35&lt;=B33),Fact_Physical_Progress!$C$2:$C$35),0)*Dim_WBS!$E$12,IFERROR(LOOKUP(2,1/(Fact_Physical_Progress!$B$2:$B$35=Dim_WBS!$A$13)/(Fact_Physical_Progress!$A$2:$A$35&lt;=B33),Fact_Physical_Progress!$C$2:$C$35),0)*Dim_WBS!$E$13)</f>
        <v>131467.99600000001</v>
      </c>
      <c r="F33" s="50">
        <f t="shared" si="3"/>
        <v>0.92592589775402334</v>
      </c>
      <c r="G33" s="151">
        <f t="shared" si="4"/>
        <v>0.5395772460496614</v>
      </c>
    </row>
    <row r="34" spans="1:7" x14ac:dyDescent="0.35">
      <c r="A34" s="130">
        <v>11</v>
      </c>
      <c r="B34" s="46">
        <f>MIN(Fact_Baseline_PV!$A:$A)+4+(10*7)</f>
        <v>46220</v>
      </c>
      <c r="C34" s="49">
        <f>SUMIFS(Fact_Baseline_PV!$C:$C,Fact_Baseline_PV!$A:$A,"&lt;="&amp;B34)</f>
        <v>259350.00000000003</v>
      </c>
      <c r="D34" s="49">
        <f>SUMIFS(Fact_Actual_Costs!$D:$D,Fact_Actual_Costs!$A:$A,"&lt;="&amp;B34)</f>
        <v>141985.44</v>
      </c>
      <c r="E34" s="49" cm="1">
        <f t="array" ref="E34">SUM(IFERROR(LOOKUP(2,1/(Fact_Physical_Progress!$B$2:$B$35=Dim_WBS!$A$2)/(Fact_Physical_Progress!$A$2:$A$35&lt;=B34),Fact_Physical_Progress!$C$2:$C$35),0)*Dim_WBS!$E$2,IFERROR(LOOKUP(2,1/(Fact_Physical_Progress!$B$2:$B$35=Dim_WBS!$A$3)/(Fact_Physical_Progress!$A$2:$A$35&lt;=B34),Fact_Physical_Progress!$C$2:$C$35),0)*Dim_WBS!$E$3,IFERROR(LOOKUP(2,1/(Fact_Physical_Progress!$B$2:$B$35=Dim_WBS!$A$4)/(Fact_Physical_Progress!$A$2:$A$35&lt;=B34),Fact_Physical_Progress!$C$2:$C$35),0)*Dim_WBS!$E$4,IFERROR(LOOKUP(2,1/(Fact_Physical_Progress!$B$2:$B$35=Dim_WBS!$A$5)/(Fact_Physical_Progress!$A$2:$A$35&lt;=B34),Fact_Physical_Progress!$C$2:$C$35),0)*Dim_WBS!$E$5,IFERROR(LOOKUP(2,1/(Fact_Physical_Progress!$B$2:$B$35=Dim_WBS!$A$6)/(Fact_Physical_Progress!$A$2:$A$35&lt;=B34),Fact_Physical_Progress!$C$2:$C$35),0)*Dim_WBS!$E$6,IFERROR(LOOKUP(2,1/(Fact_Physical_Progress!$B$2:$B$35=Dim_WBS!$A$7)/(Fact_Physical_Progress!$A$2:$A$35&lt;=B34),Fact_Physical_Progress!$C$2:$C$35),0)*Dim_WBS!$E$7,IFERROR(LOOKUP(2,1/(Fact_Physical_Progress!$B$2:$B$35=Dim_WBS!$A$8)/(Fact_Physical_Progress!$A$2:$A$35&lt;=B34),Fact_Physical_Progress!$C$2:$C$35),0)*Dim_WBS!$E$8,IFERROR(LOOKUP(2,1/(Fact_Physical_Progress!$B$2:$B$35=Dim_WBS!$A$9)/(Fact_Physical_Progress!$A$2:$A$35&lt;=B34),Fact_Physical_Progress!$C$2:$C$35),0)*Dim_WBS!$E$9,IFERROR(LOOKUP(2,1/(Fact_Physical_Progress!$B$2:$B$35=Dim_WBS!$A$10)/(Fact_Physical_Progress!$A$2:$A$35&lt;=B34),Fact_Physical_Progress!$C$2:$C$35),0)*Dim_WBS!$E$10,IFERROR(LOOKUP(2,1/(Fact_Physical_Progress!$B$2:$B$35=Dim_WBS!$A$11)/(Fact_Physical_Progress!$A$2:$A$35&lt;=B34),Fact_Physical_Progress!$C$2:$C$35),0)*Dim_WBS!$E$11,IFERROR(LOOKUP(2,1/(Fact_Physical_Progress!$B$2:$B$35=Dim_WBS!$A$12)/(Fact_Physical_Progress!$A$2:$A$35&lt;=B34),Fact_Physical_Progress!$C$2:$C$35),0)*Dim_WBS!$E$12,IFERROR(LOOKUP(2,1/(Fact_Physical_Progress!$B$2:$B$35=Dim_WBS!$A$13)/(Fact_Physical_Progress!$A$2:$A$35&lt;=B34),Fact_Physical_Progress!$C$2:$C$35),0)*Dim_WBS!$E$13)</f>
        <v>131467.99600000001</v>
      </c>
      <c r="F34" s="50">
        <f t="shared" si="3"/>
        <v>0.92592589775402334</v>
      </c>
      <c r="G34" s="151">
        <f t="shared" si="4"/>
        <v>0.50691342201657996</v>
      </c>
    </row>
    <row r="35" spans="1:7" x14ac:dyDescent="0.35">
      <c r="A35" s="134">
        <v>12</v>
      </c>
      <c r="B35" s="157">
        <f>MIN(Fact_Baseline_PV!$A:$A)+4+(11*7)</f>
        <v>46227</v>
      </c>
      <c r="C35" s="142">
        <f>SUMIFS(Fact_Baseline_PV!$C:$C,Fact_Baseline_PV!$A:$A,"&lt;="&amp;B35)</f>
        <v>268650</v>
      </c>
      <c r="D35" s="142">
        <f>SUMIFS(Fact_Actual_Costs!$D:$D,Fact_Actual_Costs!$A:$A,"&lt;="&amp;B35)</f>
        <v>141985.44</v>
      </c>
      <c r="E35" s="142" cm="1">
        <f t="array" ref="E35">SUM(IFERROR(LOOKUP(2,1/(Fact_Physical_Progress!$B$2:$B$35=Dim_WBS!$A$2)/(Fact_Physical_Progress!$A$2:$A$35&lt;=B35),Fact_Physical_Progress!$C$2:$C$35),0)*Dim_WBS!$E$2,IFERROR(LOOKUP(2,1/(Fact_Physical_Progress!$B$2:$B$35=Dim_WBS!$A$3)/(Fact_Physical_Progress!$A$2:$A$35&lt;=B35),Fact_Physical_Progress!$C$2:$C$35),0)*Dim_WBS!$E$3,IFERROR(LOOKUP(2,1/(Fact_Physical_Progress!$B$2:$B$35=Dim_WBS!$A$4)/(Fact_Physical_Progress!$A$2:$A$35&lt;=B35),Fact_Physical_Progress!$C$2:$C$35),0)*Dim_WBS!$E$4,IFERROR(LOOKUP(2,1/(Fact_Physical_Progress!$B$2:$B$35=Dim_WBS!$A$5)/(Fact_Physical_Progress!$A$2:$A$35&lt;=B35),Fact_Physical_Progress!$C$2:$C$35),0)*Dim_WBS!$E$5,IFERROR(LOOKUP(2,1/(Fact_Physical_Progress!$B$2:$B$35=Dim_WBS!$A$6)/(Fact_Physical_Progress!$A$2:$A$35&lt;=B35),Fact_Physical_Progress!$C$2:$C$35),0)*Dim_WBS!$E$6,IFERROR(LOOKUP(2,1/(Fact_Physical_Progress!$B$2:$B$35=Dim_WBS!$A$7)/(Fact_Physical_Progress!$A$2:$A$35&lt;=B35),Fact_Physical_Progress!$C$2:$C$35),0)*Dim_WBS!$E$7,IFERROR(LOOKUP(2,1/(Fact_Physical_Progress!$B$2:$B$35=Dim_WBS!$A$8)/(Fact_Physical_Progress!$A$2:$A$35&lt;=B35),Fact_Physical_Progress!$C$2:$C$35),0)*Dim_WBS!$E$8,IFERROR(LOOKUP(2,1/(Fact_Physical_Progress!$B$2:$B$35=Dim_WBS!$A$9)/(Fact_Physical_Progress!$A$2:$A$35&lt;=B35),Fact_Physical_Progress!$C$2:$C$35),0)*Dim_WBS!$E$9,IFERROR(LOOKUP(2,1/(Fact_Physical_Progress!$B$2:$B$35=Dim_WBS!$A$10)/(Fact_Physical_Progress!$A$2:$A$35&lt;=B35),Fact_Physical_Progress!$C$2:$C$35),0)*Dim_WBS!$E$10,IFERROR(LOOKUP(2,1/(Fact_Physical_Progress!$B$2:$B$35=Dim_WBS!$A$11)/(Fact_Physical_Progress!$A$2:$A$35&lt;=B35),Fact_Physical_Progress!$C$2:$C$35),0)*Dim_WBS!$E$11,IFERROR(LOOKUP(2,1/(Fact_Physical_Progress!$B$2:$B$35=Dim_WBS!$A$12)/(Fact_Physical_Progress!$A$2:$A$35&lt;=B35),Fact_Physical_Progress!$C$2:$C$35),0)*Dim_WBS!$E$12,IFERROR(LOOKUP(2,1/(Fact_Physical_Progress!$B$2:$B$35=Dim_WBS!$A$13)/(Fact_Physical_Progress!$A$2:$A$35&lt;=B35),Fact_Physical_Progress!$C$2:$C$35),0)*Dim_WBS!$E$13)</f>
        <v>131467.99600000001</v>
      </c>
      <c r="F35" s="160">
        <f t="shared" si="3"/>
        <v>0.92592589775402334</v>
      </c>
      <c r="G35" s="152">
        <f t="shared" si="4"/>
        <v>0.48936533035548119</v>
      </c>
    </row>
  </sheetData>
  <conditionalFormatting sqref="F24:G35">
    <cfRule type="cellIs" dxfId="73" priority="4" operator="lessThan">
      <formula>0.95</formula>
    </cfRule>
    <cfRule type="cellIs" dxfId="72" priority="5" operator="between">
      <formula>0.95</formula>
      <formula>0.999999</formula>
    </cfRule>
    <cfRule type="cellIs" dxfId="71" priority="6" operator="greaterThanOrEqual">
      <formula>1</formula>
    </cfRule>
  </conditionalFormatting>
  <conditionalFormatting sqref="G5:G16">
    <cfRule type="cellIs" dxfId="70" priority="1" operator="lessThan">
      <formula>0.5</formula>
    </cfRule>
    <cfRule type="cellIs" dxfId="69" priority="2" operator="between">
      <formula>0.5</formula>
      <formula>0.799999</formula>
    </cfRule>
    <cfRule type="cellIs" dxfId="68" priority="3" operator="greaterThanOrEqual">
      <formula>0.8</formula>
    </cfRule>
  </conditionalFormatting>
  <conditionalFormatting sqref="H5:H16">
    <cfRule type="expression" dxfId="61" priority="13">
      <formula>ISNUMBER(SEARCH("Red",H5))</formula>
    </cfRule>
  </conditionalFormatting>
  <conditionalFormatting sqref="H5:H16">
    <cfRule type="expression" dxfId="60" priority="14">
      <formula>ISNUMBER(SEARCH("Amber",H5))</formula>
    </cfRule>
  </conditionalFormatting>
  <conditionalFormatting sqref="H5:H16">
    <cfRule type="expression" dxfId="59" priority="15">
      <formula>ISNUMBER(SEARCH("Green",H5))</formula>
    </cfRule>
  </conditionalFormatting>
  <conditionalFormatting sqref="N6:N10">
    <cfRule type="expression" dxfId="58" priority="16">
      <formula>ISNUMBER(SEARCH("Red",N6))</formula>
    </cfRule>
  </conditionalFormatting>
  <conditionalFormatting sqref="N6:N10">
    <cfRule type="expression" dxfId="57" priority="17">
      <formula>ISNUMBER(SEARCH("Amber",N6))</formula>
    </cfRule>
  </conditionalFormatting>
  <conditionalFormatting sqref="N6:N10">
    <cfRule type="expression" dxfId="56" priority="18">
      <formula>ISNUMBER(SEARCH("Green",N6))</formula>
    </cfRule>
  </conditionalFormatting>
  <pageMargins left="0.7" right="0.7" top="0.75" bottom="0.75" header="0.3" footer="0.3"/>
  <drawing r:id="rId1"/>
  <tableParts count="3">
    <tablePart r:id="rId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EA08-45B8-4951-A1B4-FC001B9967E0}">
  <sheetPr>
    <tabColor rgb="FF70AD47"/>
  </sheetPr>
  <dimension ref="A1:AH66"/>
  <sheetViews>
    <sheetView showGridLines="0" workbookViewId="0">
      <selection activeCell="Q1" sqref="Q1"/>
    </sheetView>
  </sheetViews>
  <sheetFormatPr defaultRowHeight="14.5" x14ac:dyDescent="0.35"/>
  <cols>
    <col min="1" max="1" width="30.90625" customWidth="1"/>
    <col min="2" max="2" width="17.26953125" customWidth="1"/>
    <col min="3" max="3" width="13.1796875" customWidth="1"/>
    <col min="4" max="4" width="13.08984375" customWidth="1"/>
    <col min="5" max="5" width="13.7265625" customWidth="1"/>
    <col min="6" max="6" width="13" customWidth="1"/>
    <col min="7" max="14" width="10" customWidth="1"/>
    <col min="15" max="15" width="13.6328125" customWidth="1"/>
  </cols>
  <sheetData>
    <row r="1" spans="1:34" ht="23.5" x14ac:dyDescent="0.55000000000000004">
      <c r="A1" s="101" t="s">
        <v>663</v>
      </c>
      <c r="B1" s="101"/>
      <c r="C1" s="101"/>
      <c r="D1" s="101"/>
      <c r="E1" s="101"/>
      <c r="F1" s="101"/>
      <c r="G1" s="101"/>
      <c r="H1" s="101"/>
      <c r="I1" s="101"/>
      <c r="J1" s="101"/>
      <c r="K1" s="101"/>
      <c r="L1" s="101"/>
      <c r="M1" s="101"/>
      <c r="N1" s="101"/>
      <c r="O1" s="101"/>
      <c r="AA1" s="43"/>
      <c r="AB1" s="43"/>
      <c r="AC1" s="43"/>
      <c r="AD1" s="43"/>
      <c r="AE1" s="43"/>
      <c r="AF1" s="43"/>
      <c r="AG1" s="43"/>
      <c r="AH1" s="43"/>
    </row>
    <row r="2" spans="1:34" x14ac:dyDescent="0.35">
      <c r="A2" s="102" t="s">
        <v>664</v>
      </c>
      <c r="B2" s="102"/>
      <c r="C2" s="102"/>
      <c r="D2" s="102"/>
      <c r="E2" s="102"/>
      <c r="F2" s="102"/>
      <c r="G2" s="102"/>
      <c r="H2" s="102"/>
      <c r="I2" s="102"/>
      <c r="J2" s="102"/>
      <c r="K2" s="102"/>
      <c r="L2" s="102"/>
      <c r="M2" s="102"/>
      <c r="N2" s="102"/>
      <c r="O2" s="102"/>
      <c r="AA2" s="44"/>
      <c r="AB2" s="44"/>
      <c r="AC2" s="44"/>
      <c r="AD2" s="44"/>
      <c r="AE2" s="44"/>
      <c r="AF2" s="44"/>
      <c r="AG2" s="44"/>
      <c r="AH2" s="44"/>
    </row>
    <row r="4" spans="1:34" x14ac:dyDescent="0.35">
      <c r="A4" s="105" t="s">
        <v>665</v>
      </c>
      <c r="B4" s="105"/>
      <c r="C4" s="105"/>
      <c r="D4" s="105"/>
      <c r="E4" s="105"/>
      <c r="F4" s="105"/>
      <c r="G4" s="105"/>
      <c r="H4" s="105"/>
      <c r="I4" s="105"/>
      <c r="J4" s="105"/>
      <c r="K4" s="105"/>
      <c r="L4" s="105"/>
      <c r="M4" s="105"/>
      <c r="N4" s="105"/>
      <c r="O4" s="105"/>
    </row>
    <row r="5" spans="1:34" x14ac:dyDescent="0.35">
      <c r="A5" s="45" t="s">
        <v>666</v>
      </c>
      <c r="B5" s="45" t="str">
        <f>Control_Project_Name</f>
        <v>Office Fit-Out</v>
      </c>
      <c r="C5" s="45" t="s">
        <v>145</v>
      </c>
      <c r="D5" s="85">
        <f>Control_Project_Start</f>
        <v>46146</v>
      </c>
      <c r="E5" s="85" t="s">
        <v>178</v>
      </c>
      <c r="F5" s="85">
        <f>Control_Project_End</f>
        <v>46229</v>
      </c>
      <c r="G5" s="85" t="s">
        <v>147</v>
      </c>
      <c r="H5" s="85">
        <f>Control_Status_Date</f>
        <v>46203</v>
      </c>
      <c r="I5" s="45" t="s">
        <v>75</v>
      </c>
      <c r="J5" s="45" t="s">
        <v>667</v>
      </c>
      <c r="K5" s="45" t="s">
        <v>211</v>
      </c>
      <c r="L5" s="45" t="s">
        <v>668</v>
      </c>
      <c r="M5" s="45"/>
      <c r="N5" s="45"/>
      <c r="O5" s="45"/>
    </row>
    <row r="6" spans="1:34" x14ac:dyDescent="0.35">
      <c r="A6" s="221" t="s">
        <v>669</v>
      </c>
      <c r="B6" s="222" t="s">
        <v>648</v>
      </c>
      <c r="C6" s="222" t="s">
        <v>670</v>
      </c>
      <c r="D6" s="222" t="s">
        <v>131</v>
      </c>
      <c r="E6" s="223" t="s">
        <v>671</v>
      </c>
      <c r="F6" s="74"/>
      <c r="G6" s="74"/>
      <c r="H6" s="74"/>
      <c r="I6" s="74"/>
      <c r="J6" s="74"/>
      <c r="K6" s="74"/>
      <c r="L6" s="74"/>
      <c r="M6" s="74"/>
      <c r="N6" s="74"/>
      <c r="O6" s="74"/>
    </row>
    <row r="7" spans="1:34" ht="14" customHeight="1" x14ac:dyDescent="0.35">
      <c r="A7" s="130" t="s">
        <v>640</v>
      </c>
      <c r="B7" s="2" t="s">
        <v>641</v>
      </c>
      <c r="C7" s="2" t="s">
        <v>642</v>
      </c>
      <c r="D7" s="54" t="s">
        <v>672</v>
      </c>
      <c r="E7" s="131" t="s">
        <v>174</v>
      </c>
      <c r="F7" s="2"/>
      <c r="G7" s="2"/>
      <c r="H7" s="2"/>
      <c r="I7" s="2"/>
      <c r="J7" s="2"/>
      <c r="K7" s="2"/>
      <c r="L7" s="2"/>
      <c r="M7" s="2"/>
      <c r="N7" s="2"/>
      <c r="O7" s="2"/>
    </row>
    <row r="8" spans="1:34" ht="10" customHeight="1" x14ac:dyDescent="0.35">
      <c r="A8" s="134" t="s">
        <v>643</v>
      </c>
      <c r="B8" s="135" t="s">
        <v>644</v>
      </c>
      <c r="C8" s="135" t="s">
        <v>645</v>
      </c>
      <c r="D8" s="127" t="s">
        <v>673</v>
      </c>
      <c r="E8" s="136" t="s">
        <v>174</v>
      </c>
      <c r="F8" s="2"/>
      <c r="G8" s="2"/>
      <c r="H8" s="2"/>
      <c r="I8" s="2"/>
      <c r="J8" s="2"/>
      <c r="K8" s="2"/>
      <c r="L8" s="2"/>
      <c r="M8" s="2"/>
      <c r="N8" s="2"/>
      <c r="O8" s="2"/>
    </row>
    <row r="10" spans="1:34" x14ac:dyDescent="0.35">
      <c r="A10" s="105" t="s">
        <v>646</v>
      </c>
      <c r="B10" s="105"/>
      <c r="C10" s="105"/>
      <c r="D10" s="105"/>
      <c r="E10" s="105"/>
      <c r="F10" s="105"/>
      <c r="G10" s="105"/>
      <c r="H10" s="105"/>
      <c r="I10" s="105"/>
      <c r="J10" s="105"/>
      <c r="K10" s="105"/>
      <c r="L10" s="105"/>
      <c r="M10" s="105"/>
      <c r="N10" s="105"/>
      <c r="O10" s="105"/>
      <c r="AA10" s="70"/>
      <c r="AB10" s="70"/>
      <c r="AC10" s="70"/>
      <c r="AD10" s="70"/>
      <c r="AE10" s="70"/>
      <c r="AF10" s="70"/>
      <c r="AG10" s="70"/>
      <c r="AH10" s="70"/>
    </row>
    <row r="11" spans="1:34" x14ac:dyDescent="0.35">
      <c r="A11" s="45" t="s">
        <v>516</v>
      </c>
      <c r="B11" s="45" t="s">
        <v>647</v>
      </c>
      <c r="C11" s="85">
        <v>46146</v>
      </c>
      <c r="D11" s="85">
        <v>46153</v>
      </c>
      <c r="E11" s="85">
        <v>46160</v>
      </c>
      <c r="F11" s="85">
        <v>46167</v>
      </c>
      <c r="G11" s="85">
        <v>46174</v>
      </c>
      <c r="H11" s="85">
        <v>46181</v>
      </c>
      <c r="I11" s="85">
        <v>46188</v>
      </c>
      <c r="J11" s="85">
        <v>46195</v>
      </c>
      <c r="K11" s="94">
        <v>46202</v>
      </c>
      <c r="L11" s="85">
        <v>46209</v>
      </c>
      <c r="M11" s="85">
        <v>46216</v>
      </c>
      <c r="N11" s="85">
        <v>46223</v>
      </c>
      <c r="O11" s="45" t="s">
        <v>544</v>
      </c>
    </row>
    <row r="12" spans="1:34" x14ac:dyDescent="0.35">
      <c r="A12" s="45"/>
      <c r="B12" s="45"/>
      <c r="C12" s="45">
        <v>1</v>
      </c>
      <c r="D12" s="45">
        <v>2</v>
      </c>
      <c r="E12" s="45">
        <v>3</v>
      </c>
      <c r="F12" s="45">
        <v>4</v>
      </c>
      <c r="G12" s="45">
        <v>5</v>
      </c>
      <c r="H12" s="45">
        <v>6</v>
      </c>
      <c r="I12" s="45">
        <v>7</v>
      </c>
      <c r="J12" s="45">
        <v>8</v>
      </c>
      <c r="K12" s="95">
        <v>9</v>
      </c>
      <c r="L12" s="45">
        <v>10</v>
      </c>
      <c r="M12" s="45">
        <v>11</v>
      </c>
      <c r="N12" s="45">
        <v>12</v>
      </c>
      <c r="O12" s="45"/>
    </row>
    <row r="13" spans="1:34" x14ac:dyDescent="0.35">
      <c r="A13" s="9" t="s">
        <v>36</v>
      </c>
      <c r="B13" s="9" t="s">
        <v>37</v>
      </c>
      <c r="C13" s="50">
        <v>1.05</v>
      </c>
      <c r="D13" s="50">
        <v>1.05</v>
      </c>
      <c r="E13" s="50">
        <v>1.05</v>
      </c>
      <c r="F13" s="50">
        <v>1.05</v>
      </c>
      <c r="G13" s="50">
        <v>1.05</v>
      </c>
      <c r="H13" s="50">
        <v>1.05</v>
      </c>
      <c r="I13" s="50" t="s">
        <v>654</v>
      </c>
      <c r="J13" s="50" t="s">
        <v>654</v>
      </c>
      <c r="K13" s="90" t="s">
        <v>654</v>
      </c>
      <c r="L13" s="50" t="s">
        <v>654</v>
      </c>
      <c r="M13" s="50" t="s">
        <v>654</v>
      </c>
      <c r="N13" s="50" t="s">
        <v>654</v>
      </c>
      <c r="O13" s="86">
        <v>6.3</v>
      </c>
    </row>
    <row r="14" spans="1:34" x14ac:dyDescent="0.35">
      <c r="A14" s="9" t="s">
        <v>39</v>
      </c>
      <c r="B14" s="9" t="s">
        <v>37</v>
      </c>
      <c r="C14" s="50">
        <v>3.95</v>
      </c>
      <c r="D14" s="50"/>
      <c r="E14" s="50"/>
      <c r="F14" s="50"/>
      <c r="G14" s="50"/>
      <c r="H14" s="50"/>
      <c r="I14" s="50"/>
      <c r="J14" s="50"/>
      <c r="K14" s="90"/>
      <c r="L14" s="50"/>
      <c r="M14" s="50"/>
      <c r="N14" s="50"/>
      <c r="O14" s="86">
        <v>3.95</v>
      </c>
    </row>
    <row r="15" spans="1:34" x14ac:dyDescent="0.35">
      <c r="A15" s="6" t="s">
        <v>41</v>
      </c>
      <c r="B15" s="6" t="s">
        <v>37</v>
      </c>
      <c r="C15" s="50">
        <v>2.5</v>
      </c>
      <c r="D15" s="50">
        <v>2.5</v>
      </c>
      <c r="E15" s="50">
        <v>2.6</v>
      </c>
      <c r="F15" s="50"/>
      <c r="G15" s="50"/>
      <c r="H15" s="50"/>
      <c r="I15" s="50"/>
      <c r="J15" s="50"/>
      <c r="K15" s="90"/>
      <c r="L15" s="50"/>
      <c r="M15" s="50"/>
      <c r="N15" s="50"/>
      <c r="O15" s="88">
        <v>7.6</v>
      </c>
    </row>
    <row r="16" spans="1:34" x14ac:dyDescent="0.35">
      <c r="A16" s="6" t="s">
        <v>43</v>
      </c>
      <c r="B16" s="6" t="s">
        <v>44</v>
      </c>
      <c r="C16" s="50"/>
      <c r="D16" s="50" t="s">
        <v>654</v>
      </c>
      <c r="E16" s="50" t="s">
        <v>654</v>
      </c>
      <c r="F16" s="50" t="s">
        <v>654</v>
      </c>
      <c r="G16" s="50" t="s">
        <v>654</v>
      </c>
      <c r="H16" s="50"/>
      <c r="I16" s="50"/>
      <c r="J16" s="50"/>
      <c r="K16" s="90"/>
      <c r="L16" s="50"/>
      <c r="M16" s="50"/>
      <c r="N16" s="50"/>
      <c r="O16" s="88">
        <v>0</v>
      </c>
    </row>
    <row r="17" spans="1:15" x14ac:dyDescent="0.35">
      <c r="A17" s="9" t="s">
        <v>46</v>
      </c>
      <c r="B17" s="9" t="s">
        <v>37</v>
      </c>
      <c r="C17" s="50"/>
      <c r="D17" s="50">
        <v>2.0499999999999998</v>
      </c>
      <c r="E17" s="50">
        <v>2.1</v>
      </c>
      <c r="F17" s="50">
        <v>1.9</v>
      </c>
      <c r="G17" s="50"/>
      <c r="H17" s="50"/>
      <c r="I17" s="50"/>
      <c r="J17" s="50"/>
      <c r="K17" s="90"/>
      <c r="L17" s="50"/>
      <c r="M17" s="50"/>
      <c r="N17" s="50"/>
      <c r="O17" s="86">
        <v>6.05</v>
      </c>
    </row>
    <row r="18" spans="1:15" x14ac:dyDescent="0.35">
      <c r="A18" s="9" t="s">
        <v>48</v>
      </c>
      <c r="B18" s="9" t="s">
        <v>37</v>
      </c>
      <c r="C18" s="50"/>
      <c r="D18" s="50"/>
      <c r="E18" s="50"/>
      <c r="F18" s="50">
        <v>3.45</v>
      </c>
      <c r="G18" s="50">
        <v>3.4</v>
      </c>
      <c r="H18" s="50">
        <v>3.25</v>
      </c>
      <c r="I18" s="50"/>
      <c r="J18" s="50"/>
      <c r="K18" s="90"/>
      <c r="L18" s="50"/>
      <c r="M18" s="50"/>
      <c r="N18" s="50"/>
      <c r="O18" s="86">
        <v>10.1</v>
      </c>
    </row>
    <row r="19" spans="1:15" x14ac:dyDescent="0.35">
      <c r="A19" s="9" t="s">
        <v>50</v>
      </c>
      <c r="B19" s="9" t="s">
        <v>51</v>
      </c>
      <c r="C19" s="50"/>
      <c r="D19" s="50"/>
      <c r="E19" s="50"/>
      <c r="F19" s="50"/>
      <c r="G19" s="50" t="s">
        <v>654</v>
      </c>
      <c r="H19" s="50" t="s">
        <v>654</v>
      </c>
      <c r="I19" s="50" t="s">
        <v>654</v>
      </c>
      <c r="J19" s="50" t="s">
        <v>654</v>
      </c>
      <c r="K19" s="90"/>
      <c r="L19" s="50"/>
      <c r="M19" s="50"/>
      <c r="N19" s="50"/>
      <c r="O19" s="86">
        <v>0</v>
      </c>
    </row>
    <row r="20" spans="1:15" x14ac:dyDescent="0.35">
      <c r="A20" s="9" t="s">
        <v>53</v>
      </c>
      <c r="B20" s="9" t="s">
        <v>51</v>
      </c>
      <c r="C20" s="50"/>
      <c r="D20" s="50"/>
      <c r="E20" s="50"/>
      <c r="F20" s="50"/>
      <c r="G20" s="50"/>
      <c r="H20" s="50" t="s">
        <v>654</v>
      </c>
      <c r="I20" s="50" t="s">
        <v>654</v>
      </c>
      <c r="J20" s="50" t="s">
        <v>654</v>
      </c>
      <c r="K20" s="90" t="s">
        <v>654</v>
      </c>
      <c r="L20" s="50"/>
      <c r="M20" s="50"/>
      <c r="N20" s="50"/>
      <c r="O20" s="86">
        <v>0</v>
      </c>
    </row>
    <row r="21" spans="1:15" x14ac:dyDescent="0.35">
      <c r="A21" s="9" t="s">
        <v>55</v>
      </c>
      <c r="B21" s="9" t="s">
        <v>44</v>
      </c>
      <c r="C21" s="50"/>
      <c r="D21" s="50"/>
      <c r="E21" s="50"/>
      <c r="F21" s="50"/>
      <c r="G21" s="50"/>
      <c r="H21" s="50"/>
      <c r="I21" s="50"/>
      <c r="J21" s="50" t="s">
        <v>654</v>
      </c>
      <c r="K21" s="90" t="s">
        <v>654</v>
      </c>
      <c r="L21" s="50" t="s">
        <v>654</v>
      </c>
      <c r="M21" s="50"/>
      <c r="N21" s="50"/>
      <c r="O21" s="86">
        <v>0</v>
      </c>
    </row>
    <row r="22" spans="1:15" x14ac:dyDescent="0.35">
      <c r="A22" s="9" t="s">
        <v>57</v>
      </c>
      <c r="B22" s="9" t="s">
        <v>44</v>
      </c>
      <c r="C22" s="50"/>
      <c r="D22" s="50"/>
      <c r="E22" s="50"/>
      <c r="F22" s="50"/>
      <c r="G22" s="50"/>
      <c r="H22" s="50"/>
      <c r="I22" s="50"/>
      <c r="J22" s="50"/>
      <c r="K22" s="90" t="s">
        <v>654</v>
      </c>
      <c r="L22" s="50" t="s">
        <v>654</v>
      </c>
      <c r="M22" s="50" t="s">
        <v>654</v>
      </c>
      <c r="N22" s="50"/>
      <c r="O22" s="86">
        <v>0</v>
      </c>
    </row>
    <row r="23" spans="1:15" x14ac:dyDescent="0.35">
      <c r="A23" s="6" t="s">
        <v>59</v>
      </c>
      <c r="B23" s="6" t="s">
        <v>37</v>
      </c>
      <c r="C23" s="50"/>
      <c r="D23" s="50"/>
      <c r="E23" s="50"/>
      <c r="F23" s="50"/>
      <c r="G23" s="50"/>
      <c r="H23" s="50"/>
      <c r="I23" s="50"/>
      <c r="J23" s="50"/>
      <c r="K23" s="90"/>
      <c r="L23" s="50"/>
      <c r="M23" s="50" t="s">
        <v>654</v>
      </c>
      <c r="N23" s="50" t="s">
        <v>654</v>
      </c>
      <c r="O23" s="88">
        <v>0</v>
      </c>
    </row>
    <row r="24" spans="1:15" x14ac:dyDescent="0.35">
      <c r="A24" s="6" t="s">
        <v>61</v>
      </c>
      <c r="B24" s="6" t="s">
        <v>37</v>
      </c>
      <c r="C24" s="50"/>
      <c r="D24" s="50"/>
      <c r="E24" s="50"/>
      <c r="F24" s="50"/>
      <c r="G24" s="50"/>
      <c r="H24" s="50"/>
      <c r="I24" s="50"/>
      <c r="J24" s="50"/>
      <c r="K24" s="90"/>
      <c r="L24" s="50"/>
      <c r="M24" s="50"/>
      <c r="N24" s="50" t="s">
        <v>654</v>
      </c>
      <c r="O24" s="88">
        <v>0</v>
      </c>
    </row>
    <row r="25" spans="1:15" x14ac:dyDescent="0.35">
      <c r="A25" s="55" t="s">
        <v>649</v>
      </c>
      <c r="B25" s="55"/>
      <c r="C25" s="60">
        <v>7.5</v>
      </c>
      <c r="D25" s="60">
        <v>5.6</v>
      </c>
      <c r="E25" s="60">
        <v>5.75</v>
      </c>
      <c r="F25" s="60">
        <v>6.4</v>
      </c>
      <c r="G25" s="60">
        <v>4.45</v>
      </c>
      <c r="H25" s="60">
        <v>4.3</v>
      </c>
      <c r="I25" s="60">
        <v>0</v>
      </c>
      <c r="J25" s="60">
        <v>0</v>
      </c>
      <c r="K25" s="91">
        <v>0</v>
      </c>
      <c r="L25" s="60">
        <v>0</v>
      </c>
      <c r="M25" s="60">
        <v>0</v>
      </c>
      <c r="N25" s="60">
        <v>0</v>
      </c>
      <c r="O25" s="60">
        <v>34</v>
      </c>
    </row>
    <row r="28" spans="1:15" x14ac:dyDescent="0.35">
      <c r="A28" s="105" t="s">
        <v>674</v>
      </c>
      <c r="B28" s="105"/>
      <c r="C28" s="105"/>
      <c r="D28" s="105"/>
      <c r="E28" s="105"/>
      <c r="F28" s="105"/>
      <c r="G28" s="105"/>
      <c r="H28" s="105"/>
      <c r="I28" s="105"/>
      <c r="J28" s="105"/>
      <c r="K28" s="105"/>
      <c r="L28" s="105"/>
      <c r="M28" s="105"/>
      <c r="N28" s="105"/>
      <c r="O28" s="105"/>
    </row>
    <row r="29" spans="1:15" x14ac:dyDescent="0.35">
      <c r="A29" s="45" t="s">
        <v>516</v>
      </c>
      <c r="B29" s="45" t="s">
        <v>650</v>
      </c>
      <c r="C29" s="85">
        <v>46146</v>
      </c>
      <c r="D29" s="85">
        <v>46153</v>
      </c>
      <c r="E29" s="85">
        <v>46160</v>
      </c>
      <c r="F29" s="85">
        <v>46167</v>
      </c>
      <c r="G29" s="85">
        <v>46174</v>
      </c>
      <c r="H29" s="85">
        <v>46181</v>
      </c>
      <c r="I29" s="85">
        <v>46188</v>
      </c>
      <c r="J29" s="85">
        <v>46195</v>
      </c>
      <c r="K29" s="94">
        <v>46202</v>
      </c>
      <c r="L29" s="85">
        <v>46209</v>
      </c>
      <c r="M29" s="85">
        <v>46216</v>
      </c>
      <c r="N29" s="85">
        <v>46223</v>
      </c>
      <c r="O29" s="45" t="s">
        <v>544</v>
      </c>
    </row>
    <row r="30" spans="1:15" x14ac:dyDescent="0.35">
      <c r="A30" s="45"/>
      <c r="B30" s="45"/>
      <c r="C30" s="45">
        <v>1</v>
      </c>
      <c r="D30" s="45">
        <v>2</v>
      </c>
      <c r="E30" s="45">
        <v>3</v>
      </c>
      <c r="F30" s="45">
        <v>4</v>
      </c>
      <c r="G30" s="45">
        <v>5</v>
      </c>
      <c r="H30" s="45">
        <v>6</v>
      </c>
      <c r="I30" s="45">
        <v>7</v>
      </c>
      <c r="J30" s="45">
        <v>8</v>
      </c>
      <c r="K30" s="95">
        <v>9</v>
      </c>
      <c r="L30" s="45">
        <v>10</v>
      </c>
      <c r="M30" s="45">
        <v>11</v>
      </c>
      <c r="N30" s="45">
        <v>12</v>
      </c>
      <c r="O30" s="45"/>
    </row>
    <row r="31" spans="1:15" x14ac:dyDescent="0.35">
      <c r="A31" s="9" t="s">
        <v>36</v>
      </c>
      <c r="B31" s="9" t="s">
        <v>37</v>
      </c>
      <c r="C31" s="49">
        <v>1600</v>
      </c>
      <c r="D31" s="49">
        <v>1600</v>
      </c>
      <c r="E31" s="49">
        <v>1600</v>
      </c>
      <c r="F31" s="49">
        <v>1600</v>
      </c>
      <c r="G31" s="49">
        <v>1600</v>
      </c>
      <c r="H31" s="49">
        <v>1600</v>
      </c>
      <c r="I31" s="49" t="s">
        <v>654</v>
      </c>
      <c r="J31" s="49" t="s">
        <v>654</v>
      </c>
      <c r="K31" s="92" t="s">
        <v>654</v>
      </c>
      <c r="L31" s="49" t="s">
        <v>654</v>
      </c>
      <c r="M31" s="49" t="s">
        <v>654</v>
      </c>
      <c r="N31" s="49" t="s">
        <v>654</v>
      </c>
      <c r="O31" s="87">
        <v>9600</v>
      </c>
    </row>
    <row r="32" spans="1:15" x14ac:dyDescent="0.35">
      <c r="A32" s="9" t="s">
        <v>39</v>
      </c>
      <c r="B32" s="9" t="s">
        <v>37</v>
      </c>
      <c r="C32" s="49">
        <v>8700</v>
      </c>
      <c r="D32" s="49"/>
      <c r="E32" s="49"/>
      <c r="F32" s="49"/>
      <c r="G32" s="49"/>
      <c r="H32" s="49"/>
      <c r="I32" s="49"/>
      <c r="J32" s="49"/>
      <c r="K32" s="92"/>
      <c r="L32" s="49"/>
      <c r="M32" s="49"/>
      <c r="N32" s="49"/>
      <c r="O32" s="87">
        <v>8700</v>
      </c>
    </row>
    <row r="33" spans="1:15" x14ac:dyDescent="0.35">
      <c r="A33" s="6" t="s">
        <v>41</v>
      </c>
      <c r="B33" s="6" t="s">
        <v>37</v>
      </c>
      <c r="C33" s="49">
        <v>5995.04</v>
      </c>
      <c r="D33" s="49">
        <v>6000</v>
      </c>
      <c r="E33" s="49">
        <v>6200</v>
      </c>
      <c r="F33" s="49"/>
      <c r="G33" s="49"/>
      <c r="H33" s="49"/>
      <c r="I33" s="49"/>
      <c r="J33" s="49"/>
      <c r="K33" s="92"/>
      <c r="L33" s="49"/>
      <c r="M33" s="49"/>
      <c r="N33" s="49"/>
      <c r="O33" s="89">
        <v>18195.04</v>
      </c>
    </row>
    <row r="34" spans="1:15" x14ac:dyDescent="0.35">
      <c r="A34" s="6" t="s">
        <v>43</v>
      </c>
      <c r="B34" s="6" t="s">
        <v>44</v>
      </c>
      <c r="C34" s="49"/>
      <c r="D34" s="49">
        <v>10500</v>
      </c>
      <c r="E34" s="49">
        <v>10200</v>
      </c>
      <c r="F34" s="49">
        <v>10200</v>
      </c>
      <c r="G34" s="49">
        <v>10400</v>
      </c>
      <c r="H34" s="49"/>
      <c r="I34" s="49"/>
      <c r="J34" s="49"/>
      <c r="K34" s="92"/>
      <c r="L34" s="49"/>
      <c r="M34" s="49"/>
      <c r="N34" s="49"/>
      <c r="O34" s="89">
        <v>41300</v>
      </c>
    </row>
    <row r="35" spans="1:15" x14ac:dyDescent="0.35">
      <c r="A35" s="9" t="s">
        <v>46</v>
      </c>
      <c r="B35" s="9" t="s">
        <v>37</v>
      </c>
      <c r="C35" s="49"/>
      <c r="D35" s="49">
        <v>4554.08</v>
      </c>
      <c r="E35" s="49">
        <v>4654.08</v>
      </c>
      <c r="F35" s="49">
        <v>4200</v>
      </c>
      <c r="G35" s="49"/>
      <c r="H35" s="49"/>
      <c r="I35" s="49"/>
      <c r="J35" s="49"/>
      <c r="K35" s="92"/>
      <c r="L35" s="49"/>
      <c r="M35" s="49"/>
      <c r="N35" s="49"/>
      <c r="O35" s="87">
        <v>13408.16</v>
      </c>
    </row>
    <row r="36" spans="1:15" x14ac:dyDescent="0.35">
      <c r="A36" s="9" t="s">
        <v>48</v>
      </c>
      <c r="B36" s="9" t="s">
        <v>37</v>
      </c>
      <c r="C36" s="49"/>
      <c r="D36" s="49"/>
      <c r="E36" s="49"/>
      <c r="F36" s="49">
        <v>8906.24</v>
      </c>
      <c r="G36" s="49">
        <v>8800</v>
      </c>
      <c r="H36" s="49">
        <v>8500</v>
      </c>
      <c r="I36" s="49"/>
      <c r="J36" s="49"/>
      <c r="K36" s="92"/>
      <c r="L36" s="49"/>
      <c r="M36" s="49"/>
      <c r="N36" s="49"/>
      <c r="O36" s="87">
        <v>26206.240000000002</v>
      </c>
    </row>
    <row r="37" spans="1:15" x14ac:dyDescent="0.35">
      <c r="A37" s="9" t="s">
        <v>50</v>
      </c>
      <c r="B37" s="9" t="s">
        <v>51</v>
      </c>
      <c r="C37" s="49"/>
      <c r="D37" s="49"/>
      <c r="E37" s="49"/>
      <c r="F37" s="49"/>
      <c r="G37" s="49">
        <v>8676.7999999999993</v>
      </c>
      <c r="H37" s="49">
        <v>8800</v>
      </c>
      <c r="I37" s="49" t="s">
        <v>654</v>
      </c>
      <c r="J37" s="49" t="s">
        <v>654</v>
      </c>
      <c r="K37" s="92"/>
      <c r="L37" s="49"/>
      <c r="M37" s="49"/>
      <c r="N37" s="49"/>
      <c r="O37" s="87">
        <v>17476.8</v>
      </c>
    </row>
    <row r="38" spans="1:15" x14ac:dyDescent="0.35">
      <c r="A38" s="9" t="s">
        <v>53</v>
      </c>
      <c r="B38" s="9" t="s">
        <v>51</v>
      </c>
      <c r="C38" s="49"/>
      <c r="D38" s="49"/>
      <c r="E38" s="49"/>
      <c r="F38" s="49"/>
      <c r="G38" s="49"/>
      <c r="H38" s="49">
        <v>7099.2</v>
      </c>
      <c r="I38" s="49" t="s">
        <v>654</v>
      </c>
      <c r="J38" s="49" t="s">
        <v>654</v>
      </c>
      <c r="K38" s="92" t="s">
        <v>654</v>
      </c>
      <c r="L38" s="49"/>
      <c r="M38" s="49"/>
      <c r="N38" s="49"/>
      <c r="O38" s="87">
        <v>7099.2</v>
      </c>
    </row>
    <row r="39" spans="1:15" x14ac:dyDescent="0.35">
      <c r="A39" s="9" t="s">
        <v>55</v>
      </c>
      <c r="B39" s="9" t="s">
        <v>44</v>
      </c>
      <c r="C39" s="49"/>
      <c r="D39" s="49"/>
      <c r="E39" s="49"/>
      <c r="F39" s="49"/>
      <c r="G39" s="49"/>
      <c r="H39" s="49"/>
      <c r="I39" s="49"/>
      <c r="J39" s="49" t="s">
        <v>654</v>
      </c>
      <c r="K39" s="92" t="s">
        <v>654</v>
      </c>
      <c r="L39" s="49" t="s">
        <v>654</v>
      </c>
      <c r="M39" s="49"/>
      <c r="N39" s="49"/>
      <c r="O39" s="87">
        <v>0</v>
      </c>
    </row>
    <row r="40" spans="1:15" x14ac:dyDescent="0.35">
      <c r="A40" s="9" t="s">
        <v>57</v>
      </c>
      <c r="B40" s="9" t="s">
        <v>44</v>
      </c>
      <c r="C40" s="49"/>
      <c r="D40" s="49"/>
      <c r="E40" s="49"/>
      <c r="F40" s="49"/>
      <c r="G40" s="49"/>
      <c r="H40" s="49"/>
      <c r="I40" s="49"/>
      <c r="J40" s="49"/>
      <c r="K40" s="92" t="s">
        <v>654</v>
      </c>
      <c r="L40" s="49" t="s">
        <v>654</v>
      </c>
      <c r="M40" s="49" t="s">
        <v>654</v>
      </c>
      <c r="N40" s="49"/>
      <c r="O40" s="87">
        <v>0</v>
      </c>
    </row>
    <row r="41" spans="1:15" x14ac:dyDescent="0.35">
      <c r="A41" s="6" t="s">
        <v>59</v>
      </c>
      <c r="B41" s="6" t="s">
        <v>37</v>
      </c>
      <c r="C41" s="49"/>
      <c r="D41" s="49"/>
      <c r="E41" s="49"/>
      <c r="F41" s="49"/>
      <c r="G41" s="49"/>
      <c r="H41" s="49"/>
      <c r="I41" s="49"/>
      <c r="J41" s="49"/>
      <c r="K41" s="92"/>
      <c r="L41" s="49"/>
      <c r="M41" s="49" t="s">
        <v>654</v>
      </c>
      <c r="N41" s="49" t="s">
        <v>654</v>
      </c>
      <c r="O41" s="89">
        <v>0</v>
      </c>
    </row>
    <row r="42" spans="1:15" x14ac:dyDescent="0.35">
      <c r="A42" s="6" t="s">
        <v>61</v>
      </c>
      <c r="B42" s="6" t="s">
        <v>37</v>
      </c>
      <c r="C42" s="49"/>
      <c r="D42" s="49"/>
      <c r="E42" s="49"/>
      <c r="F42" s="49"/>
      <c r="G42" s="49"/>
      <c r="H42" s="49"/>
      <c r="I42" s="49"/>
      <c r="J42" s="49"/>
      <c r="K42" s="92"/>
      <c r="L42" s="49"/>
      <c r="M42" s="49"/>
      <c r="N42" s="49" t="s">
        <v>654</v>
      </c>
      <c r="O42" s="89">
        <v>0</v>
      </c>
    </row>
    <row r="43" spans="1:15" x14ac:dyDescent="0.35">
      <c r="A43" s="55" t="s">
        <v>651</v>
      </c>
      <c r="B43" s="55"/>
      <c r="C43" s="58">
        <v>16295.04</v>
      </c>
      <c r="D43" s="58">
        <v>22654.080000000002</v>
      </c>
      <c r="E43" s="58">
        <v>22654.080000000002</v>
      </c>
      <c r="F43" s="58">
        <v>24906.240000000002</v>
      </c>
      <c r="G43" s="58">
        <v>29476.799999999999</v>
      </c>
      <c r="H43" s="58">
        <v>25999.200000000001</v>
      </c>
      <c r="I43" s="58">
        <v>0</v>
      </c>
      <c r="J43" s="58">
        <v>0</v>
      </c>
      <c r="K43" s="93">
        <v>0</v>
      </c>
      <c r="L43" s="58">
        <v>0</v>
      </c>
      <c r="M43" s="58">
        <v>0</v>
      </c>
      <c r="N43" s="58">
        <v>0</v>
      </c>
      <c r="O43" s="58">
        <v>141985.44</v>
      </c>
    </row>
    <row r="46" spans="1:15" x14ac:dyDescent="0.35">
      <c r="A46" s="132" t="s">
        <v>516</v>
      </c>
      <c r="B46" s="126" t="s">
        <v>75</v>
      </c>
      <c r="C46" s="126" t="s">
        <v>201</v>
      </c>
      <c r="D46" s="126" t="s">
        <v>202</v>
      </c>
      <c r="E46" s="126" t="s">
        <v>25</v>
      </c>
      <c r="F46" s="126" t="s">
        <v>203</v>
      </c>
      <c r="G46" s="126" t="s">
        <v>28</v>
      </c>
      <c r="H46" s="126" t="s">
        <v>27</v>
      </c>
      <c r="I46" s="126" t="s">
        <v>30</v>
      </c>
      <c r="J46" s="126" t="s">
        <v>29</v>
      </c>
      <c r="K46" s="133" t="s">
        <v>153</v>
      </c>
    </row>
    <row r="47" spans="1:15" x14ac:dyDescent="0.35">
      <c r="A47" s="224" t="s">
        <v>36</v>
      </c>
      <c r="B47" s="87">
        <v>18000</v>
      </c>
      <c r="C47" s="87">
        <v>13500</v>
      </c>
      <c r="D47" s="87">
        <v>9600</v>
      </c>
      <c r="E47" s="96">
        <v>0.5</v>
      </c>
      <c r="F47" s="87">
        <v>9000</v>
      </c>
      <c r="G47" s="87">
        <v>-4500</v>
      </c>
      <c r="H47" s="87">
        <v>-600</v>
      </c>
      <c r="I47" s="86">
        <v>0.66666666666666696</v>
      </c>
      <c r="J47" s="86">
        <v>0.9375</v>
      </c>
      <c r="K47" s="226" t="s">
        <v>137</v>
      </c>
    </row>
    <row r="48" spans="1:15" x14ac:dyDescent="0.35">
      <c r="A48" s="224" t="s">
        <v>39</v>
      </c>
      <c r="B48" s="87">
        <v>8500</v>
      </c>
      <c r="C48" s="87">
        <v>8500</v>
      </c>
      <c r="D48" s="87">
        <v>8700</v>
      </c>
      <c r="E48" s="96">
        <v>1</v>
      </c>
      <c r="F48" s="87">
        <v>8500</v>
      </c>
      <c r="G48" s="87">
        <v>0</v>
      </c>
      <c r="H48" s="87">
        <v>-200</v>
      </c>
      <c r="I48" s="86">
        <v>1</v>
      </c>
      <c r="J48" s="86">
        <v>0.97701149425287404</v>
      </c>
      <c r="K48" s="226" t="s">
        <v>137</v>
      </c>
    </row>
    <row r="49" spans="1:11" x14ac:dyDescent="0.35">
      <c r="A49" s="225" t="s">
        <v>41</v>
      </c>
      <c r="B49" s="89">
        <v>19200</v>
      </c>
      <c r="C49" s="89">
        <v>19200</v>
      </c>
      <c r="D49" s="89">
        <v>18195.04</v>
      </c>
      <c r="E49" s="97">
        <v>1</v>
      </c>
      <c r="F49" s="89">
        <v>19200</v>
      </c>
      <c r="G49" s="89">
        <v>0</v>
      </c>
      <c r="H49" s="89">
        <v>1004.96</v>
      </c>
      <c r="I49" s="88">
        <v>1</v>
      </c>
      <c r="J49" s="88">
        <v>1.0552326348279499</v>
      </c>
      <c r="K49" s="227" t="s">
        <v>132</v>
      </c>
    </row>
    <row r="50" spans="1:11" x14ac:dyDescent="0.35">
      <c r="A50" s="225" t="s">
        <v>43</v>
      </c>
      <c r="B50" s="89">
        <v>42000</v>
      </c>
      <c r="C50" s="89">
        <v>42000</v>
      </c>
      <c r="D50" s="89">
        <v>41300</v>
      </c>
      <c r="E50" s="97">
        <v>1</v>
      </c>
      <c r="F50" s="89">
        <v>42000</v>
      </c>
      <c r="G50" s="89">
        <v>0</v>
      </c>
      <c r="H50" s="89">
        <v>700</v>
      </c>
      <c r="I50" s="88">
        <v>1</v>
      </c>
      <c r="J50" s="88">
        <v>1.0169491525423699</v>
      </c>
      <c r="K50" s="227" t="s">
        <v>132</v>
      </c>
    </row>
    <row r="51" spans="1:11" x14ac:dyDescent="0.35">
      <c r="A51" s="224" t="s">
        <v>46</v>
      </c>
      <c r="B51" s="87">
        <v>13200</v>
      </c>
      <c r="C51" s="87">
        <v>13200</v>
      </c>
      <c r="D51" s="87">
        <v>13408.16</v>
      </c>
      <c r="E51" s="96">
        <v>1</v>
      </c>
      <c r="F51" s="87">
        <v>13200</v>
      </c>
      <c r="G51" s="87">
        <v>0</v>
      </c>
      <c r="H51" s="87">
        <v>-208.15999999999801</v>
      </c>
      <c r="I51" s="86">
        <v>1</v>
      </c>
      <c r="J51" s="86">
        <v>0.98447512559516004</v>
      </c>
      <c r="K51" s="226" t="s">
        <v>137</v>
      </c>
    </row>
    <row r="52" spans="1:11" x14ac:dyDescent="0.35">
      <c r="A52" s="224" t="s">
        <v>48</v>
      </c>
      <c r="B52" s="87">
        <v>26000</v>
      </c>
      <c r="C52" s="87">
        <v>26000</v>
      </c>
      <c r="D52" s="87">
        <v>26206.240000000002</v>
      </c>
      <c r="E52" s="96">
        <v>0.7</v>
      </c>
      <c r="F52" s="87">
        <v>18200</v>
      </c>
      <c r="G52" s="87">
        <v>-7800</v>
      </c>
      <c r="H52" s="87">
        <v>-8006.24</v>
      </c>
      <c r="I52" s="86">
        <v>0.7</v>
      </c>
      <c r="J52" s="86">
        <v>0.69449108303976503</v>
      </c>
      <c r="K52" s="226" t="s">
        <v>137</v>
      </c>
    </row>
    <row r="53" spans="1:11" x14ac:dyDescent="0.35">
      <c r="A53" s="224" t="s">
        <v>50</v>
      </c>
      <c r="B53" s="87">
        <v>36000</v>
      </c>
      <c r="C53" s="87">
        <v>36000</v>
      </c>
      <c r="D53" s="87">
        <v>17476.8</v>
      </c>
      <c r="E53" s="96">
        <v>0.4</v>
      </c>
      <c r="F53" s="87">
        <v>14400</v>
      </c>
      <c r="G53" s="87">
        <v>-21600</v>
      </c>
      <c r="H53" s="87">
        <v>-3076.8</v>
      </c>
      <c r="I53" s="86">
        <v>0.4</v>
      </c>
      <c r="J53" s="86">
        <v>0.823949464432848</v>
      </c>
      <c r="K53" s="226" t="s">
        <v>137</v>
      </c>
    </row>
    <row r="54" spans="1:11" x14ac:dyDescent="0.35">
      <c r="A54" s="224" t="s">
        <v>53</v>
      </c>
      <c r="B54" s="87">
        <v>28000</v>
      </c>
      <c r="C54" s="87">
        <v>28000</v>
      </c>
      <c r="D54" s="87">
        <v>7099.2</v>
      </c>
      <c r="E54" s="96">
        <v>0.24885699999999999</v>
      </c>
      <c r="F54" s="87">
        <v>6967.9960000000001</v>
      </c>
      <c r="G54" s="87">
        <v>-21032.004000000001</v>
      </c>
      <c r="H54" s="87">
        <v>-131.20400000000001</v>
      </c>
      <c r="I54" s="86">
        <v>0.24885699999999999</v>
      </c>
      <c r="J54" s="86">
        <v>0.98151848095560101</v>
      </c>
      <c r="K54" s="226" t="s">
        <v>137</v>
      </c>
    </row>
    <row r="55" spans="1:11" x14ac:dyDescent="0.35">
      <c r="A55" s="224" t="s">
        <v>55</v>
      </c>
      <c r="B55" s="87">
        <v>35750</v>
      </c>
      <c r="C55" s="87">
        <v>23833.34</v>
      </c>
      <c r="D55" s="87">
        <v>0</v>
      </c>
      <c r="E55" s="96">
        <v>0</v>
      </c>
      <c r="F55" s="87">
        <v>0</v>
      </c>
      <c r="G55" s="87">
        <v>-23833.34</v>
      </c>
      <c r="H55" s="87">
        <v>0</v>
      </c>
      <c r="I55" s="86">
        <v>0</v>
      </c>
      <c r="J55" s="86">
        <v>1</v>
      </c>
      <c r="K55" s="226" t="s">
        <v>137</v>
      </c>
    </row>
    <row r="56" spans="1:11" x14ac:dyDescent="0.35">
      <c r="A56" s="224" t="s">
        <v>57</v>
      </c>
      <c r="B56" s="87">
        <v>30000</v>
      </c>
      <c r="C56" s="87">
        <v>10000</v>
      </c>
      <c r="D56" s="87">
        <v>0</v>
      </c>
      <c r="E56" s="96">
        <v>0</v>
      </c>
      <c r="F56" s="87">
        <v>0</v>
      </c>
      <c r="G56" s="87">
        <v>-10000</v>
      </c>
      <c r="H56" s="87">
        <v>0</v>
      </c>
      <c r="I56" s="86">
        <v>0</v>
      </c>
      <c r="J56" s="86">
        <v>1</v>
      </c>
      <c r="K56" s="226" t="s">
        <v>137</v>
      </c>
    </row>
    <row r="57" spans="1:11" x14ac:dyDescent="0.35">
      <c r="A57" s="225" t="s">
        <v>59</v>
      </c>
      <c r="B57" s="89">
        <v>8400</v>
      </c>
      <c r="C57" s="89">
        <v>0</v>
      </c>
      <c r="D57" s="89">
        <v>0</v>
      </c>
      <c r="E57" s="97">
        <v>0</v>
      </c>
      <c r="F57" s="89">
        <v>0</v>
      </c>
      <c r="G57" s="89">
        <v>0</v>
      </c>
      <c r="H57" s="89">
        <v>0</v>
      </c>
      <c r="I57" s="88">
        <v>1</v>
      </c>
      <c r="J57" s="88">
        <v>1</v>
      </c>
      <c r="K57" s="227" t="s">
        <v>132</v>
      </c>
    </row>
    <row r="58" spans="1:11" x14ac:dyDescent="0.35">
      <c r="A58" s="228" t="s">
        <v>61</v>
      </c>
      <c r="B58" s="229">
        <v>3600</v>
      </c>
      <c r="C58" s="229">
        <v>0</v>
      </c>
      <c r="D58" s="229">
        <v>0</v>
      </c>
      <c r="E58" s="230">
        <v>0</v>
      </c>
      <c r="F58" s="229">
        <v>0</v>
      </c>
      <c r="G58" s="229">
        <v>0</v>
      </c>
      <c r="H58" s="229">
        <v>0</v>
      </c>
      <c r="I58" s="231">
        <v>1</v>
      </c>
      <c r="J58" s="231">
        <v>1</v>
      </c>
      <c r="K58" s="232" t="s">
        <v>132</v>
      </c>
    </row>
    <row r="61" spans="1:11" x14ac:dyDescent="0.35">
      <c r="A61" s="103" t="s">
        <v>655</v>
      </c>
      <c r="B61" s="103"/>
      <c r="C61" s="103"/>
      <c r="D61" s="103"/>
      <c r="E61" s="103"/>
      <c r="F61" s="103"/>
      <c r="G61" s="103"/>
      <c r="H61" s="103"/>
      <c r="I61" s="103"/>
      <c r="J61" s="103"/>
      <c r="K61" s="103"/>
    </row>
    <row r="62" spans="1:11" x14ac:dyDescent="0.35">
      <c r="A62" s="132" t="s">
        <v>656</v>
      </c>
      <c r="B62" s="126" t="s">
        <v>131</v>
      </c>
      <c r="C62" s="133" t="s">
        <v>657</v>
      </c>
      <c r="D62" s="45"/>
      <c r="E62" s="45"/>
      <c r="F62" s="45"/>
      <c r="G62" s="45"/>
      <c r="H62" s="45"/>
      <c r="I62" s="45"/>
      <c r="J62" s="45"/>
      <c r="K62" s="45"/>
    </row>
    <row r="63" spans="1:11" x14ac:dyDescent="0.35">
      <c r="A63" s="130" t="s">
        <v>658</v>
      </c>
      <c r="B63" s="2" t="s">
        <v>659</v>
      </c>
      <c r="C63" s="131" t="s">
        <v>675</v>
      </c>
      <c r="D63" s="2"/>
      <c r="E63" s="2"/>
      <c r="F63" s="2"/>
      <c r="G63" s="2"/>
      <c r="H63" s="2"/>
      <c r="I63" s="2"/>
      <c r="J63" s="2"/>
      <c r="K63" s="2"/>
    </row>
    <row r="64" spans="1:11" x14ac:dyDescent="0.35">
      <c r="A64" s="153" t="s">
        <v>660</v>
      </c>
      <c r="B64" s="2" t="s">
        <v>676</v>
      </c>
      <c r="C64" s="131" t="s">
        <v>677</v>
      </c>
      <c r="D64" s="2"/>
      <c r="E64" s="2"/>
      <c r="F64" s="2"/>
      <c r="G64" s="2"/>
      <c r="H64" s="2"/>
      <c r="I64" s="2"/>
      <c r="J64" s="2"/>
      <c r="K64" s="2"/>
    </row>
    <row r="65" spans="1:11" x14ac:dyDescent="0.35">
      <c r="A65" s="154" t="s">
        <v>661</v>
      </c>
      <c r="B65" s="2" t="s">
        <v>136</v>
      </c>
      <c r="C65" s="131" t="s">
        <v>677</v>
      </c>
      <c r="D65" s="2"/>
      <c r="E65" s="2"/>
      <c r="F65" s="2"/>
      <c r="G65" s="2"/>
      <c r="H65" s="2"/>
      <c r="I65" s="2"/>
      <c r="J65" s="2"/>
      <c r="K65" s="2"/>
    </row>
    <row r="66" spans="1:11" x14ac:dyDescent="0.35">
      <c r="A66" s="156" t="s">
        <v>662</v>
      </c>
      <c r="B66" s="135" t="s">
        <v>678</v>
      </c>
      <c r="C66" s="136" t="s">
        <v>677</v>
      </c>
      <c r="D66" s="2"/>
      <c r="E66" s="2"/>
      <c r="F66" s="2"/>
      <c r="G66" s="2"/>
      <c r="H66" s="2"/>
      <c r="I66" s="2"/>
      <c r="J66" s="2"/>
      <c r="K66" s="2"/>
    </row>
  </sheetData>
  <mergeCells count="6">
    <mergeCell ref="A28:O28"/>
    <mergeCell ref="A61:K61"/>
    <mergeCell ref="A1:O1"/>
    <mergeCell ref="A2:O2"/>
    <mergeCell ref="A4:O4"/>
    <mergeCell ref="A10:O10"/>
  </mergeCells>
  <conditionalFormatting sqref="C13:N24">
    <cfRule type="containsText" dxfId="55" priority="1" operator="containsText" text="o">
      <formula>NOT(ISERROR(SEARCH("o",C13)))</formula>
    </cfRule>
  </conditionalFormatting>
  <conditionalFormatting sqref="C31:N42">
    <cfRule type="containsText" dxfId="54" priority="2" operator="containsText" text="o">
      <formula>NOT(ISERROR(SEARCH("o",C31)))</formula>
    </cfRule>
  </conditionalFormatting>
  <conditionalFormatting sqref="K47:K58">
    <cfRule type="expression" dxfId="47" priority="3">
      <formula>ISNUMBER(SEARCH("Red",K47))</formula>
    </cfRule>
  </conditionalFormatting>
  <conditionalFormatting sqref="K47:K58">
    <cfRule type="expression" dxfId="46" priority="4">
      <formula>ISNUMBER(SEARCH("Amber",K47))</formula>
    </cfRule>
  </conditionalFormatting>
  <conditionalFormatting sqref="K47:K58">
    <cfRule type="expression" dxfId="45" priority="5">
      <formula>ISNUMBER(SEARCH("Green",K47))</formula>
    </cfRule>
  </conditionalFormatting>
  <pageMargins left="0.7" right="0.7" top="0.75" bottom="0.75" header="0.3" footer="0.3"/>
  <drawing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4155-3A88-4B06-A476-4FCD7DC2B21C}">
  <sheetPr>
    <tabColor rgb="FFED7D31"/>
  </sheetPr>
  <dimension ref="A1:N23"/>
  <sheetViews>
    <sheetView showGridLines="0" tabSelected="1" zoomScale="85" zoomScaleNormal="85" workbookViewId="0">
      <selection activeCell="E10" sqref="E10"/>
    </sheetView>
  </sheetViews>
  <sheetFormatPr defaultRowHeight="14.5" x14ac:dyDescent="0.35"/>
  <cols>
    <col min="1" max="1" width="13.6328125" customWidth="1"/>
    <col min="2" max="2" width="33.6328125" customWidth="1"/>
    <col min="3" max="9" width="17.26953125" customWidth="1"/>
    <col min="10" max="10" width="22.90625" customWidth="1"/>
    <col min="12" max="12" width="23" customWidth="1"/>
    <col min="13" max="14" width="20" customWidth="1"/>
  </cols>
  <sheetData>
    <row r="1" spans="1:14" ht="23.5" x14ac:dyDescent="0.55000000000000004">
      <c r="A1" s="101" t="s">
        <v>695</v>
      </c>
      <c r="B1" s="101"/>
      <c r="C1" s="101"/>
      <c r="D1" s="101"/>
      <c r="E1" s="101"/>
      <c r="F1" s="101"/>
      <c r="G1" s="101"/>
      <c r="H1" s="101"/>
      <c r="I1" s="101"/>
      <c r="J1" s="101"/>
      <c r="K1" s="101"/>
      <c r="L1" s="101"/>
      <c r="M1" s="101"/>
      <c r="N1" s="101"/>
    </row>
    <row r="2" spans="1:14" x14ac:dyDescent="0.35">
      <c r="A2" s="102" t="s">
        <v>696</v>
      </c>
      <c r="B2" s="102"/>
      <c r="C2" s="102"/>
      <c r="D2" s="102"/>
      <c r="E2" s="102"/>
      <c r="F2" s="102"/>
      <c r="G2" s="102"/>
      <c r="H2" s="102"/>
      <c r="I2" s="102"/>
      <c r="J2" s="102"/>
      <c r="K2" s="102"/>
      <c r="L2" s="102"/>
      <c r="M2" s="102"/>
      <c r="N2" s="102"/>
    </row>
    <row r="4" spans="1:14" x14ac:dyDescent="0.35">
      <c r="A4" s="132" t="s">
        <v>19</v>
      </c>
      <c r="B4" s="126" t="s">
        <v>148</v>
      </c>
      <c r="C4" s="126" t="s">
        <v>198</v>
      </c>
      <c r="D4" s="126" t="s">
        <v>199</v>
      </c>
      <c r="E4" s="126" t="s">
        <v>679</v>
      </c>
      <c r="F4" s="126" t="s">
        <v>680</v>
      </c>
      <c r="G4" s="126" t="s">
        <v>30</v>
      </c>
      <c r="H4" s="126" t="s">
        <v>29</v>
      </c>
      <c r="I4" s="126" t="s">
        <v>153</v>
      </c>
      <c r="J4" s="133" t="s">
        <v>681</v>
      </c>
      <c r="L4" s="132" t="s">
        <v>687</v>
      </c>
      <c r="M4" s="126" t="s">
        <v>706</v>
      </c>
      <c r="N4" s="133" t="s">
        <v>709</v>
      </c>
    </row>
    <row r="5" spans="1:14" x14ac:dyDescent="0.35">
      <c r="A5" s="130" t="s">
        <v>35</v>
      </c>
      <c r="B5" s="2" t="s">
        <v>36</v>
      </c>
      <c r="C5" s="98">
        <v>46146</v>
      </c>
      <c r="D5" s="98">
        <v>46229</v>
      </c>
      <c r="E5" s="47">
        <v>84</v>
      </c>
      <c r="F5" s="48">
        <v>0.5</v>
      </c>
      <c r="G5" s="50">
        <v>0.67</v>
      </c>
      <c r="H5" s="50">
        <v>0.94</v>
      </c>
      <c r="I5" s="2" t="s">
        <v>137</v>
      </c>
      <c r="J5" s="131" t="s">
        <v>682</v>
      </c>
      <c r="L5" s="153" t="s">
        <v>132</v>
      </c>
      <c r="M5" s="2" t="s">
        <v>688</v>
      </c>
      <c r="N5" s="131" t="s">
        <v>689</v>
      </c>
    </row>
    <row r="6" spans="1:14" x14ac:dyDescent="0.35">
      <c r="A6" s="130" t="s">
        <v>38</v>
      </c>
      <c r="B6" s="2" t="s">
        <v>39</v>
      </c>
      <c r="C6" s="98">
        <v>46146</v>
      </c>
      <c r="D6" s="98">
        <v>46152</v>
      </c>
      <c r="E6" s="47">
        <v>7</v>
      </c>
      <c r="F6" s="48">
        <v>1</v>
      </c>
      <c r="G6" s="50">
        <v>1</v>
      </c>
      <c r="H6" s="50">
        <v>0.98</v>
      </c>
      <c r="I6" s="2" t="s">
        <v>137</v>
      </c>
      <c r="J6" s="131" t="s">
        <v>682</v>
      </c>
      <c r="L6" s="154" t="s">
        <v>134</v>
      </c>
      <c r="M6" s="2" t="s">
        <v>135</v>
      </c>
      <c r="N6" s="131" t="s">
        <v>136</v>
      </c>
    </row>
    <row r="7" spans="1:14" x14ac:dyDescent="0.35">
      <c r="A7" s="130" t="s">
        <v>40</v>
      </c>
      <c r="B7" s="2" t="s">
        <v>41</v>
      </c>
      <c r="C7" s="98">
        <v>46146</v>
      </c>
      <c r="D7" s="98">
        <v>46166</v>
      </c>
      <c r="E7" s="47">
        <v>21</v>
      </c>
      <c r="F7" s="48">
        <v>1</v>
      </c>
      <c r="G7" s="50">
        <v>1</v>
      </c>
      <c r="H7" s="50">
        <v>1.06</v>
      </c>
      <c r="I7" s="2" t="s">
        <v>132</v>
      </c>
      <c r="J7" s="131" t="s">
        <v>682</v>
      </c>
      <c r="L7" s="155" t="s">
        <v>137</v>
      </c>
      <c r="M7" s="2" t="s">
        <v>138</v>
      </c>
      <c r="N7" s="131" t="s">
        <v>139</v>
      </c>
    </row>
    <row r="8" spans="1:14" x14ac:dyDescent="0.35">
      <c r="A8" s="130" t="s">
        <v>42</v>
      </c>
      <c r="B8" s="2" t="s">
        <v>43</v>
      </c>
      <c r="C8" s="98">
        <v>46153</v>
      </c>
      <c r="D8" s="98">
        <v>46180</v>
      </c>
      <c r="E8" s="47">
        <v>28</v>
      </c>
      <c r="F8" s="48">
        <v>1</v>
      </c>
      <c r="G8" s="50">
        <v>1</v>
      </c>
      <c r="H8" s="50">
        <v>1.02</v>
      </c>
      <c r="I8" s="2" t="s">
        <v>132</v>
      </c>
      <c r="J8" s="131" t="s">
        <v>683</v>
      </c>
      <c r="L8" s="234" t="s">
        <v>690</v>
      </c>
      <c r="M8" s="135" t="s">
        <v>691</v>
      </c>
      <c r="N8" s="136" t="s">
        <v>692</v>
      </c>
    </row>
    <row r="9" spans="1:14" x14ac:dyDescent="0.35">
      <c r="A9" s="130" t="s">
        <v>45</v>
      </c>
      <c r="B9" s="2" t="s">
        <v>46</v>
      </c>
      <c r="C9" s="98">
        <v>46153</v>
      </c>
      <c r="D9" s="98">
        <v>46173</v>
      </c>
      <c r="E9" s="47">
        <v>21</v>
      </c>
      <c r="F9" s="48">
        <v>1</v>
      </c>
      <c r="G9" s="50">
        <v>1</v>
      </c>
      <c r="H9" s="50">
        <v>0.98</v>
      </c>
      <c r="I9" s="2" t="s">
        <v>137</v>
      </c>
      <c r="J9" s="131" t="s">
        <v>683</v>
      </c>
    </row>
    <row r="10" spans="1:14" x14ac:dyDescent="0.35">
      <c r="A10" s="130" t="s">
        <v>47</v>
      </c>
      <c r="B10" s="2" t="s">
        <v>48</v>
      </c>
      <c r="C10" s="98">
        <v>46167</v>
      </c>
      <c r="D10" s="98">
        <v>46187</v>
      </c>
      <c r="E10" s="47">
        <v>21</v>
      </c>
      <c r="F10" s="48">
        <v>0.7</v>
      </c>
      <c r="G10" s="50">
        <v>0.7</v>
      </c>
      <c r="H10" s="50">
        <v>0.69</v>
      </c>
      <c r="I10" s="2" t="s">
        <v>137</v>
      </c>
      <c r="J10" s="131" t="s">
        <v>684</v>
      </c>
    </row>
    <row r="11" spans="1:14" x14ac:dyDescent="0.35">
      <c r="A11" s="130" t="s">
        <v>49</v>
      </c>
      <c r="B11" s="2" t="s">
        <v>50</v>
      </c>
      <c r="C11" s="98">
        <v>46174</v>
      </c>
      <c r="D11" s="98">
        <v>46201</v>
      </c>
      <c r="E11" s="47">
        <v>28</v>
      </c>
      <c r="F11" s="48">
        <v>0.4</v>
      </c>
      <c r="G11" s="50">
        <v>0.4</v>
      </c>
      <c r="H11" s="50">
        <v>0.82</v>
      </c>
      <c r="I11" s="2" t="s">
        <v>137</v>
      </c>
      <c r="J11" s="131" t="s">
        <v>47</v>
      </c>
    </row>
    <row r="12" spans="1:14" x14ac:dyDescent="0.35">
      <c r="A12" s="130" t="s">
        <v>52</v>
      </c>
      <c r="B12" s="2" t="s">
        <v>53</v>
      </c>
      <c r="C12" s="98">
        <v>46181</v>
      </c>
      <c r="D12" s="98">
        <v>46208</v>
      </c>
      <c r="E12" s="47">
        <v>28</v>
      </c>
      <c r="F12" s="48">
        <v>0.249</v>
      </c>
      <c r="G12" s="50">
        <v>0.25</v>
      </c>
      <c r="H12" s="50">
        <v>0.98</v>
      </c>
      <c r="I12" s="2" t="s">
        <v>137</v>
      </c>
      <c r="J12" s="131" t="s">
        <v>47</v>
      </c>
    </row>
    <row r="13" spans="1:14" x14ac:dyDescent="0.35">
      <c r="A13" s="130" t="s">
        <v>54</v>
      </c>
      <c r="B13" s="2" t="s">
        <v>55</v>
      </c>
      <c r="C13" s="98">
        <v>46195</v>
      </c>
      <c r="D13" s="98">
        <v>46215</v>
      </c>
      <c r="E13" s="47">
        <v>21</v>
      </c>
      <c r="F13" s="48">
        <v>0</v>
      </c>
      <c r="G13" s="50">
        <v>0</v>
      </c>
      <c r="H13" s="50">
        <v>1</v>
      </c>
      <c r="I13" s="2" t="s">
        <v>137</v>
      </c>
      <c r="J13" s="131" t="s">
        <v>685</v>
      </c>
    </row>
    <row r="14" spans="1:14" x14ac:dyDescent="0.35">
      <c r="A14" s="130" t="s">
        <v>56</v>
      </c>
      <c r="B14" s="2" t="s">
        <v>57</v>
      </c>
      <c r="C14" s="98">
        <v>46202</v>
      </c>
      <c r="D14" s="98">
        <v>46222</v>
      </c>
      <c r="E14" s="47">
        <v>21</v>
      </c>
      <c r="F14" s="48">
        <v>0</v>
      </c>
      <c r="G14" s="50">
        <v>0</v>
      </c>
      <c r="H14" s="50">
        <v>1</v>
      </c>
      <c r="I14" s="2" t="s">
        <v>137</v>
      </c>
      <c r="J14" s="131" t="s">
        <v>685</v>
      </c>
    </row>
    <row r="15" spans="1:14" x14ac:dyDescent="0.35">
      <c r="A15" s="130" t="s">
        <v>58</v>
      </c>
      <c r="B15" s="2" t="s">
        <v>59</v>
      </c>
      <c r="C15" s="98">
        <v>46216</v>
      </c>
      <c r="D15" s="98">
        <v>46229</v>
      </c>
      <c r="E15" s="47">
        <v>14</v>
      </c>
      <c r="F15" s="48">
        <v>0</v>
      </c>
      <c r="G15" s="50">
        <v>1</v>
      </c>
      <c r="H15" s="50">
        <v>1</v>
      </c>
      <c r="I15" s="2" t="s">
        <v>132</v>
      </c>
      <c r="J15" s="131" t="s">
        <v>686</v>
      </c>
    </row>
    <row r="16" spans="1:14" x14ac:dyDescent="0.35">
      <c r="A16" s="134" t="s">
        <v>60</v>
      </c>
      <c r="B16" s="135" t="s">
        <v>61</v>
      </c>
      <c r="C16" s="233">
        <v>46223</v>
      </c>
      <c r="D16" s="233">
        <v>46229</v>
      </c>
      <c r="E16" s="158">
        <v>7</v>
      </c>
      <c r="F16" s="159">
        <v>0</v>
      </c>
      <c r="G16" s="160">
        <v>1</v>
      </c>
      <c r="H16" s="160">
        <v>1</v>
      </c>
      <c r="I16" s="135" t="s">
        <v>132</v>
      </c>
      <c r="J16" s="136" t="s">
        <v>58</v>
      </c>
    </row>
    <row r="17" spans="1:14" x14ac:dyDescent="0.35">
      <c r="A17" s="120"/>
      <c r="B17" s="120"/>
      <c r="C17" s="121"/>
      <c r="D17" s="121"/>
      <c r="E17" s="122"/>
      <c r="F17" s="123"/>
      <c r="G17" s="124"/>
      <c r="H17" s="124"/>
      <c r="I17" s="120"/>
      <c r="J17" s="120"/>
    </row>
    <row r="18" spans="1:14" x14ac:dyDescent="0.35">
      <c r="A18" s="125" t="s">
        <v>697</v>
      </c>
      <c r="B18" s="125"/>
      <c r="C18" s="125"/>
      <c r="D18" s="125"/>
      <c r="E18" s="125"/>
      <c r="F18" s="125"/>
      <c r="G18" s="125"/>
      <c r="H18" s="125"/>
      <c r="I18" s="125"/>
      <c r="J18" s="125"/>
      <c r="K18" s="125"/>
      <c r="L18" s="125"/>
      <c r="M18" s="125"/>
      <c r="N18" s="125"/>
    </row>
    <row r="19" spans="1:14" x14ac:dyDescent="0.35">
      <c r="A19" s="120"/>
      <c r="B19" s="120"/>
      <c r="C19" s="121"/>
      <c r="D19" s="121"/>
      <c r="E19" s="122"/>
      <c r="F19" s="123"/>
      <c r="G19" s="124"/>
      <c r="H19" s="124"/>
      <c r="I19" s="120"/>
      <c r="J19" s="120"/>
    </row>
    <row r="20" spans="1:14" x14ac:dyDescent="0.35">
      <c r="A20" s="120"/>
      <c r="B20" s="120"/>
      <c r="C20" s="121"/>
      <c r="D20" s="121"/>
      <c r="E20" s="122"/>
      <c r="F20" s="123"/>
      <c r="G20" s="124"/>
      <c r="H20" s="124"/>
      <c r="I20" s="120"/>
      <c r="J20" s="120"/>
    </row>
    <row r="21" spans="1:14" x14ac:dyDescent="0.35">
      <c r="A21" s="120"/>
      <c r="B21" s="120"/>
      <c r="C21" s="121"/>
      <c r="D21" s="121"/>
      <c r="E21" s="122"/>
      <c r="F21" s="123"/>
      <c r="G21" s="124"/>
      <c r="H21" s="124"/>
      <c r="I21" s="120"/>
      <c r="J21" s="120"/>
    </row>
    <row r="22" spans="1:14" x14ac:dyDescent="0.35">
      <c r="A22" s="120"/>
      <c r="B22" s="120"/>
      <c r="C22" s="121"/>
      <c r="D22" s="121"/>
      <c r="E22" s="122"/>
      <c r="F22" s="123"/>
      <c r="G22" s="124"/>
      <c r="H22" s="124"/>
      <c r="I22" s="120"/>
      <c r="J22" s="120"/>
    </row>
    <row r="23" spans="1:14" x14ac:dyDescent="0.35">
      <c r="A23" s="120"/>
      <c r="B23" s="120"/>
      <c r="C23" s="121"/>
      <c r="D23" s="121"/>
      <c r="E23" s="122"/>
      <c r="F23" s="123"/>
      <c r="G23" s="124"/>
      <c r="H23" s="124"/>
      <c r="I23" s="120"/>
      <c r="J23" s="120"/>
    </row>
  </sheetData>
  <mergeCells count="3">
    <mergeCell ref="A1:N1"/>
    <mergeCell ref="A2:N2"/>
    <mergeCell ref="A18:N18"/>
  </mergeCells>
  <conditionalFormatting sqref="I5:I16">
    <cfRule type="expression" dxfId="38" priority="7">
      <formula>ISNUMBER(SEARCH("Red",I5))</formula>
    </cfRule>
  </conditionalFormatting>
  <conditionalFormatting sqref="I5:I16">
    <cfRule type="expression" dxfId="37" priority="8">
      <formula>ISNUMBER(SEARCH("Amber",I5))</formula>
    </cfRule>
  </conditionalFormatting>
  <conditionalFormatting sqref="I5:I16">
    <cfRule type="expression" dxfId="36" priority="9">
      <formula>ISNUMBER(SEARCH("Green",I5))</formula>
    </cfRule>
  </conditionalFormatting>
  <conditionalFormatting sqref="L5:L8">
    <cfRule type="expression" dxfId="35" priority="10">
      <formula>ISNUMBER(SEARCH("Red",L5))</formula>
    </cfRule>
  </conditionalFormatting>
  <conditionalFormatting sqref="L5:L8">
    <cfRule type="expression" dxfId="34" priority="11">
      <formula>ISNUMBER(SEARCH("Amber",L5))</formula>
    </cfRule>
  </conditionalFormatting>
  <conditionalFormatting sqref="L5:L8">
    <cfRule type="expression" dxfId="33" priority="12">
      <formula>ISNUMBER(SEARCH("Green",L5))</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26</vt:i4>
      </vt:variant>
    </vt:vector>
  </HeadingPairs>
  <TitlesOfParts>
    <vt:vector size="51" baseType="lpstr">
      <vt:lpstr>Cover</vt:lpstr>
      <vt:lpstr>Slicer Controls</vt:lpstr>
      <vt:lpstr>Glossary</vt:lpstr>
      <vt:lpstr>Review</vt:lpstr>
      <vt:lpstr>PID</vt:lpstr>
      <vt:lpstr>Method Roadmap</vt:lpstr>
      <vt:lpstr>PM-EVM Compliance</vt:lpstr>
      <vt:lpstr>Setup</vt:lpstr>
      <vt:lpstr>Task Plan</vt:lpstr>
      <vt:lpstr>Task Capture</vt:lpstr>
      <vt:lpstr>EVM Dashboard</vt:lpstr>
      <vt:lpstr>Red Actions</vt:lpstr>
      <vt:lpstr>Pivot Summary</vt:lpstr>
      <vt:lpstr>Resource Grid</vt:lpstr>
      <vt:lpstr>Dim_Project</vt:lpstr>
      <vt:lpstr>Dim_WBS</vt:lpstr>
      <vt:lpstr>Dim_Resource</vt:lpstr>
      <vt:lpstr>Dim_Calendar</vt:lpstr>
      <vt:lpstr>Fact_Baseline_PV</vt:lpstr>
      <vt:lpstr>Fact_Actual_Costs</vt:lpstr>
      <vt:lpstr>Fact_Physical_Progress</vt:lpstr>
      <vt:lpstr>EVM</vt:lpstr>
      <vt:lpstr>EVM Charts</vt:lpstr>
      <vt:lpstr>Simple Gantt Model</vt:lpstr>
      <vt:lpstr>PERT Diagram</vt:lpstr>
      <vt:lpstr>Actual_Cost_Values</vt:lpstr>
      <vt:lpstr>Actual_Hours_Values</vt:lpstr>
      <vt:lpstr>Baseline_PV_Values</vt:lpstr>
      <vt:lpstr>Control_BAC</vt:lpstr>
      <vt:lpstr>Control_CPI_SPI_Green</vt:lpstr>
      <vt:lpstr>Control_CPI_SPI_Red</vt:lpstr>
      <vt:lpstr>Control_Progress_Amber</vt:lpstr>
      <vt:lpstr>Control_Progress_Green</vt:lpstr>
      <vt:lpstr>Control_Project_End</vt:lpstr>
      <vt:lpstr>Control_Project_ID</vt:lpstr>
      <vt:lpstr>Control_Project_Name</vt:lpstr>
      <vt:lpstr>Control_Project_Start</vt:lpstr>
      <vt:lpstr>Control_Sector</vt:lpstr>
      <vt:lpstr>Control_Status_Date</vt:lpstr>
      <vt:lpstr>Input_Actual_Costs</vt:lpstr>
      <vt:lpstr>Input_Baseline_PV</vt:lpstr>
      <vt:lpstr>Input_Calendar</vt:lpstr>
      <vt:lpstr>Input_Physical_Progress</vt:lpstr>
      <vt:lpstr>Input_Project</vt:lpstr>
      <vt:lpstr>Input_Resources</vt:lpstr>
      <vt:lpstr>Input_WBS</vt:lpstr>
      <vt:lpstr>Progress_Pct_Values</vt:lpstr>
      <vt:lpstr>WBS_Activities</vt:lpstr>
      <vt:lpstr>WBS_Budgets</vt:lpstr>
      <vt:lpstr>WBS_IDs</vt:lpstr>
      <vt:lpstr>WBS_Types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Ellingsen</cp:lastModifiedBy>
  <dcterms:created xsi:type="dcterms:W3CDTF">2026-08-04T11:57:05Z</dcterms:created>
  <dcterms:modified xsi:type="dcterms:W3CDTF">2026-08-04T18:13:11Z</dcterms:modified>
</cp:coreProperties>
</file>