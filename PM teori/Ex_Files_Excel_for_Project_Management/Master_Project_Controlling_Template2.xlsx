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drawings/drawing1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rank\Desktop\Project Mng\PM teori\Ex_Files_Excel_for_Project_Management\"/>
    </mc:Choice>
  </mc:AlternateContent>
  <xr:revisionPtr revIDLastSave="0" documentId="8_{C9DDD55B-19D3-443D-82F2-C7329C8609E3}" xr6:coauthVersionLast="47" xr6:coauthVersionMax="47" xr10:uidLastSave="{00000000-0000-0000-0000-000000000000}"/>
  <bookViews>
    <workbookView xWindow="-120" yWindow="-16320" windowWidth="29040" windowHeight="15720" firstSheet="22" activeTab="22" xr2:uid="{00000000-000D-0000-FFFF-FFFF00000000}"/>
  </bookViews>
  <sheets>
    <sheet name="Cover" sheetId="1" r:id="rId1"/>
    <sheet name="Slicer Controls" sheetId="2" r:id="rId2"/>
    <sheet name="Glossary" sheetId="3" r:id="rId3"/>
    <sheet name="Review" sheetId="4" r:id="rId4"/>
    <sheet name="PID" sheetId="5" r:id="rId5"/>
    <sheet name="Method Roadmap" sheetId="6" r:id="rId6"/>
    <sheet name="PM-EVM Compliance" sheetId="7" r:id="rId7"/>
    <sheet name="Setup" sheetId="8" r:id="rId8"/>
    <sheet name="Task Plan" sheetId="9" r:id="rId9"/>
    <sheet name="Task Capture" sheetId="10" r:id="rId10"/>
    <sheet name="EVM Dashboard" sheetId="11" r:id="rId11"/>
    <sheet name="Red Actions" sheetId="12" r:id="rId12"/>
    <sheet name="Pivot Summary" sheetId="13" r:id="rId13"/>
    <sheet name="Resource Grid" sheetId="14" r:id="rId14"/>
    <sheet name="Dim_Project" sheetId="15" r:id="rId15"/>
    <sheet name="Dim_WBS" sheetId="16" r:id="rId16"/>
    <sheet name="Dim_Resource" sheetId="17" r:id="rId17"/>
    <sheet name="Dim_Calendar" sheetId="18" r:id="rId18"/>
    <sheet name="Fact_Baseline_PV" sheetId="19" r:id="rId19"/>
    <sheet name="Fact_Actual_Costs" sheetId="20" r:id="rId20"/>
    <sheet name="Fact_Physical_Progress" sheetId="21" r:id="rId21"/>
    <sheet name="EVM" sheetId="22" r:id="rId22"/>
    <sheet name="EVM Charts" sheetId="23" r:id="rId23"/>
    <sheet name="Simple Gantt Model" sheetId="24" r:id="rId24"/>
    <sheet name="PERT Diagram" sheetId="25" r:id="rId25"/>
  </sheets>
  <definedNames>
    <definedName name="Actual_Cost_Values" comment="Actual cost amount column.">tbl_Fact_Actual_Costs[Actual_Cost]</definedName>
    <definedName name="Actual_Hours_Values" comment="Actual hours column.">tbl_Fact_Actual_Costs[Hours_Worked]</definedName>
    <definedName name="Baseline_PV_Values" comment="Baseline planned value column.">tbl_Fact_Baseline_PV[Planned_Value]</definedName>
    <definedName name="Control_BAC" comment="Budget at Completion from the project dimension.">Dim_Project!$E$2</definedName>
    <definedName name="Control_CPI_SPI_Green" comment="CPI/SPI green threshold.">Setup!$B$13</definedName>
    <definedName name="Control_CPI_SPI_Red" comment="CPI/SPI red threshold.">Setup!$B$12</definedName>
    <definedName name="Control_Progress_Amber" comment="Progress amber threshold.">Setup!$B$14</definedName>
    <definedName name="Control_Progress_Green" comment="Progress green threshold.">Setup!$B$15</definedName>
    <definedName name="Control_Project_End" comment="Project baseline end date.">Dim_Project!$D$2</definedName>
    <definedName name="Control_Project_ID" comment="Project ID from the project dimension.">Dim_Project!$A$2</definedName>
    <definedName name="Control_Project_Name" comment="Project name from the project dimension.">Dim_Project!$B$2</definedName>
    <definedName name="Control_Project_Start" comment="Project baseline start date.">Dim_Project!$C$2</definedName>
    <definedName name="Control_Sector" comment="Project sector from the project dimension.">Dim_Project!$F$2</definedName>
    <definedName name="Control_Status_Date" comment="Workbook status date / reporting cut-off.">Setup!$B$9</definedName>
    <definedName name="Input_Actual_Costs" comment="Single actual costs fact table.">tbl_Fact_Actual_Costs[]</definedName>
    <definedName name="Input_Baseline_PV" comment="Single baseline planned value fact table.">tbl_Fact_Baseline_PV[]</definedName>
    <definedName name="Input_Calendar" comment="Single calendar/date dimension.">tbl_Dim_Calendar[]</definedName>
    <definedName name="Input_Physical_Progress" comment="Single physical progress fact table.">tbl_Fact_Physical_Progress[]</definedName>
    <definedName name="Input_Project" comment="Single project master record.">tbl_Dim_Project[]</definedName>
    <definedName name="Input_Resources" comment="Single resource master table.">tbl_Dim_Resource[]</definedName>
    <definedName name="Input_WBS" comment="Single WBS/activity master table.">tbl_Dim_WBS[]</definedName>
    <definedName name="Progress_Pct_Values" comment="Physical progress percentage column.">tbl_Fact_Physical_Progress[Physical_Progress_Pct]</definedName>
    <definedName name="Slicer_Category">#N/A</definedName>
    <definedName name="Slicer_Measure">#N/A</definedName>
    <definedName name="Slicer_Month_Name">#N/A</definedName>
    <definedName name="Slicer_Owner">#N/A</definedName>
    <definedName name="Slicer_Owner1">#N/A</definedName>
    <definedName name="Slicer_Owner2">#N/A</definedName>
    <definedName name="Slicer_RAG">#N/A</definedName>
    <definedName name="Slicer_RAG1">#N/A</definedName>
    <definedName name="Slicer_RAG2">#N/A</definedName>
    <definedName name="Slicer_RAG3">#N/A</definedName>
    <definedName name="Slicer_Resource_ID">#N/A</definedName>
    <definedName name="Slicer_Role">#N/A</definedName>
    <definedName name="Slicer_Status">#N/A</definedName>
    <definedName name="Slicer_Status1">#N/A</definedName>
    <definedName name="Slicer_Status2">#N/A</definedName>
    <definedName name="Slicer_Status3">#N/A</definedName>
    <definedName name="Slicer_Status4">#N/A</definedName>
    <definedName name="Slicer_Type">#N/A</definedName>
    <definedName name="Slicer_Type1">#N/A</definedName>
    <definedName name="Slicer_Type2">#N/A</definedName>
    <definedName name="Slicer_Type3">#N/A</definedName>
    <definedName name="Slicer_WBS_ID">#N/A</definedName>
    <definedName name="Slicer_WBS_ID1">#N/A</definedName>
    <definedName name="Slicer_WBS_ID2">#N/A</definedName>
    <definedName name="Slicer_WBS_ID3">#N/A</definedName>
    <definedName name="Slicer_WBS_ID4">#N/A</definedName>
    <definedName name="Slicer_Week">#N/A</definedName>
    <definedName name="Slicer_Week_Number">#N/A</definedName>
    <definedName name="WBS_Activities" comment="Activity names from the WBS master.">tbl_Dim_WBS[Activity_Name]</definedName>
    <definedName name="WBS_Budgets" comment="Activity budget list from the WBS master.">tbl_Dim_WBS[Total_Budget]</definedName>
    <definedName name="WBS_IDs" comment="WBS ID list from the WBS master.">tbl_Dim_WBS[WBS_ID]</definedName>
    <definedName name="WBS_Types" comment="Activity type list from the WBS master.">tbl_Dim_WBS[Type]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4" l="1"/>
  <c r="F5" i="24"/>
  <c r="D5" i="24"/>
  <c r="B5" i="24"/>
  <c r="D35" i="23"/>
  <c r="C35" i="23"/>
  <c r="B35" i="23"/>
  <c r="E35" i="23" s="1" a="1"/>
  <c r="E35" i="23" s="1"/>
  <c r="E34" i="23" a="1"/>
  <c r="E34" i="23" s="1"/>
  <c r="D34" i="23"/>
  <c r="C34" i="23"/>
  <c r="B34" i="23"/>
  <c r="E33" i="23" a="1"/>
  <c r="E33" i="23" s="1"/>
  <c r="D33" i="23"/>
  <c r="C33" i="23"/>
  <c r="B33" i="23"/>
  <c r="E32" i="23" a="1"/>
  <c r="E32" i="23" s="1"/>
  <c r="B32" i="23"/>
  <c r="D32" i="23" s="1"/>
  <c r="F32" i="23" s="1"/>
  <c r="E31" i="23" a="1"/>
  <c r="E31" i="23" s="1"/>
  <c r="I31" i="23" s="1"/>
  <c r="C31" i="23"/>
  <c r="B31" i="23"/>
  <c r="D31" i="23" s="1"/>
  <c r="B30" i="23"/>
  <c r="C29" i="23"/>
  <c r="B29" i="23"/>
  <c r="B28" i="23"/>
  <c r="E28" i="23" s="1" a="1"/>
  <c r="E28" i="23" s="1"/>
  <c r="D27" i="23"/>
  <c r="C27" i="23"/>
  <c r="B27" i="23"/>
  <c r="E27" i="23" s="1" a="1"/>
  <c r="E27" i="23" s="1"/>
  <c r="E26" i="23" a="1"/>
  <c r="E26" i="23"/>
  <c r="D26" i="23"/>
  <c r="C26" i="23"/>
  <c r="B26" i="23"/>
  <c r="F25" i="23"/>
  <c r="E25" i="23" a="1"/>
  <c r="E25" i="23"/>
  <c r="D25" i="23"/>
  <c r="C25" i="23"/>
  <c r="B25" i="23"/>
  <c r="B24" i="23"/>
  <c r="O2" i="23"/>
  <c r="B25" i="22"/>
  <c r="B24" i="22"/>
  <c r="B23" i="22"/>
  <c r="B22" i="22"/>
  <c r="B21" i="22"/>
  <c r="B20" i="22"/>
  <c r="G10" i="12"/>
  <c r="E10" i="12"/>
  <c r="C10" i="12"/>
  <c r="A10" i="12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F79" i="5"/>
  <c r="F78" i="5"/>
  <c r="F77" i="5"/>
  <c r="F76" i="5"/>
  <c r="B9" i="5"/>
  <c r="B6" i="5"/>
  <c r="B5" i="5"/>
  <c r="B8" i="4"/>
  <c r="B6" i="4"/>
  <c r="B5" i="4"/>
  <c r="B4" i="4"/>
  <c r="I35" i="23" l="1"/>
  <c r="H35" i="23"/>
  <c r="G35" i="23"/>
  <c r="F35" i="23"/>
  <c r="I26" i="23"/>
  <c r="H26" i="23"/>
  <c r="F26" i="23"/>
  <c r="G26" i="23"/>
  <c r="I27" i="23"/>
  <c r="H27" i="23"/>
  <c r="G27" i="23"/>
  <c r="F27" i="23"/>
  <c r="I34" i="23"/>
  <c r="H34" i="23"/>
  <c r="G34" i="23"/>
  <c r="F34" i="23"/>
  <c r="F31" i="23"/>
  <c r="E30" i="23" a="1"/>
  <c r="E30" i="23" s="1"/>
  <c r="D30" i="23"/>
  <c r="C30" i="23"/>
  <c r="G31" i="23"/>
  <c r="D24" i="23"/>
  <c r="C24" i="23"/>
  <c r="I25" i="23"/>
  <c r="G25" i="23"/>
  <c r="C28" i="23"/>
  <c r="I28" i="23" s="1"/>
  <c r="H31" i="23"/>
  <c r="I33" i="23"/>
  <c r="H33" i="23"/>
  <c r="G33" i="23"/>
  <c r="E24" i="23" a="1"/>
  <c r="E24" i="23" s="1"/>
  <c r="D28" i="23"/>
  <c r="H28" i="23" s="1"/>
  <c r="F33" i="23"/>
  <c r="H32" i="23"/>
  <c r="H25" i="23"/>
  <c r="E29" i="23" a="1"/>
  <c r="E29" i="23" s="1"/>
  <c r="D29" i="23"/>
  <c r="C32" i="23"/>
  <c r="G32" i="23" s="1"/>
  <c r="F30" i="23" l="1"/>
  <c r="I30" i="23"/>
  <c r="H30" i="23"/>
  <c r="G30" i="23"/>
  <c r="H24" i="23"/>
  <c r="I24" i="23"/>
  <c r="G24" i="23"/>
  <c r="F24" i="23"/>
  <c r="G29" i="23"/>
  <c r="F29" i="23"/>
  <c r="I29" i="23"/>
  <c r="H29" i="23"/>
  <c r="F28" i="23"/>
  <c r="G28" i="23"/>
  <c r="I32" i="23"/>
</calcChain>
</file>

<file path=xl/sharedStrings.xml><?xml version="1.0" encoding="utf-8"?>
<sst xmlns="http://schemas.openxmlformats.org/spreadsheetml/2006/main" count="2261" uniqueCount="871">
  <si>
    <t>Swimlane PERT Diagram — Office Fit-Out</t>
  </si>
  <si>
    <t>PERT network grouped into swimlanes by Task Plan type: Labor, Material, and Subcontractor. Status date: 2026-06-30. Node colors use the workbook RAG status.</t>
  </si>
  <si>
    <t>WBS ID</t>
  </si>
  <si>
    <t>Activity</t>
  </si>
  <si>
    <t>Baseline Start</t>
  </si>
  <si>
    <t>Baseline Finish</t>
  </si>
  <si>
    <t>Duration</t>
  </si>
  <si>
    <t>Progress</t>
  </si>
  <si>
    <t>SPI</t>
  </si>
  <si>
    <t>CPI</t>
  </si>
  <si>
    <t>RAG</t>
  </si>
  <si>
    <t>Inferred predecessor(s)</t>
  </si>
  <si>
    <t>Visio-style PERT Legend</t>
  </si>
  <si>
    <t>Column1</t>
  </si>
  <si>
    <t>Column2</t>
  </si>
  <si>
    <t>Green</t>
  </si>
  <si>
    <t>On track</t>
  </si>
  <si>
    <t>CPI/SPI/variance favorable</t>
  </si>
  <si>
    <t>WBS-02</t>
  </si>
  <si>
    <t>Site Survey &amp; Mobilization</t>
  </si>
  <si>
    <t>Red</t>
  </si>
  <si>
    <t>Amber</t>
  </si>
  <si>
    <t>Watch</t>
  </si>
  <si>
    <t>Near threshold</t>
  </si>
  <si>
    <t>WBS-03</t>
  </si>
  <si>
    <t>Design &amp; Engineering</t>
  </si>
  <si>
    <t>Action</t>
  </si>
  <si>
    <t>Behind plan / overrun</t>
  </si>
  <si>
    <t>WBS-04</t>
  </si>
  <si>
    <t>Procurement - Materials</t>
  </si>
  <si>
    <t>Gray</t>
  </si>
  <si>
    <t>Start / Finish</t>
  </si>
  <si>
    <t>Network endpoints</t>
  </si>
  <si>
    <t>WBS-05</t>
  </si>
  <si>
    <t>Demolition &amp; Prep</t>
  </si>
  <si>
    <t>WBS-06</t>
  </si>
  <si>
    <t>Electrical Rough-In</t>
  </si>
  <si>
    <t>WBS-07</t>
  </si>
  <si>
    <t>HVAC Installation</t>
  </si>
  <si>
    <t>WBS-08</t>
  </si>
  <si>
    <t>Partitions &amp; Drywall</t>
  </si>
  <si>
    <t>WBS-09</t>
  </si>
  <si>
    <t>Flooring</t>
  </si>
  <si>
    <t>WBS-10</t>
  </si>
  <si>
    <t>Fixtures &amp; Furniture</t>
  </si>
  <si>
    <t>WBS-11</t>
  </si>
  <si>
    <t>Testing / Commissioning</t>
  </si>
  <si>
    <t>WBS-12</t>
  </si>
  <si>
    <t>Handover &amp; Closeout</t>
  </si>
  <si>
    <t>Swimlane view below: dependencies flow left-to-right; each horizontal lane groups work by Task Plan type.</t>
  </si>
  <si>
    <t>Office Fit-Out Project Control Workbook</t>
  </si>
  <si>
    <t>PM-EVM compliant workbook map: setup controls, task plan, Gantt, EVM S-curve, dashboard, source dimensions, and fact tables.</t>
  </si>
  <si>
    <t>Sheet</t>
  </si>
  <si>
    <t>Purpose</t>
  </si>
  <si>
    <t>Tab Color Legend</t>
  </si>
  <si>
    <t>Setup</t>
  </si>
  <si>
    <t>Project-level controls: project metadata, status date, reporting period, and RAG thresholds.</t>
  </si>
  <si>
    <t>Color</t>
  </si>
  <si>
    <t>Category</t>
  </si>
  <si>
    <t>Sheets</t>
  </si>
  <si>
    <t>Task Plan</t>
  </si>
  <si>
    <t>Integrated WBS/task control table linking baseline dates, BAC, progress, AC, EV, variances, forecasts, and RAG status.</t>
  </si>
  <si>
    <t>Navigation / Reference</t>
  </si>
  <si>
    <t>Cover, Glossary</t>
  </si>
  <si>
    <t>EVM</t>
  </si>
  <si>
    <t>Weekly EVM reporting table with cumulative PV, AC, EV, SV, CV, SPI, CPI, EAC, ETC, and VAC.</t>
  </si>
  <si>
    <t>Method / Governance</t>
  </si>
  <si>
    <t>Method Roadmap, PID, PM-EVM Compliance, Review</t>
  </si>
  <si>
    <t>EVM Charts</t>
  </si>
  <si>
    <t>Baseline Gantt schedule and EVM S-curve generated from the same WBS, budget, progress, and actual-cost data.</t>
  </si>
  <si>
    <t xml:space="preserve"> </t>
  </si>
  <si>
    <t>Controls / Planning</t>
  </si>
  <si>
    <t>Setup, Task Plan, Task Capture, Resource Grid</t>
  </si>
  <si>
    <t>EVM Dashboard</t>
  </si>
  <si>
    <t>Management view with KPI tiles, WBS performance breakdown, trends, and RAG coloring.</t>
  </si>
  <si>
    <t>Management Outputs</t>
  </si>
  <si>
    <t>EVM Dashboard, EVM, EVM Charts</t>
  </si>
  <si>
    <t>PM-EVM Compliance</t>
  </si>
  <si>
    <t>Checklist mapping the workbook to the attached PM-EVM guideline.</t>
  </si>
  <si>
    <t>Dimension Data</t>
  </si>
  <si>
    <t>Dim_Project, Dim_WBS, Dim_Resource, Dim_Calendar</t>
  </si>
  <si>
    <t>Dim_* / Fact_*</t>
  </si>
  <si>
    <t>Star-schema source data used by the live formulas and charts.</t>
  </si>
  <si>
    <t>Fact Data</t>
  </si>
  <si>
    <t>Fact_Baseline_PV, Fact_Actual_Costs, Fact_Physical_Progress</t>
  </si>
  <si>
    <t>Glossary</t>
  </si>
  <si>
    <t>Definitions for the EVM, WBS, Gantt, schedule, cost, RAG, and data-model terms used in the workbook.</t>
  </si>
  <si>
    <t>Method Roadmap</t>
  </si>
  <si>
    <t>12-step project management method mapped to workbook sheets and current project controls.</t>
  </si>
  <si>
    <t>Input / Control / Output Classification</t>
  </si>
  <si>
    <t>PID</t>
  </si>
  <si>
    <t>Project Initiation Document template with business case, scope, controls, risk and financial sections.</t>
  </si>
  <si>
    <t>Class</t>
  </si>
  <si>
    <t>Meaning</t>
  </si>
  <si>
    <t>Task Capture</t>
  </si>
  <si>
    <t>Task-list brainstorming sheet based on the attached list-the-tasks method, linked to current WBS.</t>
  </si>
  <si>
    <t>Input</t>
  </si>
  <si>
    <t>Source data or user-entered templates that feed calculations.</t>
  </si>
  <si>
    <t>Dim_Project, Dim_WBS, Dim_Resource, Dim_Calendar, Fact_Baseline_PV, Fact_Actual_Costs, Fact_Physical_Progress, PID, Task Capture, Review</t>
  </si>
  <si>
    <t>Resource Grid</t>
  </si>
  <si>
    <t>Weekly hours/cost resource allocation grid adapted from the attached Gantt template.</t>
  </si>
  <si>
    <t>Control</t>
  </si>
  <si>
    <t>Assumptions, governance, validation, methods, and planning logic that manage how inputs are interpreted.</t>
  </si>
  <si>
    <t>Setup, Method Roadmap, PM-EVM Compliance, Task Plan, Resource Grid</t>
  </si>
  <si>
    <t>Review</t>
  </si>
  <si>
    <t>GOOD / BAD / BETTER review template and action log.</t>
  </si>
  <si>
    <t>Output</t>
  </si>
  <si>
    <t>Management-facing reports, charts, dashboards, and reference views produced from inputs and controls.</t>
  </si>
  <si>
    <t>Cover, Glossary, EVM Dashboard, EVM, EVM Charts</t>
  </si>
  <si>
    <t>Garden Gantt Model</t>
  </si>
  <si>
    <t>Attached garden-office Gantt template implemented with current project weekly hours and cost data.</t>
  </si>
  <si>
    <t>PERT Diagram</t>
  </si>
  <si>
    <t>Visio-style PERT network diagram reflecting the current WBS, schedule, progress and RAG status.</t>
  </si>
  <si>
    <t>Reason</t>
  </si>
  <si>
    <t>Red Actions</t>
  </si>
  <si>
    <t>Recommended recovery actions for all current red RAG WBS items and control risks.</t>
  </si>
  <si>
    <t>Cover</t>
  </si>
  <si>
    <t>Workbook navigation and summary.</t>
  </si>
  <si>
    <t>Pivot Summary</t>
  </si>
  <si>
    <t>High-level PivotTables and descriptive statistics for project cost, schedule, EVM, and RAG performance.</t>
  </si>
  <si>
    <t>Dim_Project</t>
  </si>
  <si>
    <t>Dim_WBS</t>
  </si>
  <si>
    <t>Dim_Resource</t>
  </si>
  <si>
    <t>Dim_Calendar</t>
  </si>
  <si>
    <t>Fact_Baseline_PV</t>
  </si>
  <si>
    <t>Fact_Actual_Costs</t>
  </si>
  <si>
    <t>Fact_Physical_Progress</t>
  </si>
  <si>
    <t>Workbook Slicer Controls</t>
  </si>
  <si>
    <t>Use this panel to filter the source Excel Tables directly. Slicers are grouped by reporting outputs, source inputs, and governance/control tables.</t>
  </si>
  <si>
    <t>MANAGEMENT OUTPUTS</t>
  </si>
  <si>
    <t>SOURCE INPUTS</t>
  </si>
  <si>
    <t>GOVERNANCE / CONTROL</t>
  </si>
  <si>
    <t>Slicer name</t>
  </si>
  <si>
    <t>Source area</t>
  </si>
  <si>
    <t>Field</t>
  </si>
  <si>
    <t>Caption</t>
  </si>
  <si>
    <t>slc_Dashboard_Status</t>
  </si>
  <si>
    <t>Dashboard</t>
  </si>
  <si>
    <t>Status</t>
  </si>
  <si>
    <t>Dashboard: Status</t>
  </si>
  <si>
    <t>slc_Dashboard_Type</t>
  </si>
  <si>
    <t>Type</t>
  </si>
  <si>
    <t>Dashboard: Type</t>
  </si>
  <si>
    <t>slc_TaskPlan_Status</t>
  </si>
  <si>
    <t>Task Plan: Status</t>
  </si>
  <si>
    <t>slc_TaskPlan_Type</t>
  </si>
  <si>
    <t>Task Plan: Type</t>
  </si>
  <si>
    <t>slc_TaskPlan_WBSID</t>
  </si>
  <si>
    <t>Task Plan: WBS ID</t>
  </si>
  <si>
    <t>slc_EVM_Status</t>
  </si>
  <si>
    <t>EVM: Status</t>
  </si>
  <si>
    <t>slc_EVM_Week</t>
  </si>
  <si>
    <t>Week</t>
  </si>
  <si>
    <t>EVM: Week</t>
  </si>
  <si>
    <t>slc_PERT_RAG</t>
  </si>
  <si>
    <t>PERT</t>
  </si>
  <si>
    <t>PERT: RAG</t>
  </si>
  <si>
    <t>slc_Resource_Measure</t>
  </si>
  <si>
    <t>Measure</t>
  </si>
  <si>
    <t>Resource Grid: Measure</t>
  </si>
  <si>
    <t>slc_Resource_RAG</t>
  </si>
  <si>
    <t>Resource Grid: RAG</t>
  </si>
  <si>
    <t>slc_Calendar_Month</t>
  </si>
  <si>
    <t>Calendar</t>
  </si>
  <si>
    <t>Month</t>
  </si>
  <si>
    <t>Calendar: Month</t>
  </si>
  <si>
    <t>slc_Calendar_Week</t>
  </si>
  <si>
    <t>Calendar: Week</t>
  </si>
  <si>
    <t>slc_DimResource_Role</t>
  </si>
  <si>
    <t>Resources</t>
  </si>
  <si>
    <t>Role</t>
  </si>
  <si>
    <t>Resources: Role</t>
  </si>
  <si>
    <t>slc_DimWBS_Type</t>
  </si>
  <si>
    <t>WBS Master</t>
  </si>
  <si>
    <t>WBS Master: Type</t>
  </si>
  <si>
    <t>slc_DimWBS_WBSID</t>
  </si>
  <si>
    <t>WBS Master: WBS ID</t>
  </si>
  <si>
    <t>slc_ActualCosts_ResourceID</t>
  </si>
  <si>
    <t>Actual Costs</t>
  </si>
  <si>
    <t>Resource</t>
  </si>
  <si>
    <t>Actual Costs: Resource</t>
  </si>
  <si>
    <t>slc_ActualCosts_WBSID</t>
  </si>
  <si>
    <t>Actual Costs: WBS ID</t>
  </si>
  <si>
    <t>slc_BaselinePV_WBSID</t>
  </si>
  <si>
    <t>Baseline PV</t>
  </si>
  <si>
    <t>Baseline PV: WBS ID</t>
  </si>
  <si>
    <t>slc_Progress_WBSID</t>
  </si>
  <si>
    <t>Progress: WBS ID</t>
  </si>
  <si>
    <t>slc_TaskCapture_Type</t>
  </si>
  <si>
    <t>Task Capture: Type</t>
  </si>
  <si>
    <t>slc_Method_Status</t>
  </si>
  <si>
    <t>Method Roadmap: Status</t>
  </si>
  <si>
    <t>slc_PIDRisk_Owner</t>
  </si>
  <si>
    <t>PID Risks</t>
  </si>
  <si>
    <t>Owner</t>
  </si>
  <si>
    <t>PID Risks: Owner</t>
  </si>
  <si>
    <t>slc_PIDRisk_RAG</t>
  </si>
  <si>
    <t>PID Risks: RAG</t>
  </si>
  <si>
    <t>slc_Review_Owner</t>
  </si>
  <si>
    <t>Review Actions</t>
  </si>
  <si>
    <t>Review Actions: Owner</t>
  </si>
  <si>
    <t>slc_Review_RAG</t>
  </si>
  <si>
    <t>Review Actions: RAG</t>
  </si>
  <si>
    <t>slc_Compliance_Status</t>
  </si>
  <si>
    <t>PM-EVM</t>
  </si>
  <si>
    <t>PM-EVM: Status</t>
  </si>
  <si>
    <t>slc_Glossary_Category</t>
  </si>
  <si>
    <t>Glossary: Category</t>
  </si>
  <si>
    <t>slc_Method_Owner</t>
  </si>
  <si>
    <t>Method Roadmap: Owner</t>
  </si>
  <si>
    <t>Project Control Glossary</t>
  </si>
  <si>
    <t>Definitions for the EVM, WBS, Gantt, schedule, cost, and RAG terms used across this workbook.</t>
  </si>
  <si>
    <t>Term</t>
  </si>
  <si>
    <t>Abbrev.</t>
  </si>
  <si>
    <t>Definition</t>
  </si>
  <si>
    <t>Workbook reference</t>
  </si>
  <si>
    <t>Project setup</t>
  </si>
  <si>
    <t>Project Start</t>
  </si>
  <si>
    <t>Approved start date for the project control baseline.</t>
  </si>
  <si>
    <t>Setup!B7 / Dim_Project!C2</t>
  </si>
  <si>
    <t>Project End</t>
  </si>
  <si>
    <t>Approved planned end date for the project.</t>
  </si>
  <si>
    <t>Setup!B8 / Dim_Project!D2</t>
  </si>
  <si>
    <t>Status Date</t>
  </si>
  <si>
    <t>Cut-off date for reported progress, actual costs, and EVM metrics.</t>
  </si>
  <si>
    <t>Setup!B9 / EVM Dashboard!B4</t>
  </si>
  <si>
    <t>Scope / WBS</t>
  </si>
  <si>
    <t>Work Breakdown Structure</t>
  </si>
  <si>
    <t>WBS</t>
  </si>
  <si>
    <t>Hierarchical breakdown of project scope into controllable work packages or activities.</t>
  </si>
  <si>
    <t>Dim_WBS / Task Plan</t>
  </si>
  <si>
    <t>Unique identifier used to connect WBS activities to baseline PV, actual costs, and progress facts.</t>
  </si>
  <si>
    <t>Dim_WBS!A:A</t>
  </si>
  <si>
    <t>Activity / Task</t>
  </si>
  <si>
    <t>A controllable unit of project work with budget, schedule, progress, and cost tracking.</t>
  </si>
  <si>
    <t>Task Plan!C:C</t>
  </si>
  <si>
    <t>Schedule</t>
  </si>
  <si>
    <t>Planned start date for a WBS activity from the approved baseline.</t>
  </si>
  <si>
    <t>Task Plan!E:E</t>
  </si>
  <si>
    <t>Planned finish date for a WBS activity from the approved baseline.</t>
  </si>
  <si>
    <t>Task Plan!F:F</t>
  </si>
  <si>
    <t>Duration Days</t>
  </si>
  <si>
    <t>Calendar-day span between baseline start and finish dates.</t>
  </si>
  <si>
    <t>Task Plan!G:G</t>
  </si>
  <si>
    <t>Gantt Chart</t>
  </si>
  <si>
    <t>Timeline chart showing planned activity timing and duration by WBS activity.</t>
  </si>
  <si>
    <t>EVM Charts!Gantt Schedule</t>
  </si>
  <si>
    <t>Cost / EVM</t>
  </si>
  <si>
    <t>Budget at Completion</t>
  </si>
  <si>
    <t>BAC</t>
  </si>
  <si>
    <t>Approved total budget for the project or WBS activity.</t>
  </si>
  <si>
    <t>Setup!B11 / Task Plan!H:H</t>
  </si>
  <si>
    <t>Planned Value</t>
  </si>
  <si>
    <t>PV</t>
  </si>
  <si>
    <t>Budgeted value of work planned to be complete by a given date.</t>
  </si>
  <si>
    <t>Task Plan!I:I / EVM!C:C</t>
  </si>
  <si>
    <t>Actual Cost</t>
  </si>
  <si>
    <t>AC</t>
  </si>
  <si>
    <t>Actual cost incurred by a given date.</t>
  </si>
  <si>
    <t>Task Plan!J:J / EVM!D:D</t>
  </si>
  <si>
    <t>Physical Progress</t>
  </si>
  <si>
    <t>Progress %</t>
  </si>
  <si>
    <t>Latest reported percent complete for each WBS activity as of the status date.</t>
  </si>
  <si>
    <t>Task Plan!K:K</t>
  </si>
  <si>
    <t>Earned Value</t>
  </si>
  <si>
    <t>EV</t>
  </si>
  <si>
    <t>Budgeted value of the work actually completed; calculated as BAC × progress.</t>
  </si>
  <si>
    <t>Task Plan!L:L / EVM!E:E</t>
  </si>
  <si>
    <t>Variance</t>
  </si>
  <si>
    <t>Schedule Variance</t>
  </si>
  <si>
    <t>SV</t>
  </si>
  <si>
    <t>EV minus PV; negative means less work completed than planned.</t>
  </si>
  <si>
    <t>Task Plan!M:M / EVM!F:F</t>
  </si>
  <si>
    <t>Cost Variance</t>
  </si>
  <si>
    <t>CV</t>
  </si>
  <si>
    <t>EV minus AC; negative means cost overrun for completed work.</t>
  </si>
  <si>
    <t>Task Plan!N:N / EVM!G:G</t>
  </si>
  <si>
    <t>Performance index</t>
  </si>
  <si>
    <t>Schedule Performance Index</t>
  </si>
  <si>
    <t>EV divided by PV; below 1.0 indicates unfavorable schedule efficiency.</t>
  </si>
  <si>
    <t>Task Plan!O:O / EVM!H:H</t>
  </si>
  <si>
    <t>Cost Performance Index</t>
  </si>
  <si>
    <t>EV divided by AC; below 1.0 indicates unfavorable cost efficiency.</t>
  </si>
  <si>
    <t>Task Plan!P:P / EVM!I:I</t>
  </si>
  <si>
    <t>Forecast</t>
  </si>
  <si>
    <t>Estimate at Completion</t>
  </si>
  <si>
    <t>EAC</t>
  </si>
  <si>
    <t>Forecast final project or WBS cost, typically BAC divided by CPI.</t>
  </si>
  <si>
    <t>Task Plan!Q:Q / EVM!K:K</t>
  </si>
  <si>
    <t>Estimate to Complete</t>
  </si>
  <si>
    <t>ETC</t>
  </si>
  <si>
    <t>Forecast remaining cost to complete the work; EAC minus AC.</t>
  </si>
  <si>
    <t>Task Plan!R:R / EVM!L:L</t>
  </si>
  <si>
    <t>Variance at Completion</t>
  </si>
  <si>
    <t>VAC</t>
  </si>
  <si>
    <t>Expected budget variance at completion; BAC minus EAC.</t>
  </si>
  <si>
    <t>Task Plan!S:S / EVM!M:M</t>
  </si>
  <si>
    <t>Chart</t>
  </si>
  <si>
    <t>EVM S-Curve</t>
  </si>
  <si>
    <t>Line chart comparing cumulative PV, EV, and AC over time.</t>
  </si>
  <si>
    <t>EVM Charts!EVM S-Curve</t>
  </si>
  <si>
    <t>Good condition: on/above plan, favorable variance, or acceptable performance threshold.</t>
  </si>
  <si>
    <t>Setup!A18:D18</t>
  </si>
  <si>
    <t>Watch condition: close to threshold or mid-progress; monitor closely.</t>
  </si>
  <si>
    <t>Setup!A19:D19</t>
  </si>
  <si>
    <t>Action condition: negative variance, low progress, CPI/SPI below threshold, or overrun.</t>
  </si>
  <si>
    <t>Setup!A20:D20</t>
  </si>
  <si>
    <t>Reporting</t>
  </si>
  <si>
    <t>Management summary view showing KPIs, WBS performance, trend data, and RAG status.</t>
  </si>
  <si>
    <t>EVM Dashboard!A1:P47</t>
  </si>
  <si>
    <t>Tie-out</t>
  </si>
  <si>
    <t>Validation that dashboard KPIs match the detailed EVM reporting table at the status date.</t>
  </si>
  <si>
    <t>EVM!H19:M25</t>
  </si>
  <si>
    <t>Data model</t>
  </si>
  <si>
    <t>Dimension Table</t>
  </si>
  <si>
    <t>Dim</t>
  </si>
  <si>
    <t>Reference table describing projects, WBS, resources, or calendar dates.</t>
  </si>
  <si>
    <t>Dim_Project / Dim_WBS / Dim_Resource / Dim_Calendar</t>
  </si>
  <si>
    <t>Fact Table</t>
  </si>
  <si>
    <t>Fact</t>
  </si>
  <si>
    <t>Transaction or event table containing planned values, actual costs, or progress observations.</t>
  </si>
  <si>
    <t>Fact_Baseline_PV / Fact_Actual_Costs / Fact_Physical_Progress</t>
  </si>
  <si>
    <t>Workbook classification</t>
  </si>
  <si>
    <t>Source data or user-entered content that feeds project calculations and reports.</t>
  </si>
  <si>
    <t>Cover!D13:H39</t>
  </si>
  <si>
    <t>Assumptions, thresholds, validation, governance, and planning logic used to interpret inputs.</t>
  </si>
  <si>
    <t>Reports, charts, dashboards, and references produced from the input data and control logic.</t>
  </si>
  <si>
    <t>Project Review &amp; Lessons</t>
  </si>
  <si>
    <t>Review template from attachment: GOOD / BAD / BETTER plus action log for plan adjustments and lessons learned.</t>
  </si>
  <si>
    <t>Project Description</t>
  </si>
  <si>
    <t>Project Period</t>
  </si>
  <si>
    <t>Review Owner</t>
  </si>
  <si>
    <t>Frank Ellingsen</t>
  </si>
  <si>
    <t>Review Date</t>
  </si>
  <si>
    <t>GOOD — what went well that others should repeat?</t>
  </si>
  <si>
    <t>BAD — what mistakes were made or unexpected issues occurred?</t>
  </si>
  <si>
    <t>BETTER / ACTION LOG</t>
  </si>
  <si>
    <t>Due date</t>
  </si>
  <si>
    <t>Decision required?</t>
  </si>
  <si>
    <t>Linked workbook evidence</t>
  </si>
  <si>
    <t>2026-01-01</t>
  </si>
  <si>
    <t>Action description</t>
  </si>
  <si>
    <t>Medium</t>
  </si>
  <si>
    <t>Open</t>
  </si>
  <si>
    <t>Review cost efficiency and current EAC forecast</t>
  </si>
  <si>
    <t>Project Controls</t>
  </si>
  <si>
    <t>Yes</t>
  </si>
  <si>
    <t>EVM Dashboard!G10 / Task Plan!Q17</t>
  </si>
  <si>
    <t>Confirm mitigation for red WBS activities in Gantt</t>
  </si>
  <si>
    <t>Project Manager</t>
  </si>
  <si>
    <t>Check future material/subcontractor dependencies</t>
  </si>
  <si>
    <t>Planner</t>
  </si>
  <si>
    <t>No</t>
  </si>
  <si>
    <t>Task Plan / Resource Grid</t>
  </si>
  <si>
    <t>Capture lessons from completed WBS items</t>
  </si>
  <si>
    <t>Project Team</t>
  </si>
  <si>
    <t>Task Capture / Review</t>
  </si>
  <si>
    <t>Review source</t>
  </si>
  <si>
    <t>13.1.2 Review Template.pdf</t>
  </si>
  <si>
    <t>Project Initiation Document (PID)</t>
  </si>
  <si>
    <t>PID template from the attached method, prefilled with current workbook metadata where available. Fill yellow cells during project definition.</t>
  </si>
  <si>
    <t>Project header</t>
  </si>
  <si>
    <t>Project Name</t>
  </si>
  <si>
    <t>Project Number</t>
  </si>
  <si>
    <t>Project Risk Level</t>
  </si>
  <si>
    <t>H/M/L</t>
  </si>
  <si>
    <t>Prepared by</t>
  </si>
  <si>
    <t>Date</t>
  </si>
  <si>
    <t>Persons consulted</t>
  </si>
  <si>
    <t>Key Driver</t>
  </si>
  <si>
    <t>Cost / Quality / Time</t>
  </si>
  <si>
    <t>1. Business Case</t>
  </si>
  <si>
    <t>Why this project; why now; options considered; what if we do not do it; benefits; payback period.</t>
  </si>
  <si>
    <t>2.1 In Scope / Included</t>
  </si>
  <si>
    <t>Work and deliverables included in the project.</t>
  </si>
  <si>
    <t>2.2 Out of Scope / Excluded</t>
  </si>
  <si>
    <t>Work explicitly excluded from the project.</t>
  </si>
  <si>
    <t>2.3 Dependencies</t>
  </si>
  <si>
    <t>How the project impacts or is impacted by other projects or programmes.</t>
  </si>
  <si>
    <t>2.4 Constraints</t>
  </si>
  <si>
    <t>Deadlines, budget limits, resource limitations or other delivery constraints.</t>
  </si>
  <si>
    <t>2.5 Assumptions</t>
  </si>
  <si>
    <t>Assumptions currently being used for planning.</t>
  </si>
  <si>
    <t>3. Key Actions Proposed</t>
  </si>
  <si>
    <t>Must include a high-level or detailed Gantt chart.</t>
  </si>
  <si>
    <t>4. Project Controls and Reporting</t>
  </si>
  <si>
    <t>How progress will be reported, frequency, method and responsibility.</t>
  </si>
  <si>
    <t>Frequency / timing</t>
  </si>
  <si>
    <t>How control is reported</t>
  </si>
  <si>
    <t>Responsibility</t>
  </si>
  <si>
    <t>Next report date</t>
  </si>
  <si>
    <t>Project Controls Lead</t>
  </si>
  <si>
    <t>Role Description</t>
  </si>
  <si>
    <t>Name</t>
  </si>
  <si>
    <t>Contact</t>
  </si>
  <si>
    <t>Approved</t>
  </si>
  <si>
    <t>Stage end</t>
  </si>
  <si>
    <t>PID / Review pack</t>
  </si>
  <si>
    <t>Planned</t>
  </si>
  <si>
    <t>Monthly</t>
  </si>
  <si>
    <t>Board summary</t>
  </si>
  <si>
    <t>5. Risk Control</t>
  </si>
  <si>
    <t>Project risks and containment measures.</t>
  </si>
  <si>
    <t>Project Risk</t>
  </si>
  <si>
    <t>Containment Measures</t>
  </si>
  <si>
    <t>Due Date</t>
  </si>
  <si>
    <t>Risk ID</t>
  </si>
  <si>
    <t>Risk Description</t>
  </si>
  <si>
    <t>Probability</t>
  </si>
  <si>
    <t>Impact</t>
  </si>
  <si>
    <t>Mitigation Strategy</t>
  </si>
  <si>
    <t>Cost overrun</t>
  </si>
  <si>
    <t>Monitor CPI/CV/EAC and review WBS cost drivers.</t>
  </si>
  <si>
    <t>Resource availability</t>
  </si>
  <si>
    <t>Use weekly Resource Grid to identify conflicts.</t>
  </si>
  <si>
    <t>Resource Manager</t>
  </si>
  <si>
    <t>Scope creep</t>
  </si>
  <si>
    <t>Confirm in/out of scope and change-control route in PID.</t>
  </si>
  <si>
    <t>Quality issue</t>
  </si>
  <si>
    <t>Define acceptance criteria and quality checks by task.</t>
  </si>
  <si>
    <t>Supplier delay</t>
  </si>
  <si>
    <t>Track procurement/material activities and delivery milestones.</t>
  </si>
  <si>
    <t>6. Financial Implications</t>
  </si>
  <si>
    <t>Quarterly/annual financial profile adapted from the PID template; Year 1 is linked to the current baseline planned value.</t>
  </si>
  <si>
    <t>Financial Implications</t>
  </si>
  <si>
    <t>Q1</t>
  </si>
  <si>
    <t>Q2</t>
  </si>
  <si>
    <t>Q3</t>
  </si>
  <si>
    <t>Q4</t>
  </si>
  <si>
    <t>Total</t>
  </si>
  <si>
    <t>Cost Category</t>
  </si>
  <si>
    <t>Comments</t>
  </si>
  <si>
    <t>Amount Year 2</t>
  </si>
  <si>
    <t>Amount Year 3</t>
  </si>
  <si>
    <t>Amount Year 4</t>
  </si>
  <si>
    <t>Amount Year 5</t>
  </si>
  <si>
    <t>12-Step Project Management Method Roadmap</t>
  </si>
  <si>
    <t>Course method embedded into the workbook: define, list, sequence, estimate, check, Gantt, resource, risk, monitor progress/cost, adjust, and review.</t>
  </si>
  <si>
    <t>Step</t>
  </si>
  <si>
    <t>Method step</t>
  </si>
  <si>
    <t>Workbook implementation</t>
  </si>
  <si>
    <t>Primary sheet / range</t>
  </si>
  <si>
    <t>Source</t>
  </si>
  <si>
    <t>Define the project</t>
  </si>
  <si>
    <t>Create the project definition and controls.</t>
  </si>
  <si>
    <t>PID template added with live project metadata.</t>
  </si>
  <si>
    <t>PID!A1:H50</t>
  </si>
  <si>
    <t>Active</t>
  </si>
  <si>
    <t>1.2 12 Step Process / 2.1.2 PID template</t>
  </si>
  <si>
    <t>List the tasks</t>
  </si>
  <si>
    <t>Capture all tasks without initially worrying about order, cost, or time.</t>
  </si>
  <si>
    <t>Task Capture sheet added; WBS imported from current Dim_WBS and grouped by type.</t>
  </si>
  <si>
    <t>Task Capture!A4:J18</t>
  </si>
  <si>
    <t>3.1.5 List the Tasks / 4.1 List of Tasks</t>
  </si>
  <si>
    <t>Establish task order</t>
  </si>
  <si>
    <t>Convert brainstormed tasks into planned sequencing.</t>
  </si>
  <si>
    <t>Task Plan and Gantt use WBS order and baseline dates.</t>
  </si>
  <si>
    <t>Task Plan!A4:T17</t>
  </si>
  <si>
    <t>1.2 12 Step Process</t>
  </si>
  <si>
    <t>Estimate time</t>
  </si>
  <si>
    <t>Estimate duration by task.</t>
  </si>
  <si>
    <t>Baseline start, finish, and duration calculated per WBS.</t>
  </si>
  <si>
    <t>Task Plan!E5:G17</t>
  </si>
  <si>
    <t>Margin check &amp; reality check</t>
  </si>
  <si>
    <t>Check whether dates, budget, and resource assumptions are feasible.</t>
  </si>
  <si>
    <t>Status tie-out, EVM checks, and RAG indicators added.</t>
  </si>
  <si>
    <t>Show planned timing and status.</t>
  </si>
  <si>
    <t>Gantt chart with RAG bars and status-date marker exists.</t>
  </si>
  <si>
    <t>8.1.2 Gantt templates</t>
  </si>
  <si>
    <t>Resource allocation</t>
  </si>
  <si>
    <t>Map tasks to people/resources and weekly loading.</t>
  </si>
  <si>
    <t>Resource Grid added with weekly hours and costs by WBS.</t>
  </si>
  <si>
    <t>Resource Grid!A4:Z35</t>
  </si>
  <si>
    <t>8.1.2 Gantt template from garden office</t>
  </si>
  <si>
    <t>Predicting &amp; reducing risk</t>
  </si>
  <si>
    <t>Identify project risks and containment measures.</t>
  </si>
  <si>
    <t>PID risk-control register added.</t>
  </si>
  <si>
    <t>PID!A63:E70</t>
  </si>
  <si>
    <t>Template ready</t>
  </si>
  <si>
    <t>2.1.2 PID template</t>
  </si>
  <si>
    <t>Monitoring progress</t>
  </si>
  <si>
    <t>Track completion against plan.</t>
  </si>
  <si>
    <t>Progress is linked from Fact_Physical_Progress to Task Plan and dashboard.</t>
  </si>
  <si>
    <t>Task Plan!K5:K17</t>
  </si>
  <si>
    <t>Monitoring cost</t>
  </si>
  <si>
    <t>Track actual cost and forecast.</t>
  </si>
  <si>
    <t>EVM reporting monitors AC, CV, CPI, EAC, ETC, VAC.</t>
  </si>
  <si>
    <t>EVM!A4:N16</t>
  </si>
  <si>
    <t>Adjusting the plan</t>
  </si>
  <si>
    <t>Use EVM and RAG exceptions to trigger decisions.</t>
  </si>
  <si>
    <t>Decision/action log added to Review.</t>
  </si>
  <si>
    <t>Review!A20:F28</t>
  </si>
  <si>
    <t>Project Board</t>
  </si>
  <si>
    <t>Review &amp; lessons</t>
  </si>
  <si>
    <t>Capture good, bad, better after delivery.</t>
  </si>
  <si>
    <t>Review sheet added with GOOD / BAD / BETTER structure.</t>
  </si>
  <si>
    <t>Review!A4:F17</t>
  </si>
  <si>
    <t>13.1.2 Review Template</t>
  </si>
  <si>
    <t>PM-EVM Compliance Checklist</t>
  </si>
  <si>
    <t>Workbook compliance map against the attached PM-EVM guideline: WBS, Gantt, EVM, dashboard, live formulas, and exception-focused reporting.</t>
  </si>
  <si>
    <t>Guideline requirement</t>
  </si>
  <si>
    <t>Location</t>
  </si>
  <si>
    <t>Evidence</t>
  </si>
  <si>
    <t>Setup controls: project metadata, status date, reporting period, rates/thresholds</t>
  </si>
  <si>
    <t>Added setup control sheet with live project metadata and thresholds</t>
  </si>
  <si>
    <t>Setup!A4:D20</t>
  </si>
  <si>
    <t>Compliant</t>
  </si>
  <si>
    <t>PM-EVM.md lines 117-126</t>
  </si>
  <si>
    <t>Task Plan as integrated WBS/task control view</t>
  </si>
  <si>
    <t>Added live task table combining WBS, dates, BAC, PV, AC, progress, EV, variances, forecasts and RAG</t>
  </si>
  <si>
    <t>PM-EVM.md lines 120-125</t>
  </si>
  <si>
    <t>Gantt display tied to WBS baseline dates</t>
  </si>
  <si>
    <t>Existing EVM Charts Gantt uses WBS activities, baseline start/finish and duration</t>
  </si>
  <si>
    <t>PM-EVM.md lines 122-125</t>
  </si>
  <si>
    <t>EVM by reporting period with PV, EV, AC, SV, CV, SPI, CPI, BAC, EAC, ETC, VAC</t>
  </si>
  <si>
    <t>Added EVM reporting table with weekly live formulas</t>
  </si>
  <si>
    <t>PM-EVM.md lines 123-124</t>
  </si>
  <si>
    <t>S-curve shows cumulative PV, EV, and AC over time</t>
  </si>
  <si>
    <t>Existing EVM S-curve chart is sourced from weekly cumulative helper table</t>
  </si>
  <si>
    <t>PM-EVM.md lines 50-54</t>
  </si>
  <si>
    <t>Dashboard summarizes management KPIs and top WBS exceptions</t>
  </si>
  <si>
    <t>Existing dashboard has KPI tiles, WBS table, RAG, variance/status fields</t>
  </si>
  <si>
    <t>PM-EVM.md lines 781-785</t>
  </si>
  <si>
    <t>Exception-focused reporting with RAG / traffic-light indicators</t>
  </si>
  <si>
    <t>RAG rules applied across performance indices, progress, variances, and status cells</t>
  </si>
  <si>
    <t>EVM Dashboard, Task Plan, EVM</t>
  </si>
  <si>
    <t>Consistent WBS codes, budgets, dates, and actuals across views</t>
  </si>
  <si>
    <t>Task Plan, EVM, Gantt and dashboard all reference Dim_WBS and fact tables</t>
  </si>
  <si>
    <t>Dim_WBS / Fact_*</t>
  </si>
  <si>
    <t>PM-EVM.md lines 270-274</t>
  </si>
  <si>
    <t>Validate formulas and totals</t>
  </si>
  <si>
    <t>Added formula validation and status-date tie-out to dashboard KPIs</t>
  </si>
  <si>
    <t>PM-EVM.md lines 783-785</t>
  </si>
  <si>
    <t>Setup Controls</t>
  </si>
  <si>
    <t>Single place to review project metadata, status date, reporting period, and RAG thresholds used by the control workbook.</t>
  </si>
  <si>
    <t>Value</t>
  </si>
  <si>
    <t>Project ID</t>
  </si>
  <si>
    <t>Reporting Period</t>
  </si>
  <si>
    <t>Weekly</t>
  </si>
  <si>
    <t>Budget at Completion (BAC)</t>
  </si>
  <si>
    <t>CPI/SPI Red Threshold</t>
  </si>
  <si>
    <t>CPI/SPI Green Threshold</t>
  </si>
  <si>
    <t>Progress Amber Threshold</t>
  </si>
  <si>
    <t>Progress Green Threshold</t>
  </si>
  <si>
    <t>Metric</t>
  </si>
  <si>
    <t>Rule</t>
  </si>
  <si>
    <t>Interpretation</t>
  </si>
  <si>
    <t>CPI/SPI</t>
  </si>
  <si>
    <t>&gt;= 1.00</t>
  </si>
  <si>
    <t>On or above plan</t>
  </si>
  <si>
    <t>0.95 to &lt; 1.00</t>
  </si>
  <si>
    <t>Near threshold / watch</t>
  </si>
  <si>
    <t>&lt; 0.95</t>
  </si>
  <si>
    <t>Action required</t>
  </si>
  <si>
    <t>Integrated WBS control table: one live task-level view for scope, schedule, budget, progress, actuals, forecasts, and RAG status.</t>
  </si>
  <si>
    <t>WBS Code</t>
  </si>
  <si>
    <t>Task / Activity</t>
  </si>
  <si>
    <t>BAC (NOK)</t>
  </si>
  <si>
    <t>PV @ Status</t>
  </si>
  <si>
    <t>AC @ Status</t>
  </si>
  <si>
    <t>EV @ Status</t>
  </si>
  <si>
    <t>WBS_ID</t>
  </si>
  <si>
    <t>Total / Project Portfolio</t>
  </si>
  <si>
    <t>Task Capture / List the Tasks</t>
  </si>
  <si>
    <t>Method: first list all tasks without worrying about order, cost, or time; then group into phases and convert into the controlled Task Plan.</t>
  </si>
  <si>
    <t>Phase / Area</t>
  </si>
  <si>
    <t>Task</t>
  </si>
  <si>
    <t>Included?</t>
  </si>
  <si>
    <t>Event / Milestone?</t>
  </si>
  <si>
    <t>Notes</t>
  </si>
  <si>
    <t>Source / next action</t>
  </si>
  <si>
    <t>Mapped to Task Plan</t>
  </si>
  <si>
    <t>Brainstorm / new</t>
  </si>
  <si>
    <t>Add new tasks here before sequencing</t>
  </si>
  <si>
    <t>Example task-list method from attachment</t>
  </si>
  <si>
    <t>Garden office example grouped tasks: clear the space, foundations, buy the shed, install shed, legal. Use this area to add unstructured tasks before converting them to WBS.</t>
  </si>
  <si>
    <t>OFFICE FIT-OUT - PROJECT CONTROLLING DASHBOARD</t>
  </si>
  <si>
    <t>EVM Performance Status | Tufte-Compliant Design | Data-Ink Maximized</t>
  </si>
  <si>
    <t>Status Date:</t>
  </si>
  <si>
    <t>Status Week:</t>
  </si>
  <si>
    <t>Sector:</t>
  </si>
  <si>
    <t>RAG Legend</t>
  </si>
  <si>
    <t>Good</t>
  </si>
  <si>
    <t>On/above plan or low exposure</t>
  </si>
  <si>
    <t>BUDGET AT COMPLETION (BAC)</t>
  </si>
  <si>
    <t>PLANNED VALUE (PV)</t>
  </si>
  <si>
    <t>ACTUAL COST (AC)</t>
  </si>
  <si>
    <t>EARNED VALUE (EV)</t>
  </si>
  <si>
    <t>Near threshold / medium exposure</t>
  </si>
  <si>
    <t>Behind plan, overrun, or high exposure</t>
  </si>
  <si>
    <t>COST VARIANCE (CV)</t>
  </si>
  <si>
    <t>SCHEDULE VARIANCE (SV)</t>
  </si>
  <si>
    <t>CPI (COST INDEX)</t>
  </si>
  <si>
    <t>SPI (SCHEDULE INDEX)</t>
  </si>
  <si>
    <t>ESTIMATE AT COMPLETION (EAC)</t>
  </si>
  <si>
    <t>ESTIMATE TO COMPLETE (ETC)</t>
  </si>
  <si>
    <t>VARIANCE AT COMPLETION (VAC)</t>
  </si>
  <si>
    <t>PROJECT PROGRESS %</t>
  </si>
  <si>
    <t>WBS Element Performance Breakdown</t>
  </si>
  <si>
    <t>Activity Name</t>
  </si>
  <si>
    <t>Budget (BAC)</t>
  </si>
  <si>
    <t>Planned Value (PV)</t>
  </si>
  <si>
    <t>Actual Cost (AC)</t>
  </si>
  <si>
    <t>Earned Value (EV)</t>
  </si>
  <si>
    <t>Weekly Cumulative Performance Trends</t>
  </si>
  <si>
    <t>Week Date</t>
  </si>
  <si>
    <t>Weekly PV</t>
  </si>
  <si>
    <t>Cum PV</t>
  </si>
  <si>
    <t>Weekly AC</t>
  </si>
  <si>
    <t>Cum AC</t>
  </si>
  <si>
    <t>Cum EV</t>
  </si>
  <si>
    <t>Red RAG Action Recommendations</t>
  </si>
  <si>
    <t>Focused recovery actions for WBS items and control risks currently flagged Red. Evidence is pulled live from tbl_Task_Plan.</t>
  </si>
  <si>
    <t>STORY IN BRIEF</t>
  </si>
  <si>
    <t>The red status is mainly schedule-driven: Flooring, Fixtures &amp; Furniture, Partitions &amp; Drywall, HVAC, and Electrical Rough-In are the recovery priorities because their SPI and schedule variances are pulling the project off plan. Cost exposure is concentrated in Electrical Rough-In and HVAC, while completed red tasks need closeout variance review rather than delivery acceleration. The recommended response is a short recovery sprint: remove blockers, confirm subcontractor/material readiness, reset near-term dates, and escalate decision items already logged in the Review sheet.</t>
  </si>
  <si>
    <t>Red WBS items</t>
  </si>
  <si>
    <t>Worst red SPI</t>
  </si>
  <si>
    <t>Largest red SV</t>
  </si>
  <si>
    <t>Red forecast overrun</t>
  </si>
  <si>
    <t>Priority</t>
  </si>
  <si>
    <t>Red driver</t>
  </si>
  <si>
    <t>Live evidence</t>
  </si>
  <si>
    <t>Recommended action</t>
  </si>
  <si>
    <t>WBS-01</t>
  </si>
  <si>
    <t>High-Level Pivot Summary &amp; Descriptive Statistics</t>
  </si>
  <si>
    <t>PivotTables summarize the key project-control tables; descriptive statistics are live formulas linked to the Task Plan source range.</t>
  </si>
  <si>
    <t>Red WBS</t>
  </si>
  <si>
    <t>Total BAC</t>
  </si>
  <si>
    <t>Avg SPI</t>
  </si>
  <si>
    <t>Avg CPI</t>
  </si>
  <si>
    <t>Forecast overrun</t>
  </si>
  <si>
    <t>DESCRIPTIVE STATISTICS</t>
  </si>
  <si>
    <t>Count</t>
  </si>
  <si>
    <t>Mean</t>
  </si>
  <si>
    <t>Median</t>
  </si>
  <si>
    <t>Std Dev</t>
  </si>
  <si>
    <t>Min</t>
  </si>
  <si>
    <t>Max</t>
  </si>
  <si>
    <t>PIVOT: COST / VALUE BY TYPE</t>
  </si>
  <si>
    <t>Row Labels</t>
  </si>
  <si>
    <t>Sum of BAC (NOK)</t>
  </si>
  <si>
    <t>Sum of PV @ Status</t>
  </si>
  <si>
    <t>Sum of AC @ Status</t>
  </si>
  <si>
    <t>Sum of EV @ Status</t>
  </si>
  <si>
    <t>Sum of SV</t>
  </si>
  <si>
    <t>Sum of CV</t>
  </si>
  <si>
    <t>Sum of VAC</t>
  </si>
  <si>
    <t>Labor</t>
  </si>
  <si>
    <t>Material</t>
  </si>
  <si>
    <t>Subcontractor</t>
  </si>
  <si>
    <t>Grand Total</t>
  </si>
  <si>
    <t>PIVOT: COST / VALUE BY STATUS</t>
  </si>
  <si>
    <t>PIVOT: ACTUAL COSTS BY WBS</t>
  </si>
  <si>
    <t>Sum of Actual_Cost</t>
  </si>
  <si>
    <t>Sum of Hours_Worked</t>
  </si>
  <si>
    <t>PIVOT: WEEKLY EVM SUMMARY</t>
  </si>
  <si>
    <t>Sum of Cum PV</t>
  </si>
  <si>
    <t>Sum of Cum AC</t>
  </si>
  <si>
    <t>Sum of Cum EV</t>
  </si>
  <si>
    <t>Resource Allocation Grid</t>
  </si>
  <si>
    <t>Weekly hours and cost grid adapted from the attached Gantt template: rows are WBS tasks; columns are reporting weeks; totals are live formulas from actual-cost facts.</t>
  </si>
  <si>
    <t>Resource / Role</t>
  </si>
  <si>
    <t>Wk1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</si>
  <si>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</si>
  <si>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</si>
  <si>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</si>
  <si>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</si>
  <si>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</si>
  <si>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</si>
  <si>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</si>
  <si>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</si>
  <si>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</si>
  <si>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</si>
  <si>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</si>
  <si>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Actual @ Status</t>
  </si>
  <si>
    <t>Remaining BAC</t>
  </si>
  <si>
    <t>Template source</t>
  </si>
  <si>
    <t>Hours</t>
  </si>
  <si>
    <t>Hours row</t>
  </si>
  <si>
    <t>Cost</t>
  </si>
  <si>
    <t>Cost row</t>
  </si>
  <si>
    <t>Gantt of Gantts / monthly workload summary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</si>
  <si>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</si>
  <si>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</si>
  <si>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</si>
  <si>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</si>
  <si>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</si>
  <si>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</si>
  <si>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</si>
  <si>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</si>
  <si>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Planned PV</t>
  </si>
  <si>
    <t>8.1.2 Gantt of Gantts template</t>
  </si>
  <si>
    <t>Monthly portfolio-style total from current project PV</t>
  </si>
  <si>
    <t>Monthly portfolio-style total from actual costs</t>
  </si>
  <si>
    <t>Active WBS count</t>
  </si>
  <si>
    <t>Simple monthly activity indicator</t>
  </si>
  <si>
    <t>Project_ID</t>
  </si>
  <si>
    <t>Project_Name</t>
  </si>
  <si>
    <t>Start_Date</t>
  </si>
  <si>
    <t>End_Date</t>
  </si>
  <si>
    <t>Sector</t>
  </si>
  <si>
    <t>PRJ001</t>
  </si>
  <si>
    <t>Generic Master Project</t>
  </si>
  <si>
    <t>2026-12-31</t>
  </si>
  <si>
    <t>Defense/Engineering</t>
  </si>
  <si>
    <t>WBS_Code</t>
  </si>
  <si>
    <t>Activity_Name</t>
  </si>
  <si>
    <t>Total_Budget</t>
  </si>
  <si>
    <t>Project Management</t>
  </si>
  <si>
    <t>Resource_ID</t>
  </si>
  <si>
    <t>Resource_Name</t>
  </si>
  <si>
    <t>Hourly_Rate</t>
  </si>
  <si>
    <t>R02</t>
  </si>
  <si>
    <t>Lead Engineer</t>
  </si>
  <si>
    <t>Engineering</t>
  </si>
  <si>
    <t>R03</t>
  </si>
  <si>
    <t>Electrician</t>
  </si>
  <si>
    <t>Trades</t>
  </si>
  <si>
    <t>R04</t>
  </si>
  <si>
    <t>Demolition Crew</t>
  </si>
  <si>
    <t>R05</t>
  </si>
  <si>
    <t>Testing Engineer</t>
  </si>
  <si>
    <t>QA</t>
  </si>
  <si>
    <t>R06</t>
  </si>
  <si>
    <t>Closeout Specialist</t>
  </si>
  <si>
    <t>R07</t>
  </si>
  <si>
    <t>Materials Vendor</t>
  </si>
  <si>
    <t>Vendor</t>
  </si>
  <si>
    <t>R08</t>
  </si>
  <si>
    <t>HVAC Contractor</t>
  </si>
  <si>
    <t>Contractor</t>
  </si>
  <si>
    <t>R09</t>
  </si>
  <si>
    <t>Drywall Contractor</t>
  </si>
  <si>
    <t>R10</t>
  </si>
  <si>
    <t>Flooring Supplier</t>
  </si>
  <si>
    <t>R11</t>
  </si>
  <si>
    <t>Furniture Supplier</t>
  </si>
  <si>
    <t>Year</t>
  </si>
  <si>
    <t>Month_Name</t>
  </si>
  <si>
    <t>Quarter</t>
  </si>
  <si>
    <t>Week_Number</t>
  </si>
  <si>
    <t>Is_Weekday</t>
  </si>
  <si>
    <t>May</t>
  </si>
  <si>
    <t>June</t>
  </si>
  <si>
    <t>July</t>
  </si>
  <si>
    <t>Planned_Value</t>
  </si>
  <si>
    <t>Actual_Cost</t>
  </si>
  <si>
    <t>Hours_Worked</t>
  </si>
  <si>
    <t>R01</t>
  </si>
  <si>
    <t>Physical_Progress_Pct</t>
  </si>
  <si>
    <t>EVM Reporting</t>
  </si>
  <si>
    <t>Weekly earned value reporting table using the guideline formulas: PV, AC, EV, SV, CV, SPI, CPI, BAC, EAC, ETC, and VAC.</t>
  </si>
  <si>
    <t>Formula</t>
  </si>
  <si>
    <t>Guideline meaning</t>
  </si>
  <si>
    <t>Current status-date value</t>
  </si>
  <si>
    <t>Check</t>
  </si>
  <si>
    <t>Status tie-out</t>
  </si>
  <si>
    <t>Dashboard value</t>
  </si>
  <si>
    <t>Task Plan value</t>
  </si>
  <si>
    <t>Check2</t>
  </si>
  <si>
    <t>Source3</t>
  </si>
  <si>
    <t>SV = EV - PV</t>
  </si>
  <si>
    <t>Schedule variance at status date</t>
  </si>
  <si>
    <t>Live</t>
  </si>
  <si>
    <t>PM-EVM.md lines 145-150</t>
  </si>
  <si>
    <t>Task Plan!I17</t>
  </si>
  <si>
    <t>CV = EV - AC</t>
  </si>
  <si>
    <t>Cost variance at status date</t>
  </si>
  <si>
    <t>Task Plan!J17</t>
  </si>
  <si>
    <t>SPI = EV / PV</t>
  </si>
  <si>
    <t>Schedule efficiency</t>
  </si>
  <si>
    <t>Task Plan!L17</t>
  </si>
  <si>
    <t>CPI = EV / AC</t>
  </si>
  <si>
    <t>Cost efficiency</t>
  </si>
  <si>
    <t>Task Plan!O17</t>
  </si>
  <si>
    <t>EAC = BAC / CPI</t>
  </si>
  <si>
    <t>Forecast final cost</t>
  </si>
  <si>
    <t>PM-EVM.md lines 203-214</t>
  </si>
  <si>
    <t>Task Plan!P17</t>
  </si>
  <si>
    <t>VAC = BAC - EAC</t>
  </si>
  <si>
    <t>Expected budget variance at completion</t>
  </si>
  <si>
    <t>Task Plan!S17</t>
  </si>
  <si>
    <t>Project Schedule &amp; EVM Curves</t>
  </si>
  <si>
    <t>Gantt schedule is derived from baseline PV dates by WBS; the S-curve uses cumulative PV, actual cost, and earned value as of each weekly status date.</t>
  </si>
  <si>
    <t>Project Finish</t>
  </si>
  <si>
    <t>Start</t>
  </si>
  <si>
    <t>Finish</t>
  </si>
  <si>
    <t>Start Offset</t>
  </si>
  <si>
    <t>Used in charts</t>
  </si>
  <si>
    <t>Good / baseline target</t>
  </si>
  <si>
    <t>Gantt good bars; PV line</t>
  </si>
  <si>
    <t>Watch / earned progress</t>
  </si>
  <si>
    <t>Gantt watch bars; EV line</t>
  </si>
  <si>
    <t>Action / cost exposure</t>
  </si>
  <si>
    <t>Gantt action bars; AC line</t>
  </si>
  <si>
    <t>White</t>
  </si>
  <si>
    <t>Hidden helper</t>
  </si>
  <si>
    <t>Gantt start-offset series</t>
  </si>
  <si>
    <t>Red dotted</t>
  </si>
  <si>
    <t>Status date</t>
  </si>
  <si>
    <t>Vertical marker at 2026-06-30</t>
  </si>
  <si>
    <t>Gantt Model — Office Fit-Out</t>
  </si>
  <si>
    <t>Adapted from the attached Garden Office Gantt template. This sheet is populated from the current workbook WBS, baseline PV, actual cost, actual hours, progress, CPI/RAG status, and status date.</t>
  </si>
  <si>
    <t>Project controls and model mapping</t>
  </si>
  <si>
    <t>Project</t>
  </si>
  <si>
    <t>268,650.00 NOK</t>
  </si>
  <si>
    <t>Current workbook</t>
  </si>
  <si>
    <t>Template element</t>
  </si>
  <si>
    <t>Implemented as</t>
  </si>
  <si>
    <t>Source table</t>
  </si>
  <si>
    <t>Classification</t>
  </si>
  <si>
    <t>My hours</t>
  </si>
  <si>
    <t>Weekly hours grid</t>
  </si>
  <si>
    <t>Fact_Actual_Costs[Hours_Worked]</t>
  </si>
  <si>
    <t>Actual hours by WBS and week; o = planned week with no actual hours yet.</t>
  </si>
  <si>
    <t>Total costs</t>
  </si>
  <si>
    <t>Weekly cost grid</t>
  </si>
  <si>
    <t>Fact_Actual_Costs[Actual_Cost]</t>
  </si>
  <si>
    <t>Actual cost by WBS and week; o = planned week with no actual cost yet.</t>
  </si>
  <si>
    <t>My hours — current project actual hours by WBS / week</t>
  </si>
  <si>
    <t>Role / Type</t>
  </si>
  <si>
    <t>o</t>
  </si>
  <si>
    <t>my total hours</t>
  </si>
  <si>
    <t>Total costs — current project actual costs by WBS / week</t>
  </si>
  <si>
    <t>Who / Type</t>
  </si>
  <si>
    <t>my total costs</t>
  </si>
  <si>
    <t>Status timeline: 2026-06-30</t>
  </si>
  <si>
    <t>Legend</t>
  </si>
  <si>
    <t>Applied to</t>
  </si>
  <si>
    <t>Red dotted vertical line</t>
  </si>
  <si>
    <t>Status date 2026-06-30</t>
  </si>
  <si>
    <t>My hours and Total costs grids</t>
  </si>
  <si>
    <t>Green row</t>
  </si>
  <si>
    <t>CPI/SPI &gt;= 1.00 and favorable variance</t>
  </si>
  <si>
    <t>Summary + task totals</t>
  </si>
  <si>
    <t>Amber row</t>
  </si>
  <si>
    <t>Red row</t>
  </si>
  <si>
    <t>Behind plan / cost overrun / low index</t>
  </si>
  <si>
    <t>Management</t>
  </si>
  <si>
    <t>Imported from current Dim_WBS source data</t>
  </si>
  <si>
    <t>Feeds Task Plan / EVM</t>
  </si>
  <si>
    <t>Mapped</t>
  </si>
  <si>
    <t>OK</t>
  </si>
  <si>
    <t>🔴 Overrun</t>
  </si>
  <si>
    <t>On Track</t>
  </si>
  <si>
    <t>CPI 0.89 / SPI 0.69</t>
  </si>
  <si>
    <t>Review scope, resource loading, and remaining forecast for Project Management</t>
  </si>
  <si>
    <t>CPI 0.98 / SPI 1.00</t>
  </si>
  <si>
    <t>Review scope, resource loading, and remaining forecast for Site Survey &amp; Mobilization</t>
  </si>
  <si>
    <t>Review scope, resource loading, and remaining forecast for Demolition &amp; Prep</t>
  </si>
  <si>
    <t>CPI 0.69 / SPI 0.70</t>
  </si>
  <si>
    <t>Review scope, resource loading, and remaining forecast for Electrical Rough-In</t>
  </si>
  <si>
    <t>CPI 0.82 / SPI 0.40</t>
  </si>
  <si>
    <t>Review scope, resource loading, and remaining forecast for HVAC Installation</t>
  </si>
  <si>
    <t>CPI 0.98 / SPI 0.25</t>
  </si>
  <si>
    <t>Review scope, resource loading, and remaining forecast for Partitions &amp; Drywall</t>
  </si>
  <si>
    <t>CPI 1.00 / SPI 0.00</t>
  </si>
  <si>
    <t>Review scope, resource loading, and remaining forecast for Flooring</t>
  </si>
  <si>
    <t>Review scope, resource loading, and remaining forecast for Fixtures &amp; Furniture</t>
  </si>
  <si>
    <t>Project Manager / Management</t>
  </si>
  <si>
    <t>Demolition Crew / Labor</t>
  </si>
  <si>
    <t>Lead Engineer / Engineering</t>
  </si>
  <si>
    <t>Materials Vendor / Vendor</t>
  </si>
  <si>
    <t>Electrician / Trades</t>
  </si>
  <si>
    <t>HVAC Contractor / Contractor</t>
  </si>
  <si>
    <t>Drywall Contractor / Contractor</t>
  </si>
  <si>
    <t>The project is Red overall: PV 218,733 NOK, AC 141,665 NOK, EV 130,718 NOK, with 8 red WBS items. The largest schedule gap is visible in later material/subcontractor work where planned value is ahead of earned progress.</t>
  </si>
  <si>
    <t>STATUS DATE</t>
  </si>
  <si>
    <t>Status X</t>
  </si>
  <si>
    <t>Status Y</t>
  </si>
  <si>
    <t>Status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</si>
</sst>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yyyy\-mm\-dd"/>
    <numFmt numFmtId="166" formatCode="#,##0.00\ &quot;NOK&quot;"/>
    <numFmt numFmtId="167" formatCode="#,##0\ &quot;NOK&quot;"/>
  </numFmts>
  <fonts count="4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90000"/>
      <name val="Calibri"/>
      <family val="2"/>
      <scheme val="minor"/>
    </font>
    <font>
      <sz val="11"/>
      <color rgb="FF274E13"/>
      <name val="Calibri"/>
      <family val="2"/>
      <scheme val="minor"/>
    </font>
    <font>
      <sz val="11"/>
      <color rgb="FF7F6000"/>
      <name val="Calibri"/>
      <family val="2"/>
      <scheme val="minor"/>
    </font>
    <font>
      <b/>
      <sz val="11"/>
      <color rgb="FF990000"/>
      <name val="Calibri"/>
      <family val="2"/>
      <scheme val="minor"/>
    </font>
    <font>
      <b/>
      <sz val="11"/>
      <color rgb="FF274E13"/>
      <name val="Calibri"/>
      <family val="2"/>
      <scheme val="minor"/>
    </font>
    <font>
      <b/>
      <sz val="11"/>
      <color rgb="FF7F6000"/>
      <name val="Calibri"/>
      <family val="2"/>
      <scheme val="minor"/>
    </font>
    <font>
      <i/>
      <sz val="10"/>
      <color rgb="FF7F8C8D"/>
      <name val="Aptos"/>
    </font>
    <font>
      <b/>
      <sz val="10"/>
      <color rgb="FF000000"/>
      <name val="Aptos"/>
    </font>
    <font>
      <sz val="10"/>
      <color rgb="FF000000"/>
      <name val="Aptos"/>
    </font>
    <font>
      <b/>
      <sz val="10"/>
      <color rgb="FF333333"/>
      <name val="Aptos"/>
    </font>
    <font>
      <b/>
      <sz val="10"/>
      <color rgb="FF2C3E50"/>
      <name val="Aptos"/>
    </font>
    <font>
      <sz val="10"/>
      <color theme="1"/>
      <name val="Aptos"/>
    </font>
    <font>
      <b/>
      <sz val="10"/>
      <color rgb="FFFFFFFF"/>
      <name val="Aptos"/>
    </font>
    <font>
      <b/>
      <sz val="10"/>
      <color rgb="FF274E13"/>
      <name val="Aptos"/>
    </font>
    <font>
      <b/>
      <sz val="10"/>
      <color theme="1"/>
      <name val="Aptos"/>
    </font>
    <font>
      <b/>
      <sz val="10"/>
      <color rgb="FF7F8C8D"/>
      <name val="Aptos"/>
    </font>
    <font>
      <b/>
      <sz val="10"/>
      <color rgb="FF7F6000"/>
      <name val="Aptos"/>
    </font>
    <font>
      <b/>
      <sz val="10"/>
      <color rgb="FF990000"/>
      <name val="Aptos"/>
    </font>
    <font>
      <sz val="10"/>
      <color rgb="FF333333"/>
      <name val="Aptos"/>
    </font>
    <font>
      <b/>
      <sz val="18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4F6D7A"/>
      <name val="Calibri"/>
      <family val="2"/>
      <scheme val="minor"/>
    </font>
    <font>
      <sz val="11"/>
      <color rgb="FF4F6D7A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666666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rgb="FFFFFFFF"/>
      <name val="Calibri"/>
      <scheme val="minor"/>
    </font>
    <font>
      <i/>
      <sz val="11"/>
      <color rgb="FF555555"/>
      <name val="Calibri"/>
      <scheme val="minor"/>
    </font>
    <font>
      <b/>
      <sz val="11"/>
      <color rgb="FFFFFFFF"/>
      <name val="Calibri"/>
      <scheme val="minor"/>
    </font>
    <font>
      <sz val="11"/>
      <color rgb="FF333333"/>
      <name val="Calibri"/>
      <scheme val="minor"/>
    </font>
    <font>
      <b/>
      <sz val="11"/>
      <color rgb="FF7F1D1D"/>
      <name val="Calibri"/>
      <scheme val="minor"/>
    </font>
    <font>
      <sz val="11"/>
      <color rgb="FF7F1D1D"/>
      <name val="Calibri"/>
      <scheme val="minor"/>
    </font>
    <font>
      <b/>
      <sz val="14"/>
      <color rgb="FF7F1D1D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2F4F4"/>
        <bgColor rgb="FFF2F4F4"/>
      </patternFill>
    </fill>
    <fill>
      <patternFill patternType="solid">
        <fgColor rgb="FFFBFCFC"/>
        <bgColor rgb="FFFBFCFC"/>
      </patternFill>
    </fill>
    <fill>
      <patternFill patternType="solid">
        <fgColor rgb="FF1F4E3D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6F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F6D7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7F1D1D"/>
        <bgColor indexed="64"/>
      </patternFill>
    </fill>
    <fill>
      <patternFill patternType="solid">
        <fgColor rgb="FF991B1B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1F5F9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 style="thick">
        <color rgb="FFC00000"/>
      </left>
      <right style="thick">
        <color rgb="FFC00000"/>
      </right>
      <top style="thin">
        <color rgb="FFB7B7B7"/>
      </top>
      <bottom style="thin">
        <color rgb="FFB7B7B7"/>
      </bottom>
      <diagonal/>
    </border>
    <border>
      <left style="thick">
        <color rgb="FFC00000"/>
      </left>
      <right style="thick">
        <color rgb="FFC00000"/>
      </right>
      <top style="thin">
        <color rgb="FFB7B7B7"/>
      </top>
      <bottom/>
      <diagonal/>
    </border>
  </borders>
  <cellStyleXfs count="1">
    <xf numFmtId="0" fontId="0" fillId="0" borderId="0"/>
  </cellStyleXfs>
  <cellXfs count="294">
    <xf numFmtId="0" fontId="0" fillId="0" borderId="0" xfId="0"/>
    <xf numFmtId="0" fontId="2" fillId="4" borderId="0" xfId="0" applyFont="1" applyFill="1"/>
    <xf numFmtId="0" fontId="0" fillId="0" borderId="3" xfId="0" applyBorder="1"/>
    <xf numFmtId="0" fontId="3" fillId="4" borderId="3" xfId="0" applyFont="1" applyFill="1" applyBorder="1"/>
    <xf numFmtId="0" fontId="5" fillId="6" borderId="3" xfId="0" applyFont="1" applyFill="1" applyBorder="1"/>
    <xf numFmtId="0" fontId="0" fillId="7" borderId="3" xfId="0" applyFill="1" applyBorder="1"/>
    <xf numFmtId="0" fontId="8" fillId="6" borderId="3" xfId="0" applyFont="1" applyFill="1" applyBorder="1"/>
    <xf numFmtId="0" fontId="1" fillId="0" borderId="3" xfId="0" applyFont="1" applyBorder="1"/>
    <xf numFmtId="0" fontId="9" fillId="7" borderId="3" xfId="0" applyFont="1" applyFill="1" applyBorder="1"/>
    <xf numFmtId="0" fontId="7" fillId="5" borderId="3" xfId="0" applyFont="1" applyFill="1" applyBorder="1"/>
    <xf numFmtId="0" fontId="18" fillId="0" borderId="3" xfId="0" applyFont="1" applyBorder="1"/>
    <xf numFmtId="0" fontId="15" fillId="0" borderId="4" xfId="0" applyFont="1" applyBorder="1"/>
    <xf numFmtId="0" fontId="15" fillId="0" borderId="2" xfId="0" applyFont="1" applyBorder="1"/>
    <xf numFmtId="0" fontId="14" fillId="0" borderId="3" xfId="0" applyFont="1" applyBorder="1"/>
    <xf numFmtId="0" fontId="15" fillId="0" borderId="3" xfId="0" applyFont="1" applyBorder="1"/>
    <xf numFmtId="0" fontId="10" fillId="0" borderId="3" xfId="0" applyFont="1" applyBorder="1"/>
    <xf numFmtId="0" fontId="11" fillId="0" borderId="3" xfId="0" applyFont="1" applyBorder="1"/>
    <xf numFmtId="165" fontId="12" fillId="0" borderId="3" xfId="0" applyNumberFormat="1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3" xfId="0" applyFont="1" applyBorder="1"/>
    <xf numFmtId="0" fontId="19" fillId="0" borderId="3" xfId="0" applyFont="1" applyBorder="1"/>
    <xf numFmtId="0" fontId="16" fillId="4" borderId="3" xfId="0" applyFont="1" applyFill="1" applyBorder="1" applyAlignment="1">
      <alignment horizontal="center"/>
    </xf>
    <xf numFmtId="4" fontId="12" fillId="0" borderId="3" xfId="0" applyNumberFormat="1" applyFont="1" applyBorder="1"/>
    <xf numFmtId="2" fontId="12" fillId="0" borderId="3" xfId="0" applyNumberFormat="1" applyFont="1" applyBorder="1"/>
    <xf numFmtId="0" fontId="16" fillId="4" borderId="5" xfId="0" applyFont="1" applyFill="1" applyBorder="1" applyAlignment="1">
      <alignment horizontal="center"/>
    </xf>
    <xf numFmtId="0" fontId="15" fillId="0" borderId="6" xfId="0" applyFont="1" applyBorder="1"/>
    <xf numFmtId="0" fontId="15" fillId="0" borderId="5" xfId="0" applyFont="1" applyBorder="1"/>
    <xf numFmtId="0" fontId="23" fillId="4" borderId="0" xfId="0" applyFont="1" applyFill="1"/>
    <xf numFmtId="0" fontId="24" fillId="0" borderId="0" xfId="0" applyFont="1" applyAlignment="1">
      <alignment wrapText="1"/>
    </xf>
    <xf numFmtId="0" fontId="3" fillId="4" borderId="3" xfId="0" applyFont="1" applyFill="1" applyBorder="1" applyAlignment="1">
      <alignment horizontal="center"/>
    </xf>
    <xf numFmtId="165" fontId="0" fillId="0" borderId="3" xfId="0" applyNumberFormat="1" applyBorder="1"/>
    <xf numFmtId="1" fontId="0" fillId="0" borderId="3" xfId="0" applyNumberFormat="1" applyBorder="1"/>
    <xf numFmtId="164" fontId="0" fillId="0" borderId="3" xfId="0" applyNumberFormat="1" applyBorder="1"/>
    <xf numFmtId="4" fontId="0" fillId="0" borderId="3" xfId="0" applyNumberFormat="1" applyBorder="1"/>
    <xf numFmtId="2" fontId="0" fillId="0" borderId="3" xfId="0" applyNumberFormat="1" applyBorder="1"/>
    <xf numFmtId="0" fontId="1" fillId="0" borderId="0" xfId="0" applyFont="1"/>
    <xf numFmtId="0" fontId="7" fillId="5" borderId="0" xfId="0" applyFont="1" applyFill="1"/>
    <xf numFmtId="0" fontId="25" fillId="0" borderId="3" xfId="0" applyFont="1" applyBorder="1"/>
    <xf numFmtId="0" fontId="0" fillId="0" borderId="3" xfId="0" applyBorder="1" applyAlignment="1">
      <alignment wrapText="1"/>
    </xf>
    <xf numFmtId="0" fontId="1" fillId="9" borderId="3" xfId="0" applyFont="1" applyFill="1" applyBorder="1"/>
    <xf numFmtId="4" fontId="1" fillId="9" borderId="3" xfId="0" applyNumberFormat="1" applyFont="1" applyFill="1" applyBorder="1"/>
    <xf numFmtId="2" fontId="1" fillId="9" borderId="3" xfId="0" applyNumberFormat="1" applyFont="1" applyFill="1" applyBorder="1"/>
    <xf numFmtId="0" fontId="0" fillId="0" borderId="0" xfId="0" applyAlignment="1">
      <alignment wrapText="1"/>
    </xf>
    <xf numFmtId="0" fontId="0" fillId="8" borderId="3" xfId="0" applyFill="1" applyBorder="1"/>
    <xf numFmtId="0" fontId="26" fillId="0" borderId="3" xfId="0" applyFont="1" applyBorder="1" applyAlignment="1">
      <alignment wrapText="1"/>
    </xf>
    <xf numFmtId="0" fontId="25" fillId="0" borderId="0" xfId="0" applyFont="1"/>
    <xf numFmtId="0" fontId="3" fillId="10" borderId="3" xfId="0" applyFont="1" applyFill="1" applyBorder="1"/>
    <xf numFmtId="0" fontId="27" fillId="11" borderId="3" xfId="0" applyFont="1" applyFill="1" applyBorder="1"/>
    <xf numFmtId="0" fontId="3" fillId="12" borderId="3" xfId="0" applyFont="1" applyFill="1" applyBorder="1"/>
    <xf numFmtId="0" fontId="28" fillId="13" borderId="3" xfId="0" applyFont="1" applyFill="1" applyBorder="1"/>
    <xf numFmtId="0" fontId="1" fillId="0" borderId="3" xfId="0" applyFont="1" applyBorder="1" applyAlignment="1">
      <alignment wrapText="1"/>
    </xf>
    <xf numFmtId="0" fontId="3" fillId="14" borderId="0" xfId="0" applyFont="1" applyFill="1"/>
    <xf numFmtId="165" fontId="0" fillId="7" borderId="3" xfId="0" applyNumberFormat="1" applyFill="1" applyBorder="1"/>
    <xf numFmtId="0" fontId="3" fillId="14" borderId="3" xfId="0" applyFont="1" applyFill="1" applyBorder="1"/>
    <xf numFmtId="0" fontId="0" fillId="7" borderId="3" xfId="0" applyFill="1" applyBorder="1" applyAlignment="1">
      <alignment wrapText="1"/>
    </xf>
    <xf numFmtId="0" fontId="0" fillId="9" borderId="3" xfId="0" applyFill="1" applyBorder="1"/>
    <xf numFmtId="0" fontId="0" fillId="15" borderId="3" xfId="0" applyFill="1" applyBorder="1"/>
    <xf numFmtId="0" fontId="0" fillId="16" borderId="3" xfId="0" applyFill="1" applyBorder="1"/>
    <xf numFmtId="0" fontId="0" fillId="17" borderId="3" xfId="0" applyFill="1" applyBorder="1"/>
    <xf numFmtId="0" fontId="0" fillId="10" borderId="3" xfId="0" applyFill="1" applyBorder="1"/>
    <xf numFmtId="0" fontId="0" fillId="18" borderId="3" xfId="0" applyFill="1" applyBorder="1"/>
    <xf numFmtId="0" fontId="0" fillId="19" borderId="3" xfId="0" applyFill="1" applyBorder="1"/>
    <xf numFmtId="0" fontId="0" fillId="20" borderId="3" xfId="0" applyFill="1" applyBorder="1"/>
    <xf numFmtId="0" fontId="1" fillId="20" borderId="3" xfId="0" applyFont="1" applyFill="1" applyBorder="1"/>
    <xf numFmtId="0" fontId="1" fillId="10" borderId="3" xfId="0" applyFont="1" applyFill="1" applyBorder="1"/>
    <xf numFmtId="0" fontId="1" fillId="18" borderId="3" xfId="0" applyFont="1" applyFill="1" applyBorder="1"/>
    <xf numFmtId="165" fontId="3" fillId="4" borderId="3" xfId="0" applyNumberFormat="1" applyFont="1" applyFill="1" applyBorder="1" applyAlignment="1">
      <alignment horizontal="center"/>
    </xf>
    <xf numFmtId="2" fontId="7" fillId="5" borderId="3" xfId="0" applyNumberFormat="1" applyFont="1" applyFill="1" applyBorder="1"/>
    <xf numFmtId="4" fontId="7" fillId="5" borderId="3" xfId="0" applyNumberFormat="1" applyFont="1" applyFill="1" applyBorder="1"/>
    <xf numFmtId="2" fontId="8" fillId="6" borderId="3" xfId="0" applyNumberFormat="1" applyFont="1" applyFill="1" applyBorder="1"/>
    <xf numFmtId="4" fontId="8" fillId="6" borderId="3" xfId="0" applyNumberFormat="1" applyFont="1" applyFill="1" applyBorder="1"/>
    <xf numFmtId="4" fontId="0" fillId="15" borderId="3" xfId="0" applyNumberFormat="1" applyFill="1" applyBorder="1"/>
    <xf numFmtId="4" fontId="1" fillId="15" borderId="3" xfId="0" applyNumberFormat="1" applyFont="1" applyFill="1" applyBorder="1"/>
    <xf numFmtId="164" fontId="7" fillId="5" borderId="3" xfId="0" applyNumberFormat="1" applyFont="1" applyFill="1" applyBorder="1"/>
    <xf numFmtId="164" fontId="8" fillId="6" borderId="3" xfId="0" applyNumberFormat="1" applyFont="1" applyFill="1" applyBorder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30" fillId="0" borderId="0" xfId="0" applyFont="1" applyAlignment="1">
      <alignment wrapText="1"/>
    </xf>
    <xf numFmtId="0" fontId="3" fillId="4" borderId="6" xfId="0" applyFont="1" applyFill="1" applyBorder="1" applyAlignment="1">
      <alignment horizontal="center"/>
    </xf>
    <xf numFmtId="0" fontId="0" fillId="0" borderId="5" xfId="0" applyBorder="1" applyAlignment="1">
      <alignment wrapText="1"/>
    </xf>
    <xf numFmtId="0" fontId="1" fillId="0" borderId="5" xfId="0" applyFont="1" applyBorder="1" applyAlignment="1">
      <alignment wrapText="1"/>
    </xf>
    <xf numFmtId="0" fontId="3" fillId="4" borderId="4" xfId="0" applyFont="1" applyFill="1" applyBorder="1" applyAlignment="1">
      <alignment horizontal="center"/>
    </xf>
    <xf numFmtId="0" fontId="0" fillId="0" borderId="4" xfId="0" applyBorder="1"/>
    <xf numFmtId="0" fontId="0" fillId="0" borderId="2" xfId="0" applyBorder="1"/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0" fillId="0" borderId="9" xfId="0" applyBorder="1"/>
    <xf numFmtId="0" fontId="0" fillId="0" borderId="5" xfId="0" applyBorder="1"/>
    <xf numFmtId="0" fontId="0" fillId="0" borderId="10" xfId="0" applyBorder="1"/>
    <xf numFmtId="0" fontId="3" fillId="4" borderId="2" xfId="0" applyFont="1" applyFill="1" applyBorder="1"/>
    <xf numFmtId="4" fontId="0" fillId="0" borderId="2" xfId="0" applyNumberFormat="1" applyBorder="1"/>
    <xf numFmtId="0" fontId="3" fillId="4" borderId="7" xfId="0" applyFont="1" applyFill="1" applyBorder="1"/>
    <xf numFmtId="0" fontId="3" fillId="4" borderId="6" xfId="0" applyFont="1" applyFill="1" applyBorder="1"/>
    <xf numFmtId="0" fontId="3" fillId="4" borderId="8" xfId="0" applyFont="1" applyFill="1" applyBorder="1"/>
    <xf numFmtId="4" fontId="0" fillId="0" borderId="5" xfId="0" applyNumberFormat="1" applyBorder="1"/>
    <xf numFmtId="4" fontId="0" fillId="0" borderId="10" xfId="0" applyNumberFormat="1" applyBorder="1"/>
    <xf numFmtId="0" fontId="0" fillId="0" borderId="2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9" xfId="0" applyBorder="1" applyAlignment="1">
      <alignment wrapText="1"/>
    </xf>
    <xf numFmtId="0" fontId="8" fillId="6" borderId="5" xfId="0" applyFont="1" applyFill="1" applyBorder="1"/>
    <xf numFmtId="165" fontId="0" fillId="0" borderId="2" xfId="0" applyNumberFormat="1" applyBorder="1"/>
    <xf numFmtId="166" fontId="0" fillId="0" borderId="2" xfId="0" applyNumberFormat="1" applyBorder="1"/>
    <xf numFmtId="2" fontId="0" fillId="0" borderId="2" xfId="0" applyNumberFormat="1" applyBorder="1"/>
    <xf numFmtId="2" fontId="0" fillId="0" borderId="10" xfId="0" applyNumberFormat="1" applyBorder="1"/>
    <xf numFmtId="0" fontId="5" fillId="6" borderId="4" xfId="0" applyFont="1" applyFill="1" applyBorder="1"/>
    <xf numFmtId="0" fontId="6" fillId="7" borderId="4" xfId="0" applyFont="1" applyFill="1" applyBorder="1"/>
    <xf numFmtId="0" fontId="4" fillId="5" borderId="4" xfId="0" applyFont="1" applyFill="1" applyBorder="1"/>
    <xf numFmtId="0" fontId="4" fillId="5" borderId="9" xfId="0" applyFont="1" applyFill="1" applyBorder="1"/>
    <xf numFmtId="165" fontId="0" fillId="0" borderId="5" xfId="0" applyNumberFormat="1" applyBorder="1"/>
    <xf numFmtId="1" fontId="0" fillId="0" borderId="5" xfId="0" applyNumberFormat="1" applyBorder="1"/>
    <xf numFmtId="164" fontId="0" fillId="0" borderId="5" xfId="0" applyNumberFormat="1" applyBorder="1"/>
    <xf numFmtId="2" fontId="0" fillId="0" borderId="5" xfId="0" applyNumberFormat="1" applyBorder="1"/>
    <xf numFmtId="0" fontId="0" fillId="7" borderId="4" xfId="0" applyFill="1" applyBorder="1"/>
    <xf numFmtId="0" fontId="0" fillId="7" borderId="2" xfId="0" applyFill="1" applyBorder="1"/>
    <xf numFmtId="0" fontId="0" fillId="7" borderId="9" xfId="0" applyFill="1" applyBorder="1"/>
    <xf numFmtId="0" fontId="0" fillId="7" borderId="5" xfId="0" applyFill="1" applyBorder="1"/>
    <xf numFmtId="0" fontId="0" fillId="7" borderId="5" xfId="0" applyFill="1" applyBorder="1" applyAlignment="1">
      <alignment wrapText="1"/>
    </xf>
    <xf numFmtId="0" fontId="0" fillId="7" borderId="10" xfId="0" applyFill="1" applyBorder="1"/>
    <xf numFmtId="0" fontId="17" fillId="6" borderId="4" xfId="0" applyFont="1" applyFill="1" applyBorder="1"/>
    <xf numFmtId="0" fontId="20" fillId="7" borderId="4" xfId="0" applyFont="1" applyFill="1" applyBorder="1"/>
    <xf numFmtId="0" fontId="18" fillId="0" borderId="2" xfId="0" applyFont="1" applyBorder="1"/>
    <xf numFmtId="0" fontId="16" fillId="4" borderId="7" xfId="0" applyFont="1" applyFill="1" applyBorder="1"/>
    <xf numFmtId="0" fontId="16" fillId="4" borderId="6" xfId="0" applyFont="1" applyFill="1" applyBorder="1"/>
    <xf numFmtId="0" fontId="16" fillId="4" borderId="8" xfId="0" applyFont="1" applyFill="1" applyBorder="1"/>
    <xf numFmtId="0" fontId="21" fillId="5" borderId="9" xfId="0" applyFont="1" applyFill="1" applyBorder="1"/>
    <xf numFmtId="0" fontId="18" fillId="0" borderId="5" xfId="0" applyFont="1" applyBorder="1"/>
    <xf numFmtId="0" fontId="18" fillId="0" borderId="10" xfId="0" applyFont="1" applyBorder="1"/>
    <xf numFmtId="0" fontId="13" fillId="2" borderId="6" xfId="0" applyFont="1" applyFill="1" applyBorder="1" applyAlignment="1">
      <alignment horizontal="left"/>
    </xf>
    <xf numFmtId="0" fontId="13" fillId="2" borderId="6" xfId="0" applyFont="1" applyFill="1" applyBorder="1" applyAlignment="1">
      <alignment horizontal="right"/>
    </xf>
    <xf numFmtId="0" fontId="12" fillId="0" borderId="4" xfId="0" applyFont="1" applyBorder="1" applyAlignment="1">
      <alignment horizontal="right"/>
    </xf>
    <xf numFmtId="2" fontId="12" fillId="0" borderId="2" xfId="0" applyNumberFormat="1" applyFont="1" applyBorder="1"/>
    <xf numFmtId="0" fontId="13" fillId="2" borderId="7" xfId="0" applyFont="1" applyFill="1" applyBorder="1" applyAlignment="1">
      <alignment horizontal="right"/>
    </xf>
    <xf numFmtId="0" fontId="13" fillId="2" borderId="8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165" fontId="12" fillId="0" borderId="5" xfId="0" applyNumberFormat="1" applyFont="1" applyBorder="1" applyAlignment="1">
      <alignment horizontal="left"/>
    </xf>
    <xf numFmtId="4" fontId="12" fillId="0" borderId="5" xfId="0" applyNumberFormat="1" applyFont="1" applyBorder="1"/>
    <xf numFmtId="2" fontId="12" fillId="0" borderId="5" xfId="0" applyNumberFormat="1" applyFont="1" applyBorder="1"/>
    <xf numFmtId="2" fontId="12" fillId="0" borderId="10" xfId="0" applyNumberFormat="1" applyFont="1" applyBorder="1"/>
    <xf numFmtId="17" fontId="3" fillId="4" borderId="6" xfId="0" applyNumberFormat="1" applyFont="1" applyFill="1" applyBorder="1" applyAlignment="1">
      <alignment horizontal="center"/>
    </xf>
    <xf numFmtId="0" fontId="12" fillId="0" borderId="4" xfId="0" applyFont="1" applyBorder="1"/>
    <xf numFmtId="0" fontId="16" fillId="4" borderId="7" xfId="0" applyFont="1" applyFill="1" applyBorder="1" applyAlignment="1">
      <alignment horizontal="center"/>
    </xf>
    <xf numFmtId="0" fontId="16" fillId="4" borderId="6" xfId="0" applyFont="1" applyFill="1" applyBorder="1" applyAlignment="1">
      <alignment horizontal="center"/>
    </xf>
    <xf numFmtId="0" fontId="16" fillId="4" borderId="8" xfId="0" applyFont="1" applyFill="1" applyBorder="1" applyAlignment="1">
      <alignment horizontal="center"/>
    </xf>
    <xf numFmtId="0" fontId="12" fillId="0" borderId="9" xfId="0" applyFont="1" applyBorder="1"/>
    <xf numFmtId="0" fontId="12" fillId="0" borderId="5" xfId="0" applyFont="1" applyBorder="1"/>
    <xf numFmtId="165" fontId="12" fillId="0" borderId="5" xfId="0" applyNumberFormat="1" applyFont="1" applyBorder="1"/>
    <xf numFmtId="165" fontId="21" fillId="5" borderId="5" xfId="0" applyNumberFormat="1" applyFont="1" applyFill="1" applyBorder="1"/>
    <xf numFmtId="4" fontId="22" fillId="8" borderId="5" xfId="0" applyNumberFormat="1" applyFont="1" applyFill="1" applyBorder="1"/>
    <xf numFmtId="0" fontId="12" fillId="0" borderId="10" xfId="0" applyFont="1" applyBorder="1"/>
    <xf numFmtId="4" fontId="12" fillId="0" borderId="2" xfId="0" applyNumberFormat="1" applyFont="1" applyBorder="1"/>
    <xf numFmtId="4" fontId="12" fillId="0" borderId="10" xfId="0" applyNumberFormat="1" applyFont="1" applyBorder="1"/>
    <xf numFmtId="165" fontId="12" fillId="0" borderId="4" xfId="0" applyNumberFormat="1" applyFont="1" applyBorder="1"/>
    <xf numFmtId="1" fontId="12" fillId="0" borderId="2" xfId="0" applyNumberFormat="1" applyFont="1" applyBorder="1"/>
    <xf numFmtId="165" fontId="12" fillId="0" borderId="9" xfId="0" applyNumberFormat="1" applyFont="1" applyBorder="1"/>
    <xf numFmtId="1" fontId="12" fillId="0" borderId="10" xfId="0" applyNumberFormat="1" applyFont="1" applyBorder="1"/>
    <xf numFmtId="164" fontId="12" fillId="0" borderId="2" xfId="0" applyNumberFormat="1" applyFont="1" applyBorder="1"/>
    <xf numFmtId="164" fontId="12" fillId="0" borderId="10" xfId="0" applyNumberFormat="1" applyFont="1" applyBorder="1"/>
    <xf numFmtId="0" fontId="0" fillId="9" borderId="7" xfId="0" applyFill="1" applyBorder="1"/>
    <xf numFmtId="0" fontId="0" fillId="9" borderId="6" xfId="0" applyFill="1" applyBorder="1"/>
    <xf numFmtId="0" fontId="0" fillId="9" borderId="8" xfId="0" applyFill="1" applyBorder="1"/>
    <xf numFmtId="0" fontId="7" fillId="5" borderId="4" xfId="0" applyFont="1" applyFill="1" applyBorder="1"/>
    <xf numFmtId="0" fontId="8" fillId="6" borderId="4" xfId="0" applyFont="1" applyFill="1" applyBorder="1"/>
    <xf numFmtId="0" fontId="7" fillId="5" borderId="2" xfId="0" applyFont="1" applyFill="1" applyBorder="1"/>
    <xf numFmtId="0" fontId="8" fillId="6" borderId="2" xfId="0" applyFont="1" applyFill="1" applyBorder="1"/>
    <xf numFmtId="0" fontId="8" fillId="6" borderId="9" xfId="0" applyFont="1" applyFill="1" applyBorder="1"/>
    <xf numFmtId="4" fontId="8" fillId="6" borderId="5" xfId="0" applyNumberFormat="1" applyFont="1" applyFill="1" applyBorder="1"/>
    <xf numFmtId="164" fontId="8" fillId="6" borderId="5" xfId="0" applyNumberFormat="1" applyFont="1" applyFill="1" applyBorder="1"/>
    <xf numFmtId="2" fontId="8" fillId="6" borderId="5" xfId="0" applyNumberFormat="1" applyFont="1" applyFill="1" applyBorder="1"/>
    <xf numFmtId="0" fontId="8" fillId="6" borderId="10" xfId="0" applyFont="1" applyFill="1" applyBorder="1"/>
    <xf numFmtId="0" fontId="0" fillId="8" borderId="9" xfId="0" applyFill="1" applyBorder="1"/>
    <xf numFmtId="49" fontId="0" fillId="0" borderId="3" xfId="0" applyNumberFormat="1" applyBorder="1"/>
    <xf numFmtId="0" fontId="23" fillId="21" borderId="0" xfId="0" applyFont="1" applyFill="1"/>
    <xf numFmtId="0" fontId="31" fillId="22" borderId="0" xfId="0" applyFont="1" applyFill="1"/>
    <xf numFmtId="0" fontId="32" fillId="21" borderId="0" xfId="0" applyFont="1" applyFill="1"/>
    <xf numFmtId="0" fontId="33" fillId="0" borderId="0" xfId="0" applyFont="1"/>
    <xf numFmtId="0" fontId="25" fillId="0" borderId="5" xfId="0" applyFont="1" applyBorder="1"/>
    <xf numFmtId="0" fontId="35" fillId="0" borderId="0" xfId="0" applyFont="1" applyAlignment="1">
      <alignment wrapText="1"/>
    </xf>
    <xf numFmtId="0" fontId="37" fillId="0" borderId="0" xfId="0" applyFont="1" applyAlignment="1">
      <alignment wrapText="1"/>
    </xf>
    <xf numFmtId="0" fontId="38" fillId="25" borderId="0" xfId="0" applyFont="1" applyFill="1" applyAlignment="1">
      <alignment horizontal="center" vertical="center"/>
    </xf>
    <xf numFmtId="0" fontId="39" fillId="25" borderId="0" xfId="0" applyFont="1" applyFill="1" applyAlignment="1">
      <alignment horizontal="center" vertical="center"/>
    </xf>
    <xf numFmtId="1" fontId="40" fillId="25" borderId="0" xfId="0" applyNumberFormat="1" applyFont="1" applyFill="1" applyAlignment="1">
      <alignment horizontal="center" vertical="center"/>
    </xf>
    <xf numFmtId="2" fontId="40" fillId="25" borderId="0" xfId="0" applyNumberFormat="1" applyFont="1" applyFill="1" applyAlignment="1">
      <alignment horizontal="center" vertical="center"/>
    </xf>
    <xf numFmtId="167" fontId="40" fillId="25" borderId="0" xfId="0" applyNumberFormat="1" applyFont="1" applyFill="1" applyAlignment="1">
      <alignment horizontal="center" vertical="center"/>
    </xf>
    <xf numFmtId="0" fontId="36" fillId="23" borderId="0" xfId="0" applyFont="1" applyFill="1" applyAlignment="1">
      <alignment wrapText="1"/>
    </xf>
    <xf numFmtId="0" fontId="41" fillId="0" borderId="0" xfId="0" applyFont="1" applyAlignment="1">
      <alignment horizontal="center" wrapText="1"/>
    </xf>
    <xf numFmtId="0" fontId="41" fillId="0" borderId="0" xfId="0" applyFont="1" applyAlignment="1">
      <alignment wrapText="1"/>
    </xf>
    <xf numFmtId="165" fontId="41" fillId="0" borderId="0" xfId="0" applyNumberFormat="1" applyFont="1" applyAlignment="1">
      <alignment horizontal="center" wrapText="1"/>
    </xf>
    <xf numFmtId="0" fontId="41" fillId="0" borderId="0" xfId="0" applyFont="1"/>
    <xf numFmtId="0" fontId="34" fillId="21" borderId="0" xfId="0" applyFont="1" applyFill="1"/>
    <xf numFmtId="0" fontId="36" fillId="22" borderId="0" xfId="0" applyFont="1" applyFill="1"/>
    <xf numFmtId="0" fontId="42" fillId="26" borderId="0" xfId="0" applyFont="1" applyFill="1" applyAlignment="1">
      <alignment horizontal="center"/>
    </xf>
    <xf numFmtId="4" fontId="41" fillId="0" borderId="0" xfId="0" applyNumberFormat="1" applyFont="1"/>
    <xf numFmtId="0" fontId="13" fillId="2" borderId="15" xfId="0" applyFont="1" applyFill="1" applyBorder="1" applyAlignment="1">
      <alignment horizontal="left" vertical="center"/>
    </xf>
    <xf numFmtId="0" fontId="13" fillId="2" borderId="15" xfId="0" applyFont="1" applyFill="1" applyBorder="1" applyAlignment="1">
      <alignment horizontal="right" vertical="center"/>
    </xf>
    <xf numFmtId="0" fontId="13" fillId="2" borderId="16" xfId="0" applyFont="1" applyFill="1" applyBorder="1" applyAlignment="1">
      <alignment horizontal="right" vertical="center"/>
    </xf>
    <xf numFmtId="0" fontId="13" fillId="2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right" vertical="center"/>
    </xf>
    <xf numFmtId="0" fontId="12" fillId="0" borderId="17" xfId="0" applyFont="1" applyBorder="1" applyAlignment="1">
      <alignment horizontal="left" vertical="center"/>
    </xf>
    <xf numFmtId="4" fontId="12" fillId="0" borderId="17" xfId="0" applyNumberFormat="1" applyFont="1" applyBorder="1" applyAlignment="1">
      <alignment horizontal="right" vertical="center"/>
    </xf>
    <xf numFmtId="164" fontId="11" fillId="0" borderId="17" xfId="0" applyNumberFormat="1" applyFont="1" applyBorder="1" applyAlignment="1">
      <alignment horizontal="right" vertical="center"/>
    </xf>
    <xf numFmtId="4" fontId="11" fillId="0" borderId="17" xfId="0" applyNumberFormat="1" applyFont="1" applyBorder="1" applyAlignment="1">
      <alignment horizontal="right" vertical="center"/>
    </xf>
    <xf numFmtId="2" fontId="11" fillId="0" borderId="17" xfId="0" applyNumberFormat="1" applyFont="1" applyBorder="1" applyAlignment="1">
      <alignment horizontal="right" vertical="center"/>
    </xf>
    <xf numFmtId="0" fontId="11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left" vertical="center"/>
    </xf>
    <xf numFmtId="4" fontId="12" fillId="0" borderId="18" xfId="0" applyNumberFormat="1" applyFont="1" applyBorder="1" applyAlignment="1">
      <alignment horizontal="right" vertical="center"/>
    </xf>
    <xf numFmtId="164" fontId="11" fillId="0" borderId="18" xfId="0" applyNumberFormat="1" applyFont="1" applyBorder="1" applyAlignment="1">
      <alignment horizontal="right" vertical="center"/>
    </xf>
    <xf numFmtId="4" fontId="11" fillId="0" borderId="18" xfId="0" applyNumberFormat="1" applyFont="1" applyBorder="1" applyAlignment="1">
      <alignment horizontal="right" vertical="center"/>
    </xf>
    <xf numFmtId="2" fontId="11" fillId="0" borderId="18" xfId="0" applyNumberFormat="1" applyFont="1" applyBorder="1" applyAlignment="1">
      <alignment horizontal="right" vertical="center"/>
    </xf>
    <xf numFmtId="0" fontId="11" fillId="0" borderId="18" xfId="0" applyFont="1" applyBorder="1" applyAlignment="1">
      <alignment horizontal="center" vertical="center"/>
    </xf>
    <xf numFmtId="0" fontId="11" fillId="3" borderId="17" xfId="0" applyFont="1" applyFill="1" applyBorder="1" applyAlignment="1">
      <alignment horizontal="left" vertical="center"/>
    </xf>
    <xf numFmtId="4" fontId="11" fillId="3" borderId="17" xfId="0" applyNumberFormat="1" applyFont="1" applyFill="1" applyBorder="1" applyAlignment="1">
      <alignment horizontal="right" vertical="center"/>
    </xf>
    <xf numFmtId="164" fontId="11" fillId="3" borderId="17" xfId="0" applyNumberFormat="1" applyFont="1" applyFill="1" applyBorder="1" applyAlignment="1">
      <alignment horizontal="right" vertical="center"/>
    </xf>
    <xf numFmtId="2" fontId="11" fillId="3" borderId="17" xfId="0" applyNumberFormat="1" applyFont="1" applyFill="1" applyBorder="1" applyAlignment="1">
      <alignment horizontal="right" vertical="center"/>
    </xf>
    <xf numFmtId="0" fontId="11" fillId="3" borderId="17" xfId="0" applyFont="1" applyFill="1" applyBorder="1" applyAlignment="1">
      <alignment horizontal="center" vertical="center"/>
    </xf>
    <xf numFmtId="0" fontId="30" fillId="0" borderId="0" xfId="0" applyFont="1" applyAlignment="1">
      <alignment wrapText="1"/>
    </xf>
    <xf numFmtId="0" fontId="0" fillId="0" borderId="0" xfId="0"/>
    <xf numFmtId="0" fontId="24" fillId="0" borderId="0" xfId="0" applyFont="1" applyAlignment="1">
      <alignment wrapText="1"/>
    </xf>
    <xf numFmtId="0" fontId="23" fillId="4" borderId="0" xfId="0" applyFont="1" applyFill="1"/>
    <xf numFmtId="0" fontId="23" fillId="4" borderId="0" xfId="0" applyFont="1" applyFill="1" applyAlignment="1">
      <alignment horizontal="left"/>
    </xf>
    <xf numFmtId="0" fontId="0" fillId="0" borderId="3" xfId="0" applyBorder="1" applyAlignment="1">
      <alignment wrapText="1"/>
    </xf>
    <xf numFmtId="0" fontId="0" fillId="0" borderId="1" xfId="0" applyBorder="1"/>
    <xf numFmtId="0" fontId="0" fillId="0" borderId="4" xfId="0" applyBorder="1"/>
    <xf numFmtId="0" fontId="3" fillId="4" borderId="3" xfId="0" applyFont="1" applyFill="1" applyBorder="1"/>
    <xf numFmtId="0" fontId="0" fillId="0" borderId="12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8" xfId="0" applyBorder="1"/>
    <xf numFmtId="0" fontId="0" fillId="0" borderId="14" xfId="0" applyBorder="1"/>
    <xf numFmtId="0" fontId="0" fillId="0" borderId="7" xfId="0" applyBorder="1"/>
    <xf numFmtId="0" fontId="31" fillId="22" borderId="0" xfId="0" applyFont="1" applyFill="1"/>
    <xf numFmtId="0" fontId="3" fillId="14" borderId="3" xfId="0" applyFont="1" applyFill="1" applyBorder="1"/>
    <xf numFmtId="0" fontId="0" fillId="7" borderId="3" xfId="0" applyFill="1" applyBorder="1" applyAlignment="1">
      <alignment wrapText="1"/>
    </xf>
    <xf numFmtId="166" fontId="14" fillId="3" borderId="3" xfId="0" applyNumberFormat="1" applyFont="1" applyFill="1" applyBorder="1" applyAlignment="1">
      <alignment horizontal="left" vertical="center"/>
    </xf>
    <xf numFmtId="166" fontId="13" fillId="8" borderId="3" xfId="0" applyNumberFormat="1" applyFont="1" applyFill="1" applyBorder="1" applyAlignment="1">
      <alignment horizontal="left" vertical="center"/>
    </xf>
    <xf numFmtId="2" fontId="14" fillId="3" borderId="3" xfId="0" applyNumberFormat="1" applyFont="1" applyFill="1" applyBorder="1" applyAlignment="1">
      <alignment horizontal="left" vertical="center"/>
    </xf>
    <xf numFmtId="164" fontId="14" fillId="3" borderId="3" xfId="0" applyNumberFormat="1" applyFont="1" applyFill="1" applyBorder="1" applyAlignment="1">
      <alignment horizontal="left" vertical="center"/>
    </xf>
    <xf numFmtId="0" fontId="36" fillId="24" borderId="0" xfId="0" applyFont="1" applyFill="1"/>
    <xf numFmtId="0" fontId="41" fillId="0" borderId="0" xfId="0" applyFont="1"/>
    <xf numFmtId="0" fontId="35" fillId="0" borderId="0" xfId="0" applyFont="1" applyAlignment="1">
      <alignment wrapText="1"/>
    </xf>
    <xf numFmtId="0" fontId="37" fillId="0" borderId="0" xfId="0" applyFont="1" applyAlignment="1">
      <alignment wrapText="1"/>
    </xf>
    <xf numFmtId="0" fontId="34" fillId="23" borderId="0" xfId="0" applyFont="1" applyFill="1"/>
    <xf numFmtId="0" fontId="5" fillId="6" borderId="5" xfId="0" applyFont="1" applyFill="1" applyBorder="1"/>
    <xf numFmtId="0" fontId="36" fillId="24" borderId="0" xfId="0" applyFont="1" applyFill="1" applyAlignment="1">
      <alignment horizontal="center" wrapText="1"/>
    </xf>
    <xf numFmtId="0" fontId="37" fillId="0" borderId="0" xfId="0" applyFont="1" applyAlignment="1">
      <alignment horizontal="center" wrapText="1"/>
    </xf>
    <xf numFmtId="0" fontId="36" fillId="24" borderId="0" xfId="0" applyFont="1" applyFill="1" applyAlignment="1">
      <alignment wrapText="1"/>
    </xf>
    <xf numFmtId="165" fontId="36" fillId="24" borderId="0" xfId="0" applyNumberFormat="1" applyFont="1" applyFill="1" applyAlignment="1">
      <alignment horizontal="center" wrapText="1"/>
    </xf>
    <xf numFmtId="165" fontId="37" fillId="0" borderId="0" xfId="0" applyNumberFormat="1" applyFont="1" applyAlignment="1">
      <alignment horizontal="center" wrapText="1"/>
    </xf>
    <xf numFmtId="3" fontId="0" fillId="0" borderId="3" xfId="0" applyNumberFormat="1" applyBorder="1"/>
    <xf numFmtId="3" fontId="0" fillId="0" borderId="5" xfId="0" applyNumberFormat="1" applyBorder="1"/>
    <xf numFmtId="3" fontId="12" fillId="0" borderId="3" xfId="0" applyNumberFormat="1" applyFont="1" applyBorder="1"/>
    <xf numFmtId="3" fontId="12" fillId="0" borderId="5" xfId="0" applyNumberFormat="1" applyFont="1" applyBorder="1"/>
    <xf numFmtId="4" fontId="0" fillId="0" borderId="0" xfId="0" applyNumberFormat="1"/>
    <xf numFmtId="0" fontId="1" fillId="9" borderId="9" xfId="0" applyFont="1" applyFill="1" applyBorder="1"/>
    <xf numFmtId="0" fontId="1" fillId="9" borderId="5" xfId="0" applyFont="1" applyFill="1" applyBorder="1"/>
    <xf numFmtId="165" fontId="1" fillId="9" borderId="5" xfId="0" applyNumberFormat="1" applyFont="1" applyFill="1" applyBorder="1"/>
    <xf numFmtId="3" fontId="1" fillId="9" borderId="5" xfId="0" applyNumberFormat="1" applyFont="1" applyFill="1" applyBorder="1"/>
    <xf numFmtId="164" fontId="1" fillId="9" borderId="5" xfId="0" applyNumberFormat="1" applyFont="1" applyFill="1" applyBorder="1"/>
    <xf numFmtId="2" fontId="1" fillId="9" borderId="5" xfId="0" applyNumberFormat="1" applyFont="1" applyFill="1" applyBorder="1"/>
    <xf numFmtId="0" fontId="1" fillId="9" borderId="10" xfId="0" applyFont="1" applyFill="1" applyBorder="1"/>
    <xf numFmtId="0" fontId="0" fillId="0" borderId="0" xfId="0" applyFont="1" applyAlignment="1">
      <alignment wrapText="1"/>
    </xf>
    <xf numFmtId="0" fontId="0" fillId="24" borderId="0" xfId="0" applyFont="1" applyFill="1" applyAlignment="1">
      <alignment wrapText="1"/>
    </xf>
    <xf numFmtId="1" fontId="0" fillId="26" borderId="0" xfId="0" applyNumberFormat="1" applyFont="1" applyFill="1" applyAlignment="1">
      <alignment horizontal="center"/>
    </xf>
    <xf numFmtId="0" fontId="42" fillId="0" borderId="0" xfId="0" applyFont="1"/>
    <xf numFmtId="3" fontId="0" fillId="26" borderId="0" xfId="0" applyNumberFormat="1" applyFont="1" applyFill="1" applyAlignment="1">
      <alignment horizontal="center"/>
    </xf>
    <xf numFmtId="3" fontId="41" fillId="0" borderId="0" xfId="0" applyNumberFormat="1" applyFont="1"/>
    <xf numFmtId="4" fontId="0" fillId="0" borderId="0" xfId="0" applyNumberFormat="1" applyFont="1"/>
    <xf numFmtId="4" fontId="1" fillId="0" borderId="0" xfId="0" applyNumberFormat="1" applyFont="1"/>
    <xf numFmtId="4" fontId="36" fillId="22" borderId="0" xfId="0" applyNumberFormat="1" applyFont="1" applyFill="1"/>
    <xf numFmtId="4" fontId="42" fillId="0" borderId="0" xfId="0" applyNumberFormat="1" applyFont="1"/>
    <xf numFmtId="165" fontId="3" fillId="4" borderId="2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2" fontId="1" fillId="9" borderId="2" xfId="0" applyNumberFormat="1" applyFont="1" applyFill="1" applyBorder="1"/>
    <xf numFmtId="0" fontId="0" fillId="0" borderId="16" xfId="0" applyBorder="1"/>
    <xf numFmtId="0" fontId="0" fillId="0" borderId="17" xfId="0" applyBorder="1"/>
    <xf numFmtId="4" fontId="0" fillId="15" borderId="6" xfId="0" applyNumberFormat="1" applyFill="1" applyBorder="1"/>
    <xf numFmtId="165" fontId="3" fillId="4" borderId="4" xfId="0" applyNumberFormat="1" applyFont="1" applyFill="1" applyBorder="1" applyAlignment="1">
      <alignment horizontal="center"/>
    </xf>
    <xf numFmtId="2" fontId="0" fillId="0" borderId="4" xfId="0" applyNumberFormat="1" applyBorder="1"/>
    <xf numFmtId="2" fontId="1" fillId="9" borderId="4" xfId="0" applyNumberFormat="1" applyFont="1" applyFill="1" applyBorder="1"/>
    <xf numFmtId="4" fontId="0" fillId="0" borderId="4" xfId="0" applyNumberFormat="1" applyBorder="1"/>
    <xf numFmtId="165" fontId="29" fillId="15" borderId="19" xfId="0" applyNumberFormat="1" applyFont="1" applyFill="1" applyBorder="1" applyAlignment="1">
      <alignment horizontal="center"/>
    </xf>
    <xf numFmtId="0" fontId="29" fillId="15" borderId="19" xfId="0" applyFont="1" applyFill="1" applyBorder="1" applyAlignment="1">
      <alignment horizontal="center"/>
    </xf>
    <xf numFmtId="2" fontId="0" fillId="15" borderId="19" xfId="0" applyNumberFormat="1" applyFill="1" applyBorder="1"/>
    <xf numFmtId="2" fontId="1" fillId="15" borderId="19" xfId="0" applyNumberFormat="1" applyFont="1" applyFill="1" applyBorder="1"/>
    <xf numFmtId="0" fontId="0" fillId="0" borderId="19" xfId="0" applyBorder="1"/>
    <xf numFmtId="0" fontId="0" fillId="0" borderId="19" xfId="0" applyBorder="1"/>
    <xf numFmtId="4" fontId="0" fillId="15" borderId="19" xfId="0" applyNumberFormat="1" applyFill="1" applyBorder="1"/>
    <xf numFmtId="0" fontId="29" fillId="0" borderId="0" xfId="0" applyFont="1" applyAlignment="1">
      <alignment horizontal="center"/>
    </xf>
    <xf numFmtId="0" fontId="29" fillId="0" borderId="20" xfId="0" applyFont="1" applyBorder="1" applyAlignment="1">
      <alignment horizontal="center"/>
    </xf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562"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name val="Calibri"/>
      </font>
      <numFmt numFmtId="4" formatCode="#,##0.00"/>
    </dxf>
    <dxf>
      <font>
        <name val="Calibri"/>
      </font>
      <numFmt numFmtId="4" formatCode="#,##0.00"/>
    </dxf>
    <dxf>
      <font>
        <name val="Calibri"/>
      </font>
      <numFmt numFmtId="4" formatCode="#,##0.00"/>
    </dxf>
    <dxf>
      <font>
        <name val="Calibri"/>
      </font>
      <numFmt numFmtId="4" formatCode="#,##0.00"/>
    </dxf>
    <dxf>
      <font>
        <name val="Calibri"/>
      </font>
      <numFmt numFmtId="4" formatCode="#,##0.00"/>
    </dxf>
    <dxf>
      <font>
        <name val="Calibri"/>
      </font>
      <numFmt numFmtId="4" formatCode="#,##0.00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39C12"/>
      </font>
      <fill>
        <patternFill patternType="solid">
          <fgColor rgb="FFFEF9E7"/>
          <bgColor rgb="FFFEF9E7"/>
        </patternFill>
      </fill>
      <border>
        <left style="thin">
          <color rgb="FFF39C12"/>
        </left>
        <right style="thin">
          <color rgb="FFF39C12"/>
        </right>
        <top style="thin">
          <color rgb="FFF39C12"/>
        </top>
        <bottom style="thin">
          <color rgb="FFF39C12"/>
        </bottom>
      </border>
    </dxf>
    <dxf>
      <fill>
        <patternFill patternType="solid">
          <fgColor rgb="FFFDEDEC"/>
          <bgColor rgb="FFFDEDEC"/>
        </patternFill>
      </fill>
      <border>
        <left style="dotted">
          <color rgb="FFFF0000"/>
        </left>
        <right style="dotted">
          <color rgb="FFFF0000"/>
        </right>
      </border>
    </dxf>
    <dxf>
      <font>
        <color rgb="FF1F4E79"/>
      </font>
      <fill>
        <patternFill patternType="solid">
          <fgColor indexed="64"/>
          <bgColor rgb="FFD9EAF7"/>
        </patternFill>
      </fill>
    </dxf>
    <dxf>
      <font>
        <b/>
        <color rgb="FFF39C12"/>
      </font>
      <fill>
        <patternFill patternType="solid">
          <fgColor rgb="FFFEF9E7"/>
          <bgColor rgb="FFFEF9E7"/>
        </patternFill>
      </fill>
      <border>
        <left style="thin">
          <color rgb="FFF39C12"/>
        </left>
        <right style="thin">
          <color rgb="FFF39C12"/>
        </right>
        <top style="thin">
          <color rgb="FFF39C12"/>
        </top>
        <bottom style="thin">
          <color rgb="FFF39C12"/>
        </bottom>
      </border>
    </dxf>
    <dxf>
      <fill>
        <patternFill patternType="solid">
          <fgColor rgb="FFFDEDEC"/>
          <bgColor rgb="FFFDEDEC"/>
        </patternFill>
      </fill>
      <border>
        <left style="dotted">
          <color rgb="FFFF0000"/>
        </left>
        <right style="dotted">
          <color rgb="FFFF0000"/>
        </right>
      </border>
    </dxf>
    <dxf>
      <font>
        <color rgb="FF1F4E79"/>
      </font>
      <fill>
        <patternFill patternType="solid">
          <fgColor indexed="64"/>
          <bgColor rgb="FFD9EAF7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C0392B"/>
      </font>
      <fill>
        <patternFill patternType="solid">
          <fgColor rgb="FFFDEDEC"/>
          <bgColor rgb="FFFDEDEC"/>
        </patternFill>
      </fill>
    </dxf>
    <dxf>
      <font>
        <b/>
        <color rgb="FFD35400"/>
      </font>
      <fill>
        <patternFill patternType="solid">
          <fgColor rgb="FFFEF9E7"/>
          <bgColor rgb="FFFEF9E7"/>
        </patternFill>
      </fill>
    </dxf>
    <dxf>
      <font>
        <b/>
        <color rgb="FF117A65"/>
      </font>
      <fill>
        <patternFill patternType="solid">
          <fgColor rgb="FFE8F8F5"/>
          <bgColor rgb="FFE8F8F5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name val="Calibri"/>
      </font>
      <numFmt numFmtId="165" formatCode="yyyy\-mm\-dd"/>
      <alignment horizontal="center" wrapText="1"/>
    </dxf>
    <dxf>
      <numFmt numFmtId="164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3" formatCode="#,##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</font>
      <numFmt numFmtId="0" formatCode="General"/>
      <alignment horizontal="center" wrapText="1"/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fill>
        <patternFill patternType="solid">
          <fgColor indexed="64"/>
          <bgColor rgb="FFF4CCCC"/>
        </patternFill>
      </fill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2" formatCode="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2" formatCode="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164" formatCode="0.0%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fill>
        <patternFill patternType="solid">
          <fgColor indexed="64"/>
          <bgColor rgb="FFF4CCCC"/>
        </patternFill>
      </fill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fill>
        <patternFill patternType="solid">
          <fgColor indexed="64"/>
          <bgColor rgb="FFF4CCCC"/>
        </patternFill>
      </fill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ill>
        <patternFill patternType="solid">
          <fgColor indexed="64"/>
          <bgColor rgb="FFE2F0D9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left style="thin">
          <color rgb="FFB7B7B7"/>
        </left>
        <right style="thin">
          <color rgb="FFB7B7B7"/>
        </right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4" formatCode="0.0%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" formatCode="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/>
        <top style="thin">
          <color rgb="FFB7B7B7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333333"/>
        <name val="Aptos"/>
      </font>
      <numFmt numFmtId="4" formatCode="#,##0.00"/>
      <fill>
        <patternFill patternType="solid">
          <fgColor indexed="64"/>
          <bgColor rgb="FFF3F6F4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990000"/>
        <name val="Aptos"/>
      </font>
      <numFmt numFmtId="165" formatCode="yyyy\-mm\-dd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/>
        <right style="thin">
          <color rgb="FFB7B7B7"/>
        </right>
        <top style="thin">
          <color rgb="FFB7B7B7"/>
        </top>
        <bottom/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horizontal="center" wrapText="1"/>
    </dxf>
    <dxf>
      <font>
        <name val="Calibri"/>
      </font>
      <alignment wrapText="1"/>
    </dxf>
    <dxf>
      <font>
        <b/>
        <color rgb="FFFFFFFF"/>
        <name val="Calibri"/>
      </font>
      <fill>
        <patternFill patternType="solid">
          <fgColor indexed="64"/>
          <bgColor rgb="FF7F1D1D"/>
        </patternFill>
      </fill>
      <alignment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alignment horizontal="righ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333333"/>
        <name val="Aptos"/>
      </font>
      <fill>
        <patternFill patternType="solid">
          <fgColor rgb="FFF2F4F4"/>
          <bgColor rgb="FFF2F4F4"/>
        </patternFill>
      </fill>
      <alignment horizontal="right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alignment horizontal="center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2" formatCode="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2" formatCode="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/>
        <right/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4" formatCode="0.0%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alignment horizontal="lef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ptos"/>
      </font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274E13"/>
        <name val="Calibri"/>
        <family val="2"/>
        <scheme val="minor"/>
      </font>
      <fill>
        <patternFill patternType="solid">
          <fgColor indexed="64"/>
          <bgColor rgb="FFD9EAD3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274E13"/>
        <name val="Calibri"/>
        <family val="2"/>
        <scheme val="minor"/>
      </font>
      <fill>
        <patternFill patternType="solid">
          <fgColor indexed="64"/>
          <bgColor rgb="FFD9EAD3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  <bottom style="thin">
          <color rgb="FFB7B7B7"/>
        </bottom>
      </border>
    </dxf>
    <dxf>
      <alignment horizontal="general" vertical="bottom" wrapText="1"/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4F6D7A"/>
        <name val="Calibri"/>
        <family val="2"/>
        <scheme val="minor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Baseline Gantt Schedule by WBS — RAG Bars + 2026-06-30 Status Line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'EVM Charts'!$E$4</c:f>
              <c:strCache>
                <c:ptCount val="1"/>
                <c:pt idx="0">
                  <c:v>Start Offset</c:v>
                </c:pt>
              </c:strCache>
            </c:strRef>
          </c:tx>
          <c:spPr>
            <a:solidFill>
              <a:srgbClr val="FFFFFF"/>
            </a:solidFill>
            <a:ln>
              <a:solidFill>
                <a:srgbClr val="FFFFFF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'EVM Charts'!$B$5:$B$16</c:f>
              <c:strCache>
                <c:ptCount val="12"/>
                <c:pt idx="0">
                  <c:v>Project Management</c:v>
                </c:pt>
                <c:pt idx="1">
                  <c:v>Site Survey &amp; Mobilization</c:v>
                </c:pt>
                <c:pt idx="2">
                  <c:v>Design &amp; Engineering</c:v>
                </c:pt>
                <c:pt idx="3">
                  <c:v>Procurement - Materials</c:v>
                </c:pt>
                <c:pt idx="4">
                  <c:v>Demolition &amp; Prep</c:v>
                </c:pt>
                <c:pt idx="5">
                  <c:v>Electrical Rough-In</c:v>
                </c:pt>
                <c:pt idx="6">
                  <c:v>HVAC Installation</c:v>
                </c:pt>
                <c:pt idx="7">
                  <c:v>Partitions &amp; Drywall</c:v>
                </c:pt>
                <c:pt idx="8">
                  <c:v>Flooring</c:v>
                </c:pt>
                <c:pt idx="9">
                  <c:v>Fixtures &amp; Furniture</c:v>
                </c:pt>
                <c:pt idx="10">
                  <c:v>Testing / Commissioning</c:v>
                </c:pt>
                <c:pt idx="11">
                  <c:v>Handover &amp; Closeout</c:v>
                </c:pt>
              </c:strCache>
            </c:strRef>
          </c:cat>
          <c:val>
            <c:numRef>
              <c:f>'EVM Charts'!$E$5:$E$16</c:f>
              <c:numCache>
                <c:formatCode>0</c:formatCode>
                <c:ptCount val="12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7</c:v>
                </c:pt>
                <c:pt idx="5">
                  <c:v>21</c:v>
                </c:pt>
                <c:pt idx="6">
                  <c:v>28</c:v>
                </c:pt>
                <c:pt idx="7">
                  <c:v>35</c:v>
                </c:pt>
                <c:pt idx="8">
                  <c:v>49</c:v>
                </c:pt>
                <c:pt idx="9">
                  <c:v>56</c:v>
                </c:pt>
                <c:pt idx="10">
                  <c:v>70</c:v>
                </c:pt>
                <c:pt idx="11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C-446A-930A-4915CADF10A4}"/>
            </c:ext>
          </c:extLst>
        </c:ser>
        <c:ser>
          <c:idx val="1"/>
          <c:order val="1"/>
          <c:tx>
            <c:strRef>
              <c:f>'EVM Charts'!$F$4</c:f>
              <c:strCache>
                <c:ptCount val="1"/>
                <c:pt idx="0">
                  <c:v>Duration Days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rgbClr val="666666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7B2C-446A-930A-4915CADF10A4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7B2C-446A-930A-4915CADF10A4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7B2C-446A-930A-4915CADF10A4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7B2C-446A-930A-4915CADF10A4}"/>
              </c:ext>
            </c:extLst>
          </c:dPt>
          <c:dPt>
            <c:idx val="4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7B2C-446A-930A-4915CADF10A4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7B2C-446A-930A-4915CADF10A4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7B2C-446A-930A-4915CADF10A4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7B2C-446A-930A-4915CADF10A4}"/>
              </c:ext>
            </c:extLst>
          </c:dPt>
          <c:dPt>
            <c:idx val="8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7B2C-446A-930A-4915CADF10A4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7B2C-446A-930A-4915CADF10A4}"/>
              </c:ext>
            </c:extLst>
          </c:dPt>
          <c:dPt>
            <c:idx val="10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7B2C-446A-930A-4915CADF10A4}"/>
              </c:ext>
            </c:extLst>
          </c:dPt>
          <c:dPt>
            <c:idx val="11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7B2C-446A-930A-4915CADF10A4}"/>
              </c:ext>
            </c:extLst>
          </c:dPt>
          <c:dLbls>
            <c:delete val="1"/>
          </c:dLbls>
          <c:cat>
            <c:strRef>
              <c:f>'EVM Charts'!$B$5:$B$16</c:f>
              <c:strCache>
                <c:ptCount val="12"/>
                <c:pt idx="0">
                  <c:v>Project Management</c:v>
                </c:pt>
                <c:pt idx="1">
                  <c:v>Site Survey &amp; Mobilization</c:v>
                </c:pt>
                <c:pt idx="2">
                  <c:v>Design &amp; Engineering</c:v>
                </c:pt>
                <c:pt idx="3">
                  <c:v>Procurement - Materials</c:v>
                </c:pt>
                <c:pt idx="4">
                  <c:v>Demolition &amp; Prep</c:v>
                </c:pt>
                <c:pt idx="5">
                  <c:v>Electrical Rough-In</c:v>
                </c:pt>
                <c:pt idx="6">
                  <c:v>HVAC Installation</c:v>
                </c:pt>
                <c:pt idx="7">
                  <c:v>Partitions &amp; Drywall</c:v>
                </c:pt>
                <c:pt idx="8">
                  <c:v>Flooring</c:v>
                </c:pt>
                <c:pt idx="9">
                  <c:v>Fixtures &amp; Furniture</c:v>
                </c:pt>
                <c:pt idx="10">
                  <c:v>Testing / Commissioning</c:v>
                </c:pt>
                <c:pt idx="11">
                  <c:v>Handover &amp; Closeout</c:v>
                </c:pt>
              </c:strCache>
            </c:strRef>
          </c:cat>
          <c:val>
            <c:numRef>
              <c:f>'EVM Charts'!$F$5:$F$16</c:f>
              <c:numCache>
                <c:formatCode>0</c:formatCode>
                <c:ptCount val="12"/>
                <c:pt idx="0">
                  <c:v>77</c:v>
                </c:pt>
                <c:pt idx="1">
                  <c:v>7</c:v>
                </c:pt>
                <c:pt idx="2">
                  <c:v>21</c:v>
                </c:pt>
                <c:pt idx="3">
                  <c:v>28</c:v>
                </c:pt>
                <c:pt idx="4">
                  <c:v>21</c:v>
                </c:pt>
                <c:pt idx="5">
                  <c:v>21</c:v>
                </c:pt>
                <c:pt idx="6">
                  <c:v>28</c:v>
                </c:pt>
                <c:pt idx="7">
                  <c:v>28</c:v>
                </c:pt>
                <c:pt idx="8">
                  <c:v>21</c:v>
                </c:pt>
                <c:pt idx="9">
                  <c:v>21</c:v>
                </c:pt>
                <c:pt idx="10">
                  <c:v>14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B2C-446A-930A-4915CADF10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94832975"/>
        <c:axId val="1078821968"/>
      </c:barChart>
      <c:catAx>
        <c:axId val="1694832975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WBS Activity</a:t>
                </a:r>
              </a:p>
            </c:rich>
          </c:tx>
          <c:layout>
            <c:manualLayout>
              <c:xMode val="edge"/>
              <c:yMode val="edge"/>
              <c:x val="1.1435833418626839E-2"/>
              <c:y val="0.2837863975056809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1078821968"/>
        <c:crosses val="autoZero"/>
        <c:auto val="1"/>
        <c:lblAlgn val="ctr"/>
        <c:lblOffset val="100"/>
        <c:noMultiLvlLbl val="0"/>
      </c:catAx>
      <c:valAx>
        <c:axId val="107882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9483297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EVM S-Curve — CPI 0.92 / SPI 0.60 at 2026-06-30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Cum PV</c:v>
          </c:tx>
          <c:spPr>
            <a:ln w="19050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'EVM Charts'!$J$24:$J$35</c:f>
              <c:numCache>
                <c:formatCode>yyyy\-mm\-dd</c:formatCode>
                <c:ptCount val="12"/>
                <c:pt idx="0">
                  <c:v>46150</c:v>
                </c:pt>
                <c:pt idx="1">
                  <c:v>46157</c:v>
                </c:pt>
                <c:pt idx="2">
                  <c:v>46164</c:v>
                </c:pt>
                <c:pt idx="3">
                  <c:v>46171</c:v>
                </c:pt>
                <c:pt idx="4">
                  <c:v>46178</c:v>
                </c:pt>
                <c:pt idx="5">
                  <c:v>46185</c:v>
                </c:pt>
                <c:pt idx="6">
                  <c:v>46192</c:v>
                </c:pt>
                <c:pt idx="7">
                  <c:v>46199</c:v>
                </c:pt>
                <c:pt idx="8">
                  <c:v>46206</c:v>
                </c:pt>
                <c:pt idx="9">
                  <c:v>46213</c:v>
                </c:pt>
                <c:pt idx="10">
                  <c:v>46220</c:v>
                </c:pt>
                <c:pt idx="11">
                  <c:v>46227</c:v>
                </c:pt>
              </c:numCache>
            </c:numRef>
          </c:xVal>
          <c:yVal>
            <c:numRef>
              <c:f>'EVM Charts'!$K$24:$K$35</c:f>
              <c:numCache>
                <c:formatCode>#,##0</c:formatCode>
                <c:ptCount val="12"/>
                <c:pt idx="0">
                  <c:v>14900</c:v>
                </c:pt>
                <c:pt idx="1">
                  <c:v>37700</c:v>
                </c:pt>
                <c:pt idx="2">
                  <c:v>60500</c:v>
                </c:pt>
                <c:pt idx="3">
                  <c:v>85566.67</c:v>
                </c:pt>
                <c:pt idx="4">
                  <c:v>115233.34</c:v>
                </c:pt>
                <c:pt idx="5">
                  <c:v>141400</c:v>
                </c:pt>
                <c:pt idx="6">
                  <c:v>158900</c:v>
                </c:pt>
                <c:pt idx="7">
                  <c:v>188316.67</c:v>
                </c:pt>
                <c:pt idx="8">
                  <c:v>218733.34</c:v>
                </c:pt>
                <c:pt idx="9">
                  <c:v>242150</c:v>
                </c:pt>
                <c:pt idx="10">
                  <c:v>257850</c:v>
                </c:pt>
                <c:pt idx="11">
                  <c:v>267150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11-4335-83DE-16BF1D0EB4C4}"/>
            </c:ext>
          </c:extLst>
        </c:ser>
        <c:ser>
          <c:idx val="1"/>
          <c:order val="1"/>
          <c:tx>
            <c:v>Cum AC</c:v>
          </c:tx>
          <c:spPr>
            <a:ln w="1905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'EVM Charts'!$J$24:$J$35</c:f>
              <c:numCache>
                <c:formatCode>yyyy\-mm\-dd</c:formatCode>
                <c:ptCount val="12"/>
                <c:pt idx="0">
                  <c:v>46150</c:v>
                </c:pt>
                <c:pt idx="1">
                  <c:v>46157</c:v>
                </c:pt>
                <c:pt idx="2">
                  <c:v>46164</c:v>
                </c:pt>
                <c:pt idx="3">
                  <c:v>46171</c:v>
                </c:pt>
                <c:pt idx="4">
                  <c:v>46178</c:v>
                </c:pt>
                <c:pt idx="5">
                  <c:v>46185</c:v>
                </c:pt>
                <c:pt idx="6">
                  <c:v>46192</c:v>
                </c:pt>
                <c:pt idx="7">
                  <c:v>46199</c:v>
                </c:pt>
                <c:pt idx="8">
                  <c:v>46206</c:v>
                </c:pt>
                <c:pt idx="9">
                  <c:v>46213</c:v>
                </c:pt>
                <c:pt idx="10">
                  <c:v>46220</c:v>
                </c:pt>
                <c:pt idx="11">
                  <c:v>46227</c:v>
                </c:pt>
              </c:numCache>
            </c:numRef>
          </c:xVal>
          <c:yVal>
            <c:numRef>
              <c:f>'EVM Charts'!$L$24:$L$35</c:f>
              <c:numCache>
                <c:formatCode>#,##0</c:formatCode>
                <c:ptCount val="12"/>
                <c:pt idx="0">
                  <c:v>15975.04</c:v>
                </c:pt>
                <c:pt idx="1">
                  <c:v>38629.120000000003</c:v>
                </c:pt>
                <c:pt idx="2">
                  <c:v>61283.199999999997</c:v>
                </c:pt>
                <c:pt idx="3">
                  <c:v>86189.440000000002</c:v>
                </c:pt>
                <c:pt idx="4">
                  <c:v>115666.24000000001</c:v>
                </c:pt>
                <c:pt idx="5">
                  <c:v>141665.44</c:v>
                </c:pt>
                <c:pt idx="6">
                  <c:v>141665.44</c:v>
                </c:pt>
                <c:pt idx="7">
                  <c:v>141665.44</c:v>
                </c:pt>
                <c:pt idx="8">
                  <c:v>141665.44</c:v>
                </c:pt>
                <c:pt idx="9">
                  <c:v>141665.44</c:v>
                </c:pt>
                <c:pt idx="10">
                  <c:v>141665.44</c:v>
                </c:pt>
                <c:pt idx="11">
                  <c:v>141665.44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11-4335-83DE-16BF1D0EB4C4}"/>
            </c:ext>
          </c:extLst>
        </c:ser>
        <c:ser>
          <c:idx val="2"/>
          <c:order val="2"/>
          <c:tx>
            <c:v>Cum EV</c:v>
          </c:tx>
          <c:spPr>
            <a:ln w="19050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'EVM Charts'!$J$24:$J$35</c:f>
              <c:numCache>
                <c:formatCode>yyyy\-mm\-dd</c:formatCode>
                <c:ptCount val="12"/>
                <c:pt idx="0">
                  <c:v>46150</c:v>
                </c:pt>
                <c:pt idx="1">
                  <c:v>46157</c:v>
                </c:pt>
                <c:pt idx="2">
                  <c:v>46164</c:v>
                </c:pt>
                <c:pt idx="3">
                  <c:v>46171</c:v>
                </c:pt>
                <c:pt idx="4">
                  <c:v>46178</c:v>
                </c:pt>
                <c:pt idx="5">
                  <c:v>46185</c:v>
                </c:pt>
                <c:pt idx="6">
                  <c:v>46192</c:v>
                </c:pt>
                <c:pt idx="7">
                  <c:v>46199</c:v>
                </c:pt>
                <c:pt idx="8">
                  <c:v>46206</c:v>
                </c:pt>
                <c:pt idx="9">
                  <c:v>46213</c:v>
                </c:pt>
                <c:pt idx="10">
                  <c:v>46220</c:v>
                </c:pt>
                <c:pt idx="11">
                  <c:v>46227</c:v>
                </c:pt>
              </c:numCache>
            </c:numRef>
          </c:xVal>
          <c:yVal>
            <c:numRef>
              <c:f>'EVM Charts'!$M$24:$M$35</c:f>
              <c:numCache>
                <c:formatCode>#,##0</c:formatCode>
                <c:ptCount val="12"/>
                <c:pt idx="0">
                  <c:v>13588</c:v>
                </c:pt>
                <c:pt idx="1">
                  <c:v>35814.003100000002</c:v>
                </c:pt>
                <c:pt idx="2">
                  <c:v>56665</c:v>
                </c:pt>
                <c:pt idx="3">
                  <c:v>79601.328500000003</c:v>
                </c:pt>
                <c:pt idx="4">
                  <c:v>106769.6735</c:v>
                </c:pt>
                <c:pt idx="5">
                  <c:v>130717.996</c:v>
                </c:pt>
                <c:pt idx="6">
                  <c:v>130717.996</c:v>
                </c:pt>
                <c:pt idx="7">
                  <c:v>130717.996</c:v>
                </c:pt>
                <c:pt idx="8">
                  <c:v>130717.996</c:v>
                </c:pt>
                <c:pt idx="9">
                  <c:v>130717.996</c:v>
                </c:pt>
                <c:pt idx="10">
                  <c:v>130717.996</c:v>
                </c:pt>
                <c:pt idx="11">
                  <c:v>130717.996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11-4335-83DE-16BF1D0EB4C4}"/>
            </c:ext>
          </c:extLst>
        </c:ser>
        <c:ser>
          <c:idx val="3"/>
          <c:order val="3"/>
          <c:tx>
            <c:v>Status Date</c:v>
          </c:tx>
          <c:spPr>
            <a:ln w="38100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'EVM Charts'!$N$36:$N$37</c:f>
              <c:numCache>
                <c:formatCode>yyyy\-mm\-dd</c:formatCode>
                <c:ptCount val="2"/>
                <c:pt idx="0">
                  <c:v>46203</c:v>
                </c:pt>
                <c:pt idx="1">
                  <c:v>46203</c:v>
                </c:pt>
              </c:numCache>
            </c:numRef>
          </c:xVal>
          <c:yVal>
            <c:numRef>
              <c:f>'EVM Charts'!$O$36:$O$37</c:f>
              <c:numCache>
                <c:formatCode>#,##0</c:formatCode>
                <c:ptCount val="2"/>
                <c:pt idx="0">
                  <c:v>0</c:v>
                </c:pt>
                <c:pt idx="1">
                  <c:v>280507.5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C11-4335-83DE-16BF1D0EB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8097696"/>
        <c:axId val="261173424"/>
      </c:scatterChart>
      <c:valAx>
        <c:axId val="187809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Week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yyyy\-mm\-dd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61173424"/>
        <c:crosses val="autoZero"/>
        <c:crossBetween val="midCat"/>
      </c:valAx>
      <c:valAx>
        <c:axId val="261173424"/>
        <c:scaling>
          <c:orientation val="minMax"/>
          <c:max val="280507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Cumulative value (NOK)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78097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73025</xdr:rowOff>
    </xdr:from>
    <xdr:to>
      <xdr:col>12</xdr:col>
      <xdr:colOff>161924</xdr:colOff>
      <xdr:row>1</xdr:row>
      <xdr:rowOff>3854450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990600</xdr:colOff>
      <xdr:row>0</xdr:row>
      <xdr:rowOff>0</xdr:rowOff>
    </xdr:from>
    <xdr:to>
      <xdr:col>15</xdr:col>
      <xdr:colOff>1809750</xdr:colOff>
      <xdr:row>22</xdr:row>
      <xdr:rowOff>63500</xdr:rowOff>
    </xdr:to>
    <xdr:graphicFrame macro="">
      <xdr:nvGraphicFramePr>
        <xdr:cNvPr id="45" name="Chart 2">
          <a:extLst>
            <a:ext uri="{FF2B5EF4-FFF2-40B4-BE49-F238E27FC236}">
              <a16:creationId xmlns:a16="http://schemas.microsoft.com/office/drawing/2014/main" id="{0F949937-E54D-B51E-2A47-D361ACAA5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142873</xdr:colOff>
      <xdr:row>2</xdr:row>
      <xdr:rowOff>31750</xdr:rowOff>
    </xdr:from>
    <xdr:to>
      <xdr:col>31</xdr:col>
      <xdr:colOff>85723</xdr:colOff>
      <xdr:row>5</xdr:row>
      <xdr:rowOff>22225</xdr:rowOff>
    </xdr:to>
    <xdr:sp macro="" textlink="">
      <xdr:nvSpPr>
        <xdr:cNvPr id="46" name="CPI SPI Status Label - EVM Curve">
          <a:extLst>
            <a:ext uri="{FF2B5EF4-FFF2-40B4-BE49-F238E27FC236}">
              <a16:creationId xmlns:a16="http://schemas.microsoft.com/office/drawing/2014/main" id="{E6CFCF0C-B388-6141-3218-13C095C96C46}"/>
            </a:ext>
          </a:extLst>
        </xdr:cNvPr>
        <xdr:cNvSpPr txBox="1"/>
      </xdr:nvSpPr>
      <xdr:spPr>
        <a:xfrm>
          <a:off x="26612848" y="879475"/>
          <a:ext cx="1771650" cy="533400"/>
        </a:xfrm>
        <a:prstGeom prst="rect">
          <a:avLst/>
        </a:prstGeom>
        <a:solidFill>
          <a:srgbClr val="FFF2CC"/>
        </a:solidFill>
        <a:ln>
          <a:solidFill>
            <a:srgbClr val="C00000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nb-NO" sz="1000" b="1" i="0" u="none" strike="noStrike" kern="0" cap="none" spc="0" normalizeH="0" baseline="0" noProof="0">
              <a:ln>
                <a:noFill/>
              </a:ln>
              <a:solidFill>
                <a:srgbClr val="7F0000"/>
              </a:solidFill>
              <a:effectLst/>
              <a:uLnTx/>
              <a:uFillTx/>
              <a:latin typeface="Calibri"/>
            </a:rPr>
            <a:t>As of 2026-06-30
CPI 0.92 | SPI 0.60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over_Contents" displayName="tbl_Cover_Contents" ref="A4:B21" totalsRowShown="0" headerRowDxfId="544" headerRowBorderDxfId="543" tableBorderDxfId="542">
  <autoFilter ref="A4:B21" xr:uid="{00000000-0009-0000-0100-000001000000}"/>
  <tableColumns count="2">
    <tableColumn id="1" xr3:uid="{00000000-0010-0000-0000-000001000000}" name="Sheet" dataDxfId="541"/>
    <tableColumn id="2" xr3:uid="{00000000-0010-0000-0000-000002000000}" name="Purpose" dataDxfId="54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Glossary" displayName="tbl_Glossary" ref="A4:E38" totalsRowShown="0" headerRowDxfId="539" dataDxfId="537" headerRowBorderDxfId="538" tableBorderDxfId="536">
  <autoFilter ref="A4:E38" xr:uid="{00000000-0009-0000-0100-000002000000}"/>
  <tableColumns count="5">
    <tableColumn id="1" xr3:uid="{00000000-0010-0000-0100-000001000000}" name="Category" dataDxfId="535"/>
    <tableColumn id="2" xr3:uid="{00000000-0010-0000-0100-000002000000}" name="Term" dataDxfId="534"/>
    <tableColumn id="3" xr3:uid="{00000000-0010-0000-0100-000003000000}" name="Abbrev." dataDxfId="533"/>
    <tableColumn id="4" xr3:uid="{00000000-0010-0000-0100-000004000000}" name="Definition" dataDxfId="532"/>
    <tableColumn id="5" xr3:uid="{00000000-0010-0000-0100-000005000000}" name="Workbook reference" dataDxfId="53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Review_ActionLog" displayName="tbl_Review_ActionLog" ref="A20:F21" totalsRowShown="0" headerRowDxfId="530" headerRowBorderDxfId="529" tableBorderDxfId="528" totalsRowBorderDxfId="527">
  <autoFilter ref="A20:F21" xr:uid="{00000000-0009-0000-0100-000003000000}"/>
  <tableColumns count="6">
    <tableColumn id="1" xr3:uid="{00000000-0010-0000-0200-000001000000}" name="BETTER / ACTION LOG" dataDxfId="526"/>
    <tableColumn id="2" xr3:uid="{00000000-0010-0000-0200-000002000000}" name="Owner" dataDxfId="525"/>
    <tableColumn id="3" xr3:uid="{00000000-0010-0000-0200-000003000000}" name="Due date" dataDxfId="524"/>
    <tableColumn id="4" xr3:uid="{00000000-0010-0000-0200-000004000000}" name="Decision required?" dataDxfId="523"/>
    <tableColumn id="5" xr3:uid="{00000000-0010-0000-0200-000005000000}" name="RAG" dataDxfId="522"/>
    <tableColumn id="6" xr3:uid="{00000000-0010-0000-0200-000006000000}" name="Linked workbook evidence" dataDxfId="521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PID_ProjectControls" displayName="tbl_PID_ProjectControls" ref="A53:E54" totalsRowShown="0" headerRowDxfId="520" headerRowBorderDxfId="519" tableBorderDxfId="518" totalsRowBorderDxfId="517">
  <autoFilter ref="A53:E54" xr:uid="{00000000-0009-0000-0100-000004000000}"/>
  <tableColumns count="5">
    <tableColumn id="1" xr3:uid="{00000000-0010-0000-0300-000001000000}" name="Frequency / timing" dataDxfId="516"/>
    <tableColumn id="2" xr3:uid="{00000000-0010-0000-0300-000002000000}" name="How control is reported" dataDxfId="515"/>
    <tableColumn id="3" xr3:uid="{00000000-0010-0000-0300-000003000000}" name="Responsibility" dataDxfId="514"/>
    <tableColumn id="4" xr3:uid="{00000000-0010-0000-0300-000004000000}" name="Next report date" dataDxfId="513"/>
    <tableColumn id="5" xr3:uid="{00000000-0010-0000-0300-000005000000}" name="Status" dataDxfId="512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PID_RiskControl" displayName="tbl_PID_RiskControl" ref="A63:E64" totalsRowShown="0" headerRowDxfId="511" headerRowBorderDxfId="510" tableBorderDxfId="509" totalsRowBorderDxfId="508">
  <autoFilter ref="A63:E64" xr:uid="{00000000-0009-0000-0100-000005000000}"/>
  <tableColumns count="5">
    <tableColumn id="1" xr3:uid="{00000000-0010-0000-0400-000001000000}" name="Project Risk" dataDxfId="507"/>
    <tableColumn id="2" xr3:uid="{00000000-0010-0000-0400-000002000000}" name="Containment Measures" dataDxfId="506"/>
    <tableColumn id="3" xr3:uid="{00000000-0010-0000-0400-000003000000}" name="Owner" dataDxfId="505"/>
    <tableColumn id="4" xr3:uid="{00000000-0010-0000-0400-000004000000}" name="Due Date" dataDxfId="504"/>
    <tableColumn id="5" xr3:uid="{00000000-0010-0000-0400-000005000000}" name="RAG" dataDxfId="503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PID_Financials" displayName="tbl_PID_Financials" ref="A74:F75" totalsRowShown="0" headerRowDxfId="502" headerRowBorderDxfId="501" tableBorderDxfId="500" totalsRowBorderDxfId="499">
  <autoFilter ref="A74:F75" xr:uid="{00000000-0009-0000-0100-000006000000}"/>
  <tableColumns count="6">
    <tableColumn id="1" xr3:uid="{00000000-0010-0000-0500-000001000000}" name="Financial Implications" dataDxfId="498"/>
    <tableColumn id="2" xr3:uid="{00000000-0010-0000-0500-000002000000}" name="Q1" dataDxfId="497"/>
    <tableColumn id="3" xr3:uid="{00000000-0010-0000-0500-000003000000}" name="Q2" dataDxfId="496"/>
    <tableColumn id="4" xr3:uid="{00000000-0010-0000-0500-000004000000}" name="Q3" dataDxfId="495"/>
    <tableColumn id="5" xr3:uid="{00000000-0010-0000-0500-000005000000}" name="Q4" dataDxfId="494"/>
    <tableColumn id="6" xr3:uid="{00000000-0010-0000-0500-000006000000}" name="Total" dataDxfId="493">
      <calculatedColumnFormula>SUM(B75:E75)</calculatedColumnFormula>
    </tableColumn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Method_Roadmap" displayName="tbl_Method_Roadmap" ref="A4:H16" totalsRowShown="0" headerRowDxfId="492" headerRowBorderDxfId="491" tableBorderDxfId="490" totalsRowBorderDxfId="489">
  <autoFilter ref="A4:H16" xr:uid="{00000000-0009-0000-0100-000007000000}"/>
  <tableColumns count="8">
    <tableColumn id="1" xr3:uid="{00000000-0010-0000-0600-000001000000}" name="Step" dataDxfId="488"/>
    <tableColumn id="2" xr3:uid="{00000000-0010-0000-0600-000002000000}" name="Method step" dataDxfId="487"/>
    <tableColumn id="3" xr3:uid="{00000000-0010-0000-0600-000003000000}" name="Purpose" dataDxfId="486"/>
    <tableColumn id="4" xr3:uid="{00000000-0010-0000-0600-000004000000}" name="Workbook implementation" dataDxfId="485"/>
    <tableColumn id="5" xr3:uid="{00000000-0010-0000-0600-000005000000}" name="Primary sheet / range" dataDxfId="484"/>
    <tableColumn id="6" xr3:uid="{00000000-0010-0000-0600-000006000000}" name="Owner" dataDxfId="483"/>
    <tableColumn id="7" xr3:uid="{00000000-0010-0000-0600-000007000000}" name="Status" dataDxfId="482"/>
    <tableColumn id="8" xr3:uid="{00000000-0010-0000-0600-000008000000}" name="Source" dataDxfId="481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PMEVM_Compliance" displayName="tbl_PMEVM_Compliance" ref="A4:E13" totalsRowShown="0" headerRowDxfId="480" headerRowBorderDxfId="479" tableBorderDxfId="478" totalsRowBorderDxfId="477">
  <autoFilter ref="A4:E13" xr:uid="{00000000-0009-0000-0100-000008000000}"/>
  <tableColumns count="5">
    <tableColumn id="1" xr3:uid="{00000000-0010-0000-0700-000001000000}" name="Guideline requirement" dataDxfId="476"/>
    <tableColumn id="2" xr3:uid="{00000000-0010-0000-0700-000002000000}" name="Workbook implementation" dataDxfId="475"/>
    <tableColumn id="3" xr3:uid="{00000000-0010-0000-0700-000003000000}" name="Location" dataDxfId="474"/>
    <tableColumn id="4" xr3:uid="{00000000-0010-0000-0700-000004000000}" name="Status" dataDxfId="473"/>
    <tableColumn id="5" xr3:uid="{00000000-0010-0000-0700-000005000000}" name="Evidence" dataDxfId="472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Setup_Controls" displayName="tbl_Setup_Controls" ref="A4:B15" totalsRowShown="0" headerRowDxfId="471" headerRowBorderDxfId="470" tableBorderDxfId="469" totalsRowBorderDxfId="468">
  <autoFilter ref="A4:B15" xr:uid="{00000000-0009-0000-0100-000009000000}"/>
  <tableColumns count="2">
    <tableColumn id="1" xr3:uid="{00000000-0010-0000-0800-000001000000}" name="Control" dataDxfId="467"/>
    <tableColumn id="2" xr3:uid="{00000000-0010-0000-0800-000002000000}" name="Value" dataDxfId="466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Setup_RAG" displayName="tbl_Setup_RAG" ref="A17:D20" totalsRowShown="0" headerRowDxfId="465" headerRowBorderDxfId="464" tableBorderDxfId="463" totalsRowBorderDxfId="462">
  <autoFilter ref="A17:D20" xr:uid="{00000000-0009-0000-0100-00000A000000}"/>
  <tableColumns count="4">
    <tableColumn id="1" xr3:uid="{00000000-0010-0000-0900-000001000000}" name="RAG"/>
    <tableColumn id="2" xr3:uid="{00000000-0010-0000-0900-000002000000}" name="Metric" dataDxfId="461"/>
    <tableColumn id="3" xr3:uid="{00000000-0010-0000-0900-000003000000}" name="Rule" dataDxfId="460"/>
    <tableColumn id="4" xr3:uid="{00000000-0010-0000-0900-000004000000}" name="Interpretation" dataDxfId="459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Task_Plan" displayName="tbl_Task_Plan" ref="A4:T16" totalsRowShown="0" headerRowDxfId="458" headerRowBorderDxfId="457" tableBorderDxfId="456" totalsRowBorderDxfId="455">
  <autoFilter ref="A4:T16" xr:uid="{00000000-0009-0000-0100-00000B000000}"/>
  <tableColumns count="20">
    <tableColumn id="1" xr3:uid="{00000000-0010-0000-0A00-000001000000}" name="WBS ID" dataDxfId="454"/>
    <tableColumn id="2" xr3:uid="{00000000-0010-0000-0A00-000002000000}" name="WBS Code" dataDxfId="453"/>
    <tableColumn id="3" xr3:uid="{00000000-0010-0000-0A00-000003000000}" name="Task / Activity" dataDxfId="452"/>
    <tableColumn id="4" xr3:uid="{00000000-0010-0000-0A00-000004000000}" name="Type" dataDxfId="451"/>
    <tableColumn id="5" xr3:uid="{00000000-0010-0000-0A00-000005000000}" name="Baseline Start" dataDxfId="207"/>
    <tableColumn id="6" xr3:uid="{00000000-0010-0000-0A00-000006000000}" name="Baseline Finish" dataDxfId="206"/>
    <tableColumn id="7" xr3:uid="{00000000-0010-0000-0A00-000007000000}" name="Duration Days" dataDxfId="205"/>
    <tableColumn id="8" xr3:uid="{00000000-0010-0000-0A00-000008000000}" name="BAC (NOK)" dataDxfId="204"/>
    <tableColumn id="9" xr3:uid="{00000000-0010-0000-0A00-000009000000}" name="PV @ Status" dataDxfId="203"/>
    <tableColumn id="10" xr3:uid="{00000000-0010-0000-0A00-00000A000000}" name="AC @ Status" dataDxfId="202"/>
    <tableColumn id="11" xr3:uid="{00000000-0010-0000-0A00-00000B000000}" name="Progress %" dataDxfId="201"/>
    <tableColumn id="12" xr3:uid="{00000000-0010-0000-0A00-00000C000000}" name="EV @ Status" dataDxfId="200"/>
    <tableColumn id="13" xr3:uid="{00000000-0010-0000-0A00-00000D000000}" name="SV" dataDxfId="199"/>
    <tableColumn id="14" xr3:uid="{00000000-0010-0000-0A00-00000E000000}" name="CV" dataDxfId="198"/>
    <tableColumn id="15" xr3:uid="{00000000-0010-0000-0A00-00000F000000}" name="SPI" dataDxfId="194"/>
    <tableColumn id="16" xr3:uid="{00000000-0010-0000-0A00-000010000000}" name="CPI" dataDxfId="193"/>
    <tableColumn id="17" xr3:uid="{00000000-0010-0000-0A00-000011000000}" name="EAC" dataDxfId="197"/>
    <tableColumn id="18" xr3:uid="{00000000-0010-0000-0A00-000012000000}" name="ETC" dataDxfId="196"/>
    <tableColumn id="19" xr3:uid="{00000000-0010-0000-0A00-000013000000}" name="VAC" dataDxfId="195"/>
    <tableColumn id="20" xr3:uid="{00000000-0010-0000-0A00-000014000000}" name="Status" dataDxfId="45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Task_Capture" displayName="tbl_Task_Capture" ref="A4:J16" totalsRowShown="0" headerRowDxfId="449" headerRowBorderDxfId="448" tableBorderDxfId="447" totalsRowBorderDxfId="446">
  <autoFilter ref="A4:J16" xr:uid="{00000000-0009-0000-0100-00000C000000}"/>
  <tableColumns count="10">
    <tableColumn id="1" xr3:uid="{00000000-0010-0000-0B00-000001000000}" name="Phase / Area" dataDxfId="445"/>
    <tableColumn id="2" xr3:uid="{00000000-0010-0000-0B00-000002000000}" name="Task" dataDxfId="444"/>
    <tableColumn id="3" xr3:uid="{00000000-0010-0000-0B00-000003000000}" name="WBS ID" dataDxfId="443"/>
    <tableColumn id="4" xr3:uid="{00000000-0010-0000-0B00-000004000000}" name="Type" dataDxfId="442"/>
    <tableColumn id="5" xr3:uid="{00000000-0010-0000-0B00-000005000000}" name="Included?" dataDxfId="441"/>
    <tableColumn id="6" xr3:uid="{00000000-0010-0000-0B00-000006000000}" name="Event / Milestone?" dataDxfId="440"/>
    <tableColumn id="7" xr3:uid="{00000000-0010-0000-0B00-000007000000}" name="Owner" dataDxfId="439"/>
    <tableColumn id="8" xr3:uid="{00000000-0010-0000-0B00-000008000000}" name="Notes" dataDxfId="438"/>
    <tableColumn id="9" xr3:uid="{00000000-0010-0000-0B00-000009000000}" name="Source / next action" dataDxfId="437"/>
    <tableColumn id="10" xr3:uid="{00000000-0010-0000-0B00-00000A000000}" name="Mapped to Task Plan" dataDxfId="436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Dashboard_RAGLegend" displayName="tbl_Dashboard_RAGLegend" ref="N4:P7" totalsRowShown="0" headerRowDxfId="435" headerRowBorderDxfId="434" tableBorderDxfId="433" totalsRowBorderDxfId="432">
  <autoFilter ref="N4:P7" xr:uid="{00000000-0009-0000-0100-00000D000000}"/>
  <tableColumns count="3">
    <tableColumn id="1" xr3:uid="{00000000-0010-0000-0C00-000001000000}" name="RAG Legend"/>
    <tableColumn id="2" xr3:uid="{00000000-0010-0000-0C00-000002000000}" name="Rule" dataDxfId="431"/>
    <tableColumn id="3" xr3:uid="{00000000-0010-0000-0C00-000003000000}" name="Meaning" dataDxfId="43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Dashboard_WBSPerformance" displayName="tbl_Dashboard_WBSPerformance" ref="A17:P29" totalsRowShown="0" tableBorderDxfId="429">
  <autoFilter ref="A17:P29" xr:uid="{00000000-0009-0000-0100-00000E000000}"/>
  <tableColumns count="16">
    <tableColumn id="1" xr3:uid="{00000000-0010-0000-0D00-000001000000}" name="WBS ID" dataDxfId="428"/>
    <tableColumn id="2" xr3:uid="{00000000-0010-0000-0D00-000002000000}" name="Activity Name" dataDxfId="427"/>
    <tableColumn id="3" xr3:uid="{00000000-0010-0000-0D00-000003000000}" name="Type" dataDxfId="426"/>
    <tableColumn id="4" xr3:uid="{00000000-0010-0000-0D00-000004000000}" name="Budget (BAC)" dataDxfId="425"/>
    <tableColumn id="5" xr3:uid="{00000000-0010-0000-0D00-000005000000}" name="Planned Value (PV)" dataDxfId="424"/>
    <tableColumn id="6" xr3:uid="{00000000-0010-0000-0D00-000006000000}" name="Actual Cost (AC)" dataDxfId="423"/>
    <tableColumn id="7" xr3:uid="{00000000-0010-0000-0D00-000007000000}" name="Progress %" dataDxfId="422"/>
    <tableColumn id="8" xr3:uid="{00000000-0010-0000-0D00-000008000000}" name="Earned Value (EV)" dataDxfId="421"/>
    <tableColumn id="9" xr3:uid="{00000000-0010-0000-0D00-000009000000}" name="CV" dataDxfId="420"/>
    <tableColumn id="10" xr3:uid="{00000000-0010-0000-0D00-00000A000000}" name="SV" dataDxfId="419"/>
    <tableColumn id="11" xr3:uid="{00000000-0010-0000-0D00-00000B000000}" name="CPI" dataDxfId="418"/>
    <tableColumn id="12" xr3:uid="{00000000-0010-0000-0D00-00000C000000}" name="SPI" dataDxfId="417"/>
    <tableColumn id="13" xr3:uid="{00000000-0010-0000-0D00-00000D000000}" name="EAC" dataDxfId="416"/>
    <tableColumn id="14" xr3:uid="{00000000-0010-0000-0D00-00000E000000}" name="ETC" dataDxfId="415"/>
    <tableColumn id="15" xr3:uid="{00000000-0010-0000-0D00-00000F000000}" name="VAC" dataDxfId="414"/>
    <tableColumn id="16" xr3:uid="{00000000-0010-0000-0D00-000010000000}" name="Status" dataDxfId="41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Dashboard_WeeklyTrends" displayName="tbl_Dashboard_WeeklyTrends" ref="A35:K47" totalsRowShown="0" headerRowDxfId="412" dataDxfId="410" headerRowBorderDxfId="411" tableBorderDxfId="409" totalsRowBorderDxfId="408">
  <autoFilter ref="A35:K47" xr:uid="{00000000-0009-0000-0100-00000F000000}"/>
  <tableColumns count="11">
    <tableColumn id="1" xr3:uid="{00000000-0010-0000-0E00-000001000000}" name="Week" dataDxfId="407"/>
    <tableColumn id="2" xr3:uid="{00000000-0010-0000-0E00-000002000000}" name="Week Date" dataDxfId="180"/>
    <tableColumn id="3" xr3:uid="{00000000-0010-0000-0E00-000003000000}" name="Weekly PV" dataDxfId="179"/>
    <tableColumn id="4" xr3:uid="{00000000-0010-0000-0E00-000004000000}" name="Cum PV" dataDxfId="178"/>
    <tableColumn id="5" xr3:uid="{00000000-0010-0000-0E00-000005000000}" name="Weekly AC" dataDxfId="177"/>
    <tableColumn id="6" xr3:uid="{00000000-0010-0000-0E00-000006000000}" name="Cum AC" dataDxfId="176"/>
    <tableColumn id="7" xr3:uid="{00000000-0010-0000-0E00-000007000000}" name="Cum EV" dataDxfId="175"/>
    <tableColumn id="8" xr3:uid="{00000000-0010-0000-0E00-000008000000}" name="CV" dataDxfId="174"/>
    <tableColumn id="9" xr3:uid="{00000000-0010-0000-0E00-000009000000}" name="SV" dataDxfId="173"/>
    <tableColumn id="10" xr3:uid="{00000000-0010-0000-0E00-00000A000000}" name="CPI" dataDxfId="172"/>
    <tableColumn id="11" xr3:uid="{00000000-0010-0000-0E00-00000B000000}" name="SPI" dataDxfId="17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Red_Action_Recommendations" displayName="tbl_Red_Action_Recommendations" ref="A13:H25" totalsRowShown="0" headerRowDxfId="406" dataDxfId="405">
  <autoFilter ref="A13:H25" xr:uid="{00000000-0009-0000-0100-000010000000}"/>
  <tableColumns count="8">
    <tableColumn id="1" xr3:uid="{00000000-0010-0000-0F00-000001000000}" name="Priority" dataDxfId="404"/>
    <tableColumn id="2" xr3:uid="{00000000-0010-0000-0F00-000002000000}" name="WBS ID" dataDxfId="208"/>
    <tableColumn id="3" xr3:uid="{00000000-0010-0000-0F00-000003000000}" name="Activity" dataDxfId="403"/>
    <tableColumn id="4" xr3:uid="{00000000-0010-0000-0F00-000004000000}" name="Red driver" dataDxfId="402"/>
    <tableColumn id="5" xr3:uid="{00000000-0010-0000-0F00-000005000000}" name="Live evidence" dataDxfId="401"/>
    <tableColumn id="6" xr3:uid="{00000000-0010-0000-0F00-000006000000}" name="Recommended action" dataDxfId="400"/>
    <tableColumn id="7" xr3:uid="{00000000-0010-0000-0F00-000007000000}" name="Owner" dataDxfId="399"/>
    <tableColumn id="8" xr3:uid="{00000000-0010-0000-0F00-000008000000}" name="Due date" dataDxfId="164"/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Pivot_DescriptiveStats" displayName="tbl_Pivot_DescriptiveStats" ref="A13:G23" totalsRowShown="0" headerRowDxfId="374" dataDxfId="373">
  <autoFilter ref="A13:G23" xr:uid="{00000000-0009-0000-0100-000011000000}"/>
  <tableColumns count="7">
    <tableColumn id="1" xr3:uid="{00000000-0010-0000-1000-000001000000}" name="Metric" dataDxfId="372"/>
    <tableColumn id="2" xr3:uid="{00000000-0010-0000-1000-000002000000}" name="Count" dataDxfId="13"/>
    <tableColumn id="3" xr3:uid="{00000000-0010-0000-1000-000003000000}" name="Mean" dataDxfId="12"/>
    <tableColumn id="4" xr3:uid="{00000000-0010-0000-1000-000004000000}" name="Median" dataDxfId="11"/>
    <tableColumn id="5" xr3:uid="{00000000-0010-0000-1000-000005000000}" name="Std Dev" dataDxfId="10"/>
    <tableColumn id="6" xr3:uid="{00000000-0010-0000-1000-000006000000}" name="Min" dataDxfId="9"/>
    <tableColumn id="7" xr3:uid="{00000000-0010-0000-1000-000007000000}" name="Max" dataDxfId="8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Resource_WeeklyGrid" displayName="tbl_Resource_WeeklyGrid" ref="A4:X28" totalsRowShown="0" headerRowDxfId="371" headerRowBorderDxfId="370" tableBorderDxfId="369" totalsRowBorderDxfId="368">
  <autoFilter ref="A4:X28" xr:uid="{00000000-0009-0000-0100-000012000000}"/>
  <tableColumns count="24">
    <tableColumn id="1" xr3:uid="{00000000-0010-0000-1100-000001000000}" name="WBS ID" dataDxfId="367"/>
    <tableColumn id="2" xr3:uid="{00000000-0010-0000-1100-000002000000}" name="Activity" dataDxfId="366"/>
    <tableColumn id="3" xr3:uid="{00000000-0010-0000-1100-000003000000}" name="Resource / Role" dataDxfId="365"/>
    <tableColumn id="4" xr3:uid="{00000000-0010-0000-1100-000004000000}" name="Measure" dataDxfId="364"/>
    <tableColumn id="5" xr3:uid="{00000000-0010-0000-1100-000005000000}" name="Wk1" dataDxfId="363"/>
    <tableColumn id="6" xr3:uid="{00000000-0010-0000-1100-000006000000}" name="Wk2" dataDxfId="362"/>
    <tableColumn id="7" xr3:uid="{00000000-0010-0000-1100-000007000000}" name="Wk3" dataDxfId="361"/>
    <tableColumn id="8" xr3:uid="{00000000-0010-0000-1100-000008000000}" name="Wk4" dataDxfId="360"/>
    <tableColumn id="9" xr3:uid="{00000000-0010-0000-1100-000009000000}" name="Wk5" dataDxfId="359"/>
    <tableColumn id="10" xr3:uid="{00000000-0010-0000-1100-00000A000000}" name="Wk6" dataDxfId="358"/>
    <tableColumn id="11" xr3:uid="{00000000-0010-0000-1100-00000B000000}" name="Wk7" dataDxfId="357"/>
    <tableColumn id="12" xr3:uid="{00000000-0010-0000-1100-00000C000000}" name="Wk8" dataDxfId="356"/>
    <tableColumn id="13" xr3:uid="{00000000-0010-0000-1100-00000D000000}" name="Wk9" dataDxfId="355"/>
    <tableColumn id="14" xr3:uid="{00000000-0010-0000-1100-00000E000000}" name="Wk10" dataDxfId="354"/>
    <tableColumn id="15" xr3:uid="{00000000-0010-0000-1100-00000F000000}" name="Wk11" dataDxfId="353"/>
    <tableColumn id="16" xr3:uid="{00000000-0010-0000-1100-000010000000}" name="Wk12" dataDxfId="352"/>
    <tableColumn id="17" xr3:uid="{00000000-0010-0000-1100-000011000000}" name="Total" dataDxfId="351"/>
    <tableColumn id="18" xr3:uid="{00000000-0010-0000-1100-000012000000}" name="BAC" dataDxfId="350"/>
    <tableColumn id="19" xr3:uid="{00000000-0010-0000-1100-000013000000}" name="Actual @ Status" dataDxfId="349"/>
    <tableColumn id="20" xr3:uid="{00000000-0010-0000-1100-000014000000}" name="Remaining BAC" dataDxfId="348"/>
    <tableColumn id="21" xr3:uid="{00000000-0010-0000-1100-000015000000}" name="CPI" dataDxfId="347"/>
    <tableColumn id="22" xr3:uid="{00000000-0010-0000-1100-000016000000}" name="RAG" dataDxfId="346"/>
    <tableColumn id="23" xr3:uid="{00000000-0010-0000-1100-000017000000}" name="Template source" dataDxfId="345"/>
    <tableColumn id="24" xr3:uid="{00000000-0010-0000-1100-000018000000}" name="Notes" dataDxfId="344"/>
  </tableColumns>
  <tableStyleInfo name="TableStyleMedium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Resource_MonthlySummary" displayName="tbl_Resource_MonthlySummary" ref="A31:L34" totalsRowShown="0" headerRowDxfId="343" headerRowBorderDxfId="342" tableBorderDxfId="341" totalsRowBorderDxfId="340">
  <autoFilter ref="A31:L34" xr:uid="{00000000-0009-0000-0100-000013000000}"/>
  <tableColumns count="12">
    <tableColumn id="1" xr3:uid="{00000000-0010-0000-1200-000001000000}" name="Gantt of Gantts / monthly workload summary" dataDxfId="339"/>
    <tableColumn id="2" xr3:uid="{00000000-0010-0000-1200-000002000000}" name="May-26"/>
    <tableColumn id="3" xr3:uid="{00000000-0010-0000-1200-000003000000}" name="Jun-26"/>
    <tableColumn id="4" xr3:uid="{00000000-0010-0000-1200-000004000000}" name="Jul-26"/>
    <tableColumn id="5" xr3:uid="{00000000-0010-0000-1200-000005000000}" name="Aug-26"/>
    <tableColumn id="6" xr3:uid="{00000000-0010-0000-1200-000006000000}" name="Sep-26"/>
    <tableColumn id="7" xr3:uid="{00000000-0010-0000-1200-000007000000}" name="Oct-26"/>
    <tableColumn id="8" xr3:uid="{00000000-0010-0000-1200-000008000000}" name="Nov-26"/>
    <tableColumn id="9" xr3:uid="{00000000-0010-0000-1200-000009000000}" name="Dec-26"/>
    <tableColumn id="10" xr3:uid="{00000000-0010-0000-1200-00000A000000}" name="Total"/>
    <tableColumn id="11" xr3:uid="{00000000-0010-0000-1200-00000B000000}" name="Source" dataDxfId="338"/>
    <tableColumn id="12" xr3:uid="{00000000-0010-0000-1200-00000C000000}" name="Interpretation" dataDxfId="337"/>
  </tableColumns>
  <tableStyleInfo name="TableStyleMedium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Dim_Project" displayName="tbl_Dim_Project" ref="A1:F2" totalsRowShown="0" headerRowDxfId="336" headerRowBorderDxfId="335" tableBorderDxfId="334" totalsRowBorderDxfId="333">
  <autoFilter ref="A1:F2" xr:uid="{00000000-0009-0000-0100-000014000000}"/>
  <tableColumns count="6">
    <tableColumn id="1" xr3:uid="{00000000-0010-0000-1300-000001000000}" name="Project_ID" dataDxfId="332"/>
    <tableColumn id="2" xr3:uid="{00000000-0010-0000-1300-000002000000}" name="Project_Name" dataDxfId="331"/>
    <tableColumn id="3" xr3:uid="{00000000-0010-0000-1300-000003000000}" name="Start_Date" dataDxfId="330"/>
    <tableColumn id="4" xr3:uid="{00000000-0010-0000-1300-000004000000}" name="End_Date" dataDxfId="329"/>
    <tableColumn id="5" xr3:uid="{00000000-0010-0000-1300-000005000000}" name="BAC" dataDxfId="328"/>
    <tableColumn id="6" xr3:uid="{00000000-0010-0000-1300-000006000000}" name="Sector" dataDxfId="327"/>
  </tableColumns>
  <tableStyleInfo name="TableStyleMedium4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Dim_WBS" displayName="tbl_Dim_WBS" ref="A1:E13" totalsRowShown="0" headerRowDxfId="326" dataDxfId="324" headerRowBorderDxfId="325" tableBorderDxfId="323" totalsRowBorderDxfId="322">
  <autoFilter ref="A1:E13" xr:uid="{00000000-0009-0000-0100-000015000000}"/>
  <tableColumns count="5">
    <tableColumn id="1" xr3:uid="{00000000-0010-0000-1400-000001000000}" name="WBS_ID" dataDxfId="321"/>
    <tableColumn id="2" xr3:uid="{00000000-0010-0000-1400-000002000000}" name="WBS_Code" dataDxfId="320"/>
    <tableColumn id="3" xr3:uid="{00000000-0010-0000-1400-000003000000}" name="Activity_Name" dataDxfId="319"/>
    <tableColumn id="4" xr3:uid="{00000000-0010-0000-1400-000004000000}" name="Type" dataDxfId="318"/>
    <tableColumn id="5" xr3:uid="{00000000-0010-0000-1400-000005000000}" name="Total_Budget" dataDxfId="317"/>
  </tableColumns>
  <tableStyleInfo name="TableStyleMedium4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Dim_Resource" displayName="tbl_Dim_Resource" ref="A1:D12" totalsRowShown="0" headerRowDxfId="316" headerRowBorderDxfId="315" tableBorderDxfId="314" totalsRowBorderDxfId="313">
  <autoFilter ref="A1:D12" xr:uid="{00000000-0009-0000-0100-000016000000}"/>
  <tableColumns count="4">
    <tableColumn id="1" xr3:uid="{00000000-0010-0000-1500-000001000000}" name="Resource_ID" dataDxfId="312"/>
    <tableColumn id="2" xr3:uid="{00000000-0010-0000-1500-000002000000}" name="Resource_Name" dataDxfId="311"/>
    <tableColumn id="3" xr3:uid="{00000000-0010-0000-1500-000003000000}" name="Role" dataDxfId="310"/>
    <tableColumn id="4" xr3:uid="{00000000-0010-0000-1500-000004000000}" name="Hourly_Rate" dataDxfId="309"/>
  </tableColumns>
  <tableStyleInfo name="TableStyleMedium4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Dim_Calendar" displayName="tbl_Dim_Calendar" ref="A1:G85" totalsRowShown="0" headerRowDxfId="308" dataDxfId="306" headerRowBorderDxfId="307" tableBorderDxfId="305" totalsRowBorderDxfId="304">
  <autoFilter ref="A1:G85" xr:uid="{00000000-0009-0000-0100-000017000000}"/>
  <tableColumns count="7">
    <tableColumn id="1" xr3:uid="{00000000-0010-0000-1600-000001000000}" name="Date" dataDxfId="303"/>
    <tableColumn id="2" xr3:uid="{00000000-0010-0000-1600-000002000000}" name="Year" dataDxfId="302"/>
    <tableColumn id="3" xr3:uid="{00000000-0010-0000-1600-000003000000}" name="Month" dataDxfId="301"/>
    <tableColumn id="4" xr3:uid="{00000000-0010-0000-1600-000004000000}" name="Month_Name" dataDxfId="300"/>
    <tableColumn id="5" xr3:uid="{00000000-0010-0000-1600-000005000000}" name="Quarter" dataDxfId="299"/>
    <tableColumn id="6" xr3:uid="{00000000-0010-0000-1600-000006000000}" name="Week_Number" dataDxfId="298"/>
    <tableColumn id="7" xr3:uid="{00000000-0010-0000-1600-000007000000}" name="Is_Weekday" dataDxfId="297"/>
  </tableColumns>
  <tableStyleInfo name="TableStyleMedium4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Fact_Baseline_PV" displayName="tbl_Fact_Baseline_PV" ref="A1:C43" totalsRowShown="0" headerRowDxfId="296" headerRowBorderDxfId="295" tableBorderDxfId="294" totalsRowBorderDxfId="293">
  <autoFilter ref="A1:C43" xr:uid="{00000000-0009-0000-0100-000018000000}"/>
  <tableColumns count="3">
    <tableColumn id="1" xr3:uid="{00000000-0010-0000-1700-000001000000}" name="Date" dataDxfId="292"/>
    <tableColumn id="2" xr3:uid="{00000000-0010-0000-1700-000002000000}" name="WBS_ID" dataDxfId="291"/>
    <tableColumn id="3" xr3:uid="{00000000-0010-0000-1700-000003000000}" name="Planned_Value" dataDxfId="290"/>
  </tableColumns>
  <tableStyleInfo name="TableStyleMedium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_Fact_Actual_Costs" displayName="tbl_Fact_Actual_Costs" ref="A1:E99" totalsRowShown="0" headerRowDxfId="289" headerRowBorderDxfId="288" tableBorderDxfId="287" totalsRowBorderDxfId="286">
  <autoFilter ref="A1:E99" xr:uid="{00000000-0009-0000-0100-000019000000}"/>
  <tableColumns count="5">
    <tableColumn id="1" xr3:uid="{00000000-0010-0000-1800-000001000000}" name="Date" dataDxfId="285"/>
    <tableColumn id="2" xr3:uid="{00000000-0010-0000-1800-000002000000}" name="WBS_ID" dataDxfId="284"/>
    <tableColumn id="3" xr3:uid="{00000000-0010-0000-1800-000003000000}" name="Resource_ID" dataDxfId="283"/>
    <tableColumn id="4" xr3:uid="{00000000-0010-0000-1800-000004000000}" name="Actual_Cost" dataDxfId="282"/>
    <tableColumn id="5" xr3:uid="{00000000-0010-0000-1800-000005000000}" name="Hours_Worked" dataDxfId="281"/>
  </tableColumns>
  <tableStyleInfo name="TableStyleMedium4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bl_Fact_Physical_Progress" displayName="tbl_Fact_Physical_Progress" ref="A1:C34" totalsRowShown="0" headerRowDxfId="280" headerRowBorderDxfId="279" tableBorderDxfId="278" totalsRowBorderDxfId="277">
  <autoFilter ref="A1:C34" xr:uid="{00000000-0009-0000-0100-00001A000000}"/>
  <tableColumns count="3">
    <tableColumn id="1" xr3:uid="{00000000-0010-0000-1900-000001000000}" name="Date" dataDxfId="276"/>
    <tableColumn id="2" xr3:uid="{00000000-0010-0000-1900-000002000000}" name="WBS_ID" dataDxfId="275"/>
    <tableColumn id="3" xr3:uid="{00000000-0010-0000-1900-000003000000}" name="Physical_Progress_Pct" dataDxfId="274"/>
  </tableColumns>
  <tableStyleInfo name="TableStyleMedium4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bl_EVM_Weekly" displayName="tbl_EVM_Weekly" ref="A4:N16" totalsRowShown="0" headerRowDxfId="273" headerRowBorderDxfId="272" tableBorderDxfId="271" totalsRowBorderDxfId="270">
  <autoFilter ref="A4:N16" xr:uid="{00000000-0009-0000-0100-00001B000000}"/>
  <tableColumns count="14">
    <tableColumn id="1" xr3:uid="{00000000-0010-0000-1A00-000001000000}" name="Week" dataDxfId="269"/>
    <tableColumn id="2" xr3:uid="{00000000-0010-0000-1A00-000002000000}" name="Week Date" dataDxfId="192"/>
    <tableColumn id="3" xr3:uid="{00000000-0010-0000-1A00-000003000000}" name="Cum PV" dataDxfId="191"/>
    <tableColumn id="4" xr3:uid="{00000000-0010-0000-1A00-000004000000}" name="Cum AC" dataDxfId="190"/>
    <tableColumn id="5" xr3:uid="{00000000-0010-0000-1A00-000005000000}" name="Cum EV" dataDxfId="189"/>
    <tableColumn id="6" xr3:uid="{00000000-0010-0000-1A00-000006000000}" name="SV" dataDxfId="188"/>
    <tableColumn id="7" xr3:uid="{00000000-0010-0000-1A00-000007000000}" name="CV" dataDxfId="187"/>
    <tableColumn id="8" xr3:uid="{00000000-0010-0000-1A00-000008000000}" name="SPI" dataDxfId="186"/>
    <tableColumn id="9" xr3:uid="{00000000-0010-0000-1A00-000009000000}" name="CPI" dataDxfId="185"/>
    <tableColumn id="10" xr3:uid="{00000000-0010-0000-1A00-00000A000000}" name="BAC" dataDxfId="184"/>
    <tableColumn id="11" xr3:uid="{00000000-0010-0000-1A00-00000B000000}" name="EAC" dataDxfId="183"/>
    <tableColumn id="12" xr3:uid="{00000000-0010-0000-1A00-00000C000000}" name="ETC" dataDxfId="182"/>
    <tableColumn id="13" xr3:uid="{00000000-0010-0000-1A00-00000D000000}" name="VAC" dataDxfId="181"/>
    <tableColumn id="14" xr3:uid="{00000000-0010-0000-1A00-00000E000000}" name="Status" dataDxfId="268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bl_EVM_Validation" displayName="tbl_EVM_Validation" ref="A19:M25" totalsRowShown="0" headerRowDxfId="267" tableBorderDxfId="266">
  <autoFilter ref="A19:M25" xr:uid="{00000000-0009-0000-0100-00001C000000}"/>
  <tableColumns count="13">
    <tableColumn id="1" xr3:uid="{00000000-0010-0000-1B00-000001000000}" name="Formula" dataDxfId="265"/>
    <tableColumn id="2" xr3:uid="{00000000-0010-0000-1B00-000002000000}" name="Workbook implementation" dataDxfId="264"/>
    <tableColumn id="3" xr3:uid="{00000000-0010-0000-1B00-000003000000}" name="Guideline meaning" dataDxfId="263"/>
    <tableColumn id="4" xr3:uid="{00000000-0010-0000-1B00-000004000000}" name="Current status-date value" dataDxfId="262"/>
    <tableColumn id="5" xr3:uid="{00000000-0010-0000-1B00-000005000000}" name="Check" dataDxfId="261"/>
    <tableColumn id="6" xr3:uid="{00000000-0010-0000-1B00-000006000000}" name="Source" dataDxfId="260"/>
    <tableColumn id="7" xr3:uid="{00000000-0010-0000-1B00-000007000000}" name="Column1"/>
    <tableColumn id="8" xr3:uid="{00000000-0010-0000-1B00-000008000000}" name="Status tie-out" dataDxfId="259"/>
    <tableColumn id="9" xr3:uid="{00000000-0010-0000-1B00-000009000000}" name="Dashboard value" dataDxfId="258"/>
    <tableColumn id="10" xr3:uid="{00000000-0010-0000-1B00-00000A000000}" name="Task Plan value" dataDxfId="257"/>
    <tableColumn id="11" xr3:uid="{00000000-0010-0000-1B00-00000B000000}" name="Variance" dataDxfId="256"/>
    <tableColumn id="12" xr3:uid="{00000000-0010-0000-1B00-00000C000000}" name="Check2" dataDxfId="255"/>
    <tableColumn id="13" xr3:uid="{00000000-0010-0000-1B00-00000D000000}" name="Source3" dataDxfId="254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bl_Charts_GanttHelper" displayName="tbl_Charts_GanttHelper" ref="A4:H16" totalsRowShown="0" headerRowDxfId="253" headerRowBorderDxfId="252" tableBorderDxfId="251" totalsRowBorderDxfId="250">
  <autoFilter ref="A4:H16" xr:uid="{00000000-0009-0000-0100-00001D000000}"/>
  <tableColumns count="8">
    <tableColumn id="1" xr3:uid="{00000000-0010-0000-1C00-000001000000}" name="WBS ID" dataDxfId="249"/>
    <tableColumn id="2" xr3:uid="{00000000-0010-0000-1C00-000002000000}" name="Activity" dataDxfId="248"/>
    <tableColumn id="3" xr3:uid="{00000000-0010-0000-1C00-000003000000}" name="Start" dataDxfId="170"/>
    <tableColumn id="4" xr3:uid="{00000000-0010-0000-1C00-000004000000}" name="Finish" dataDxfId="169"/>
    <tableColumn id="5" xr3:uid="{00000000-0010-0000-1C00-000005000000}" name="Start Offset" dataDxfId="247"/>
    <tableColumn id="6" xr3:uid="{00000000-0010-0000-1C00-000006000000}" name="Duration Days" dataDxfId="246"/>
    <tableColumn id="7" xr3:uid="{00000000-0010-0000-1C00-000007000000}" name="Progress %" dataDxfId="168"/>
    <tableColumn id="8" xr3:uid="{00000000-0010-0000-1C00-000008000000}" name="RAG" dataDxfId="245"/>
  </tableColumns>
  <tableStyleInfo name="TableStyleMedium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bl_Charts_RAGLegend" displayName="tbl_Charts_RAGLegend" ref="N5:P10" totalsRowShown="0" headerRowDxfId="244" headerRowBorderDxfId="243" tableBorderDxfId="242">
  <autoFilter ref="N5:P10" xr:uid="{00000000-0009-0000-0100-00001E000000}"/>
  <tableColumns count="3">
    <tableColumn id="1" xr3:uid="{00000000-0010-0000-1D00-000001000000}" name="RAG Legend"/>
    <tableColumn id="2" xr3:uid="{00000000-0010-0000-1D00-000002000000}" name="Rule" dataDxfId="241"/>
    <tableColumn id="3" xr3:uid="{00000000-0010-0000-1D00-000003000000}" name="Used in charts" dataDxfId="240"/>
  </tableColumns>
  <tableStyleInfo name="TableStyleMedium6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bl_SimpleGantt_Mapping" displayName="tbl_SimpleGantt_Mapping" ref="A6:E8" totalsRowShown="0" headerRowDxfId="239" headerRowBorderDxfId="238" tableBorderDxfId="237" totalsRowBorderDxfId="236">
  <autoFilter ref="A6:E8" xr:uid="{00000000-0009-0000-0100-000020000000}"/>
  <tableColumns count="5">
    <tableColumn id="1" xr3:uid="{00000000-0010-0000-1F00-000001000000}" name="Template element" dataDxfId="235"/>
    <tableColumn id="2" xr3:uid="{00000000-0010-0000-1F00-000002000000}" name="Implemented as" dataDxfId="234"/>
    <tableColumn id="3" xr3:uid="{00000000-0010-0000-1F00-000003000000}" name="Source table" dataDxfId="233"/>
    <tableColumn id="4" xr3:uid="{00000000-0010-0000-1F00-000004000000}" name="Meaning" dataDxfId="232"/>
    <tableColumn id="5" xr3:uid="{00000000-0010-0000-1F00-000005000000}" name="Classification" dataDxfId="231"/>
  </tableColumns>
  <tableStyleInfo name="TableStyleMedium6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bl_SimpleGantt_TaskSummary" displayName="tbl_SimpleGantt_TaskSummary" ref="A46:K58" totalsRowShown="0" headerRowDxfId="230" dataDxfId="228" headerRowBorderDxfId="229" tableBorderDxfId="227" totalsRowBorderDxfId="226">
  <autoFilter ref="A46:K58" xr:uid="{00000000-0009-0000-0100-000021000000}"/>
  <tableColumns count="11">
    <tableColumn id="1" xr3:uid="{00000000-0010-0000-2000-000001000000}" name="Task" dataDxfId="225"/>
    <tableColumn id="2" xr3:uid="{00000000-0010-0000-2000-000002000000}" name="BAC" dataDxfId="224"/>
    <tableColumn id="3" xr3:uid="{00000000-0010-0000-2000-000003000000}" name="PV @ Status" dataDxfId="223"/>
    <tableColumn id="4" xr3:uid="{00000000-0010-0000-2000-000004000000}" name="AC @ Status" dataDxfId="222"/>
    <tableColumn id="5" xr3:uid="{00000000-0010-0000-2000-000005000000}" name="Progress %" dataDxfId="221"/>
    <tableColumn id="6" xr3:uid="{00000000-0010-0000-2000-000006000000}" name="EV @ Status" dataDxfId="220"/>
    <tableColumn id="7" xr3:uid="{00000000-0010-0000-2000-000007000000}" name="SV" dataDxfId="219"/>
    <tableColumn id="8" xr3:uid="{00000000-0010-0000-2000-000008000000}" name="CV" dataDxfId="218"/>
    <tableColumn id="9" xr3:uid="{00000000-0010-0000-2000-000009000000}" name="SPI" dataDxfId="217"/>
    <tableColumn id="10" xr3:uid="{00000000-0010-0000-2000-00000A000000}" name="CPI" dataDxfId="216"/>
    <tableColumn id="11" xr3:uid="{00000000-0010-0000-2000-00000B000000}" name="RAG" dataDxfId="215"/>
  </tableColumns>
  <tableStyleInfo name="TableStyleMedium6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bl_SimpleGantt_Legend" displayName="tbl_SimpleGantt_Legend" ref="A62:C66" totalsRowShown="0" headerRowDxfId="214" headerRowBorderDxfId="213" tableBorderDxfId="212" totalsRowBorderDxfId="211">
  <autoFilter ref="A62:C66" xr:uid="{00000000-0009-0000-0100-000022000000}"/>
  <tableColumns count="3">
    <tableColumn id="1" xr3:uid="{00000000-0010-0000-2100-000001000000}" name="Legend"/>
    <tableColumn id="2" xr3:uid="{00000000-0010-0000-2100-000002000000}" name="Meaning" dataDxfId="210"/>
    <tableColumn id="3" xr3:uid="{00000000-0010-0000-2100-000003000000}" name="Applied to" dataDxfId="209"/>
  </tableColumns>
  <tableStyleInfo name="TableStyleMedium6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bl_PERT_Data" displayName="tbl_PERT_Data" ref="A4:J16" totalsRowShown="0" headerRowDxfId="561" headerRowBorderDxfId="560" tableBorderDxfId="559" totalsRowBorderDxfId="558">
  <autoFilter ref="A4:J16" xr:uid="{00000000-0009-0000-0100-000023000000}"/>
  <tableColumns count="10">
    <tableColumn id="1" xr3:uid="{00000000-0010-0000-2200-000001000000}" name="WBS ID" dataDxfId="557"/>
    <tableColumn id="2" xr3:uid="{00000000-0010-0000-2200-000002000000}" name="Activity" dataDxfId="556"/>
    <tableColumn id="3" xr3:uid="{00000000-0010-0000-2200-000003000000}" name="Baseline Start" dataDxfId="167"/>
    <tableColumn id="4" xr3:uid="{00000000-0010-0000-2200-000004000000}" name="Baseline Finish" dataDxfId="166"/>
    <tableColumn id="5" xr3:uid="{00000000-0010-0000-2200-000005000000}" name="Duration" dataDxfId="555"/>
    <tableColumn id="6" xr3:uid="{00000000-0010-0000-2200-000006000000}" name="Progress" dataDxfId="165"/>
    <tableColumn id="7" xr3:uid="{00000000-0010-0000-2200-000007000000}" name="SPI" dataDxfId="554"/>
    <tableColumn id="8" xr3:uid="{00000000-0010-0000-2200-000008000000}" name="CPI" dataDxfId="553"/>
    <tableColumn id="9" xr3:uid="{00000000-0010-0000-2200-000009000000}" name="RAG" dataDxfId="552"/>
    <tableColumn id="10" xr3:uid="{00000000-0010-0000-2200-00000A000000}" name="Inferred predecessor(s)" dataDxfId="551"/>
  </tableColumns>
  <tableStyleInfo name="TableStyleMedium6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bl_PERT_Legend" displayName="tbl_PERT_Legend" ref="L4:N8" totalsRowShown="0" headerRowDxfId="550" headerRowBorderDxfId="549" tableBorderDxfId="548" totalsRowBorderDxfId="547">
  <autoFilter ref="L4:N8" xr:uid="{00000000-0009-0000-0100-000024000000}"/>
  <tableColumns count="3">
    <tableColumn id="1" xr3:uid="{00000000-0010-0000-2300-000001000000}" name="Visio-style PERT Legend"/>
    <tableColumn id="2" xr3:uid="{00000000-0010-0000-2300-000002000000}" name="Column1" dataDxfId="546"/>
    <tableColumn id="3" xr3:uid="{00000000-0010-0000-2300-000003000000}" name="Column2" dataDxfId="545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table" Target="../tables/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H39"/>
  <sheetViews>
    <sheetView topLeftCell="B1" workbookViewId="0">
      <selection activeCell="D8" sqref="D8"/>
    </sheetView>
  </sheetViews>
  <sheetFormatPr defaultRowHeight="14.5" x14ac:dyDescent="0.35"/>
  <cols>
    <col min="1" max="1" width="36.36328125" customWidth="1"/>
    <col min="2" max="2" width="63.6328125" customWidth="1"/>
    <col min="4" max="4" width="23.6328125" customWidth="1"/>
    <col min="5" max="5" width="17.26953125" customWidth="1"/>
    <col min="6" max="8" width="24.54296875" customWidth="1"/>
  </cols>
  <sheetData>
    <row r="1" spans="1:8" ht="30" customHeight="1" x14ac:dyDescent="0.55000000000000004">
      <c r="A1" s="221" t="s">
        <v>50</v>
      </c>
      <c r="B1" s="218"/>
      <c r="C1" s="218"/>
      <c r="D1" s="218"/>
      <c r="E1" s="218"/>
      <c r="F1" s="218"/>
      <c r="G1" s="218"/>
      <c r="H1" s="218"/>
    </row>
    <row r="2" spans="1:8" ht="32" customHeight="1" x14ac:dyDescent="0.35">
      <c r="A2" s="219" t="s">
        <v>51</v>
      </c>
      <c r="B2" s="218"/>
      <c r="C2" s="218"/>
      <c r="D2" s="218"/>
      <c r="E2" s="218"/>
      <c r="F2" s="218"/>
      <c r="G2" s="218"/>
      <c r="H2" s="218"/>
    </row>
    <row r="4" spans="1:8" x14ac:dyDescent="0.35">
      <c r="A4" s="80" t="s">
        <v>52</v>
      </c>
      <c r="B4" s="80" t="s">
        <v>53</v>
      </c>
      <c r="D4" s="225" t="s">
        <v>54</v>
      </c>
      <c r="E4" s="223"/>
      <c r="F4" s="223"/>
      <c r="G4" s="223"/>
      <c r="H4" s="224"/>
    </row>
    <row r="5" spans="1:8" ht="29" customHeight="1" x14ac:dyDescent="0.35">
      <c r="A5" s="37" t="s">
        <v>55</v>
      </c>
      <c r="B5" s="38" t="s">
        <v>56</v>
      </c>
      <c r="D5" s="3" t="s">
        <v>57</v>
      </c>
      <c r="E5" s="3" t="s">
        <v>58</v>
      </c>
      <c r="F5" s="3" t="s">
        <v>59</v>
      </c>
      <c r="G5" s="3"/>
      <c r="H5" s="3"/>
    </row>
    <row r="6" spans="1:8" ht="29" customHeight="1" x14ac:dyDescent="0.35">
      <c r="A6" s="37" t="s">
        <v>60</v>
      </c>
      <c r="B6" s="38" t="s">
        <v>61</v>
      </c>
      <c r="D6" s="57"/>
      <c r="E6" s="7" t="s">
        <v>62</v>
      </c>
      <c r="F6" s="222" t="s">
        <v>63</v>
      </c>
      <c r="G6" s="223"/>
      <c r="H6" s="224"/>
    </row>
    <row r="7" spans="1:8" ht="29" customHeight="1" x14ac:dyDescent="0.35">
      <c r="A7" s="37" t="s">
        <v>64</v>
      </c>
      <c r="B7" s="38" t="s">
        <v>65</v>
      </c>
      <c r="D7" s="58"/>
      <c r="E7" s="7" t="s">
        <v>66</v>
      </c>
      <c r="F7" s="222" t="s">
        <v>67</v>
      </c>
      <c r="G7" s="223"/>
      <c r="H7" s="224"/>
    </row>
    <row r="8" spans="1:8" ht="29" customHeight="1" x14ac:dyDescent="0.35">
      <c r="A8" s="37" t="s">
        <v>68</v>
      </c>
      <c r="B8" s="38" t="s">
        <v>69</v>
      </c>
      <c r="D8" s="59" t="s">
        <v>70</v>
      </c>
      <c r="E8" s="7" t="s">
        <v>71</v>
      </c>
      <c r="F8" s="222" t="s">
        <v>72</v>
      </c>
      <c r="G8" s="223"/>
      <c r="H8" s="224"/>
    </row>
    <row r="9" spans="1:8" ht="29" customHeight="1" x14ac:dyDescent="0.35">
      <c r="A9" s="37" t="s">
        <v>73</v>
      </c>
      <c r="B9" s="38" t="s">
        <v>74</v>
      </c>
      <c r="D9" s="60"/>
      <c r="E9" s="7" t="s">
        <v>75</v>
      </c>
      <c r="F9" s="222" t="s">
        <v>76</v>
      </c>
      <c r="G9" s="223"/>
      <c r="H9" s="224"/>
    </row>
    <row r="10" spans="1:8" x14ac:dyDescent="0.35">
      <c r="A10" s="37" t="s">
        <v>77</v>
      </c>
      <c r="B10" s="38" t="s">
        <v>78</v>
      </c>
      <c r="D10" s="61"/>
      <c r="E10" s="7" t="s">
        <v>79</v>
      </c>
      <c r="F10" s="222" t="s">
        <v>80</v>
      </c>
      <c r="G10" s="223"/>
      <c r="H10" s="224"/>
    </row>
    <row r="11" spans="1:8" x14ac:dyDescent="0.35">
      <c r="A11" s="37" t="s">
        <v>81</v>
      </c>
      <c r="B11" s="38" t="s">
        <v>82</v>
      </c>
      <c r="D11" s="62"/>
      <c r="E11" s="7" t="s">
        <v>83</v>
      </c>
      <c r="F11" s="222" t="s">
        <v>84</v>
      </c>
      <c r="G11" s="223"/>
      <c r="H11" s="224"/>
    </row>
    <row r="12" spans="1:8" ht="29" customHeight="1" x14ac:dyDescent="0.35">
      <c r="A12" s="37" t="s">
        <v>85</v>
      </c>
      <c r="B12" s="38" t="s">
        <v>86</v>
      </c>
    </row>
    <row r="13" spans="1:8" ht="29" customHeight="1" x14ac:dyDescent="0.35">
      <c r="A13" s="37" t="s">
        <v>87</v>
      </c>
      <c r="B13" s="38" t="s">
        <v>88</v>
      </c>
      <c r="D13" s="225" t="s">
        <v>89</v>
      </c>
      <c r="E13" s="223"/>
      <c r="F13" s="223"/>
      <c r="G13" s="223"/>
      <c r="H13" s="224"/>
    </row>
    <row r="14" spans="1:8" ht="29" customHeight="1" x14ac:dyDescent="0.35">
      <c r="A14" s="37" t="s">
        <v>90</v>
      </c>
      <c r="B14" s="38" t="s">
        <v>91</v>
      </c>
      <c r="D14" s="3" t="s">
        <v>92</v>
      </c>
      <c r="E14" s="3" t="s">
        <v>93</v>
      </c>
      <c r="F14" s="3" t="s">
        <v>59</v>
      </c>
      <c r="G14" s="3"/>
      <c r="H14" s="3"/>
    </row>
    <row r="15" spans="1:8" ht="58" customHeight="1" x14ac:dyDescent="0.35">
      <c r="A15" s="37" t="s">
        <v>94</v>
      </c>
      <c r="B15" s="38" t="s">
        <v>95</v>
      </c>
      <c r="D15" s="63" t="s">
        <v>96</v>
      </c>
      <c r="E15" s="38" t="s">
        <v>97</v>
      </c>
      <c r="F15" s="222" t="s">
        <v>98</v>
      </c>
      <c r="G15" s="223"/>
      <c r="H15" s="224"/>
    </row>
    <row r="16" spans="1:8" ht="116" customHeight="1" x14ac:dyDescent="0.35">
      <c r="A16" s="37" t="s">
        <v>99</v>
      </c>
      <c r="B16" s="38" t="s">
        <v>100</v>
      </c>
      <c r="D16" s="64" t="s">
        <v>101</v>
      </c>
      <c r="E16" s="38" t="s">
        <v>102</v>
      </c>
      <c r="F16" s="222" t="s">
        <v>103</v>
      </c>
      <c r="G16" s="223"/>
      <c r="H16" s="224"/>
    </row>
    <row r="17" spans="1:8" ht="101.5" customHeight="1" x14ac:dyDescent="0.35">
      <c r="A17" s="37" t="s">
        <v>104</v>
      </c>
      <c r="B17" s="38" t="s">
        <v>105</v>
      </c>
      <c r="D17" s="65" t="s">
        <v>106</v>
      </c>
      <c r="E17" s="38" t="s">
        <v>107</v>
      </c>
      <c r="F17" s="222" t="s">
        <v>108</v>
      </c>
      <c r="G17" s="223"/>
      <c r="H17" s="224"/>
    </row>
    <row r="18" spans="1:8" ht="29" customHeight="1" x14ac:dyDescent="0.35">
      <c r="A18" s="45" t="s">
        <v>109</v>
      </c>
      <c r="B18" s="42" t="s">
        <v>110</v>
      </c>
    </row>
    <row r="19" spans="1:8" ht="29" customHeight="1" x14ac:dyDescent="0.35">
      <c r="A19" s="45" t="s">
        <v>111</v>
      </c>
      <c r="B19" s="42" t="s">
        <v>112</v>
      </c>
      <c r="D19" s="3" t="s">
        <v>52</v>
      </c>
      <c r="E19" s="3" t="s">
        <v>92</v>
      </c>
      <c r="F19" s="3" t="s">
        <v>113</v>
      </c>
      <c r="G19" s="3"/>
      <c r="H19" s="3"/>
    </row>
    <row r="20" spans="1:8" ht="29" customHeight="1" x14ac:dyDescent="0.35">
      <c r="A20" s="178" t="s">
        <v>114</v>
      </c>
      <c r="B20" s="81" t="s">
        <v>115</v>
      </c>
      <c r="D20" s="7" t="s">
        <v>116</v>
      </c>
      <c r="E20" s="65" t="s">
        <v>106</v>
      </c>
      <c r="F20" s="222" t="s">
        <v>117</v>
      </c>
      <c r="G20" s="226"/>
      <c r="H20" s="227"/>
    </row>
    <row r="21" spans="1:8" ht="29" customHeight="1" x14ac:dyDescent="0.35">
      <c r="A21" s="178" t="s">
        <v>118</v>
      </c>
      <c r="B21" s="81" t="s">
        <v>119</v>
      </c>
      <c r="D21" s="7" t="s">
        <v>85</v>
      </c>
      <c r="E21" s="65" t="s">
        <v>106</v>
      </c>
      <c r="F21" s="228"/>
      <c r="G21" s="218"/>
      <c r="H21" s="229"/>
    </row>
    <row r="22" spans="1:8" x14ac:dyDescent="0.35">
      <c r="D22" s="7" t="s">
        <v>104</v>
      </c>
      <c r="E22" s="63" t="s">
        <v>96</v>
      </c>
      <c r="F22" s="228"/>
      <c r="G22" s="218"/>
      <c r="H22" s="229"/>
    </row>
    <row r="23" spans="1:8" x14ac:dyDescent="0.35">
      <c r="D23" s="7" t="s">
        <v>55</v>
      </c>
      <c r="E23" s="64" t="s">
        <v>101</v>
      </c>
      <c r="F23" s="228"/>
      <c r="G23" s="218"/>
      <c r="H23" s="229"/>
    </row>
    <row r="24" spans="1:8" x14ac:dyDescent="0.35">
      <c r="D24" s="7" t="s">
        <v>90</v>
      </c>
      <c r="E24" s="63" t="s">
        <v>96</v>
      </c>
      <c r="F24" s="228"/>
      <c r="G24" s="218"/>
      <c r="H24" s="229"/>
    </row>
    <row r="25" spans="1:8" x14ac:dyDescent="0.35">
      <c r="D25" s="7" t="s">
        <v>87</v>
      </c>
      <c r="E25" s="64" t="s">
        <v>101</v>
      </c>
      <c r="F25" s="228"/>
      <c r="G25" s="218"/>
      <c r="H25" s="229"/>
    </row>
    <row r="26" spans="1:8" x14ac:dyDescent="0.35">
      <c r="D26" s="7" t="s">
        <v>77</v>
      </c>
      <c r="E26" s="64" t="s">
        <v>101</v>
      </c>
      <c r="F26" s="228"/>
      <c r="G26" s="218"/>
      <c r="H26" s="229"/>
    </row>
    <row r="27" spans="1:8" x14ac:dyDescent="0.35">
      <c r="D27" s="7" t="s">
        <v>60</v>
      </c>
      <c r="E27" s="64" t="s">
        <v>101</v>
      </c>
      <c r="F27" s="228"/>
      <c r="G27" s="218"/>
      <c r="H27" s="229"/>
    </row>
    <row r="28" spans="1:8" x14ac:dyDescent="0.35">
      <c r="D28" s="7" t="s">
        <v>94</v>
      </c>
      <c r="E28" s="63" t="s">
        <v>96</v>
      </c>
      <c r="F28" s="228"/>
      <c r="G28" s="218"/>
      <c r="H28" s="229"/>
    </row>
    <row r="29" spans="1:8" x14ac:dyDescent="0.35">
      <c r="D29" s="7" t="s">
        <v>73</v>
      </c>
      <c r="E29" s="65" t="s">
        <v>106</v>
      </c>
      <c r="F29" s="228"/>
      <c r="G29" s="218"/>
      <c r="H29" s="229"/>
    </row>
    <row r="30" spans="1:8" x14ac:dyDescent="0.35">
      <c r="D30" s="7" t="s">
        <v>99</v>
      </c>
      <c r="E30" s="64" t="s">
        <v>101</v>
      </c>
      <c r="F30" s="228"/>
      <c r="G30" s="218"/>
      <c r="H30" s="229"/>
    </row>
    <row r="31" spans="1:8" x14ac:dyDescent="0.35">
      <c r="D31" s="7" t="s">
        <v>120</v>
      </c>
      <c r="E31" s="63" t="s">
        <v>96</v>
      </c>
      <c r="F31" s="228"/>
      <c r="G31" s="218"/>
      <c r="H31" s="229"/>
    </row>
    <row r="32" spans="1:8" x14ac:dyDescent="0.35">
      <c r="D32" s="7" t="s">
        <v>121</v>
      </c>
      <c r="E32" s="63" t="s">
        <v>96</v>
      </c>
      <c r="F32" s="228"/>
      <c r="G32" s="218"/>
      <c r="H32" s="229"/>
    </row>
    <row r="33" spans="4:8" x14ac:dyDescent="0.35">
      <c r="D33" s="7" t="s">
        <v>122</v>
      </c>
      <c r="E33" s="63" t="s">
        <v>96</v>
      </c>
      <c r="F33" s="228"/>
      <c r="G33" s="218"/>
      <c r="H33" s="229"/>
    </row>
    <row r="34" spans="4:8" x14ac:dyDescent="0.35">
      <c r="D34" s="7" t="s">
        <v>123</v>
      </c>
      <c r="E34" s="63" t="s">
        <v>96</v>
      </c>
      <c r="F34" s="228"/>
      <c r="G34" s="218"/>
      <c r="H34" s="229"/>
    </row>
    <row r="35" spans="4:8" x14ac:dyDescent="0.35">
      <c r="D35" s="7" t="s">
        <v>124</v>
      </c>
      <c r="E35" s="63" t="s">
        <v>96</v>
      </c>
      <c r="F35" s="228"/>
      <c r="G35" s="218"/>
      <c r="H35" s="229"/>
    </row>
    <row r="36" spans="4:8" x14ac:dyDescent="0.35">
      <c r="D36" s="7" t="s">
        <v>125</v>
      </c>
      <c r="E36" s="63" t="s">
        <v>96</v>
      </c>
      <c r="F36" s="228"/>
      <c r="G36" s="218"/>
      <c r="H36" s="229"/>
    </row>
    <row r="37" spans="4:8" x14ac:dyDescent="0.35">
      <c r="D37" s="7" t="s">
        <v>126</v>
      </c>
      <c r="E37" s="63" t="s">
        <v>96</v>
      </c>
      <c r="F37" s="228"/>
      <c r="G37" s="218"/>
      <c r="H37" s="229"/>
    </row>
    <row r="38" spans="4:8" x14ac:dyDescent="0.35">
      <c r="D38" s="7" t="s">
        <v>64</v>
      </c>
      <c r="E38" s="65" t="s">
        <v>106</v>
      </c>
      <c r="F38" s="228"/>
      <c r="G38" s="218"/>
      <c r="H38" s="229"/>
    </row>
    <row r="39" spans="4:8" x14ac:dyDescent="0.35">
      <c r="D39" s="7" t="s">
        <v>68</v>
      </c>
      <c r="E39" s="65" t="s">
        <v>106</v>
      </c>
      <c r="F39" s="230"/>
      <c r="G39" s="231"/>
      <c r="H39" s="232"/>
    </row>
  </sheetData>
  <mergeCells count="14">
    <mergeCell ref="F17:H17"/>
    <mergeCell ref="F9:H9"/>
    <mergeCell ref="F7:H7"/>
    <mergeCell ref="D4:H4"/>
    <mergeCell ref="F20:H39"/>
    <mergeCell ref="F15:H15"/>
    <mergeCell ref="F11:H11"/>
    <mergeCell ref="A1:H1"/>
    <mergeCell ref="F10:H10"/>
    <mergeCell ref="F16:H16"/>
    <mergeCell ref="F6:H6"/>
    <mergeCell ref="A2:H2"/>
    <mergeCell ref="D13:H13"/>
    <mergeCell ref="F8:H8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3"/>
  <sheetViews>
    <sheetView topLeftCell="H1" workbookViewId="0">
      <selection activeCell="Q1" sqref="Q1"/>
    </sheetView>
  </sheetViews>
  <sheetFormatPr defaultRowHeight="14.5" x14ac:dyDescent="0.35"/>
  <cols>
    <col min="1" max="1" width="27.26953125" customWidth="1"/>
    <col min="2" max="3" width="21.81640625" customWidth="1"/>
    <col min="4" max="4" width="34.54296875" customWidth="1"/>
    <col min="5" max="11" width="13.6328125" customWidth="1"/>
  </cols>
  <sheetData>
    <row r="1" spans="1:11" ht="23.5" customHeight="1" x14ac:dyDescent="0.55000000000000004">
      <c r="A1" s="174" t="s">
        <v>127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</row>
    <row r="2" spans="1:11" ht="87" customHeight="1" x14ac:dyDescent="0.35">
      <c r="A2" s="79" t="s">
        <v>128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4" spans="1:11" ht="15.5" customHeight="1" x14ac:dyDescent="0.35">
      <c r="A4" s="233" t="s">
        <v>129</v>
      </c>
      <c r="B4" s="218"/>
      <c r="C4" s="218"/>
      <c r="D4" s="218"/>
      <c r="E4" s="218"/>
      <c r="F4" s="218"/>
      <c r="G4" s="218"/>
      <c r="H4" s="218"/>
      <c r="I4" s="218"/>
      <c r="J4" s="218"/>
      <c r="K4" s="218"/>
    </row>
    <row r="30" spans="1:11" ht="15.5" customHeight="1" x14ac:dyDescent="0.35">
      <c r="A30" s="175" t="s">
        <v>130</v>
      </c>
      <c r="B30" s="175"/>
      <c r="C30" s="175"/>
      <c r="D30" s="175"/>
      <c r="E30" s="175"/>
      <c r="F30" s="175"/>
      <c r="G30" s="175"/>
      <c r="H30" s="175"/>
      <c r="I30" s="175"/>
      <c r="J30" s="175"/>
      <c r="K30" s="175"/>
    </row>
    <row r="56" spans="1:11" ht="15.5" customHeight="1" x14ac:dyDescent="0.35">
      <c r="A56" s="175" t="s">
        <v>131</v>
      </c>
      <c r="B56" s="175"/>
      <c r="C56" s="175"/>
      <c r="D56" s="175"/>
      <c r="E56" s="175"/>
      <c r="F56" s="175"/>
      <c r="G56" s="175"/>
      <c r="H56" s="175"/>
      <c r="I56" s="175"/>
      <c r="J56" s="175"/>
      <c r="K56" s="175"/>
    </row>
    <row r="105" spans="1:4" x14ac:dyDescent="0.35">
      <c r="A105" s="176" t="s">
        <v>132</v>
      </c>
      <c r="B105" s="176" t="s">
        <v>133</v>
      </c>
      <c r="C105" s="176" t="s">
        <v>134</v>
      </c>
      <c r="D105" s="176" t="s">
        <v>135</v>
      </c>
    </row>
    <row r="106" spans="1:4" x14ac:dyDescent="0.35">
      <c r="A106" s="177" t="s">
        <v>136</v>
      </c>
      <c r="B106" s="177" t="s">
        <v>137</v>
      </c>
      <c r="C106" s="177" t="s">
        <v>138</v>
      </c>
      <c r="D106" s="177" t="s">
        <v>139</v>
      </c>
    </row>
    <row r="107" spans="1:4" x14ac:dyDescent="0.35">
      <c r="A107" s="177" t="s">
        <v>140</v>
      </c>
      <c r="B107" s="177" t="s">
        <v>137</v>
      </c>
      <c r="C107" s="177" t="s">
        <v>141</v>
      </c>
      <c r="D107" s="177" t="s">
        <v>142</v>
      </c>
    </row>
    <row r="108" spans="1:4" x14ac:dyDescent="0.35">
      <c r="A108" s="177" t="s">
        <v>143</v>
      </c>
      <c r="B108" s="177" t="s">
        <v>60</v>
      </c>
      <c r="C108" s="177" t="s">
        <v>138</v>
      </c>
      <c r="D108" s="177" t="s">
        <v>144</v>
      </c>
    </row>
    <row r="109" spans="1:4" x14ac:dyDescent="0.35">
      <c r="A109" s="177" t="s">
        <v>145</v>
      </c>
      <c r="B109" s="177" t="s">
        <v>60</v>
      </c>
      <c r="C109" s="177" t="s">
        <v>141</v>
      </c>
      <c r="D109" s="177" t="s">
        <v>146</v>
      </c>
    </row>
    <row r="110" spans="1:4" x14ac:dyDescent="0.35">
      <c r="A110" s="177" t="s">
        <v>147</v>
      </c>
      <c r="B110" s="177" t="s">
        <v>60</v>
      </c>
      <c r="C110" s="177" t="s">
        <v>2</v>
      </c>
      <c r="D110" s="177" t="s">
        <v>148</v>
      </c>
    </row>
    <row r="111" spans="1:4" x14ac:dyDescent="0.35">
      <c r="A111" s="177" t="s">
        <v>149</v>
      </c>
      <c r="B111" s="177" t="s">
        <v>64</v>
      </c>
      <c r="C111" s="177" t="s">
        <v>138</v>
      </c>
      <c r="D111" s="177" t="s">
        <v>150</v>
      </c>
    </row>
    <row r="112" spans="1:4" x14ac:dyDescent="0.35">
      <c r="A112" s="177" t="s">
        <v>151</v>
      </c>
      <c r="B112" s="177" t="s">
        <v>64</v>
      </c>
      <c r="C112" s="177" t="s">
        <v>152</v>
      </c>
      <c r="D112" s="177" t="s">
        <v>153</v>
      </c>
    </row>
    <row r="113" spans="1:4" x14ac:dyDescent="0.35">
      <c r="A113" s="177" t="s">
        <v>154</v>
      </c>
      <c r="B113" s="177" t="s">
        <v>155</v>
      </c>
      <c r="C113" s="177" t="s">
        <v>10</v>
      </c>
      <c r="D113" s="177" t="s">
        <v>156</v>
      </c>
    </row>
    <row r="114" spans="1:4" x14ac:dyDescent="0.35">
      <c r="A114" s="177" t="s">
        <v>157</v>
      </c>
      <c r="B114" s="177" t="s">
        <v>99</v>
      </c>
      <c r="C114" s="177" t="s">
        <v>158</v>
      </c>
      <c r="D114" s="177" t="s">
        <v>159</v>
      </c>
    </row>
    <row r="115" spans="1:4" x14ac:dyDescent="0.35">
      <c r="A115" s="177" t="s">
        <v>160</v>
      </c>
      <c r="B115" s="177" t="s">
        <v>99</v>
      </c>
      <c r="C115" s="177" t="s">
        <v>10</v>
      </c>
      <c r="D115" s="177" t="s">
        <v>161</v>
      </c>
    </row>
    <row r="116" spans="1:4" x14ac:dyDescent="0.35">
      <c r="A116" s="177" t="s">
        <v>162</v>
      </c>
      <c r="B116" s="177" t="s">
        <v>163</v>
      </c>
      <c r="C116" s="177" t="s">
        <v>164</v>
      </c>
      <c r="D116" s="177" t="s">
        <v>165</v>
      </c>
    </row>
    <row r="117" spans="1:4" x14ac:dyDescent="0.35">
      <c r="A117" s="177" t="s">
        <v>166</v>
      </c>
      <c r="B117" s="177" t="s">
        <v>163</v>
      </c>
      <c r="C117" s="177" t="s">
        <v>152</v>
      </c>
      <c r="D117" s="177" t="s">
        <v>167</v>
      </c>
    </row>
    <row r="118" spans="1:4" x14ac:dyDescent="0.35">
      <c r="A118" s="177" t="s">
        <v>168</v>
      </c>
      <c r="B118" s="177" t="s">
        <v>169</v>
      </c>
      <c r="C118" s="177" t="s">
        <v>170</v>
      </c>
      <c r="D118" s="177" t="s">
        <v>171</v>
      </c>
    </row>
    <row r="119" spans="1:4" x14ac:dyDescent="0.35">
      <c r="A119" s="177" t="s">
        <v>172</v>
      </c>
      <c r="B119" s="177" t="s">
        <v>173</v>
      </c>
      <c r="C119" s="177" t="s">
        <v>141</v>
      </c>
      <c r="D119" s="177" t="s">
        <v>174</v>
      </c>
    </row>
    <row r="120" spans="1:4" x14ac:dyDescent="0.35">
      <c r="A120" s="177" t="s">
        <v>175</v>
      </c>
      <c r="B120" s="177" t="s">
        <v>173</v>
      </c>
      <c r="C120" s="177" t="s">
        <v>2</v>
      </c>
      <c r="D120" s="177" t="s">
        <v>176</v>
      </c>
    </row>
    <row r="121" spans="1:4" x14ac:dyDescent="0.35">
      <c r="A121" s="177" t="s">
        <v>177</v>
      </c>
      <c r="B121" s="177" t="s">
        <v>178</v>
      </c>
      <c r="C121" s="177" t="s">
        <v>179</v>
      </c>
      <c r="D121" s="177" t="s">
        <v>180</v>
      </c>
    </row>
    <row r="122" spans="1:4" x14ac:dyDescent="0.35">
      <c r="A122" s="177" t="s">
        <v>181</v>
      </c>
      <c r="B122" s="177" t="s">
        <v>178</v>
      </c>
      <c r="C122" s="177" t="s">
        <v>2</v>
      </c>
      <c r="D122" s="177" t="s">
        <v>182</v>
      </c>
    </row>
    <row r="123" spans="1:4" x14ac:dyDescent="0.35">
      <c r="A123" s="177" t="s">
        <v>183</v>
      </c>
      <c r="B123" s="177" t="s">
        <v>184</v>
      </c>
      <c r="C123" s="177" t="s">
        <v>2</v>
      </c>
      <c r="D123" s="177" t="s">
        <v>185</v>
      </c>
    </row>
    <row r="124" spans="1:4" x14ac:dyDescent="0.35">
      <c r="A124" s="177" t="s">
        <v>186</v>
      </c>
      <c r="B124" s="177" t="s">
        <v>7</v>
      </c>
      <c r="C124" s="177" t="s">
        <v>2</v>
      </c>
      <c r="D124" s="177" t="s">
        <v>187</v>
      </c>
    </row>
    <row r="125" spans="1:4" x14ac:dyDescent="0.35">
      <c r="A125" s="177" t="s">
        <v>188</v>
      </c>
      <c r="B125" s="177" t="s">
        <v>94</v>
      </c>
      <c r="C125" s="177" t="s">
        <v>141</v>
      </c>
      <c r="D125" s="177" t="s">
        <v>189</v>
      </c>
    </row>
    <row r="126" spans="1:4" x14ac:dyDescent="0.35">
      <c r="A126" s="177" t="s">
        <v>190</v>
      </c>
      <c r="B126" s="177" t="s">
        <v>87</v>
      </c>
      <c r="C126" s="177" t="s">
        <v>138</v>
      </c>
      <c r="D126" s="177" t="s">
        <v>191</v>
      </c>
    </row>
    <row r="127" spans="1:4" x14ac:dyDescent="0.35">
      <c r="A127" s="177" t="s">
        <v>192</v>
      </c>
      <c r="B127" s="177" t="s">
        <v>193</v>
      </c>
      <c r="C127" s="177" t="s">
        <v>194</v>
      </c>
      <c r="D127" s="177" t="s">
        <v>195</v>
      </c>
    </row>
    <row r="128" spans="1:4" x14ac:dyDescent="0.35">
      <c r="A128" s="177" t="s">
        <v>196</v>
      </c>
      <c r="B128" s="177" t="s">
        <v>193</v>
      </c>
      <c r="C128" s="177" t="s">
        <v>10</v>
      </c>
      <c r="D128" s="177" t="s">
        <v>197</v>
      </c>
    </row>
    <row r="129" spans="1:4" x14ac:dyDescent="0.35">
      <c r="A129" s="177" t="s">
        <v>198</v>
      </c>
      <c r="B129" s="177" t="s">
        <v>199</v>
      </c>
      <c r="C129" s="177" t="s">
        <v>194</v>
      </c>
      <c r="D129" s="177" t="s">
        <v>200</v>
      </c>
    </row>
    <row r="130" spans="1:4" x14ac:dyDescent="0.35">
      <c r="A130" s="177" t="s">
        <v>201</v>
      </c>
      <c r="B130" s="177" t="s">
        <v>199</v>
      </c>
      <c r="C130" s="177" t="s">
        <v>10</v>
      </c>
      <c r="D130" s="177" t="s">
        <v>202</v>
      </c>
    </row>
    <row r="131" spans="1:4" x14ac:dyDescent="0.35">
      <c r="A131" s="177" t="s">
        <v>203</v>
      </c>
      <c r="B131" s="177" t="s">
        <v>204</v>
      </c>
      <c r="C131" s="177" t="s">
        <v>138</v>
      </c>
      <c r="D131" s="177" t="s">
        <v>205</v>
      </c>
    </row>
    <row r="132" spans="1:4" x14ac:dyDescent="0.35">
      <c r="A132" s="177" t="s">
        <v>206</v>
      </c>
      <c r="B132" s="177" t="s">
        <v>85</v>
      </c>
      <c r="C132" s="177" t="s">
        <v>58</v>
      </c>
      <c r="D132" s="177" t="s">
        <v>207</v>
      </c>
    </row>
    <row r="133" spans="1:4" x14ac:dyDescent="0.35">
      <c r="A133" s="177" t="s">
        <v>208</v>
      </c>
      <c r="B133" s="177" t="s">
        <v>87</v>
      </c>
      <c r="C133" s="177" t="s">
        <v>194</v>
      </c>
      <c r="D133" s="177" t="s">
        <v>209</v>
      </c>
    </row>
  </sheetData>
  <mergeCells count="1">
    <mergeCell ref="A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E38"/>
  <sheetViews>
    <sheetView topLeftCell="A19" workbookViewId="0">
      <selection activeCell="Q1" sqref="Q1"/>
    </sheetView>
  </sheetViews>
  <sheetFormatPr defaultRowHeight="14.5" x14ac:dyDescent="0.35"/>
  <cols>
    <col min="1" max="1" width="20.90625" customWidth="1"/>
    <col min="2" max="2" width="27.26953125" customWidth="1"/>
    <col min="3" max="3" width="13.6328125" customWidth="1"/>
    <col min="4" max="4" width="47.26953125" customWidth="1"/>
    <col min="5" max="5" width="30.90625" customWidth="1"/>
  </cols>
  <sheetData>
    <row r="1" spans="1:5" ht="23.5" customHeight="1" x14ac:dyDescent="0.55000000000000004">
      <c r="A1" s="220" t="s">
        <v>210</v>
      </c>
      <c r="B1" s="218"/>
      <c r="C1" s="218"/>
      <c r="D1" s="218"/>
      <c r="E1" s="218"/>
    </row>
    <row r="2" spans="1:5" x14ac:dyDescent="0.35">
      <c r="A2" s="219" t="s">
        <v>211</v>
      </c>
      <c r="B2" s="218"/>
      <c r="C2" s="218"/>
      <c r="D2" s="218"/>
      <c r="E2" s="218"/>
    </row>
    <row r="4" spans="1:5" x14ac:dyDescent="0.35">
      <c r="A4" s="80" t="s">
        <v>58</v>
      </c>
      <c r="B4" s="80" t="s">
        <v>212</v>
      </c>
      <c r="C4" s="80" t="s">
        <v>213</v>
      </c>
      <c r="D4" s="80" t="s">
        <v>214</v>
      </c>
      <c r="E4" s="80" t="s">
        <v>215</v>
      </c>
    </row>
    <row r="5" spans="1:5" x14ac:dyDescent="0.35">
      <c r="A5" s="43" t="s">
        <v>216</v>
      </c>
      <c r="B5" s="7" t="s">
        <v>217</v>
      </c>
      <c r="C5" s="7"/>
      <c r="D5" s="38" t="s">
        <v>218</v>
      </c>
      <c r="E5" s="44" t="s">
        <v>219</v>
      </c>
    </row>
    <row r="6" spans="1:5" x14ac:dyDescent="0.35">
      <c r="A6" s="43" t="s">
        <v>216</v>
      </c>
      <c r="B6" s="7" t="s">
        <v>220</v>
      </c>
      <c r="C6" s="7"/>
      <c r="D6" s="38" t="s">
        <v>221</v>
      </c>
      <c r="E6" s="44" t="s">
        <v>222</v>
      </c>
    </row>
    <row r="7" spans="1:5" ht="29" customHeight="1" x14ac:dyDescent="0.35">
      <c r="A7" s="43" t="s">
        <v>216</v>
      </c>
      <c r="B7" s="7" t="s">
        <v>223</v>
      </c>
      <c r="C7" s="7"/>
      <c r="D7" s="38" t="s">
        <v>224</v>
      </c>
      <c r="E7" s="44" t="s">
        <v>225</v>
      </c>
    </row>
    <row r="8" spans="1:5" ht="29" customHeight="1" x14ac:dyDescent="0.35">
      <c r="A8" s="43" t="s">
        <v>226</v>
      </c>
      <c r="B8" s="7" t="s">
        <v>227</v>
      </c>
      <c r="C8" s="7" t="s">
        <v>228</v>
      </c>
      <c r="D8" s="38" t="s">
        <v>229</v>
      </c>
      <c r="E8" s="44" t="s">
        <v>230</v>
      </c>
    </row>
    <row r="9" spans="1:5" ht="29" customHeight="1" x14ac:dyDescent="0.35">
      <c r="A9" s="43" t="s">
        <v>226</v>
      </c>
      <c r="B9" s="7" t="s">
        <v>2</v>
      </c>
      <c r="C9" s="7"/>
      <c r="D9" s="38" t="s">
        <v>231</v>
      </c>
      <c r="E9" s="44" t="s">
        <v>232</v>
      </c>
    </row>
    <row r="10" spans="1:5" ht="29" customHeight="1" x14ac:dyDescent="0.35">
      <c r="A10" s="43" t="s">
        <v>226</v>
      </c>
      <c r="B10" s="7" t="s">
        <v>233</v>
      </c>
      <c r="C10" s="7"/>
      <c r="D10" s="38" t="s">
        <v>234</v>
      </c>
      <c r="E10" s="44" t="s">
        <v>235</v>
      </c>
    </row>
    <row r="11" spans="1:5" ht="29" customHeight="1" x14ac:dyDescent="0.35">
      <c r="A11" s="43" t="s">
        <v>236</v>
      </c>
      <c r="B11" s="7" t="s">
        <v>4</v>
      </c>
      <c r="C11" s="7"/>
      <c r="D11" s="38" t="s">
        <v>237</v>
      </c>
      <c r="E11" s="44" t="s">
        <v>238</v>
      </c>
    </row>
    <row r="12" spans="1:5" ht="29" customHeight="1" x14ac:dyDescent="0.35">
      <c r="A12" s="43" t="s">
        <v>236</v>
      </c>
      <c r="B12" s="7" t="s">
        <v>5</v>
      </c>
      <c r="C12" s="7"/>
      <c r="D12" s="38" t="s">
        <v>239</v>
      </c>
      <c r="E12" s="44" t="s">
        <v>240</v>
      </c>
    </row>
    <row r="13" spans="1:5" ht="29" customHeight="1" x14ac:dyDescent="0.35">
      <c r="A13" s="43" t="s">
        <v>236</v>
      </c>
      <c r="B13" s="7" t="s">
        <v>241</v>
      </c>
      <c r="C13" s="7"/>
      <c r="D13" s="38" t="s">
        <v>242</v>
      </c>
      <c r="E13" s="44" t="s">
        <v>243</v>
      </c>
    </row>
    <row r="14" spans="1:5" ht="29" customHeight="1" x14ac:dyDescent="0.35">
      <c r="A14" s="43" t="s">
        <v>236</v>
      </c>
      <c r="B14" s="7" t="s">
        <v>244</v>
      </c>
      <c r="C14" s="7"/>
      <c r="D14" s="38" t="s">
        <v>245</v>
      </c>
      <c r="E14" s="44" t="s">
        <v>246</v>
      </c>
    </row>
    <row r="15" spans="1:5" x14ac:dyDescent="0.35">
      <c r="A15" s="43" t="s">
        <v>247</v>
      </c>
      <c r="B15" s="7" t="s">
        <v>248</v>
      </c>
      <c r="C15" s="7" t="s">
        <v>249</v>
      </c>
      <c r="D15" s="38" t="s">
        <v>250</v>
      </c>
      <c r="E15" s="44" t="s">
        <v>251</v>
      </c>
    </row>
    <row r="16" spans="1:5" ht="29" customHeight="1" x14ac:dyDescent="0.35">
      <c r="A16" s="43" t="s">
        <v>247</v>
      </c>
      <c r="B16" s="7" t="s">
        <v>252</v>
      </c>
      <c r="C16" s="7" t="s">
        <v>253</v>
      </c>
      <c r="D16" s="38" t="s">
        <v>254</v>
      </c>
      <c r="E16" s="44" t="s">
        <v>255</v>
      </c>
    </row>
    <row r="17" spans="1:5" x14ac:dyDescent="0.35">
      <c r="A17" s="43" t="s">
        <v>247</v>
      </c>
      <c r="B17" s="7" t="s">
        <v>256</v>
      </c>
      <c r="C17" s="7" t="s">
        <v>257</v>
      </c>
      <c r="D17" s="38" t="s">
        <v>258</v>
      </c>
      <c r="E17" s="44" t="s">
        <v>259</v>
      </c>
    </row>
    <row r="18" spans="1:5" ht="29" customHeight="1" x14ac:dyDescent="0.35">
      <c r="A18" s="43" t="s">
        <v>247</v>
      </c>
      <c r="B18" s="7" t="s">
        <v>260</v>
      </c>
      <c r="C18" s="7" t="s">
        <v>261</v>
      </c>
      <c r="D18" s="38" t="s">
        <v>262</v>
      </c>
      <c r="E18" s="44" t="s">
        <v>263</v>
      </c>
    </row>
    <row r="19" spans="1:5" ht="29" customHeight="1" x14ac:dyDescent="0.35">
      <c r="A19" s="43" t="s">
        <v>247</v>
      </c>
      <c r="B19" s="7" t="s">
        <v>264</v>
      </c>
      <c r="C19" s="7" t="s">
        <v>265</v>
      </c>
      <c r="D19" s="38" t="s">
        <v>266</v>
      </c>
      <c r="E19" s="44" t="s">
        <v>267</v>
      </c>
    </row>
    <row r="20" spans="1:5" ht="29" customHeight="1" x14ac:dyDescent="0.35">
      <c r="A20" s="43" t="s">
        <v>268</v>
      </c>
      <c r="B20" s="7" t="s">
        <v>269</v>
      </c>
      <c r="C20" s="7" t="s">
        <v>270</v>
      </c>
      <c r="D20" s="38" t="s">
        <v>271</v>
      </c>
      <c r="E20" s="44" t="s">
        <v>272</v>
      </c>
    </row>
    <row r="21" spans="1:5" ht="29" customHeight="1" x14ac:dyDescent="0.35">
      <c r="A21" s="43" t="s">
        <v>268</v>
      </c>
      <c r="B21" s="7" t="s">
        <v>273</v>
      </c>
      <c r="C21" s="7" t="s">
        <v>274</v>
      </c>
      <c r="D21" s="38" t="s">
        <v>275</v>
      </c>
      <c r="E21" s="44" t="s">
        <v>276</v>
      </c>
    </row>
    <row r="22" spans="1:5" ht="29" customHeight="1" x14ac:dyDescent="0.35">
      <c r="A22" s="43" t="s">
        <v>277</v>
      </c>
      <c r="B22" s="7" t="s">
        <v>278</v>
      </c>
      <c r="C22" s="7" t="s">
        <v>8</v>
      </c>
      <c r="D22" s="38" t="s">
        <v>279</v>
      </c>
      <c r="E22" s="44" t="s">
        <v>280</v>
      </c>
    </row>
    <row r="23" spans="1:5" ht="29" customHeight="1" x14ac:dyDescent="0.35">
      <c r="A23" s="43" t="s">
        <v>277</v>
      </c>
      <c r="B23" s="7" t="s">
        <v>281</v>
      </c>
      <c r="C23" s="7" t="s">
        <v>9</v>
      </c>
      <c r="D23" s="38" t="s">
        <v>282</v>
      </c>
      <c r="E23" s="44" t="s">
        <v>283</v>
      </c>
    </row>
    <row r="24" spans="1:5" ht="29" customHeight="1" x14ac:dyDescent="0.35">
      <c r="A24" s="43" t="s">
        <v>284</v>
      </c>
      <c r="B24" s="7" t="s">
        <v>285</v>
      </c>
      <c r="C24" s="7" t="s">
        <v>286</v>
      </c>
      <c r="D24" s="38" t="s">
        <v>287</v>
      </c>
      <c r="E24" s="44" t="s">
        <v>288</v>
      </c>
    </row>
    <row r="25" spans="1:5" ht="29" customHeight="1" x14ac:dyDescent="0.35">
      <c r="A25" s="43" t="s">
        <v>284</v>
      </c>
      <c r="B25" s="7" t="s">
        <v>289</v>
      </c>
      <c r="C25" s="7" t="s">
        <v>290</v>
      </c>
      <c r="D25" s="38" t="s">
        <v>291</v>
      </c>
      <c r="E25" s="44" t="s">
        <v>292</v>
      </c>
    </row>
    <row r="26" spans="1:5" ht="29" customHeight="1" x14ac:dyDescent="0.35">
      <c r="A26" s="43" t="s">
        <v>284</v>
      </c>
      <c r="B26" s="7" t="s">
        <v>293</v>
      </c>
      <c r="C26" s="7" t="s">
        <v>294</v>
      </c>
      <c r="D26" s="38" t="s">
        <v>295</v>
      </c>
      <c r="E26" s="44" t="s">
        <v>296</v>
      </c>
    </row>
    <row r="27" spans="1:5" ht="29" customHeight="1" x14ac:dyDescent="0.35">
      <c r="A27" s="43" t="s">
        <v>297</v>
      </c>
      <c r="B27" s="7" t="s">
        <v>298</v>
      </c>
      <c r="C27" s="7"/>
      <c r="D27" s="38" t="s">
        <v>299</v>
      </c>
      <c r="E27" s="44" t="s">
        <v>300</v>
      </c>
    </row>
    <row r="28" spans="1:5" ht="29" customHeight="1" x14ac:dyDescent="0.35">
      <c r="A28" s="43" t="s">
        <v>10</v>
      </c>
      <c r="B28" s="7" t="s">
        <v>15</v>
      </c>
      <c r="C28" s="7"/>
      <c r="D28" s="38" t="s">
        <v>301</v>
      </c>
      <c r="E28" s="44" t="s">
        <v>302</v>
      </c>
    </row>
    <row r="29" spans="1:5" ht="29" customHeight="1" x14ac:dyDescent="0.35">
      <c r="A29" s="43" t="s">
        <v>10</v>
      </c>
      <c r="B29" s="6" t="s">
        <v>21</v>
      </c>
      <c r="C29" s="6"/>
      <c r="D29" s="38" t="s">
        <v>303</v>
      </c>
      <c r="E29" s="44" t="s">
        <v>304</v>
      </c>
    </row>
    <row r="30" spans="1:5" ht="29" customHeight="1" x14ac:dyDescent="0.35">
      <c r="A30" s="43" t="s">
        <v>10</v>
      </c>
      <c r="B30" s="8" t="s">
        <v>20</v>
      </c>
      <c r="C30" s="8"/>
      <c r="D30" s="38" t="s">
        <v>305</v>
      </c>
      <c r="E30" s="44" t="s">
        <v>306</v>
      </c>
    </row>
    <row r="31" spans="1:5" ht="29" customHeight="1" x14ac:dyDescent="0.35">
      <c r="A31" s="43" t="s">
        <v>307</v>
      </c>
      <c r="B31" s="9" t="s">
        <v>137</v>
      </c>
      <c r="C31" s="9"/>
      <c r="D31" s="38" t="s">
        <v>308</v>
      </c>
      <c r="E31" s="44" t="s">
        <v>309</v>
      </c>
    </row>
    <row r="32" spans="1:5" ht="29" customHeight="1" x14ac:dyDescent="0.35">
      <c r="A32" s="43" t="s">
        <v>307</v>
      </c>
      <c r="B32" s="7" t="s">
        <v>310</v>
      </c>
      <c r="C32" s="7"/>
      <c r="D32" s="38" t="s">
        <v>311</v>
      </c>
      <c r="E32" s="44" t="s">
        <v>312</v>
      </c>
    </row>
    <row r="33" spans="1:5" ht="29" customHeight="1" x14ac:dyDescent="0.35">
      <c r="A33" s="43" t="s">
        <v>313</v>
      </c>
      <c r="B33" s="7" t="s">
        <v>314</v>
      </c>
      <c r="C33" s="7" t="s">
        <v>315</v>
      </c>
      <c r="D33" s="38" t="s">
        <v>316</v>
      </c>
      <c r="E33" s="44" t="s">
        <v>317</v>
      </c>
    </row>
    <row r="34" spans="1:5" ht="43.5" customHeight="1" x14ac:dyDescent="0.35">
      <c r="A34" s="43" t="s">
        <v>313</v>
      </c>
      <c r="B34" s="7" t="s">
        <v>318</v>
      </c>
      <c r="C34" s="7" t="s">
        <v>319</v>
      </c>
      <c r="D34" s="38" t="s">
        <v>320</v>
      </c>
      <c r="E34" s="44" t="s">
        <v>321</v>
      </c>
    </row>
    <row r="36" spans="1:5" ht="29" customHeight="1" x14ac:dyDescent="0.35">
      <c r="A36" s="38" t="s">
        <v>322</v>
      </c>
      <c r="B36" s="50" t="s">
        <v>96</v>
      </c>
      <c r="C36" s="38"/>
      <c r="D36" s="38" t="s">
        <v>323</v>
      </c>
      <c r="E36" s="38" t="s">
        <v>324</v>
      </c>
    </row>
    <row r="37" spans="1:5" ht="29" customHeight="1" x14ac:dyDescent="0.35">
      <c r="A37" s="38" t="s">
        <v>322</v>
      </c>
      <c r="B37" s="50" t="s">
        <v>101</v>
      </c>
      <c r="C37" s="38"/>
      <c r="D37" s="38" t="s">
        <v>325</v>
      </c>
      <c r="E37" s="38" t="s">
        <v>324</v>
      </c>
    </row>
    <row r="38" spans="1:5" ht="29" customHeight="1" x14ac:dyDescent="0.35">
      <c r="A38" s="81" t="s">
        <v>322</v>
      </c>
      <c r="B38" s="82" t="s">
        <v>106</v>
      </c>
      <c r="C38" s="81"/>
      <c r="D38" s="81" t="s">
        <v>326</v>
      </c>
      <c r="E38" s="81" t="s">
        <v>324</v>
      </c>
    </row>
  </sheetData>
  <mergeCells count="2">
    <mergeCell ref="A2:E2"/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F30"/>
  <sheetViews>
    <sheetView topLeftCell="A3" workbookViewId="0">
      <selection activeCell="Q1" sqref="Q1"/>
    </sheetView>
  </sheetViews>
  <sheetFormatPr defaultRowHeight="14.5" x14ac:dyDescent="0.35"/>
  <cols>
    <col min="1" max="1" width="43.6328125" customWidth="1"/>
    <col min="2" max="2" width="20.90625" customWidth="1"/>
    <col min="3" max="3" width="16.36328125" customWidth="1"/>
    <col min="4" max="4" width="18.36328125" customWidth="1"/>
    <col min="5" max="5" width="11.81640625" customWidth="1"/>
    <col min="6" max="6" width="34.54296875" customWidth="1"/>
  </cols>
  <sheetData>
    <row r="1" spans="1:6" ht="23.5" customHeight="1" x14ac:dyDescent="0.55000000000000004">
      <c r="A1" s="220" t="s">
        <v>327</v>
      </c>
      <c r="B1" s="218"/>
      <c r="C1" s="218"/>
      <c r="D1" s="218"/>
      <c r="E1" s="218"/>
      <c r="F1" s="218"/>
    </row>
    <row r="2" spans="1:6" x14ac:dyDescent="0.35">
      <c r="A2" s="219" t="s">
        <v>328</v>
      </c>
      <c r="B2" s="218"/>
      <c r="C2" s="218"/>
      <c r="D2" s="218"/>
      <c r="E2" s="218"/>
      <c r="F2" s="218"/>
    </row>
    <row r="4" spans="1:6" x14ac:dyDescent="0.35">
      <c r="A4" s="2" t="s">
        <v>329</v>
      </c>
      <c r="B4" s="2" t="str">
        <f>Control_Project_Name</f>
        <v>Generic Master Project</v>
      </c>
    </row>
    <row r="5" spans="1:6" x14ac:dyDescent="0.35">
      <c r="A5" s="2" t="s">
        <v>330</v>
      </c>
      <c r="B5" s="2" t="str">
        <f>TEXT(Control_Project_Start,"yyyy-mm-dd")&amp;" to "&amp;TEXT(Control_Project_End,"yyyy-mm-dd")</f>
        <v>2026-01-01 to 2026-12-31</v>
      </c>
    </row>
    <row r="6" spans="1:6" x14ac:dyDescent="0.35">
      <c r="A6" s="2" t="s">
        <v>223</v>
      </c>
      <c r="B6" s="30">
        <f>Control_Status_Date</f>
        <v>46203</v>
      </c>
    </row>
    <row r="7" spans="1:6" x14ac:dyDescent="0.35">
      <c r="A7" s="2" t="s">
        <v>331</v>
      </c>
      <c r="B7" s="30" t="s">
        <v>332</v>
      </c>
    </row>
    <row r="8" spans="1:6" x14ac:dyDescent="0.35">
      <c r="A8" s="2" t="s">
        <v>333</v>
      </c>
      <c r="B8" s="30">
        <f ca="1">TODAY()</f>
        <v>46238</v>
      </c>
    </row>
    <row r="10" spans="1:6" x14ac:dyDescent="0.35">
      <c r="A10" s="53" t="s">
        <v>334</v>
      </c>
      <c r="B10" s="53"/>
      <c r="C10" s="53"/>
      <c r="D10" s="53"/>
      <c r="E10" s="53"/>
      <c r="F10" s="53"/>
    </row>
    <row r="11" spans="1:6" x14ac:dyDescent="0.35">
      <c r="A11" s="55"/>
      <c r="B11" s="55"/>
      <c r="C11" s="55"/>
      <c r="D11" s="55"/>
      <c r="E11" s="55"/>
      <c r="F11" s="55"/>
    </row>
    <row r="12" spans="1:6" x14ac:dyDescent="0.35">
      <c r="A12" s="55"/>
      <c r="B12" s="55"/>
      <c r="C12" s="55"/>
      <c r="D12" s="55"/>
      <c r="E12" s="55"/>
      <c r="F12" s="55"/>
    </row>
    <row r="13" spans="1:6" x14ac:dyDescent="0.35">
      <c r="A13" s="55"/>
      <c r="B13" s="55"/>
      <c r="C13" s="55"/>
      <c r="D13" s="55"/>
      <c r="E13" s="55"/>
      <c r="F13" s="55"/>
    </row>
    <row r="15" spans="1:6" x14ac:dyDescent="0.35">
      <c r="A15" s="53" t="s">
        <v>335</v>
      </c>
      <c r="B15" s="53"/>
      <c r="C15" s="53"/>
      <c r="D15" s="53"/>
      <c r="E15" s="53"/>
      <c r="F15" s="53"/>
    </row>
    <row r="16" spans="1:6" x14ac:dyDescent="0.35">
      <c r="A16" s="56"/>
      <c r="B16" s="56"/>
      <c r="C16" s="56"/>
      <c r="D16" s="56"/>
      <c r="E16" s="56"/>
      <c r="F16" s="56"/>
    </row>
    <row r="17" spans="1:6" x14ac:dyDescent="0.35">
      <c r="A17" s="56"/>
      <c r="B17" s="56"/>
      <c r="C17" s="56"/>
      <c r="D17" s="56"/>
      <c r="E17" s="56"/>
      <c r="F17" s="56"/>
    </row>
    <row r="18" spans="1:6" x14ac:dyDescent="0.35">
      <c r="A18" s="56"/>
      <c r="B18" s="56"/>
      <c r="C18" s="56"/>
      <c r="D18" s="56"/>
      <c r="E18" s="56"/>
      <c r="F18" s="56"/>
    </row>
    <row r="20" spans="1:6" x14ac:dyDescent="0.35">
      <c r="A20" s="86" t="s">
        <v>336</v>
      </c>
      <c r="B20" s="80" t="s">
        <v>194</v>
      </c>
      <c r="C20" s="80" t="s">
        <v>337</v>
      </c>
      <c r="D20" s="80" t="s">
        <v>338</v>
      </c>
      <c r="E20" s="80" t="s">
        <v>10</v>
      </c>
      <c r="F20" s="87" t="s">
        <v>339</v>
      </c>
    </row>
    <row r="21" spans="1:6" x14ac:dyDescent="0.35">
      <c r="A21" s="84">
        <v>1</v>
      </c>
      <c r="B21" s="2" t="s">
        <v>340</v>
      </c>
      <c r="C21" s="2" t="s">
        <v>341</v>
      </c>
      <c r="D21" s="2" t="s">
        <v>194</v>
      </c>
      <c r="E21" s="2" t="s">
        <v>342</v>
      </c>
      <c r="F21" s="85" t="s">
        <v>343</v>
      </c>
    </row>
    <row r="22" spans="1:6" x14ac:dyDescent="0.35">
      <c r="A22" s="84" t="s">
        <v>344</v>
      </c>
      <c r="B22" s="2" t="s">
        <v>345</v>
      </c>
      <c r="C22" s="2"/>
      <c r="D22" s="2" t="s">
        <v>346</v>
      </c>
      <c r="E22" s="2" t="s">
        <v>20</v>
      </c>
      <c r="F22" s="85" t="s">
        <v>347</v>
      </c>
    </row>
    <row r="23" spans="1:6" x14ac:dyDescent="0.35">
      <c r="A23" s="84" t="s">
        <v>348</v>
      </c>
      <c r="B23" s="2" t="s">
        <v>349</v>
      </c>
      <c r="C23" s="2"/>
      <c r="D23" s="2" t="s">
        <v>346</v>
      </c>
      <c r="E23" s="2" t="s">
        <v>20</v>
      </c>
      <c r="F23" s="85" t="s">
        <v>246</v>
      </c>
    </row>
    <row r="24" spans="1:6" x14ac:dyDescent="0.35">
      <c r="A24" s="84" t="s">
        <v>350</v>
      </c>
      <c r="B24" s="2" t="s">
        <v>351</v>
      </c>
      <c r="C24" s="2"/>
      <c r="D24" s="2" t="s">
        <v>352</v>
      </c>
      <c r="E24" s="2" t="s">
        <v>21</v>
      </c>
      <c r="F24" s="85" t="s">
        <v>353</v>
      </c>
    </row>
    <row r="25" spans="1:6" x14ac:dyDescent="0.35">
      <c r="A25" s="88" t="s">
        <v>354</v>
      </c>
      <c r="B25" s="89" t="s">
        <v>355</v>
      </c>
      <c r="C25" s="89"/>
      <c r="D25" s="89" t="s">
        <v>352</v>
      </c>
      <c r="E25" s="89" t="s">
        <v>21</v>
      </c>
      <c r="F25" s="90" t="s">
        <v>356</v>
      </c>
    </row>
    <row r="26" spans="1:6" x14ac:dyDescent="0.35">
      <c r="A26" s="2"/>
      <c r="B26" s="2"/>
      <c r="C26" s="2"/>
      <c r="D26" s="2"/>
      <c r="E26" s="2"/>
      <c r="F26" s="2"/>
    </row>
    <row r="27" spans="1:6" x14ac:dyDescent="0.35">
      <c r="A27" s="2"/>
      <c r="B27" s="2"/>
      <c r="C27" s="2"/>
      <c r="D27" s="2"/>
      <c r="E27" s="2"/>
      <c r="F27" s="2"/>
    </row>
    <row r="28" spans="1:6" x14ac:dyDescent="0.35">
      <c r="A28" s="2"/>
      <c r="B28" s="2"/>
      <c r="C28" s="2"/>
      <c r="D28" s="2"/>
      <c r="E28" s="2"/>
      <c r="F28" s="2"/>
    </row>
    <row r="30" spans="1:6" x14ac:dyDescent="0.35">
      <c r="A30" s="2" t="s">
        <v>357</v>
      </c>
      <c r="B30" s="2" t="s">
        <v>358</v>
      </c>
      <c r="C30" s="2"/>
      <c r="D30" s="2"/>
      <c r="E30" s="2"/>
      <c r="F30" s="2"/>
    </row>
  </sheetData>
  <mergeCells count="2">
    <mergeCell ref="A2:F2"/>
    <mergeCell ref="A1:F1"/>
  </mergeCells>
  <conditionalFormatting sqref="E21:E25">
    <cfRule type="expression" dxfId="163" priority="1">
      <formula>ISNUMBER(SEARCH("Red",E21))</formula>
    </cfRule>
    <cfRule type="expression" dxfId="162" priority="2">
      <formula>ISNUMBER(SEARCH("Amber",E21))</formula>
    </cfRule>
    <cfRule type="expression" dxfId="161" priority="3">
      <formula>ISNUMBER(SEARCH("Green",E21))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</sheetPr>
  <dimension ref="A1:H79"/>
  <sheetViews>
    <sheetView topLeftCell="A51" zoomScale="85" zoomScaleNormal="85" workbookViewId="0">
      <selection activeCell="Q1" sqref="Q1"/>
    </sheetView>
  </sheetViews>
  <sheetFormatPr defaultRowHeight="14.5" x14ac:dyDescent="0.35"/>
  <cols>
    <col min="1" max="1" width="30" customWidth="1"/>
    <col min="2" max="2" width="27.26953125" customWidth="1"/>
    <col min="3" max="8" width="17.26953125" customWidth="1"/>
  </cols>
  <sheetData>
    <row r="1" spans="1:8" ht="23.5" customHeight="1" x14ac:dyDescent="0.55000000000000004">
      <c r="A1" s="220" t="s">
        <v>359</v>
      </c>
      <c r="B1" s="218"/>
      <c r="C1" s="218"/>
      <c r="D1" s="218"/>
      <c r="E1" s="218"/>
      <c r="F1" s="218"/>
      <c r="G1" s="218"/>
      <c r="H1" s="218"/>
    </row>
    <row r="2" spans="1:8" x14ac:dyDescent="0.35">
      <c r="A2" s="219" t="s">
        <v>360</v>
      </c>
      <c r="B2" s="218"/>
      <c r="C2" s="218"/>
      <c r="D2" s="218"/>
      <c r="E2" s="218"/>
      <c r="F2" s="218"/>
      <c r="G2" s="218"/>
      <c r="H2" s="218"/>
    </row>
    <row r="4" spans="1:8" x14ac:dyDescent="0.35">
      <c r="A4" s="51" t="s">
        <v>361</v>
      </c>
      <c r="B4" s="51"/>
      <c r="C4" s="51"/>
      <c r="D4" s="51"/>
      <c r="E4" s="51"/>
      <c r="F4" s="51"/>
      <c r="G4" s="51"/>
      <c r="H4" s="51"/>
    </row>
    <row r="5" spans="1:8" x14ac:dyDescent="0.35">
      <c r="A5" s="2" t="s">
        <v>362</v>
      </c>
      <c r="B5" s="173" t="str">
        <f>Control_Project_Name</f>
        <v>Generic Master Project</v>
      </c>
    </row>
    <row r="6" spans="1:8" x14ac:dyDescent="0.35">
      <c r="A6" s="2" t="s">
        <v>363</v>
      </c>
      <c r="B6" s="173" t="str">
        <f>Control_Project_ID</f>
        <v>PRJ001</v>
      </c>
    </row>
    <row r="7" spans="1:8" x14ac:dyDescent="0.35">
      <c r="A7" s="2" t="s">
        <v>364</v>
      </c>
      <c r="B7" s="5" t="s">
        <v>365</v>
      </c>
    </row>
    <row r="8" spans="1:8" x14ac:dyDescent="0.35">
      <c r="A8" s="2" t="s">
        <v>366</v>
      </c>
      <c r="B8" s="5" t="s">
        <v>332</v>
      </c>
    </row>
    <row r="9" spans="1:8" x14ac:dyDescent="0.35">
      <c r="A9" s="2" t="s">
        <v>367</v>
      </c>
      <c r="B9" s="52">
        <f ca="1">TODAY()</f>
        <v>46238</v>
      </c>
    </row>
    <row r="10" spans="1:8" x14ac:dyDescent="0.35">
      <c r="A10" s="2" t="s">
        <v>368</v>
      </c>
      <c r="B10" s="5"/>
    </row>
    <row r="11" spans="1:8" x14ac:dyDescent="0.35">
      <c r="A11" s="2" t="s">
        <v>369</v>
      </c>
      <c r="B11" s="5" t="s">
        <v>370</v>
      </c>
    </row>
    <row r="13" spans="1:8" x14ac:dyDescent="0.35">
      <c r="A13" s="234" t="s">
        <v>371</v>
      </c>
      <c r="B13" s="223"/>
      <c r="C13" s="223"/>
      <c r="D13" s="223"/>
      <c r="E13" s="223"/>
      <c r="F13" s="223"/>
      <c r="G13" s="223"/>
      <c r="H13" s="224"/>
    </row>
    <row r="14" spans="1:8" x14ac:dyDescent="0.35">
      <c r="A14" s="235" t="s">
        <v>372</v>
      </c>
      <c r="B14" s="226"/>
      <c r="C14" s="226"/>
      <c r="D14" s="226"/>
      <c r="E14" s="226"/>
      <c r="F14" s="226"/>
      <c r="G14" s="226"/>
      <c r="H14" s="227"/>
    </row>
    <row r="15" spans="1:8" x14ac:dyDescent="0.35">
      <c r="A15" s="228"/>
      <c r="B15" s="218"/>
      <c r="C15" s="218"/>
      <c r="D15" s="218"/>
      <c r="E15" s="218"/>
      <c r="F15" s="218"/>
      <c r="G15" s="218"/>
      <c r="H15" s="229"/>
    </row>
    <row r="16" spans="1:8" x14ac:dyDescent="0.35">
      <c r="A16" s="230"/>
      <c r="B16" s="231"/>
      <c r="C16" s="231"/>
      <c r="D16" s="231"/>
      <c r="E16" s="231"/>
      <c r="F16" s="231"/>
      <c r="G16" s="231"/>
      <c r="H16" s="232"/>
    </row>
    <row r="18" spans="1:8" x14ac:dyDescent="0.35">
      <c r="A18" s="234" t="s">
        <v>373</v>
      </c>
      <c r="B18" s="223"/>
      <c r="C18" s="223"/>
      <c r="D18" s="223"/>
      <c r="E18" s="223"/>
      <c r="F18" s="223"/>
      <c r="G18" s="223"/>
      <c r="H18" s="224"/>
    </row>
    <row r="19" spans="1:8" x14ac:dyDescent="0.35">
      <c r="A19" s="235" t="s">
        <v>374</v>
      </c>
      <c r="B19" s="226"/>
      <c r="C19" s="226"/>
      <c r="D19" s="226"/>
      <c r="E19" s="226"/>
      <c r="F19" s="226"/>
      <c r="G19" s="226"/>
      <c r="H19" s="227"/>
    </row>
    <row r="20" spans="1:8" x14ac:dyDescent="0.35">
      <c r="A20" s="228"/>
      <c r="B20" s="218"/>
      <c r="C20" s="218"/>
      <c r="D20" s="218"/>
      <c r="E20" s="218"/>
      <c r="F20" s="218"/>
      <c r="G20" s="218"/>
      <c r="H20" s="229"/>
    </row>
    <row r="21" spans="1:8" x14ac:dyDescent="0.35">
      <c r="A21" s="230"/>
      <c r="B21" s="231"/>
      <c r="C21" s="231"/>
      <c r="D21" s="231"/>
      <c r="E21" s="231"/>
      <c r="F21" s="231"/>
      <c r="G21" s="231"/>
      <c r="H21" s="232"/>
    </row>
    <row r="23" spans="1:8" x14ac:dyDescent="0.35">
      <c r="A23" s="234" t="s">
        <v>375</v>
      </c>
      <c r="B23" s="223"/>
      <c r="C23" s="223"/>
      <c r="D23" s="223"/>
      <c r="E23" s="223"/>
      <c r="F23" s="223"/>
      <c r="G23" s="223"/>
      <c r="H23" s="224"/>
    </row>
    <row r="24" spans="1:8" x14ac:dyDescent="0.35">
      <c r="A24" s="235" t="s">
        <v>376</v>
      </c>
      <c r="B24" s="226"/>
      <c r="C24" s="226"/>
      <c r="D24" s="226"/>
      <c r="E24" s="226"/>
      <c r="F24" s="226"/>
      <c r="G24" s="226"/>
      <c r="H24" s="227"/>
    </row>
    <row r="25" spans="1:8" x14ac:dyDescent="0.35">
      <c r="A25" s="228"/>
      <c r="B25" s="218"/>
      <c r="C25" s="218"/>
      <c r="D25" s="218"/>
      <c r="E25" s="218"/>
      <c r="F25" s="218"/>
      <c r="G25" s="218"/>
      <c r="H25" s="229"/>
    </row>
    <row r="26" spans="1:8" x14ac:dyDescent="0.35">
      <c r="A26" s="230"/>
      <c r="B26" s="231"/>
      <c r="C26" s="231"/>
      <c r="D26" s="231"/>
      <c r="E26" s="231"/>
      <c r="F26" s="231"/>
      <c r="G26" s="231"/>
      <c r="H26" s="232"/>
    </row>
    <row r="28" spans="1:8" x14ac:dyDescent="0.35">
      <c r="A28" s="234" t="s">
        <v>377</v>
      </c>
      <c r="B28" s="223"/>
      <c r="C28" s="223"/>
      <c r="D28" s="223"/>
      <c r="E28" s="223"/>
      <c r="F28" s="223"/>
      <c r="G28" s="223"/>
      <c r="H28" s="224"/>
    </row>
    <row r="29" spans="1:8" x14ac:dyDescent="0.35">
      <c r="A29" s="235" t="s">
        <v>378</v>
      </c>
      <c r="B29" s="226"/>
      <c r="C29" s="226"/>
      <c r="D29" s="226"/>
      <c r="E29" s="226"/>
      <c r="F29" s="226"/>
      <c r="G29" s="226"/>
      <c r="H29" s="227"/>
    </row>
    <row r="30" spans="1:8" x14ac:dyDescent="0.35">
      <c r="A30" s="228"/>
      <c r="B30" s="218"/>
      <c r="C30" s="218"/>
      <c r="D30" s="218"/>
      <c r="E30" s="218"/>
      <c r="F30" s="218"/>
      <c r="G30" s="218"/>
      <c r="H30" s="229"/>
    </row>
    <row r="31" spans="1:8" x14ac:dyDescent="0.35">
      <c r="A31" s="230"/>
      <c r="B31" s="231"/>
      <c r="C31" s="231"/>
      <c r="D31" s="231"/>
      <c r="E31" s="231"/>
      <c r="F31" s="231"/>
      <c r="G31" s="231"/>
      <c r="H31" s="232"/>
    </row>
    <row r="33" spans="1:8" x14ac:dyDescent="0.35">
      <c r="A33" s="234" t="s">
        <v>379</v>
      </c>
      <c r="B33" s="223"/>
      <c r="C33" s="223"/>
      <c r="D33" s="223"/>
      <c r="E33" s="223"/>
      <c r="F33" s="223"/>
      <c r="G33" s="223"/>
      <c r="H33" s="224"/>
    </row>
    <row r="34" spans="1:8" x14ac:dyDescent="0.35">
      <c r="A34" s="235" t="s">
        <v>380</v>
      </c>
      <c r="B34" s="226"/>
      <c r="C34" s="226"/>
      <c r="D34" s="226"/>
      <c r="E34" s="226"/>
      <c r="F34" s="226"/>
      <c r="G34" s="226"/>
      <c r="H34" s="227"/>
    </row>
    <row r="35" spans="1:8" x14ac:dyDescent="0.35">
      <c r="A35" s="228"/>
      <c r="B35" s="218"/>
      <c r="C35" s="218"/>
      <c r="D35" s="218"/>
      <c r="E35" s="218"/>
      <c r="F35" s="218"/>
      <c r="G35" s="218"/>
      <c r="H35" s="229"/>
    </row>
    <row r="36" spans="1:8" x14ac:dyDescent="0.35">
      <c r="A36" s="230"/>
      <c r="B36" s="231"/>
      <c r="C36" s="231"/>
      <c r="D36" s="231"/>
      <c r="E36" s="231"/>
      <c r="F36" s="231"/>
      <c r="G36" s="231"/>
      <c r="H36" s="232"/>
    </row>
    <row r="38" spans="1:8" x14ac:dyDescent="0.35">
      <c r="A38" s="234" t="s">
        <v>381</v>
      </c>
      <c r="B38" s="223"/>
      <c r="C38" s="223"/>
      <c r="D38" s="223"/>
      <c r="E38" s="223"/>
      <c r="F38" s="223"/>
      <c r="G38" s="223"/>
      <c r="H38" s="224"/>
    </row>
    <row r="39" spans="1:8" x14ac:dyDescent="0.35">
      <c r="A39" s="235" t="s">
        <v>382</v>
      </c>
      <c r="B39" s="226"/>
      <c r="C39" s="226"/>
      <c r="D39" s="226"/>
      <c r="E39" s="226"/>
      <c r="F39" s="226"/>
      <c r="G39" s="226"/>
      <c r="H39" s="227"/>
    </row>
    <row r="40" spans="1:8" x14ac:dyDescent="0.35">
      <c r="A40" s="228"/>
      <c r="B40" s="218"/>
      <c r="C40" s="218"/>
      <c r="D40" s="218"/>
      <c r="E40" s="218"/>
      <c r="F40" s="218"/>
      <c r="G40" s="218"/>
      <c r="H40" s="229"/>
    </row>
    <row r="41" spans="1:8" x14ac:dyDescent="0.35">
      <c r="A41" s="230"/>
      <c r="B41" s="231"/>
      <c r="C41" s="231"/>
      <c r="D41" s="231"/>
      <c r="E41" s="231"/>
      <c r="F41" s="231"/>
      <c r="G41" s="231"/>
      <c r="H41" s="232"/>
    </row>
    <row r="43" spans="1:8" x14ac:dyDescent="0.35">
      <c r="A43" s="234" t="s">
        <v>383</v>
      </c>
      <c r="B43" s="223"/>
      <c r="C43" s="223"/>
      <c r="D43" s="223"/>
      <c r="E43" s="223"/>
      <c r="F43" s="223"/>
      <c r="G43" s="223"/>
      <c r="H43" s="224"/>
    </row>
    <row r="44" spans="1:8" x14ac:dyDescent="0.35">
      <c r="A44" s="235" t="s">
        <v>384</v>
      </c>
      <c r="B44" s="226"/>
      <c r="C44" s="226"/>
      <c r="D44" s="226"/>
      <c r="E44" s="226"/>
      <c r="F44" s="226"/>
      <c r="G44" s="226"/>
      <c r="H44" s="227"/>
    </row>
    <row r="45" spans="1:8" x14ac:dyDescent="0.35">
      <c r="A45" s="228"/>
      <c r="B45" s="218"/>
      <c r="C45" s="218"/>
      <c r="D45" s="218"/>
      <c r="E45" s="218"/>
      <c r="F45" s="218"/>
      <c r="G45" s="218"/>
      <c r="H45" s="229"/>
    </row>
    <row r="46" spans="1:8" x14ac:dyDescent="0.35">
      <c r="A46" s="230"/>
      <c r="B46" s="231"/>
      <c r="C46" s="231"/>
      <c r="D46" s="231"/>
      <c r="E46" s="231"/>
      <c r="F46" s="231"/>
      <c r="G46" s="231"/>
      <c r="H46" s="232"/>
    </row>
    <row r="48" spans="1:8" x14ac:dyDescent="0.35">
      <c r="A48" s="234" t="s">
        <v>385</v>
      </c>
      <c r="B48" s="223"/>
      <c r="C48" s="223"/>
      <c r="D48" s="223"/>
      <c r="E48" s="223"/>
      <c r="F48" s="223"/>
      <c r="G48" s="223"/>
      <c r="H48" s="224"/>
    </row>
    <row r="49" spans="1:8" x14ac:dyDescent="0.35">
      <c r="A49" s="235" t="s">
        <v>386</v>
      </c>
      <c r="B49" s="226"/>
      <c r="C49" s="226"/>
      <c r="D49" s="226"/>
      <c r="E49" s="226"/>
      <c r="F49" s="226"/>
      <c r="G49" s="226"/>
      <c r="H49" s="227"/>
    </row>
    <row r="50" spans="1:8" x14ac:dyDescent="0.35">
      <c r="A50" s="228"/>
      <c r="B50" s="218"/>
      <c r="C50" s="218"/>
      <c r="D50" s="218"/>
      <c r="E50" s="218"/>
      <c r="F50" s="218"/>
      <c r="G50" s="218"/>
      <c r="H50" s="229"/>
    </row>
    <row r="51" spans="1:8" x14ac:dyDescent="0.35">
      <c r="A51" s="230"/>
      <c r="B51" s="231"/>
      <c r="C51" s="231"/>
      <c r="D51" s="231"/>
      <c r="E51" s="231"/>
      <c r="F51" s="231"/>
      <c r="G51" s="231"/>
      <c r="H51" s="232"/>
    </row>
    <row r="53" spans="1:8" x14ac:dyDescent="0.35">
      <c r="A53" s="86" t="s">
        <v>387</v>
      </c>
      <c r="B53" s="80" t="s">
        <v>388</v>
      </c>
      <c r="C53" s="80" t="s">
        <v>389</v>
      </c>
      <c r="D53" s="80" t="s">
        <v>390</v>
      </c>
      <c r="E53" s="87" t="s">
        <v>138</v>
      </c>
    </row>
    <row r="54" spans="1:8" x14ac:dyDescent="0.35">
      <c r="A54" s="84" t="s">
        <v>391</v>
      </c>
      <c r="B54" s="2" t="s">
        <v>392</v>
      </c>
      <c r="C54" s="2" t="s">
        <v>393</v>
      </c>
      <c r="D54" s="2" t="s">
        <v>394</v>
      </c>
      <c r="E54" s="85" t="s">
        <v>395</v>
      </c>
    </row>
    <row r="55" spans="1:8" x14ac:dyDescent="0.35">
      <c r="A55" s="84" t="s">
        <v>396</v>
      </c>
      <c r="B55" s="2" t="s">
        <v>397</v>
      </c>
      <c r="C55" s="2" t="s">
        <v>349</v>
      </c>
      <c r="D55" s="2"/>
      <c r="E55" s="85" t="s">
        <v>398</v>
      </c>
    </row>
    <row r="56" spans="1:8" x14ac:dyDescent="0.35">
      <c r="A56" s="88" t="s">
        <v>399</v>
      </c>
      <c r="B56" s="89" t="s">
        <v>400</v>
      </c>
      <c r="C56" s="89" t="s">
        <v>349</v>
      </c>
      <c r="D56" s="89"/>
      <c r="E56" s="90" t="s">
        <v>398</v>
      </c>
    </row>
    <row r="58" spans="1:8" x14ac:dyDescent="0.35">
      <c r="A58" s="234" t="s">
        <v>401</v>
      </c>
      <c r="B58" s="223"/>
      <c r="C58" s="223"/>
      <c r="D58" s="223"/>
      <c r="E58" s="223"/>
      <c r="F58" s="223"/>
      <c r="G58" s="223"/>
      <c r="H58" s="224"/>
    </row>
    <row r="59" spans="1:8" x14ac:dyDescent="0.35">
      <c r="A59" s="235" t="s">
        <v>402</v>
      </c>
      <c r="B59" s="226"/>
      <c r="C59" s="226"/>
      <c r="D59" s="226"/>
      <c r="E59" s="226"/>
      <c r="F59" s="226"/>
      <c r="G59" s="226"/>
      <c r="H59" s="227"/>
    </row>
    <row r="60" spans="1:8" x14ac:dyDescent="0.35">
      <c r="A60" s="228"/>
      <c r="B60" s="218"/>
      <c r="C60" s="218"/>
      <c r="D60" s="218"/>
      <c r="E60" s="218"/>
      <c r="F60" s="218"/>
      <c r="G60" s="218"/>
      <c r="H60" s="229"/>
    </row>
    <row r="61" spans="1:8" x14ac:dyDescent="0.35">
      <c r="A61" s="230"/>
      <c r="B61" s="231"/>
      <c r="C61" s="231"/>
      <c r="D61" s="231"/>
      <c r="E61" s="231"/>
      <c r="F61" s="231"/>
      <c r="G61" s="231"/>
      <c r="H61" s="232"/>
    </row>
    <row r="63" spans="1:8" x14ac:dyDescent="0.35">
      <c r="A63" s="86" t="s">
        <v>403</v>
      </c>
      <c r="B63" s="80" t="s">
        <v>404</v>
      </c>
      <c r="C63" s="80" t="s">
        <v>194</v>
      </c>
      <c r="D63" s="80" t="s">
        <v>405</v>
      </c>
      <c r="E63" s="87" t="s">
        <v>10</v>
      </c>
    </row>
    <row r="64" spans="1:8" x14ac:dyDescent="0.35">
      <c r="A64" s="84" t="s">
        <v>406</v>
      </c>
      <c r="B64" s="2" t="s">
        <v>407</v>
      </c>
      <c r="C64" s="2" t="s">
        <v>408</v>
      </c>
      <c r="D64" s="2" t="s">
        <v>409</v>
      </c>
      <c r="E64" s="85" t="s">
        <v>410</v>
      </c>
    </row>
    <row r="65" spans="1:8" x14ac:dyDescent="0.35">
      <c r="A65" s="84" t="s">
        <v>411</v>
      </c>
      <c r="B65" s="2" t="s">
        <v>412</v>
      </c>
      <c r="C65" s="2" t="s">
        <v>345</v>
      </c>
      <c r="D65" s="2"/>
      <c r="E65" s="85" t="s">
        <v>20</v>
      </c>
    </row>
    <row r="66" spans="1:8" x14ac:dyDescent="0.35">
      <c r="A66" s="84" t="s">
        <v>413</v>
      </c>
      <c r="B66" s="2" t="s">
        <v>414</v>
      </c>
      <c r="C66" s="2" t="s">
        <v>415</v>
      </c>
      <c r="D66" s="2"/>
      <c r="E66" s="85" t="s">
        <v>21</v>
      </c>
    </row>
    <row r="67" spans="1:8" x14ac:dyDescent="0.35">
      <c r="A67" s="84" t="s">
        <v>416</v>
      </c>
      <c r="B67" s="2" t="s">
        <v>417</v>
      </c>
      <c r="C67" s="2" t="s">
        <v>349</v>
      </c>
      <c r="D67" s="2"/>
      <c r="E67" s="85" t="s">
        <v>21</v>
      </c>
    </row>
    <row r="68" spans="1:8" x14ac:dyDescent="0.35">
      <c r="A68" s="84" t="s">
        <v>418</v>
      </c>
      <c r="B68" s="2" t="s">
        <v>419</v>
      </c>
      <c r="C68" s="2" t="s">
        <v>349</v>
      </c>
      <c r="D68" s="2"/>
      <c r="E68" s="85" t="s">
        <v>21</v>
      </c>
    </row>
    <row r="69" spans="1:8" x14ac:dyDescent="0.35">
      <c r="A69" s="88" t="s">
        <v>420</v>
      </c>
      <c r="B69" s="89" t="s">
        <v>421</v>
      </c>
      <c r="C69" s="89" t="s">
        <v>349</v>
      </c>
      <c r="D69" s="89"/>
      <c r="E69" s="90" t="s">
        <v>21</v>
      </c>
    </row>
    <row r="70" spans="1:8" x14ac:dyDescent="0.35">
      <c r="A70" s="2"/>
      <c r="B70" s="2"/>
      <c r="C70" s="2"/>
      <c r="D70" s="2"/>
      <c r="E70" s="2"/>
    </row>
    <row r="72" spans="1:8" x14ac:dyDescent="0.35">
      <c r="A72" s="234" t="s">
        <v>422</v>
      </c>
      <c r="B72" s="223"/>
      <c r="C72" s="223"/>
      <c r="D72" s="223"/>
      <c r="E72" s="223"/>
      <c r="F72" s="223"/>
      <c r="G72" s="223"/>
      <c r="H72" s="224"/>
    </row>
    <row r="73" spans="1:8" ht="14.5" customHeight="1" x14ac:dyDescent="0.35">
      <c r="A73" s="222" t="s">
        <v>423</v>
      </c>
      <c r="B73" s="223"/>
      <c r="C73" s="223"/>
      <c r="D73" s="223"/>
      <c r="E73" s="223"/>
      <c r="F73" s="223"/>
      <c r="G73" s="223"/>
      <c r="H73" s="224"/>
    </row>
    <row r="74" spans="1:8" x14ac:dyDescent="0.35">
      <c r="A74" s="93" t="s">
        <v>424</v>
      </c>
      <c r="B74" s="94" t="s">
        <v>425</v>
      </c>
      <c r="C74" s="94" t="s">
        <v>426</v>
      </c>
      <c r="D74" s="94" t="s">
        <v>427</v>
      </c>
      <c r="E74" s="94" t="s">
        <v>428</v>
      </c>
      <c r="F74" s="95" t="s">
        <v>429</v>
      </c>
    </row>
    <row r="75" spans="1:8" x14ac:dyDescent="0.35">
      <c r="A75" s="84" t="s">
        <v>430</v>
      </c>
      <c r="B75" s="33">
        <v>0</v>
      </c>
      <c r="C75" s="33">
        <v>0</v>
      </c>
      <c r="D75" s="33">
        <v>0</v>
      </c>
      <c r="E75" s="33" t="s">
        <v>431</v>
      </c>
      <c r="F75" s="92" t="s">
        <v>138</v>
      </c>
    </row>
    <row r="76" spans="1:8" x14ac:dyDescent="0.35">
      <c r="A76" s="84" t="s">
        <v>432</v>
      </c>
      <c r="B76" s="33">
        <v>0</v>
      </c>
      <c r="C76" s="33">
        <v>0</v>
      </c>
      <c r="D76" s="33">
        <v>0</v>
      </c>
      <c r="E76" s="33">
        <v>0</v>
      </c>
      <c r="F76" s="92">
        <f>SUM(B76:E76)</f>
        <v>0</v>
      </c>
    </row>
    <row r="77" spans="1:8" x14ac:dyDescent="0.35">
      <c r="A77" s="84" t="s">
        <v>433</v>
      </c>
      <c r="B77" s="33">
        <v>0</v>
      </c>
      <c r="C77" s="33">
        <v>0</v>
      </c>
      <c r="D77" s="33">
        <v>0</v>
      </c>
      <c r="E77" s="33">
        <v>0</v>
      </c>
      <c r="F77" s="92">
        <f>SUM(B77:E77)</f>
        <v>0</v>
      </c>
    </row>
    <row r="78" spans="1:8" x14ac:dyDescent="0.35">
      <c r="A78" s="84" t="s">
        <v>434</v>
      </c>
      <c r="B78" s="33">
        <v>0</v>
      </c>
      <c r="C78" s="33">
        <v>0</v>
      </c>
      <c r="D78" s="33">
        <v>0</v>
      </c>
      <c r="E78" s="33">
        <v>0</v>
      </c>
      <c r="F78" s="92">
        <f>SUM(B78:E78)</f>
        <v>0</v>
      </c>
    </row>
    <row r="79" spans="1:8" x14ac:dyDescent="0.35">
      <c r="A79" s="88" t="s">
        <v>435</v>
      </c>
      <c r="B79" s="96">
        <v>0</v>
      </c>
      <c r="C79" s="96">
        <v>0</v>
      </c>
      <c r="D79" s="96">
        <v>0</v>
      </c>
      <c r="E79" s="96">
        <v>0</v>
      </c>
      <c r="F79" s="97">
        <f>SUM(B79:E79)</f>
        <v>0</v>
      </c>
    </row>
  </sheetData>
  <mergeCells count="22">
    <mergeCell ref="A1:H1"/>
    <mergeCell ref="A39:H41"/>
    <mergeCell ref="A18:H18"/>
    <mergeCell ref="A2:H2"/>
    <mergeCell ref="A33:H33"/>
    <mergeCell ref="A23:H23"/>
    <mergeCell ref="A38:H38"/>
    <mergeCell ref="A29:H31"/>
    <mergeCell ref="A28:H28"/>
    <mergeCell ref="A14:H16"/>
    <mergeCell ref="A13:H13"/>
    <mergeCell ref="A48:H48"/>
    <mergeCell ref="A34:H36"/>
    <mergeCell ref="A19:H21"/>
    <mergeCell ref="A73:H73"/>
    <mergeCell ref="A24:H26"/>
    <mergeCell ref="A49:H51"/>
    <mergeCell ref="A43:H43"/>
    <mergeCell ref="A72:H72"/>
    <mergeCell ref="A44:H46"/>
    <mergeCell ref="A59:H61"/>
    <mergeCell ref="A58:H58"/>
  </mergeCells>
  <conditionalFormatting sqref="E64:E69">
    <cfRule type="expression" dxfId="160" priority="1">
      <formula>ISNUMBER(SEARCH("Red",E64))</formula>
    </cfRule>
    <cfRule type="expression" dxfId="159" priority="2">
      <formula>ISNUMBER(SEARCH("Amber",E64))</formula>
    </cfRule>
    <cfRule type="expression" dxfId="158" priority="3">
      <formula>ISNUMBER(SEARCH("Green",E64))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9BD5"/>
  </sheetPr>
  <dimension ref="A1:H16"/>
  <sheetViews>
    <sheetView workbookViewId="0">
      <selection activeCell="Q1" sqref="Q1"/>
    </sheetView>
  </sheetViews>
  <sheetFormatPr defaultRowHeight="14.5" x14ac:dyDescent="0.35"/>
  <cols>
    <col min="1" max="1" width="8.1796875" customWidth="1"/>
    <col min="2" max="2" width="27.26953125" customWidth="1"/>
    <col min="3" max="3" width="40" customWidth="1"/>
    <col min="4" max="4" width="41.81640625" customWidth="1"/>
    <col min="5" max="5" width="26.36328125" customWidth="1"/>
    <col min="6" max="6" width="20" customWidth="1"/>
    <col min="7" max="7" width="16.36328125" customWidth="1"/>
    <col min="8" max="8" width="32.7265625" customWidth="1"/>
  </cols>
  <sheetData>
    <row r="1" spans="1:8" ht="23.5" customHeight="1" x14ac:dyDescent="0.55000000000000004">
      <c r="A1" s="220" t="s">
        <v>436</v>
      </c>
      <c r="B1" s="218"/>
      <c r="C1" s="218"/>
      <c r="D1" s="218"/>
      <c r="E1" s="218"/>
      <c r="F1" s="218"/>
      <c r="G1" s="218"/>
      <c r="H1" s="218"/>
    </row>
    <row r="2" spans="1:8" x14ac:dyDescent="0.35">
      <c r="A2" s="219" t="s">
        <v>437</v>
      </c>
      <c r="B2" s="218"/>
      <c r="C2" s="218"/>
      <c r="D2" s="218"/>
      <c r="E2" s="218"/>
      <c r="F2" s="218"/>
      <c r="G2" s="218"/>
      <c r="H2" s="218"/>
    </row>
    <row r="4" spans="1:8" x14ac:dyDescent="0.35">
      <c r="A4" s="86" t="s">
        <v>438</v>
      </c>
      <c r="B4" s="80" t="s">
        <v>439</v>
      </c>
      <c r="C4" s="80" t="s">
        <v>53</v>
      </c>
      <c r="D4" s="80" t="s">
        <v>440</v>
      </c>
      <c r="E4" s="80" t="s">
        <v>441</v>
      </c>
      <c r="F4" s="80" t="s">
        <v>194</v>
      </c>
      <c r="G4" s="80" t="s">
        <v>138</v>
      </c>
      <c r="H4" s="87" t="s">
        <v>442</v>
      </c>
    </row>
    <row r="5" spans="1:8" ht="29" customHeight="1" x14ac:dyDescent="0.35">
      <c r="A5" s="84">
        <v>1</v>
      </c>
      <c r="B5" s="2" t="s">
        <v>443</v>
      </c>
      <c r="C5" s="38" t="s">
        <v>444</v>
      </c>
      <c r="D5" s="38" t="s">
        <v>445</v>
      </c>
      <c r="E5" s="2" t="s">
        <v>446</v>
      </c>
      <c r="F5" s="2" t="s">
        <v>349</v>
      </c>
      <c r="G5" s="2" t="s">
        <v>447</v>
      </c>
      <c r="H5" s="98" t="s">
        <v>448</v>
      </c>
    </row>
    <row r="6" spans="1:8" ht="29" customHeight="1" x14ac:dyDescent="0.35">
      <c r="A6" s="84">
        <v>2</v>
      </c>
      <c r="B6" s="2" t="s">
        <v>449</v>
      </c>
      <c r="C6" s="38" t="s">
        <v>450</v>
      </c>
      <c r="D6" s="38" t="s">
        <v>451</v>
      </c>
      <c r="E6" s="2" t="s">
        <v>452</v>
      </c>
      <c r="F6" s="2" t="s">
        <v>355</v>
      </c>
      <c r="G6" s="2" t="s">
        <v>447</v>
      </c>
      <c r="H6" s="98" t="s">
        <v>453</v>
      </c>
    </row>
    <row r="7" spans="1:8" ht="29" customHeight="1" x14ac:dyDescent="0.35">
      <c r="A7" s="84">
        <v>3</v>
      </c>
      <c r="B7" s="2" t="s">
        <v>454</v>
      </c>
      <c r="C7" s="38" t="s">
        <v>455</v>
      </c>
      <c r="D7" s="38" t="s">
        <v>456</v>
      </c>
      <c r="E7" s="2" t="s">
        <v>457</v>
      </c>
      <c r="F7" s="2" t="s">
        <v>351</v>
      </c>
      <c r="G7" s="2" t="s">
        <v>447</v>
      </c>
      <c r="H7" s="98" t="s">
        <v>458</v>
      </c>
    </row>
    <row r="8" spans="1:8" ht="29" customHeight="1" x14ac:dyDescent="0.35">
      <c r="A8" s="84">
        <v>4</v>
      </c>
      <c r="B8" s="2" t="s">
        <v>459</v>
      </c>
      <c r="C8" s="38" t="s">
        <v>460</v>
      </c>
      <c r="D8" s="38" t="s">
        <v>461</v>
      </c>
      <c r="E8" s="2" t="s">
        <v>462</v>
      </c>
      <c r="F8" s="2" t="s">
        <v>351</v>
      </c>
      <c r="G8" s="2" t="s">
        <v>447</v>
      </c>
      <c r="H8" s="98" t="s">
        <v>458</v>
      </c>
    </row>
    <row r="9" spans="1:8" ht="29" customHeight="1" x14ac:dyDescent="0.35">
      <c r="A9" s="84">
        <v>5</v>
      </c>
      <c r="B9" s="2" t="s">
        <v>463</v>
      </c>
      <c r="C9" s="38" t="s">
        <v>464</v>
      </c>
      <c r="D9" s="38" t="s">
        <v>465</v>
      </c>
      <c r="E9" s="2" t="s">
        <v>312</v>
      </c>
      <c r="F9" s="2" t="s">
        <v>345</v>
      </c>
      <c r="G9" s="2" t="s">
        <v>447</v>
      </c>
      <c r="H9" s="98" t="s">
        <v>458</v>
      </c>
    </row>
    <row r="10" spans="1:8" ht="29" customHeight="1" x14ac:dyDescent="0.35">
      <c r="A10" s="84">
        <v>6</v>
      </c>
      <c r="B10" s="2" t="s">
        <v>244</v>
      </c>
      <c r="C10" s="38" t="s">
        <v>466</v>
      </c>
      <c r="D10" s="38" t="s">
        <v>467</v>
      </c>
      <c r="E10" s="2" t="s">
        <v>246</v>
      </c>
      <c r="F10" s="2" t="s">
        <v>345</v>
      </c>
      <c r="G10" s="2" t="s">
        <v>447</v>
      </c>
      <c r="H10" s="98" t="s">
        <v>468</v>
      </c>
    </row>
    <row r="11" spans="1:8" ht="29" customHeight="1" x14ac:dyDescent="0.35">
      <c r="A11" s="84">
        <v>7</v>
      </c>
      <c r="B11" s="2" t="s">
        <v>469</v>
      </c>
      <c r="C11" s="38" t="s">
        <v>470</v>
      </c>
      <c r="D11" s="38" t="s">
        <v>471</v>
      </c>
      <c r="E11" s="2" t="s">
        <v>472</v>
      </c>
      <c r="F11" s="2" t="s">
        <v>415</v>
      </c>
      <c r="G11" s="2" t="s">
        <v>447</v>
      </c>
      <c r="H11" s="98" t="s">
        <v>473</v>
      </c>
    </row>
    <row r="12" spans="1:8" ht="29" customHeight="1" x14ac:dyDescent="0.35">
      <c r="A12" s="84">
        <v>8</v>
      </c>
      <c r="B12" s="2" t="s">
        <v>474</v>
      </c>
      <c r="C12" s="38" t="s">
        <v>475</v>
      </c>
      <c r="D12" s="38" t="s">
        <v>476</v>
      </c>
      <c r="E12" s="2" t="s">
        <v>477</v>
      </c>
      <c r="F12" s="2" t="s">
        <v>349</v>
      </c>
      <c r="G12" s="2" t="s">
        <v>478</v>
      </c>
      <c r="H12" s="98" t="s">
        <v>479</v>
      </c>
    </row>
    <row r="13" spans="1:8" ht="29" customHeight="1" x14ac:dyDescent="0.35">
      <c r="A13" s="84">
        <v>9</v>
      </c>
      <c r="B13" s="2" t="s">
        <v>480</v>
      </c>
      <c r="C13" s="38" t="s">
        <v>481</v>
      </c>
      <c r="D13" s="38" t="s">
        <v>482</v>
      </c>
      <c r="E13" s="2" t="s">
        <v>483</v>
      </c>
      <c r="F13" s="2" t="s">
        <v>345</v>
      </c>
      <c r="G13" s="2" t="s">
        <v>447</v>
      </c>
      <c r="H13" s="98" t="s">
        <v>458</v>
      </c>
    </row>
    <row r="14" spans="1:8" ht="29" customHeight="1" x14ac:dyDescent="0.35">
      <c r="A14" s="84">
        <v>10</v>
      </c>
      <c r="B14" s="2" t="s">
        <v>484</v>
      </c>
      <c r="C14" s="38" t="s">
        <v>485</v>
      </c>
      <c r="D14" s="38" t="s">
        <v>486</v>
      </c>
      <c r="E14" s="2" t="s">
        <v>487</v>
      </c>
      <c r="F14" s="2" t="s">
        <v>345</v>
      </c>
      <c r="G14" s="2" t="s">
        <v>447</v>
      </c>
      <c r="H14" s="98" t="s">
        <v>458</v>
      </c>
    </row>
    <row r="15" spans="1:8" ht="29" customHeight="1" x14ac:dyDescent="0.35">
      <c r="A15" s="84">
        <v>11</v>
      </c>
      <c r="B15" s="2" t="s">
        <v>488</v>
      </c>
      <c r="C15" s="38" t="s">
        <v>489</v>
      </c>
      <c r="D15" s="38" t="s">
        <v>490</v>
      </c>
      <c r="E15" s="2" t="s">
        <v>491</v>
      </c>
      <c r="F15" s="2" t="s">
        <v>492</v>
      </c>
      <c r="G15" s="2" t="s">
        <v>478</v>
      </c>
      <c r="H15" s="98" t="s">
        <v>458</v>
      </c>
    </row>
    <row r="16" spans="1:8" ht="29" customHeight="1" x14ac:dyDescent="0.35">
      <c r="A16" s="88">
        <v>12</v>
      </c>
      <c r="B16" s="89" t="s">
        <v>493</v>
      </c>
      <c r="C16" s="81" t="s">
        <v>494</v>
      </c>
      <c r="D16" s="81" t="s">
        <v>495</v>
      </c>
      <c r="E16" s="89" t="s">
        <v>496</v>
      </c>
      <c r="F16" s="89" t="s">
        <v>355</v>
      </c>
      <c r="G16" s="89" t="s">
        <v>478</v>
      </c>
      <c r="H16" s="99" t="s">
        <v>497</v>
      </c>
    </row>
  </sheetData>
  <mergeCells count="2">
    <mergeCell ref="A2:H2"/>
    <mergeCell ref="A1:H1"/>
  </mergeCells>
  <conditionalFormatting sqref="G5:G16">
    <cfRule type="containsText" dxfId="157" priority="1" operator="containsText" text="Active">
      <formula>NOT(ISERROR(SEARCH("Active",G5)))</formula>
    </cfRule>
    <cfRule type="containsText" dxfId="156" priority="2" operator="containsText" text="Template ready">
      <formula>NOT(ISERROR(SEARCH("Template ready",G5)))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9BD5"/>
  </sheetPr>
  <dimension ref="A1:H13"/>
  <sheetViews>
    <sheetView workbookViewId="0">
      <selection activeCell="Q1" sqref="Q1"/>
    </sheetView>
  </sheetViews>
  <sheetFormatPr defaultRowHeight="14.5" x14ac:dyDescent="0.35"/>
  <cols>
    <col min="1" max="1" width="38.1796875" customWidth="1"/>
    <col min="2" max="2" width="45.453125" customWidth="1"/>
    <col min="3" max="3" width="25.453125" customWidth="1"/>
    <col min="4" max="4" width="15.453125" customWidth="1"/>
    <col min="5" max="5" width="26.36328125" customWidth="1"/>
  </cols>
  <sheetData>
    <row r="1" spans="1:8" ht="23.5" customHeight="1" x14ac:dyDescent="0.55000000000000004">
      <c r="A1" s="221" t="s">
        <v>498</v>
      </c>
      <c r="B1" s="218"/>
      <c r="C1" s="218"/>
      <c r="D1" s="218"/>
      <c r="E1" s="218"/>
      <c r="F1" s="218"/>
      <c r="G1" s="218"/>
      <c r="H1" s="218"/>
    </row>
    <row r="2" spans="1:8" x14ac:dyDescent="0.35">
      <c r="A2" s="219" t="s">
        <v>499</v>
      </c>
      <c r="B2" s="218"/>
      <c r="C2" s="218"/>
      <c r="D2" s="218"/>
      <c r="E2" s="218"/>
      <c r="F2" s="218"/>
      <c r="G2" s="218"/>
      <c r="H2" s="218"/>
    </row>
    <row r="4" spans="1:8" x14ac:dyDescent="0.35">
      <c r="A4" s="86" t="s">
        <v>500</v>
      </c>
      <c r="B4" s="80" t="s">
        <v>440</v>
      </c>
      <c r="C4" s="80" t="s">
        <v>501</v>
      </c>
      <c r="D4" s="80" t="s">
        <v>138</v>
      </c>
      <c r="E4" s="87" t="s">
        <v>502</v>
      </c>
    </row>
    <row r="5" spans="1:8" ht="29" customHeight="1" x14ac:dyDescent="0.35">
      <c r="A5" s="100" t="s">
        <v>503</v>
      </c>
      <c r="B5" s="38" t="s">
        <v>504</v>
      </c>
      <c r="C5" s="2" t="s">
        <v>505</v>
      </c>
      <c r="D5" s="6" t="s">
        <v>506</v>
      </c>
      <c r="E5" s="85" t="s">
        <v>507</v>
      </c>
    </row>
    <row r="6" spans="1:8" ht="29" customHeight="1" x14ac:dyDescent="0.35">
      <c r="A6" s="100" t="s">
        <v>508</v>
      </c>
      <c r="B6" s="38" t="s">
        <v>509</v>
      </c>
      <c r="C6" s="2" t="s">
        <v>457</v>
      </c>
      <c r="D6" s="6" t="s">
        <v>506</v>
      </c>
      <c r="E6" s="85" t="s">
        <v>510</v>
      </c>
    </row>
    <row r="7" spans="1:8" ht="29" customHeight="1" x14ac:dyDescent="0.35">
      <c r="A7" s="100" t="s">
        <v>511</v>
      </c>
      <c r="B7" s="38" t="s">
        <v>512</v>
      </c>
      <c r="C7" s="2" t="s">
        <v>246</v>
      </c>
      <c r="D7" s="6" t="s">
        <v>506</v>
      </c>
      <c r="E7" s="85" t="s">
        <v>513</v>
      </c>
    </row>
    <row r="8" spans="1:8" ht="29" customHeight="1" x14ac:dyDescent="0.35">
      <c r="A8" s="100" t="s">
        <v>514</v>
      </c>
      <c r="B8" s="38" t="s">
        <v>515</v>
      </c>
      <c r="C8" s="2" t="s">
        <v>487</v>
      </c>
      <c r="D8" s="6" t="s">
        <v>506</v>
      </c>
      <c r="E8" s="85" t="s">
        <v>516</v>
      </c>
    </row>
    <row r="9" spans="1:8" ht="29" customHeight="1" x14ac:dyDescent="0.35">
      <c r="A9" s="100" t="s">
        <v>517</v>
      </c>
      <c r="B9" s="38" t="s">
        <v>518</v>
      </c>
      <c r="C9" s="2" t="s">
        <v>300</v>
      </c>
      <c r="D9" s="6" t="s">
        <v>506</v>
      </c>
      <c r="E9" s="85" t="s">
        <v>519</v>
      </c>
    </row>
    <row r="10" spans="1:8" ht="29" customHeight="1" x14ac:dyDescent="0.35">
      <c r="A10" s="100" t="s">
        <v>520</v>
      </c>
      <c r="B10" s="38" t="s">
        <v>521</v>
      </c>
      <c r="C10" s="2" t="s">
        <v>309</v>
      </c>
      <c r="D10" s="6" t="s">
        <v>506</v>
      </c>
      <c r="E10" s="85" t="s">
        <v>522</v>
      </c>
    </row>
    <row r="11" spans="1:8" ht="29" customHeight="1" x14ac:dyDescent="0.35">
      <c r="A11" s="100" t="s">
        <v>523</v>
      </c>
      <c r="B11" s="38" t="s">
        <v>524</v>
      </c>
      <c r="C11" s="2" t="s">
        <v>525</v>
      </c>
      <c r="D11" s="6" t="s">
        <v>506</v>
      </c>
      <c r="E11" s="85" t="s">
        <v>522</v>
      </c>
    </row>
    <row r="12" spans="1:8" ht="29" customHeight="1" x14ac:dyDescent="0.35">
      <c r="A12" s="100" t="s">
        <v>526</v>
      </c>
      <c r="B12" s="38" t="s">
        <v>527</v>
      </c>
      <c r="C12" s="2" t="s">
        <v>528</v>
      </c>
      <c r="D12" s="6" t="s">
        <v>506</v>
      </c>
      <c r="E12" s="85" t="s">
        <v>529</v>
      </c>
    </row>
    <row r="13" spans="1:8" ht="29" customHeight="1" x14ac:dyDescent="0.35">
      <c r="A13" s="101" t="s">
        <v>530</v>
      </c>
      <c r="B13" s="81" t="s">
        <v>531</v>
      </c>
      <c r="C13" s="89" t="s">
        <v>312</v>
      </c>
      <c r="D13" s="102" t="s">
        <v>506</v>
      </c>
      <c r="E13" s="90" t="s">
        <v>532</v>
      </c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H20"/>
  <sheetViews>
    <sheetView topLeftCell="E1" workbookViewId="0">
      <selection activeCell="Q1" sqref="Q1"/>
    </sheetView>
  </sheetViews>
  <sheetFormatPr defaultRowHeight="14.5" x14ac:dyDescent="0.35"/>
  <cols>
    <col min="1" max="1" width="34.54296875" customWidth="1"/>
    <col min="2" max="2" width="25.453125" customWidth="1"/>
    <col min="3" max="3" width="19.08984375" customWidth="1"/>
    <col min="4" max="4" width="41.81640625" customWidth="1"/>
  </cols>
  <sheetData>
    <row r="1" spans="1:8" ht="23.5" customHeight="1" x14ac:dyDescent="0.55000000000000004">
      <c r="A1" s="221" t="s">
        <v>533</v>
      </c>
      <c r="B1" s="218"/>
      <c r="C1" s="218"/>
      <c r="D1" s="218"/>
      <c r="E1" s="218"/>
      <c r="F1" s="218"/>
      <c r="G1" s="218"/>
      <c r="H1" s="218"/>
    </row>
    <row r="2" spans="1:8" x14ac:dyDescent="0.35">
      <c r="A2" s="219" t="s">
        <v>534</v>
      </c>
      <c r="B2" s="218"/>
      <c r="C2" s="218"/>
      <c r="D2" s="218"/>
      <c r="E2" s="218"/>
      <c r="F2" s="218"/>
      <c r="G2" s="218"/>
      <c r="H2" s="218"/>
    </row>
    <row r="4" spans="1:8" x14ac:dyDescent="0.35">
      <c r="A4" s="86" t="s">
        <v>101</v>
      </c>
      <c r="B4" s="87" t="s">
        <v>535</v>
      </c>
    </row>
    <row r="5" spans="1:8" x14ac:dyDescent="0.35">
      <c r="A5" s="84" t="s">
        <v>536</v>
      </c>
      <c r="B5" s="85" t="s">
        <v>701</v>
      </c>
    </row>
    <row r="6" spans="1:8" x14ac:dyDescent="0.35">
      <c r="A6" s="84" t="s">
        <v>362</v>
      </c>
      <c r="B6" s="85" t="s">
        <v>702</v>
      </c>
    </row>
    <row r="7" spans="1:8" x14ac:dyDescent="0.35">
      <c r="A7" s="84" t="s">
        <v>217</v>
      </c>
      <c r="B7" s="103">
        <v>46023</v>
      </c>
    </row>
    <row r="8" spans="1:8" x14ac:dyDescent="0.35">
      <c r="A8" s="84" t="s">
        <v>220</v>
      </c>
      <c r="B8" s="103">
        <v>46387</v>
      </c>
    </row>
    <row r="9" spans="1:8" x14ac:dyDescent="0.35">
      <c r="A9" s="84" t="s">
        <v>223</v>
      </c>
      <c r="B9" s="103">
        <v>46203</v>
      </c>
    </row>
    <row r="10" spans="1:8" x14ac:dyDescent="0.35">
      <c r="A10" s="84" t="s">
        <v>537</v>
      </c>
      <c r="B10" s="85" t="s">
        <v>538</v>
      </c>
    </row>
    <row r="11" spans="1:8" x14ac:dyDescent="0.35">
      <c r="A11" s="84" t="s">
        <v>539</v>
      </c>
      <c r="B11" s="104">
        <v>267150</v>
      </c>
    </row>
    <row r="12" spans="1:8" x14ac:dyDescent="0.35">
      <c r="A12" s="84" t="s">
        <v>540</v>
      </c>
      <c r="B12" s="105">
        <v>0.95</v>
      </c>
    </row>
    <row r="13" spans="1:8" x14ac:dyDescent="0.35">
      <c r="A13" s="84" t="s">
        <v>541</v>
      </c>
      <c r="B13" s="105">
        <v>1</v>
      </c>
    </row>
    <row r="14" spans="1:8" x14ac:dyDescent="0.35">
      <c r="A14" s="84" t="s">
        <v>542</v>
      </c>
      <c r="B14" s="105">
        <v>0.5</v>
      </c>
    </row>
    <row r="15" spans="1:8" x14ac:dyDescent="0.35">
      <c r="A15" s="88" t="s">
        <v>543</v>
      </c>
      <c r="B15" s="106">
        <v>0.8</v>
      </c>
    </row>
    <row r="17" spans="1:4" x14ac:dyDescent="0.35">
      <c r="A17" s="86" t="s">
        <v>10</v>
      </c>
      <c r="B17" s="80" t="s">
        <v>544</v>
      </c>
      <c r="C17" s="80" t="s">
        <v>545</v>
      </c>
      <c r="D17" s="87" t="s">
        <v>546</v>
      </c>
    </row>
    <row r="18" spans="1:4" x14ac:dyDescent="0.35">
      <c r="A18" s="107" t="s">
        <v>15</v>
      </c>
      <c r="B18" s="2" t="s">
        <v>547</v>
      </c>
      <c r="C18" s="2" t="s">
        <v>548</v>
      </c>
      <c r="D18" s="85" t="s">
        <v>549</v>
      </c>
    </row>
    <row r="19" spans="1:4" x14ac:dyDescent="0.35">
      <c r="A19" s="108" t="s">
        <v>21</v>
      </c>
      <c r="B19" s="2" t="s">
        <v>547</v>
      </c>
      <c r="C19" s="2" t="s">
        <v>550</v>
      </c>
      <c r="D19" s="85" t="s">
        <v>551</v>
      </c>
    </row>
    <row r="20" spans="1:4" x14ac:dyDescent="0.35">
      <c r="A20" s="110" t="s">
        <v>20</v>
      </c>
      <c r="B20" s="89" t="s">
        <v>547</v>
      </c>
      <c r="C20" s="89" t="s">
        <v>552</v>
      </c>
      <c r="D20" s="90" t="s">
        <v>553</v>
      </c>
    </row>
  </sheetData>
  <mergeCells count="2">
    <mergeCell ref="A2:H2"/>
    <mergeCell ref="A1:H1"/>
  </mergeCells>
  <conditionalFormatting sqref="A18:A20">
    <cfRule type="expression" dxfId="155" priority="1">
      <formula>ISNUMBER(SEARCH("Red",A18))</formula>
    </cfRule>
    <cfRule type="expression" dxfId="154" priority="2">
      <formula>ISNUMBER(SEARCH("Amber",A18))</formula>
    </cfRule>
    <cfRule type="expression" dxfId="153" priority="3">
      <formula>ISNUMBER(SEARCH("Green",A18))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T17"/>
  <sheetViews>
    <sheetView workbookViewId="0">
      <selection activeCell="Q1" sqref="Q1"/>
    </sheetView>
  </sheetViews>
  <sheetFormatPr defaultRowHeight="14.5" x14ac:dyDescent="0.35"/>
  <cols>
    <col min="1" max="1" width="20.81640625" bestFit="1" customWidth="1"/>
    <col min="2" max="2" width="13.90625" bestFit="1" customWidth="1"/>
    <col min="3" max="3" width="22.7265625" bestFit="1" customWidth="1"/>
    <col min="4" max="4" width="12.54296875" bestFit="1" customWidth="1"/>
    <col min="5" max="5" width="16.81640625" bestFit="1" customWidth="1"/>
    <col min="6" max="6" width="17.6328125" bestFit="1" customWidth="1"/>
    <col min="7" max="7" width="17.26953125" bestFit="1" customWidth="1"/>
    <col min="8" max="8" width="14.1796875" bestFit="1" customWidth="1"/>
    <col min="9" max="10" width="15.6328125" bestFit="1" customWidth="1"/>
    <col min="11" max="11" width="14.453125" bestFit="1" customWidth="1"/>
    <col min="12" max="12" width="15.54296875" bestFit="1" customWidth="1"/>
    <col min="13" max="13" width="7.453125" bestFit="1" customWidth="1"/>
    <col min="14" max="14" width="7.6328125" bestFit="1" customWidth="1"/>
    <col min="15" max="15" width="7.90625" bestFit="1" customWidth="1"/>
    <col min="16" max="16" width="8.08984375" bestFit="1" customWidth="1"/>
    <col min="17" max="17" width="8.6328125" bestFit="1" customWidth="1"/>
    <col min="18" max="18" width="8.453125" bestFit="1" customWidth="1"/>
    <col min="19" max="19" width="8.81640625" bestFit="1" customWidth="1"/>
    <col min="20" max="20" width="10.6328125" bestFit="1" customWidth="1"/>
  </cols>
  <sheetData>
    <row r="1" spans="1:20" ht="23.5" x14ac:dyDescent="0.55000000000000004">
      <c r="A1" s="221" t="s">
        <v>60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1:20" x14ac:dyDescent="0.35">
      <c r="A2" s="219" t="s">
        <v>554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</row>
    <row r="4" spans="1:20" x14ac:dyDescent="0.35">
      <c r="A4" s="86" t="s">
        <v>2</v>
      </c>
      <c r="B4" s="80" t="s">
        <v>555</v>
      </c>
      <c r="C4" s="80" t="s">
        <v>556</v>
      </c>
      <c r="D4" s="80" t="s">
        <v>141</v>
      </c>
      <c r="E4" s="80" t="s">
        <v>4</v>
      </c>
      <c r="F4" s="80" t="s">
        <v>5</v>
      </c>
      <c r="G4" s="80" t="s">
        <v>241</v>
      </c>
      <c r="H4" s="80" t="s">
        <v>557</v>
      </c>
      <c r="I4" s="80" t="s">
        <v>558</v>
      </c>
      <c r="J4" s="80" t="s">
        <v>559</v>
      </c>
      <c r="K4" s="80" t="s">
        <v>261</v>
      </c>
      <c r="L4" s="80" t="s">
        <v>560</v>
      </c>
      <c r="M4" s="80" t="s">
        <v>270</v>
      </c>
      <c r="N4" s="80" t="s">
        <v>274</v>
      </c>
      <c r="O4" s="80" t="s">
        <v>8</v>
      </c>
      <c r="P4" s="80" t="s">
        <v>9</v>
      </c>
      <c r="Q4" s="80" t="s">
        <v>286</v>
      </c>
      <c r="R4" s="80" t="s">
        <v>290</v>
      </c>
      <c r="S4" s="80" t="s">
        <v>294</v>
      </c>
      <c r="T4" s="87" t="s">
        <v>138</v>
      </c>
    </row>
    <row r="5" spans="1:20" x14ac:dyDescent="0.35">
      <c r="A5" s="84" t="s">
        <v>623</v>
      </c>
      <c r="B5" s="2">
        <v>1</v>
      </c>
      <c r="C5" s="2" t="s">
        <v>708</v>
      </c>
      <c r="D5" s="2" t="s">
        <v>647</v>
      </c>
      <c r="E5" s="30">
        <v>46153</v>
      </c>
      <c r="F5" s="30">
        <v>46229</v>
      </c>
      <c r="G5" s="251">
        <v>77</v>
      </c>
      <c r="H5" s="251">
        <v>16500</v>
      </c>
      <c r="I5" s="251">
        <v>12000</v>
      </c>
      <c r="J5" s="251">
        <v>9280</v>
      </c>
      <c r="K5" s="32">
        <v>0.5</v>
      </c>
      <c r="L5" s="251">
        <v>8250</v>
      </c>
      <c r="M5" s="251">
        <v>-3750</v>
      </c>
      <c r="N5" s="251">
        <v>-1030</v>
      </c>
      <c r="O5" s="34">
        <v>0.6875</v>
      </c>
      <c r="P5" s="34">
        <v>0.88900862068965514</v>
      </c>
      <c r="Q5" s="251">
        <v>18560</v>
      </c>
      <c r="R5" s="251">
        <v>9280</v>
      </c>
      <c r="S5" s="251">
        <v>-2060</v>
      </c>
      <c r="T5" s="85" t="s">
        <v>20</v>
      </c>
    </row>
    <row r="6" spans="1:20" x14ac:dyDescent="0.35">
      <c r="A6" s="84" t="s">
        <v>18</v>
      </c>
      <c r="B6" s="2">
        <v>2</v>
      </c>
      <c r="C6" s="2" t="s">
        <v>19</v>
      </c>
      <c r="D6" s="2" t="s">
        <v>647</v>
      </c>
      <c r="E6" s="30">
        <v>46146</v>
      </c>
      <c r="F6" s="30">
        <v>46152</v>
      </c>
      <c r="G6" s="251">
        <v>7</v>
      </c>
      <c r="H6" s="251">
        <v>8500</v>
      </c>
      <c r="I6" s="251">
        <v>8500</v>
      </c>
      <c r="J6" s="251">
        <v>8700</v>
      </c>
      <c r="K6" s="32">
        <v>1</v>
      </c>
      <c r="L6" s="251">
        <v>8500</v>
      </c>
      <c r="M6" s="251">
        <v>0</v>
      </c>
      <c r="N6" s="251">
        <v>-200</v>
      </c>
      <c r="O6" s="34">
        <v>1</v>
      </c>
      <c r="P6" s="34">
        <v>0.97701149425287359</v>
      </c>
      <c r="Q6" s="251">
        <v>8700</v>
      </c>
      <c r="R6" s="251">
        <v>0</v>
      </c>
      <c r="S6" s="251">
        <v>-200</v>
      </c>
      <c r="T6" s="85" t="s">
        <v>20</v>
      </c>
    </row>
    <row r="7" spans="1:20" x14ac:dyDescent="0.35">
      <c r="A7" s="84" t="s">
        <v>24</v>
      </c>
      <c r="B7" s="2">
        <v>3</v>
      </c>
      <c r="C7" s="2" t="s">
        <v>25</v>
      </c>
      <c r="D7" s="2" t="s">
        <v>647</v>
      </c>
      <c r="E7" s="30">
        <v>46146</v>
      </c>
      <c r="F7" s="30">
        <v>46166</v>
      </c>
      <c r="G7" s="251">
        <v>21</v>
      </c>
      <c r="H7" s="251">
        <v>19200</v>
      </c>
      <c r="I7" s="251">
        <v>19200</v>
      </c>
      <c r="J7" s="251">
        <v>18195.04</v>
      </c>
      <c r="K7" s="32">
        <v>1</v>
      </c>
      <c r="L7" s="251">
        <v>19200</v>
      </c>
      <c r="M7" s="251">
        <v>0</v>
      </c>
      <c r="N7" s="251">
        <v>1004.9599999999991</v>
      </c>
      <c r="O7" s="34">
        <v>1</v>
      </c>
      <c r="P7" s="34">
        <v>1.055232634827953</v>
      </c>
      <c r="Q7" s="251">
        <v>18195.04</v>
      </c>
      <c r="R7" s="251">
        <v>0</v>
      </c>
      <c r="S7" s="251">
        <v>1004.9599999999991</v>
      </c>
      <c r="T7" s="85" t="s">
        <v>15</v>
      </c>
    </row>
    <row r="8" spans="1:20" x14ac:dyDescent="0.35">
      <c r="A8" s="84" t="s">
        <v>28</v>
      </c>
      <c r="B8" s="2">
        <v>4</v>
      </c>
      <c r="C8" s="2" t="s">
        <v>29</v>
      </c>
      <c r="D8" s="2" t="s">
        <v>648</v>
      </c>
      <c r="E8" s="30">
        <v>46153</v>
      </c>
      <c r="F8" s="30">
        <v>46180</v>
      </c>
      <c r="G8" s="251">
        <v>28</v>
      </c>
      <c r="H8" s="251">
        <v>42000</v>
      </c>
      <c r="I8" s="251">
        <v>42000</v>
      </c>
      <c r="J8" s="251">
        <v>41300</v>
      </c>
      <c r="K8" s="32">
        <v>1</v>
      </c>
      <c r="L8" s="251">
        <v>42000</v>
      </c>
      <c r="M8" s="251">
        <v>0</v>
      </c>
      <c r="N8" s="251">
        <v>700</v>
      </c>
      <c r="O8" s="34">
        <v>1</v>
      </c>
      <c r="P8" s="34">
        <v>1.0169491525423728</v>
      </c>
      <c r="Q8" s="251">
        <v>41300</v>
      </c>
      <c r="R8" s="251">
        <v>0</v>
      </c>
      <c r="S8" s="251">
        <v>700</v>
      </c>
      <c r="T8" s="85" t="s">
        <v>15</v>
      </c>
    </row>
    <row r="9" spans="1:20" x14ac:dyDescent="0.35">
      <c r="A9" s="84" t="s">
        <v>33</v>
      </c>
      <c r="B9" s="2">
        <v>5</v>
      </c>
      <c r="C9" s="2" t="s">
        <v>34</v>
      </c>
      <c r="D9" s="2" t="s">
        <v>647</v>
      </c>
      <c r="E9" s="30">
        <v>46153</v>
      </c>
      <c r="F9" s="30">
        <v>46173</v>
      </c>
      <c r="G9" s="251">
        <v>21</v>
      </c>
      <c r="H9" s="251">
        <v>13200</v>
      </c>
      <c r="I9" s="251">
        <v>13200</v>
      </c>
      <c r="J9" s="251">
        <v>13408.159999999998</v>
      </c>
      <c r="K9" s="32">
        <v>1</v>
      </c>
      <c r="L9" s="251">
        <v>13200</v>
      </c>
      <c r="M9" s="251">
        <v>0</v>
      </c>
      <c r="N9" s="251">
        <v>-208.15999999999804</v>
      </c>
      <c r="O9" s="34">
        <v>1</v>
      </c>
      <c r="P9" s="34">
        <v>0.98447512559516015</v>
      </c>
      <c r="Q9" s="251">
        <v>13408.159999999998</v>
      </c>
      <c r="R9" s="251">
        <v>0</v>
      </c>
      <c r="S9" s="251">
        <v>-208.15999999999804</v>
      </c>
      <c r="T9" s="85" t="s">
        <v>20</v>
      </c>
    </row>
    <row r="10" spans="1:20" x14ac:dyDescent="0.35">
      <c r="A10" s="84" t="s">
        <v>35</v>
      </c>
      <c r="B10" s="2">
        <v>6</v>
      </c>
      <c r="C10" s="2" t="s">
        <v>36</v>
      </c>
      <c r="D10" s="2" t="s">
        <v>647</v>
      </c>
      <c r="E10" s="30">
        <v>46167</v>
      </c>
      <c r="F10" s="30">
        <v>46187</v>
      </c>
      <c r="G10" s="251">
        <v>21</v>
      </c>
      <c r="H10" s="251">
        <v>26000</v>
      </c>
      <c r="I10" s="251">
        <v>26000</v>
      </c>
      <c r="J10" s="251">
        <v>26206.239999999998</v>
      </c>
      <c r="K10" s="32">
        <v>0.7</v>
      </c>
      <c r="L10" s="251">
        <v>18200</v>
      </c>
      <c r="M10" s="251">
        <v>-7800</v>
      </c>
      <c r="N10" s="251">
        <v>-8006.239999999998</v>
      </c>
      <c r="O10" s="34">
        <v>0.7</v>
      </c>
      <c r="P10" s="34">
        <v>0.69449108303976459</v>
      </c>
      <c r="Q10" s="251">
        <v>37437.485714285714</v>
      </c>
      <c r="R10" s="251">
        <v>11231.245714285717</v>
      </c>
      <c r="S10" s="251">
        <v>-11437.485714285714</v>
      </c>
      <c r="T10" s="85" t="s">
        <v>20</v>
      </c>
    </row>
    <row r="11" spans="1:20" x14ac:dyDescent="0.35">
      <c r="A11" s="84" t="s">
        <v>37</v>
      </c>
      <c r="B11" s="2">
        <v>7</v>
      </c>
      <c r="C11" s="2" t="s">
        <v>38</v>
      </c>
      <c r="D11" s="2" t="s">
        <v>649</v>
      </c>
      <c r="E11" s="30">
        <v>46174</v>
      </c>
      <c r="F11" s="30">
        <v>46201</v>
      </c>
      <c r="G11" s="251">
        <v>28</v>
      </c>
      <c r="H11" s="251">
        <v>36000</v>
      </c>
      <c r="I11" s="251">
        <v>36000</v>
      </c>
      <c r="J11" s="251">
        <v>17476.8</v>
      </c>
      <c r="K11" s="32">
        <v>0.4</v>
      </c>
      <c r="L11" s="251">
        <v>14400</v>
      </c>
      <c r="M11" s="251">
        <v>-21600</v>
      </c>
      <c r="N11" s="251">
        <v>-3076.7999999999993</v>
      </c>
      <c r="O11" s="34">
        <v>0.4</v>
      </c>
      <c r="P11" s="34">
        <v>0.82394946443284811</v>
      </c>
      <c r="Q11" s="251">
        <v>43692</v>
      </c>
      <c r="R11" s="251">
        <v>26215.200000000001</v>
      </c>
      <c r="S11" s="251">
        <v>-7692</v>
      </c>
      <c r="T11" s="85" t="s">
        <v>20</v>
      </c>
    </row>
    <row r="12" spans="1:20" x14ac:dyDescent="0.35">
      <c r="A12" s="84" t="s">
        <v>39</v>
      </c>
      <c r="B12" s="2">
        <v>8</v>
      </c>
      <c r="C12" s="2" t="s">
        <v>40</v>
      </c>
      <c r="D12" s="2" t="s">
        <v>649</v>
      </c>
      <c r="E12" s="30">
        <v>46181</v>
      </c>
      <c r="F12" s="30">
        <v>46208</v>
      </c>
      <c r="G12" s="251">
        <v>28</v>
      </c>
      <c r="H12" s="251">
        <v>28000</v>
      </c>
      <c r="I12" s="251">
        <v>28000</v>
      </c>
      <c r="J12" s="251">
        <v>7099.2</v>
      </c>
      <c r="K12" s="32">
        <v>0.24885699999999999</v>
      </c>
      <c r="L12" s="251">
        <v>6967.9960000000001</v>
      </c>
      <c r="M12" s="251">
        <v>-21032.004000000001</v>
      </c>
      <c r="N12" s="251">
        <v>-131.20399999999972</v>
      </c>
      <c r="O12" s="34">
        <v>0.24885699999999999</v>
      </c>
      <c r="P12" s="34">
        <v>0.98151848095560068</v>
      </c>
      <c r="Q12" s="251">
        <v>28527.226479464109</v>
      </c>
      <c r="R12" s="251">
        <v>21428.026479464108</v>
      </c>
      <c r="S12" s="251">
        <v>-527.22647946410871</v>
      </c>
      <c r="T12" s="85" t="s">
        <v>20</v>
      </c>
    </row>
    <row r="13" spans="1:20" x14ac:dyDescent="0.35">
      <c r="A13" s="84" t="s">
        <v>41</v>
      </c>
      <c r="B13" s="2">
        <v>9</v>
      </c>
      <c r="C13" s="2" t="s">
        <v>42</v>
      </c>
      <c r="D13" s="2" t="s">
        <v>648</v>
      </c>
      <c r="E13" s="30">
        <v>46195</v>
      </c>
      <c r="F13" s="30">
        <v>46215</v>
      </c>
      <c r="G13" s="251">
        <v>21</v>
      </c>
      <c r="H13" s="251">
        <v>35750</v>
      </c>
      <c r="I13" s="251">
        <v>23833.34</v>
      </c>
      <c r="J13" s="251">
        <v>0</v>
      </c>
      <c r="K13" s="32">
        <v>0</v>
      </c>
      <c r="L13" s="251">
        <v>0</v>
      </c>
      <c r="M13" s="251">
        <v>-23833.34</v>
      </c>
      <c r="N13" s="251">
        <v>0</v>
      </c>
      <c r="O13" s="34">
        <v>0</v>
      </c>
      <c r="P13" s="34">
        <v>1</v>
      </c>
      <c r="Q13" s="251">
        <v>35750</v>
      </c>
      <c r="R13" s="251">
        <v>35750</v>
      </c>
      <c r="S13" s="251">
        <v>0</v>
      </c>
      <c r="T13" s="85" t="s">
        <v>20</v>
      </c>
    </row>
    <row r="14" spans="1:20" x14ac:dyDescent="0.35">
      <c r="A14" s="84" t="s">
        <v>43</v>
      </c>
      <c r="B14" s="2">
        <v>10</v>
      </c>
      <c r="C14" s="2" t="s">
        <v>44</v>
      </c>
      <c r="D14" s="2" t="s">
        <v>648</v>
      </c>
      <c r="E14" s="30">
        <v>46202</v>
      </c>
      <c r="F14" s="30">
        <v>46222</v>
      </c>
      <c r="G14" s="251">
        <v>21</v>
      </c>
      <c r="H14" s="251">
        <v>30000</v>
      </c>
      <c r="I14" s="251">
        <v>10000</v>
      </c>
      <c r="J14" s="251">
        <v>0</v>
      </c>
      <c r="K14" s="32">
        <v>0</v>
      </c>
      <c r="L14" s="251">
        <v>0</v>
      </c>
      <c r="M14" s="251">
        <v>-10000</v>
      </c>
      <c r="N14" s="251">
        <v>0</v>
      </c>
      <c r="O14" s="34">
        <v>0</v>
      </c>
      <c r="P14" s="34">
        <v>1</v>
      </c>
      <c r="Q14" s="251">
        <v>30000</v>
      </c>
      <c r="R14" s="251">
        <v>30000</v>
      </c>
      <c r="S14" s="251">
        <v>0</v>
      </c>
      <c r="T14" s="85" t="s">
        <v>20</v>
      </c>
    </row>
    <row r="15" spans="1:20" x14ac:dyDescent="0.35">
      <c r="A15" s="84" t="s">
        <v>45</v>
      </c>
      <c r="B15" s="2">
        <v>11</v>
      </c>
      <c r="C15" s="2" t="s">
        <v>46</v>
      </c>
      <c r="D15" s="2" t="s">
        <v>647</v>
      </c>
      <c r="E15" s="30">
        <v>46216</v>
      </c>
      <c r="F15" s="30">
        <v>46229</v>
      </c>
      <c r="G15" s="251">
        <v>14</v>
      </c>
      <c r="H15" s="251">
        <v>8400</v>
      </c>
      <c r="I15" s="251">
        <v>0</v>
      </c>
      <c r="J15" s="251">
        <v>0</v>
      </c>
      <c r="K15" s="32">
        <v>0</v>
      </c>
      <c r="L15" s="251">
        <v>0</v>
      </c>
      <c r="M15" s="251">
        <v>0</v>
      </c>
      <c r="N15" s="251">
        <v>0</v>
      </c>
      <c r="O15" s="34">
        <v>1</v>
      </c>
      <c r="P15" s="34">
        <v>1</v>
      </c>
      <c r="Q15" s="251">
        <v>8400</v>
      </c>
      <c r="R15" s="251">
        <v>8400</v>
      </c>
      <c r="S15" s="251">
        <v>0</v>
      </c>
      <c r="T15" s="85" t="s">
        <v>15</v>
      </c>
    </row>
    <row r="16" spans="1:20" x14ac:dyDescent="0.35">
      <c r="A16" s="88" t="s">
        <v>47</v>
      </c>
      <c r="B16" s="89">
        <v>12</v>
      </c>
      <c r="C16" s="89" t="s">
        <v>48</v>
      </c>
      <c r="D16" s="89" t="s">
        <v>647</v>
      </c>
      <c r="E16" s="111">
        <v>46223</v>
      </c>
      <c r="F16" s="111">
        <v>46229</v>
      </c>
      <c r="G16" s="252">
        <v>7</v>
      </c>
      <c r="H16" s="252">
        <v>3600</v>
      </c>
      <c r="I16" s="252">
        <v>0</v>
      </c>
      <c r="J16" s="252">
        <v>0</v>
      </c>
      <c r="K16" s="113">
        <v>0</v>
      </c>
      <c r="L16" s="252">
        <v>0</v>
      </c>
      <c r="M16" s="252">
        <v>0</v>
      </c>
      <c r="N16" s="252">
        <v>0</v>
      </c>
      <c r="O16" s="114">
        <v>1</v>
      </c>
      <c r="P16" s="114">
        <v>1</v>
      </c>
      <c r="Q16" s="252">
        <v>3600</v>
      </c>
      <c r="R16" s="252">
        <v>3600</v>
      </c>
      <c r="S16" s="252">
        <v>0</v>
      </c>
      <c r="T16" s="90" t="s">
        <v>15</v>
      </c>
    </row>
    <row r="17" spans="1:20" x14ac:dyDescent="0.35">
      <c r="A17" s="256" t="s">
        <v>562</v>
      </c>
      <c r="B17" s="257"/>
      <c r="C17" s="257"/>
      <c r="D17" s="257"/>
      <c r="E17" s="258"/>
      <c r="F17" s="258"/>
      <c r="G17" s="259"/>
      <c r="H17" s="259">
        <v>267150</v>
      </c>
      <c r="I17" s="259">
        <v>218733.34</v>
      </c>
      <c r="J17" s="259">
        <v>141665.44</v>
      </c>
      <c r="K17" s="260">
        <v>0.48930561856634847</v>
      </c>
      <c r="L17" s="259">
        <v>130717.996</v>
      </c>
      <c r="M17" s="259">
        <v>-88015.343999999997</v>
      </c>
      <c r="N17" s="259">
        <v>-10947.444000000003</v>
      </c>
      <c r="O17" s="261">
        <v>0.59761349595813784</v>
      </c>
      <c r="P17" s="261">
        <v>0.92272325558018953</v>
      </c>
      <c r="Q17" s="259">
        <v>289523.42794484086</v>
      </c>
      <c r="R17" s="259">
        <v>147857.98794484086</v>
      </c>
      <c r="S17" s="259">
        <v>-22373.427944840863</v>
      </c>
      <c r="T17" s="262" t="s">
        <v>20</v>
      </c>
    </row>
  </sheetData>
  <mergeCells count="2">
    <mergeCell ref="A1:P1"/>
    <mergeCell ref="A2:P2"/>
  </mergeCells>
  <conditionalFormatting sqref="M5:N16">
    <cfRule type="cellIs" dxfId="152" priority="7" operator="lessThan">
      <formula>0</formula>
    </cfRule>
    <cfRule type="cellIs" dxfId="151" priority="8" operator="greaterThanOrEqual">
      <formula>0</formula>
    </cfRule>
  </conditionalFormatting>
  <conditionalFormatting sqref="O5:P16">
    <cfRule type="cellIs" dxfId="150" priority="4" operator="lessThan">
      <formula>0.95</formula>
    </cfRule>
    <cfRule type="cellIs" dxfId="149" priority="5" operator="between">
      <formula>0.95</formula>
      <formula>0.999999</formula>
    </cfRule>
    <cfRule type="cellIs" dxfId="148" priority="6" operator="greaterThanOrEqual">
      <formula>1</formula>
    </cfRule>
  </conditionalFormatting>
  <conditionalFormatting sqref="T5:T16">
    <cfRule type="expression" dxfId="147" priority="9">
      <formula>ISNUMBER(SEARCH("Red",T5))</formula>
    </cfRule>
    <cfRule type="expression" dxfId="146" priority="10">
      <formula>ISNUMBER(SEARCH("Amber",T5))</formula>
    </cfRule>
    <cfRule type="expression" dxfId="145" priority="11">
      <formula>ISNUMBER(SEARCH("Green",T5))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J21"/>
  <sheetViews>
    <sheetView workbookViewId="0">
      <selection activeCell="Q1" sqref="Q1"/>
    </sheetView>
  </sheetViews>
  <sheetFormatPr defaultRowHeight="14.5" x14ac:dyDescent="0.35"/>
  <cols>
    <col min="1" max="1" width="36.81640625" bestFit="1" customWidth="1"/>
    <col min="2" max="2" width="34.26953125" bestFit="1" customWidth="1"/>
    <col min="3" max="3" width="11.453125" bestFit="1" customWidth="1"/>
    <col min="4" max="4" width="9.36328125" bestFit="1" customWidth="1"/>
    <col min="5" max="5" width="13.453125" bestFit="1" customWidth="1"/>
    <col min="6" max="6" width="21.1796875" bestFit="1" customWidth="1"/>
    <col min="7" max="7" width="11.6328125" bestFit="1" customWidth="1"/>
    <col min="8" max="8" width="34.90625" bestFit="1" customWidth="1"/>
    <col min="9" max="9" width="33.453125" bestFit="1" customWidth="1"/>
    <col min="10" max="10" width="23.1796875" bestFit="1" customWidth="1"/>
  </cols>
  <sheetData>
    <row r="1" spans="1:10" ht="23.5" x14ac:dyDescent="0.55000000000000004">
      <c r="A1" s="220" t="s">
        <v>563</v>
      </c>
      <c r="B1" s="218"/>
      <c r="C1" s="218"/>
      <c r="D1" s="218"/>
      <c r="E1" s="218"/>
      <c r="F1" s="218"/>
      <c r="G1" s="218"/>
      <c r="H1" s="218"/>
      <c r="I1" s="218"/>
      <c r="J1" s="218"/>
    </row>
    <row r="2" spans="1:10" x14ac:dyDescent="0.35">
      <c r="A2" s="219" t="s">
        <v>564</v>
      </c>
      <c r="B2" s="218"/>
      <c r="C2" s="218"/>
      <c r="D2" s="218"/>
      <c r="E2" s="218"/>
      <c r="F2" s="218"/>
      <c r="G2" s="218"/>
      <c r="H2" s="218"/>
      <c r="I2" s="218"/>
      <c r="J2" s="218"/>
    </row>
    <row r="4" spans="1:10" x14ac:dyDescent="0.35">
      <c r="A4" s="86" t="s">
        <v>565</v>
      </c>
      <c r="B4" s="80" t="s">
        <v>566</v>
      </c>
      <c r="C4" s="80" t="s">
        <v>2</v>
      </c>
      <c r="D4" s="80" t="s">
        <v>141</v>
      </c>
      <c r="E4" s="80" t="s">
        <v>567</v>
      </c>
      <c r="F4" s="80" t="s">
        <v>568</v>
      </c>
      <c r="G4" s="80" t="s">
        <v>194</v>
      </c>
      <c r="H4" s="80" t="s">
        <v>569</v>
      </c>
      <c r="I4" s="80" t="s">
        <v>570</v>
      </c>
      <c r="J4" s="87" t="s">
        <v>571</v>
      </c>
    </row>
    <row r="5" spans="1:10" ht="29" x14ac:dyDescent="0.35">
      <c r="A5" s="84">
        <v>1</v>
      </c>
      <c r="B5" s="2" t="s">
        <v>708</v>
      </c>
      <c r="C5" s="2" t="s">
        <v>623</v>
      </c>
      <c r="D5" s="2" t="s">
        <v>647</v>
      </c>
      <c r="E5" s="4" t="s">
        <v>346</v>
      </c>
      <c r="F5" s="2" t="s">
        <v>352</v>
      </c>
      <c r="G5" s="2" t="s">
        <v>355</v>
      </c>
      <c r="H5" s="38" t="s">
        <v>839</v>
      </c>
      <c r="I5" s="38" t="s">
        <v>840</v>
      </c>
      <c r="J5" s="85" t="s">
        <v>841</v>
      </c>
    </row>
    <row r="6" spans="1:10" ht="29" x14ac:dyDescent="0.35">
      <c r="A6" s="84">
        <v>2</v>
      </c>
      <c r="B6" s="2" t="s">
        <v>19</v>
      </c>
      <c r="C6" s="2" t="s">
        <v>18</v>
      </c>
      <c r="D6" s="2" t="s">
        <v>647</v>
      </c>
      <c r="E6" s="4" t="s">
        <v>346</v>
      </c>
      <c r="F6" s="2" t="s">
        <v>352</v>
      </c>
      <c r="G6" s="2" t="s">
        <v>355</v>
      </c>
      <c r="H6" s="38" t="s">
        <v>839</v>
      </c>
      <c r="I6" s="38" t="s">
        <v>840</v>
      </c>
      <c r="J6" s="85" t="s">
        <v>841</v>
      </c>
    </row>
    <row r="7" spans="1:10" ht="29" x14ac:dyDescent="0.35">
      <c r="A7" s="84">
        <v>3</v>
      </c>
      <c r="B7" s="2" t="s">
        <v>25</v>
      </c>
      <c r="C7" s="2" t="s">
        <v>24</v>
      </c>
      <c r="D7" s="2" t="s">
        <v>647</v>
      </c>
      <c r="E7" s="4" t="s">
        <v>346</v>
      </c>
      <c r="F7" s="2" t="s">
        <v>352</v>
      </c>
      <c r="G7" s="2" t="s">
        <v>355</v>
      </c>
      <c r="H7" s="38" t="s">
        <v>839</v>
      </c>
      <c r="I7" s="38" t="s">
        <v>840</v>
      </c>
      <c r="J7" s="85" t="s">
        <v>841</v>
      </c>
    </row>
    <row r="8" spans="1:10" ht="29" x14ac:dyDescent="0.35">
      <c r="A8" s="84">
        <v>4</v>
      </c>
      <c r="B8" s="2" t="s">
        <v>29</v>
      </c>
      <c r="C8" s="2" t="s">
        <v>28</v>
      </c>
      <c r="D8" s="2" t="s">
        <v>648</v>
      </c>
      <c r="E8" s="4" t="s">
        <v>346</v>
      </c>
      <c r="F8" s="2" t="s">
        <v>352</v>
      </c>
      <c r="G8" s="2" t="s">
        <v>355</v>
      </c>
      <c r="H8" s="38" t="s">
        <v>839</v>
      </c>
      <c r="I8" s="38" t="s">
        <v>840</v>
      </c>
      <c r="J8" s="85" t="s">
        <v>841</v>
      </c>
    </row>
    <row r="9" spans="1:10" ht="29" x14ac:dyDescent="0.35">
      <c r="A9" s="84">
        <v>5</v>
      </c>
      <c r="B9" s="2" t="s">
        <v>34</v>
      </c>
      <c r="C9" s="2" t="s">
        <v>33</v>
      </c>
      <c r="D9" s="2" t="s">
        <v>647</v>
      </c>
      <c r="E9" s="4" t="s">
        <v>346</v>
      </c>
      <c r="F9" s="2" t="s">
        <v>352</v>
      </c>
      <c r="G9" s="2" t="s">
        <v>355</v>
      </c>
      <c r="H9" s="38" t="s">
        <v>839</v>
      </c>
      <c r="I9" s="38" t="s">
        <v>840</v>
      </c>
      <c r="J9" s="85" t="s">
        <v>841</v>
      </c>
    </row>
    <row r="10" spans="1:10" ht="29" x14ac:dyDescent="0.35">
      <c r="A10" s="84">
        <v>6</v>
      </c>
      <c r="B10" s="2" t="s">
        <v>36</v>
      </c>
      <c r="C10" s="2" t="s">
        <v>35</v>
      </c>
      <c r="D10" s="2" t="s">
        <v>647</v>
      </c>
      <c r="E10" s="4" t="s">
        <v>346</v>
      </c>
      <c r="F10" s="2" t="s">
        <v>352</v>
      </c>
      <c r="G10" s="2" t="s">
        <v>355</v>
      </c>
      <c r="H10" s="38" t="s">
        <v>839</v>
      </c>
      <c r="I10" s="38" t="s">
        <v>840</v>
      </c>
      <c r="J10" s="85" t="s">
        <v>841</v>
      </c>
    </row>
    <row r="11" spans="1:10" ht="29" x14ac:dyDescent="0.35">
      <c r="A11" s="84">
        <v>7</v>
      </c>
      <c r="B11" s="2" t="s">
        <v>38</v>
      </c>
      <c r="C11" s="2" t="s">
        <v>37</v>
      </c>
      <c r="D11" s="2" t="s">
        <v>649</v>
      </c>
      <c r="E11" s="4" t="s">
        <v>346</v>
      </c>
      <c r="F11" s="2" t="s">
        <v>352</v>
      </c>
      <c r="G11" s="2" t="s">
        <v>355</v>
      </c>
      <c r="H11" s="38" t="s">
        <v>839</v>
      </c>
      <c r="I11" s="38" t="s">
        <v>840</v>
      </c>
      <c r="J11" s="85" t="s">
        <v>841</v>
      </c>
    </row>
    <row r="12" spans="1:10" ht="29" x14ac:dyDescent="0.35">
      <c r="A12" s="84">
        <v>8</v>
      </c>
      <c r="B12" s="2" t="s">
        <v>40</v>
      </c>
      <c r="C12" s="2" t="s">
        <v>39</v>
      </c>
      <c r="D12" s="2" t="s">
        <v>649</v>
      </c>
      <c r="E12" s="4" t="s">
        <v>346</v>
      </c>
      <c r="F12" s="2" t="s">
        <v>352</v>
      </c>
      <c r="G12" s="2" t="s">
        <v>355</v>
      </c>
      <c r="H12" s="38" t="s">
        <v>839</v>
      </c>
      <c r="I12" s="38" t="s">
        <v>840</v>
      </c>
      <c r="J12" s="85" t="s">
        <v>841</v>
      </c>
    </row>
    <row r="13" spans="1:10" ht="29" x14ac:dyDescent="0.35">
      <c r="A13" s="84">
        <v>9</v>
      </c>
      <c r="B13" s="2" t="s">
        <v>42</v>
      </c>
      <c r="C13" s="2" t="s">
        <v>41</v>
      </c>
      <c r="D13" s="2" t="s">
        <v>648</v>
      </c>
      <c r="E13" s="4" t="s">
        <v>346</v>
      </c>
      <c r="F13" s="2" t="s">
        <v>352</v>
      </c>
      <c r="G13" s="2" t="s">
        <v>355</v>
      </c>
      <c r="H13" s="38" t="s">
        <v>839</v>
      </c>
      <c r="I13" s="38" t="s">
        <v>840</v>
      </c>
      <c r="J13" s="85" t="s">
        <v>841</v>
      </c>
    </row>
    <row r="14" spans="1:10" ht="29" x14ac:dyDescent="0.35">
      <c r="A14" s="84">
        <v>10</v>
      </c>
      <c r="B14" s="2" t="s">
        <v>44</v>
      </c>
      <c r="C14" s="2" t="s">
        <v>43</v>
      </c>
      <c r="D14" s="2" t="s">
        <v>648</v>
      </c>
      <c r="E14" s="4" t="s">
        <v>346</v>
      </c>
      <c r="F14" s="2" t="s">
        <v>352</v>
      </c>
      <c r="G14" s="2" t="s">
        <v>355</v>
      </c>
      <c r="H14" s="38" t="s">
        <v>839</v>
      </c>
      <c r="I14" s="38" t="s">
        <v>840</v>
      </c>
      <c r="J14" s="85" t="s">
        <v>841</v>
      </c>
    </row>
    <row r="15" spans="1:10" ht="29" x14ac:dyDescent="0.35">
      <c r="A15" s="84">
        <v>11</v>
      </c>
      <c r="B15" s="2" t="s">
        <v>46</v>
      </c>
      <c r="C15" s="2" t="s">
        <v>45</v>
      </c>
      <c r="D15" s="2" t="s">
        <v>647</v>
      </c>
      <c r="E15" s="4" t="s">
        <v>346</v>
      </c>
      <c r="F15" s="2" t="s">
        <v>352</v>
      </c>
      <c r="G15" s="2" t="s">
        <v>355</v>
      </c>
      <c r="H15" s="38" t="s">
        <v>839</v>
      </c>
      <c r="I15" s="38" t="s">
        <v>840</v>
      </c>
      <c r="J15" s="85" t="s">
        <v>841</v>
      </c>
    </row>
    <row r="16" spans="1:10" ht="29" x14ac:dyDescent="0.35">
      <c r="A16" s="88">
        <v>12</v>
      </c>
      <c r="B16" s="89" t="s">
        <v>48</v>
      </c>
      <c r="C16" s="89" t="s">
        <v>47</v>
      </c>
      <c r="D16" s="89" t="s">
        <v>647</v>
      </c>
      <c r="E16" s="245" t="s">
        <v>346</v>
      </c>
      <c r="F16" s="89" t="s">
        <v>352</v>
      </c>
      <c r="G16" s="89" t="s">
        <v>355</v>
      </c>
      <c r="H16" s="81" t="s">
        <v>839</v>
      </c>
      <c r="I16" s="81" t="s">
        <v>840</v>
      </c>
      <c r="J16" s="90" t="s">
        <v>841</v>
      </c>
    </row>
    <row r="17" spans="1:10" x14ac:dyDescent="0.35">
      <c r="A17" s="115" t="s">
        <v>572</v>
      </c>
      <c r="B17" s="5"/>
      <c r="C17" s="5"/>
      <c r="D17" s="5"/>
      <c r="E17" s="5"/>
      <c r="F17" s="5"/>
      <c r="G17" s="5"/>
      <c r="H17" s="54"/>
      <c r="I17" s="54" t="s">
        <v>573</v>
      </c>
      <c r="J17" s="116"/>
    </row>
    <row r="18" spans="1:10" x14ac:dyDescent="0.35">
      <c r="A18" s="117" t="s">
        <v>572</v>
      </c>
      <c r="B18" s="118"/>
      <c r="C18" s="118"/>
      <c r="D18" s="118"/>
      <c r="E18" s="118"/>
      <c r="F18" s="118"/>
      <c r="G18" s="118"/>
      <c r="H18" s="119"/>
      <c r="I18" s="119" t="s">
        <v>573</v>
      </c>
      <c r="J18" s="120"/>
    </row>
    <row r="21" spans="1:10" ht="72.5" x14ac:dyDescent="0.35">
      <c r="A21" s="2" t="s">
        <v>574</v>
      </c>
      <c r="B21" s="38" t="s">
        <v>575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D7D31"/>
  </sheetPr>
  <dimension ref="A1:Q47"/>
  <sheetViews>
    <sheetView showGridLines="0" zoomScaleNormal="100" workbookViewId="0">
      <selection activeCell="Q1" sqref="Q1"/>
    </sheetView>
  </sheetViews>
  <sheetFormatPr defaultRowHeight="14.5" x14ac:dyDescent="0.35"/>
  <cols>
    <col min="1" max="1" width="59.26953125" bestFit="1" customWidth="1"/>
    <col min="2" max="2" width="14.453125" bestFit="1" customWidth="1"/>
    <col min="3" max="3" width="9.54296875" bestFit="1" customWidth="1"/>
    <col min="4" max="4" width="25.81640625" bestFit="1" customWidth="1"/>
    <col min="5" max="5" width="16.54296875" bestFit="1" customWidth="1"/>
    <col min="6" max="6" width="14.26953125" bestFit="1" customWidth="1"/>
    <col min="7" max="7" width="28.54296875" bestFit="1" customWidth="1"/>
    <col min="8" max="8" width="15.36328125" bestFit="1" customWidth="1"/>
    <col min="9" max="9" width="4.36328125" bestFit="1" customWidth="1"/>
    <col min="10" max="10" width="20" bestFit="1" customWidth="1"/>
    <col min="11" max="13" width="4.36328125" bestFit="1" customWidth="1"/>
    <col min="14" max="14" width="13" bestFit="1" customWidth="1"/>
    <col min="15" max="15" width="6.90625" bestFit="1" customWidth="1"/>
    <col min="16" max="16" width="32.90625" bestFit="1" customWidth="1"/>
  </cols>
  <sheetData>
    <row r="1" spans="1:16" x14ac:dyDescent="0.35">
      <c r="A1" s="21" t="s">
        <v>576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x14ac:dyDescent="0.35">
      <c r="A2" s="15" t="s">
        <v>577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x14ac:dyDescent="0.3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26"/>
      <c r="O3" s="26"/>
      <c r="P3" s="26"/>
    </row>
    <row r="4" spans="1:16" x14ac:dyDescent="0.35">
      <c r="A4" s="16" t="s">
        <v>578</v>
      </c>
      <c r="B4" s="17">
        <v>46203</v>
      </c>
      <c r="C4" s="14"/>
      <c r="D4" s="16" t="s">
        <v>579</v>
      </c>
      <c r="E4" s="18">
        <v>8</v>
      </c>
      <c r="F4" s="14"/>
      <c r="G4" s="16" t="s">
        <v>580</v>
      </c>
      <c r="H4" s="19" t="s">
        <v>704</v>
      </c>
      <c r="I4" s="14"/>
      <c r="J4" s="14"/>
      <c r="K4" s="14"/>
      <c r="L4" s="14"/>
      <c r="M4" s="12"/>
      <c r="N4" s="124" t="s">
        <v>581</v>
      </c>
      <c r="O4" s="125" t="s">
        <v>545</v>
      </c>
      <c r="P4" s="126" t="s">
        <v>93</v>
      </c>
    </row>
    <row r="5" spans="1:16" x14ac:dyDescent="0.3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2"/>
      <c r="N5" s="121" t="s">
        <v>15</v>
      </c>
      <c r="O5" s="10" t="s">
        <v>582</v>
      </c>
      <c r="P5" s="123" t="s">
        <v>583</v>
      </c>
    </row>
    <row r="6" spans="1:16" x14ac:dyDescent="0.35">
      <c r="A6" s="20" t="s">
        <v>584</v>
      </c>
      <c r="B6" s="14"/>
      <c r="C6" s="14"/>
      <c r="D6" s="20" t="s">
        <v>585</v>
      </c>
      <c r="E6" s="14"/>
      <c r="F6" s="14"/>
      <c r="G6" s="20" t="s">
        <v>586</v>
      </c>
      <c r="H6" s="14"/>
      <c r="I6" s="14"/>
      <c r="J6" s="20" t="s">
        <v>587</v>
      </c>
      <c r="K6" s="14"/>
      <c r="L6" s="14"/>
      <c r="M6" s="12"/>
      <c r="N6" s="122" t="s">
        <v>21</v>
      </c>
      <c r="O6" s="10" t="s">
        <v>22</v>
      </c>
      <c r="P6" s="123" t="s">
        <v>588</v>
      </c>
    </row>
    <row r="7" spans="1:16" x14ac:dyDescent="0.35">
      <c r="A7" s="236">
        <v>267150</v>
      </c>
      <c r="B7" s="223"/>
      <c r="C7" s="224"/>
      <c r="D7" s="236">
        <v>218733.34</v>
      </c>
      <c r="E7" s="223"/>
      <c r="F7" s="224"/>
      <c r="G7" s="236">
        <v>141665.44</v>
      </c>
      <c r="H7" s="223"/>
      <c r="I7" s="224"/>
      <c r="J7" s="236">
        <v>130717.996</v>
      </c>
      <c r="K7" s="223"/>
      <c r="L7" s="224"/>
      <c r="M7" s="12"/>
      <c r="N7" s="127" t="s">
        <v>20</v>
      </c>
      <c r="O7" s="128" t="s">
        <v>26</v>
      </c>
      <c r="P7" s="129" t="s">
        <v>589</v>
      </c>
    </row>
    <row r="8" spans="1:16" x14ac:dyDescent="0.3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5"/>
      <c r="O8" s="25"/>
      <c r="P8" s="25"/>
    </row>
    <row r="9" spans="1:16" x14ac:dyDescent="0.35">
      <c r="A9" s="24" t="s">
        <v>590</v>
      </c>
      <c r="B9" s="24"/>
      <c r="C9" s="24"/>
      <c r="D9" s="24" t="s">
        <v>591</v>
      </c>
      <c r="E9" s="24"/>
      <c r="F9" s="24"/>
      <c r="G9" s="24" t="s">
        <v>592</v>
      </c>
      <c r="H9" s="24"/>
      <c r="I9" s="24"/>
      <c r="J9" s="24" t="s">
        <v>593</v>
      </c>
      <c r="K9" s="24"/>
      <c r="L9" s="24"/>
      <c r="M9" s="14"/>
      <c r="N9" s="14"/>
      <c r="O9" s="14"/>
      <c r="P9" s="14"/>
    </row>
    <row r="10" spans="1:16" x14ac:dyDescent="0.35">
      <c r="A10" s="236">
        <v>-10947.444000000003</v>
      </c>
      <c r="B10" s="223"/>
      <c r="C10" s="224"/>
      <c r="D10" s="236">
        <v>-88015.343999999997</v>
      </c>
      <c r="E10" s="223"/>
      <c r="F10" s="224"/>
      <c r="G10" s="238">
        <v>0.92272325558018953</v>
      </c>
      <c r="H10" s="223"/>
      <c r="I10" s="224"/>
      <c r="J10" s="238">
        <v>0.59761349595813784</v>
      </c>
      <c r="K10" s="223"/>
      <c r="L10" s="224"/>
      <c r="M10" s="11"/>
      <c r="N10" s="14"/>
      <c r="O10" s="14"/>
      <c r="P10" s="14"/>
    </row>
    <row r="11" spans="1:16" x14ac:dyDescent="0.3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14"/>
      <c r="N11" s="14"/>
      <c r="O11" s="14"/>
      <c r="P11" s="14"/>
    </row>
    <row r="12" spans="1:16" x14ac:dyDescent="0.35">
      <c r="A12" s="24" t="s">
        <v>594</v>
      </c>
      <c r="B12" s="24"/>
      <c r="C12" s="24"/>
      <c r="D12" s="24" t="s">
        <v>595</v>
      </c>
      <c r="E12" s="24"/>
      <c r="F12" s="24"/>
      <c r="G12" s="24" t="s">
        <v>596</v>
      </c>
      <c r="H12" s="24"/>
      <c r="I12" s="24"/>
      <c r="J12" s="24" t="s">
        <v>597</v>
      </c>
      <c r="K12" s="24"/>
      <c r="L12" s="24"/>
      <c r="M12" s="14"/>
      <c r="N12" s="14"/>
      <c r="O12" s="14"/>
      <c r="P12" s="14"/>
    </row>
    <row r="13" spans="1:16" x14ac:dyDescent="0.35">
      <c r="A13" s="237">
        <v>289523.42794484086</v>
      </c>
      <c r="B13" s="223"/>
      <c r="C13" s="224"/>
      <c r="D13" s="237">
        <v>147857.98794484086</v>
      </c>
      <c r="E13" s="223"/>
      <c r="F13" s="224"/>
      <c r="G13" s="236">
        <v>-22373.427944840863</v>
      </c>
      <c r="H13" s="223"/>
      <c r="I13" s="224"/>
      <c r="J13" s="239">
        <v>0.48930561856634847</v>
      </c>
      <c r="K13" s="223"/>
      <c r="L13" s="224"/>
      <c r="M13" s="11"/>
      <c r="N13" s="14"/>
      <c r="O13" s="14"/>
      <c r="P13" s="14"/>
    </row>
    <row r="14" spans="1:16" x14ac:dyDescent="0.3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14"/>
      <c r="N14" s="14"/>
      <c r="O14" s="14"/>
      <c r="P14" s="14"/>
    </row>
    <row r="15" spans="1:16" x14ac:dyDescent="0.35">
      <c r="A15" s="13" t="s">
        <v>598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r="16" spans="1:16" x14ac:dyDescent="0.3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7" x14ac:dyDescent="0.35">
      <c r="A17" s="195" t="s">
        <v>2</v>
      </c>
      <c r="B17" s="195" t="s">
        <v>599</v>
      </c>
      <c r="C17" s="195" t="s">
        <v>141</v>
      </c>
      <c r="D17" s="196" t="s">
        <v>600</v>
      </c>
      <c r="E17" s="196" t="s">
        <v>601</v>
      </c>
      <c r="F17" s="196" t="s">
        <v>602</v>
      </c>
      <c r="G17" s="197" t="s">
        <v>261</v>
      </c>
      <c r="H17" s="196" t="s">
        <v>603</v>
      </c>
      <c r="I17" s="197" t="s">
        <v>274</v>
      </c>
      <c r="J17" s="197" t="s">
        <v>270</v>
      </c>
      <c r="K17" s="197" t="s">
        <v>9</v>
      </c>
      <c r="L17" s="197" t="s">
        <v>8</v>
      </c>
      <c r="M17" s="196" t="s">
        <v>286</v>
      </c>
      <c r="N17" s="196" t="s">
        <v>290</v>
      </c>
      <c r="O17" s="197" t="s">
        <v>294</v>
      </c>
      <c r="P17" s="198" t="s">
        <v>138</v>
      </c>
      <c r="Q17" s="199"/>
    </row>
    <row r="18" spans="1:17" x14ac:dyDescent="0.35">
      <c r="A18" s="200" t="s">
        <v>623</v>
      </c>
      <c r="B18" s="200" t="s">
        <v>708</v>
      </c>
      <c r="C18" s="200" t="s">
        <v>647</v>
      </c>
      <c r="D18" s="201">
        <v>16500</v>
      </c>
      <c r="E18" s="201">
        <v>12000</v>
      </c>
      <c r="F18" s="201">
        <v>9280</v>
      </c>
      <c r="G18" s="202">
        <v>0.5</v>
      </c>
      <c r="H18" s="201">
        <v>8250</v>
      </c>
      <c r="I18" s="203">
        <v>-1030</v>
      </c>
      <c r="J18" s="203">
        <v>-3750</v>
      </c>
      <c r="K18" s="204">
        <v>0.88900862068965514</v>
      </c>
      <c r="L18" s="204">
        <v>0.6875</v>
      </c>
      <c r="M18" s="201">
        <v>18560</v>
      </c>
      <c r="N18" s="201">
        <v>9280</v>
      </c>
      <c r="O18" s="203">
        <v>-2060</v>
      </c>
      <c r="P18" s="205" t="s">
        <v>843</v>
      </c>
      <c r="Q18" s="199"/>
    </row>
    <row r="19" spans="1:17" x14ac:dyDescent="0.35">
      <c r="A19" s="200" t="s">
        <v>18</v>
      </c>
      <c r="B19" s="200" t="s">
        <v>19</v>
      </c>
      <c r="C19" s="200" t="s">
        <v>647</v>
      </c>
      <c r="D19" s="201">
        <v>8500</v>
      </c>
      <c r="E19" s="201">
        <v>8500</v>
      </c>
      <c r="F19" s="201">
        <v>8700</v>
      </c>
      <c r="G19" s="202">
        <v>1</v>
      </c>
      <c r="H19" s="201">
        <v>8500</v>
      </c>
      <c r="I19" s="203">
        <v>-200</v>
      </c>
      <c r="J19" s="203">
        <v>0</v>
      </c>
      <c r="K19" s="204">
        <v>0.97701149425287359</v>
      </c>
      <c r="L19" s="204">
        <v>1</v>
      </c>
      <c r="M19" s="201">
        <v>8700</v>
      </c>
      <c r="N19" s="201">
        <v>0</v>
      </c>
      <c r="O19" s="203">
        <v>-200</v>
      </c>
      <c r="P19" s="205" t="s">
        <v>843</v>
      </c>
      <c r="Q19" s="199"/>
    </row>
    <row r="20" spans="1:17" x14ac:dyDescent="0.35">
      <c r="A20" s="200" t="s">
        <v>24</v>
      </c>
      <c r="B20" s="200" t="s">
        <v>25</v>
      </c>
      <c r="C20" s="200" t="s">
        <v>647</v>
      </c>
      <c r="D20" s="201">
        <v>19200</v>
      </c>
      <c r="E20" s="201">
        <v>19200</v>
      </c>
      <c r="F20" s="201">
        <v>18195.04</v>
      </c>
      <c r="G20" s="202">
        <v>1</v>
      </c>
      <c r="H20" s="201">
        <v>19200</v>
      </c>
      <c r="I20" s="203">
        <v>1004.9599999999991</v>
      </c>
      <c r="J20" s="203">
        <v>0</v>
      </c>
      <c r="K20" s="204">
        <v>1.055232634827953</v>
      </c>
      <c r="L20" s="204">
        <v>1</v>
      </c>
      <c r="M20" s="201">
        <v>18195.04</v>
      </c>
      <c r="N20" s="201">
        <v>0</v>
      </c>
      <c r="O20" s="203">
        <v>1004.9599999999991</v>
      </c>
      <c r="P20" s="205" t="s">
        <v>844</v>
      </c>
      <c r="Q20" s="199"/>
    </row>
    <row r="21" spans="1:17" x14ac:dyDescent="0.35">
      <c r="A21" s="200" t="s">
        <v>28</v>
      </c>
      <c r="B21" s="200" t="s">
        <v>29</v>
      </c>
      <c r="C21" s="200" t="s">
        <v>648</v>
      </c>
      <c r="D21" s="201">
        <v>42000</v>
      </c>
      <c r="E21" s="201">
        <v>42000</v>
      </c>
      <c r="F21" s="201">
        <v>41300</v>
      </c>
      <c r="G21" s="202">
        <v>1</v>
      </c>
      <c r="H21" s="201">
        <v>42000</v>
      </c>
      <c r="I21" s="203">
        <v>700</v>
      </c>
      <c r="J21" s="203">
        <v>0</v>
      </c>
      <c r="K21" s="204">
        <v>1.0169491525423728</v>
      </c>
      <c r="L21" s="204">
        <v>1</v>
      </c>
      <c r="M21" s="201">
        <v>41300</v>
      </c>
      <c r="N21" s="201">
        <v>0</v>
      </c>
      <c r="O21" s="203">
        <v>700</v>
      </c>
      <c r="P21" s="205" t="s">
        <v>844</v>
      </c>
      <c r="Q21" s="199"/>
    </row>
    <row r="22" spans="1:17" x14ac:dyDescent="0.35">
      <c r="A22" s="200" t="s">
        <v>33</v>
      </c>
      <c r="B22" s="200" t="s">
        <v>34</v>
      </c>
      <c r="C22" s="200" t="s">
        <v>647</v>
      </c>
      <c r="D22" s="201">
        <v>13200</v>
      </c>
      <c r="E22" s="201">
        <v>13200</v>
      </c>
      <c r="F22" s="201">
        <v>13408.159999999998</v>
      </c>
      <c r="G22" s="202">
        <v>1</v>
      </c>
      <c r="H22" s="201">
        <v>13200</v>
      </c>
      <c r="I22" s="203">
        <v>-208.15999999999804</v>
      </c>
      <c r="J22" s="203">
        <v>0</v>
      </c>
      <c r="K22" s="204">
        <v>0.98447512559516015</v>
      </c>
      <c r="L22" s="204">
        <v>1</v>
      </c>
      <c r="M22" s="201">
        <v>13408.159999999998</v>
      </c>
      <c r="N22" s="201">
        <v>0</v>
      </c>
      <c r="O22" s="203">
        <v>-208.15999999999804</v>
      </c>
      <c r="P22" s="205" t="s">
        <v>843</v>
      </c>
      <c r="Q22" s="199"/>
    </row>
    <row r="23" spans="1:17" x14ac:dyDescent="0.35">
      <c r="A23" s="200" t="s">
        <v>35</v>
      </c>
      <c r="B23" s="200" t="s">
        <v>36</v>
      </c>
      <c r="C23" s="200" t="s">
        <v>647</v>
      </c>
      <c r="D23" s="201">
        <v>26000</v>
      </c>
      <c r="E23" s="201">
        <v>26000</v>
      </c>
      <c r="F23" s="201">
        <v>26206.239999999998</v>
      </c>
      <c r="G23" s="202">
        <v>0.7</v>
      </c>
      <c r="H23" s="201">
        <v>18200</v>
      </c>
      <c r="I23" s="203">
        <v>-8006.239999999998</v>
      </c>
      <c r="J23" s="203">
        <v>-7800</v>
      </c>
      <c r="K23" s="204">
        <v>0.69449108303976459</v>
      </c>
      <c r="L23" s="204">
        <v>0.7</v>
      </c>
      <c r="M23" s="201">
        <v>37437.485714285714</v>
      </c>
      <c r="N23" s="201">
        <v>11231.245714285717</v>
      </c>
      <c r="O23" s="203">
        <v>-11437.485714285714</v>
      </c>
      <c r="P23" s="205" t="s">
        <v>843</v>
      </c>
      <c r="Q23" s="199"/>
    </row>
    <row r="24" spans="1:17" x14ac:dyDescent="0.35">
      <c r="A24" s="200" t="s">
        <v>37</v>
      </c>
      <c r="B24" s="200" t="s">
        <v>38</v>
      </c>
      <c r="C24" s="200" t="s">
        <v>649</v>
      </c>
      <c r="D24" s="201">
        <v>36000</v>
      </c>
      <c r="E24" s="201">
        <v>36000</v>
      </c>
      <c r="F24" s="201">
        <v>17476.8</v>
      </c>
      <c r="G24" s="202">
        <v>0.4</v>
      </c>
      <c r="H24" s="201">
        <v>14400</v>
      </c>
      <c r="I24" s="203">
        <v>-3076.7999999999993</v>
      </c>
      <c r="J24" s="203">
        <v>-21600</v>
      </c>
      <c r="K24" s="204">
        <v>0.82394946443284811</v>
      </c>
      <c r="L24" s="204">
        <v>0.4</v>
      </c>
      <c r="M24" s="201">
        <v>43692</v>
      </c>
      <c r="N24" s="201">
        <v>26215.200000000001</v>
      </c>
      <c r="O24" s="203">
        <v>-7692</v>
      </c>
      <c r="P24" s="205" t="s">
        <v>843</v>
      </c>
      <c r="Q24" s="199"/>
    </row>
    <row r="25" spans="1:17" x14ac:dyDescent="0.35">
      <c r="A25" s="200" t="s">
        <v>39</v>
      </c>
      <c r="B25" s="200" t="s">
        <v>40</v>
      </c>
      <c r="C25" s="200" t="s">
        <v>649</v>
      </c>
      <c r="D25" s="201">
        <v>28000</v>
      </c>
      <c r="E25" s="201">
        <v>28000</v>
      </c>
      <c r="F25" s="201">
        <v>7099.2</v>
      </c>
      <c r="G25" s="202">
        <v>0.24885699999999999</v>
      </c>
      <c r="H25" s="201">
        <v>6967.9960000000001</v>
      </c>
      <c r="I25" s="203">
        <v>-131.20399999999972</v>
      </c>
      <c r="J25" s="203">
        <v>-21032.004000000001</v>
      </c>
      <c r="K25" s="204">
        <v>0.98151848095560068</v>
      </c>
      <c r="L25" s="204">
        <v>0.24885699999999999</v>
      </c>
      <c r="M25" s="201">
        <v>28527.226479464109</v>
      </c>
      <c r="N25" s="201">
        <v>21428.026479464108</v>
      </c>
      <c r="O25" s="203">
        <v>-527.22647946410871</v>
      </c>
      <c r="P25" s="205" t="s">
        <v>843</v>
      </c>
      <c r="Q25" s="199"/>
    </row>
    <row r="26" spans="1:17" x14ac:dyDescent="0.35">
      <c r="A26" s="200" t="s">
        <v>41</v>
      </c>
      <c r="B26" s="200" t="s">
        <v>42</v>
      </c>
      <c r="C26" s="200" t="s">
        <v>648</v>
      </c>
      <c r="D26" s="201">
        <v>35750</v>
      </c>
      <c r="E26" s="201">
        <v>23833.34</v>
      </c>
      <c r="F26" s="201">
        <v>0</v>
      </c>
      <c r="G26" s="202">
        <v>0</v>
      </c>
      <c r="H26" s="201">
        <v>0</v>
      </c>
      <c r="I26" s="203">
        <v>0</v>
      </c>
      <c r="J26" s="203">
        <v>-23833.34</v>
      </c>
      <c r="K26" s="204">
        <v>1</v>
      </c>
      <c r="L26" s="204">
        <v>0</v>
      </c>
      <c r="M26" s="201">
        <v>35750</v>
      </c>
      <c r="N26" s="201">
        <v>35750</v>
      </c>
      <c r="O26" s="203">
        <v>0</v>
      </c>
      <c r="P26" s="205" t="s">
        <v>843</v>
      </c>
      <c r="Q26" s="199"/>
    </row>
    <row r="27" spans="1:17" x14ac:dyDescent="0.35">
      <c r="A27" s="200" t="s">
        <v>43</v>
      </c>
      <c r="B27" s="200" t="s">
        <v>44</v>
      </c>
      <c r="C27" s="200" t="s">
        <v>648</v>
      </c>
      <c r="D27" s="201">
        <v>30000</v>
      </c>
      <c r="E27" s="201">
        <v>10000</v>
      </c>
      <c r="F27" s="201">
        <v>0</v>
      </c>
      <c r="G27" s="202">
        <v>0</v>
      </c>
      <c r="H27" s="201">
        <v>0</v>
      </c>
      <c r="I27" s="203">
        <v>0</v>
      </c>
      <c r="J27" s="203">
        <v>-10000</v>
      </c>
      <c r="K27" s="204">
        <v>1</v>
      </c>
      <c r="L27" s="204">
        <v>0</v>
      </c>
      <c r="M27" s="201">
        <v>30000</v>
      </c>
      <c r="N27" s="201">
        <v>30000</v>
      </c>
      <c r="O27" s="203">
        <v>0</v>
      </c>
      <c r="P27" s="205" t="s">
        <v>843</v>
      </c>
      <c r="Q27" s="199"/>
    </row>
    <row r="28" spans="1:17" x14ac:dyDescent="0.35">
      <c r="A28" s="200" t="s">
        <v>45</v>
      </c>
      <c r="B28" s="200" t="s">
        <v>46</v>
      </c>
      <c r="C28" s="200" t="s">
        <v>647</v>
      </c>
      <c r="D28" s="201">
        <v>8400</v>
      </c>
      <c r="E28" s="201">
        <v>0</v>
      </c>
      <c r="F28" s="201">
        <v>0</v>
      </c>
      <c r="G28" s="202">
        <v>0</v>
      </c>
      <c r="H28" s="201">
        <v>0</v>
      </c>
      <c r="I28" s="203">
        <v>0</v>
      </c>
      <c r="J28" s="203">
        <v>0</v>
      </c>
      <c r="K28" s="204">
        <v>1</v>
      </c>
      <c r="L28" s="204">
        <v>1</v>
      </c>
      <c r="M28" s="201">
        <v>8400</v>
      </c>
      <c r="N28" s="201">
        <v>8400</v>
      </c>
      <c r="O28" s="203">
        <v>0</v>
      </c>
      <c r="P28" s="205" t="s">
        <v>844</v>
      </c>
      <c r="Q28" s="199"/>
    </row>
    <row r="29" spans="1:17" x14ac:dyDescent="0.35">
      <c r="A29" s="206" t="s">
        <v>47</v>
      </c>
      <c r="B29" s="206" t="s">
        <v>48</v>
      </c>
      <c r="C29" s="206" t="s">
        <v>647</v>
      </c>
      <c r="D29" s="207">
        <v>3600</v>
      </c>
      <c r="E29" s="207">
        <v>0</v>
      </c>
      <c r="F29" s="207">
        <v>0</v>
      </c>
      <c r="G29" s="208">
        <v>0</v>
      </c>
      <c r="H29" s="207">
        <v>0</v>
      </c>
      <c r="I29" s="209">
        <v>0</v>
      </c>
      <c r="J29" s="209">
        <v>0</v>
      </c>
      <c r="K29" s="210">
        <v>1</v>
      </c>
      <c r="L29" s="210">
        <v>1</v>
      </c>
      <c r="M29" s="207">
        <v>3600</v>
      </c>
      <c r="N29" s="207">
        <v>3600</v>
      </c>
      <c r="O29" s="209">
        <v>0</v>
      </c>
      <c r="P29" s="211" t="s">
        <v>844</v>
      </c>
      <c r="Q29" s="199"/>
    </row>
    <row r="30" spans="1:17" x14ac:dyDescent="0.35">
      <c r="A30" s="212" t="s">
        <v>562</v>
      </c>
      <c r="B30" s="212"/>
      <c r="C30" s="212"/>
      <c r="D30" s="213">
        <f>'Task Plan'!H17</f>
        <v>267150</v>
      </c>
      <c r="E30" s="213">
        <f>'Task Plan'!I17</f>
        <v>218733.34</v>
      </c>
      <c r="F30" s="213">
        <f>'Task Plan'!J17</f>
        <v>141665.44</v>
      </c>
      <c r="G30" s="214">
        <f>'Task Plan'!K17</f>
        <v>0.48930561856634847</v>
      </c>
      <c r="H30" s="213">
        <f>'Task Plan'!L17</f>
        <v>130717.996</v>
      </c>
      <c r="I30" s="213">
        <f>'Task Plan'!N17</f>
        <v>-10947.444000000003</v>
      </c>
      <c r="J30" s="213">
        <f>'Task Plan'!M17</f>
        <v>-88015.343999999997</v>
      </c>
      <c r="K30" s="215">
        <f>'Task Plan'!P17</f>
        <v>0.92272325558018953</v>
      </c>
      <c r="L30" s="215">
        <f>'Task Plan'!O17</f>
        <v>0.59761349595813784</v>
      </c>
      <c r="M30" s="213">
        <f>'Task Plan'!Q17</f>
        <v>289523.42794484086</v>
      </c>
      <c r="N30" s="213">
        <f>'Task Plan'!R17</f>
        <v>147857.98794484086</v>
      </c>
      <c r="O30" s="213">
        <f>'Task Plan'!S17</f>
        <v>-22373.427944840863</v>
      </c>
      <c r="P30" s="216" t="str">
        <f>IF('Task Plan'!T17="Red","🔴 Overrun",IF('Task Plan'!T17="Amber","🟡 Warning","On Track"))</f>
        <v>🔴 Overrun</v>
      </c>
      <c r="Q30" s="199"/>
    </row>
    <row r="31" spans="1:17" x14ac:dyDescent="0.35">
      <c r="A31" s="14"/>
      <c r="B31" s="14"/>
      <c r="C31" s="14"/>
      <c r="D31" s="14"/>
      <c r="E31" s="14"/>
      <c r="F31" s="14"/>
      <c r="G31" s="25"/>
      <c r="H31" s="14"/>
      <c r="I31" s="25"/>
      <c r="J31" s="25"/>
      <c r="K31" s="25"/>
      <c r="L31" s="25"/>
      <c r="M31" s="14"/>
      <c r="N31" s="14"/>
      <c r="O31" s="25"/>
      <c r="P31" s="25"/>
    </row>
    <row r="32" spans="1:17" x14ac:dyDescent="0.3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x14ac:dyDescent="0.35">
      <c r="A33" s="13" t="s">
        <v>604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 x14ac:dyDescent="0.35">
      <c r="A35" s="134" t="s">
        <v>152</v>
      </c>
      <c r="B35" s="130" t="s">
        <v>605</v>
      </c>
      <c r="C35" s="131" t="s">
        <v>606</v>
      </c>
      <c r="D35" s="131" t="s">
        <v>607</v>
      </c>
      <c r="E35" s="131" t="s">
        <v>608</v>
      </c>
      <c r="F35" s="131" t="s">
        <v>609</v>
      </c>
      <c r="G35" s="131" t="s">
        <v>610</v>
      </c>
      <c r="H35" s="131" t="s">
        <v>274</v>
      </c>
      <c r="I35" s="131" t="s">
        <v>270</v>
      </c>
      <c r="J35" s="131" t="s">
        <v>9</v>
      </c>
      <c r="K35" s="135" t="s">
        <v>8</v>
      </c>
      <c r="L35" s="14"/>
      <c r="M35" s="14"/>
      <c r="N35" s="14"/>
      <c r="O35" s="14"/>
      <c r="P35" s="14"/>
    </row>
    <row r="36" spans="1:16" x14ac:dyDescent="0.35">
      <c r="A36" s="132">
        <v>1</v>
      </c>
      <c r="B36" s="17">
        <v>46150</v>
      </c>
      <c r="C36" s="253">
        <v>14900</v>
      </c>
      <c r="D36" s="253">
        <v>14900</v>
      </c>
      <c r="E36" s="253">
        <v>15975.04</v>
      </c>
      <c r="F36" s="253">
        <v>15975.04</v>
      </c>
      <c r="G36" s="253">
        <v>13588</v>
      </c>
      <c r="H36" s="253">
        <v>-2387.0400000000009</v>
      </c>
      <c r="I36" s="253">
        <v>-1312</v>
      </c>
      <c r="J36" s="23">
        <v>0.8505768999639437</v>
      </c>
      <c r="K36" s="133">
        <v>0.91194630872483218</v>
      </c>
      <c r="L36" s="14"/>
      <c r="M36" s="14"/>
      <c r="N36" s="14"/>
      <c r="O36" s="14"/>
      <c r="P36" s="14"/>
    </row>
    <row r="37" spans="1:16" x14ac:dyDescent="0.35">
      <c r="A37" s="132">
        <v>2</v>
      </c>
      <c r="B37" s="17">
        <v>46157</v>
      </c>
      <c r="C37" s="253">
        <v>22800</v>
      </c>
      <c r="D37" s="253">
        <v>37700</v>
      </c>
      <c r="E37" s="253">
        <v>22654.080000000002</v>
      </c>
      <c r="F37" s="253">
        <v>38629.120000000003</v>
      </c>
      <c r="G37" s="253">
        <v>35814.003100000002</v>
      </c>
      <c r="H37" s="253">
        <v>-2815.1169000000009</v>
      </c>
      <c r="I37" s="253">
        <v>-1885.9968999999983</v>
      </c>
      <c r="J37" s="23">
        <v>0.92712448795105862</v>
      </c>
      <c r="K37" s="133">
        <v>0.94997355702917774</v>
      </c>
      <c r="L37" s="14"/>
      <c r="M37" s="14"/>
      <c r="N37" s="14"/>
      <c r="O37" s="14"/>
      <c r="P37" s="14"/>
    </row>
    <row r="38" spans="1:16" x14ac:dyDescent="0.35">
      <c r="A38" s="132">
        <v>3</v>
      </c>
      <c r="B38" s="17">
        <v>46164</v>
      </c>
      <c r="C38" s="253">
        <v>22800</v>
      </c>
      <c r="D38" s="253">
        <v>60500</v>
      </c>
      <c r="E38" s="253">
        <v>22654.080000000002</v>
      </c>
      <c r="F38" s="253">
        <v>61283.200000000004</v>
      </c>
      <c r="G38" s="253">
        <v>56665</v>
      </c>
      <c r="H38" s="253">
        <v>-4618.2000000000044</v>
      </c>
      <c r="I38" s="253">
        <v>-3835</v>
      </c>
      <c r="J38" s="23">
        <v>0.92464166362069855</v>
      </c>
      <c r="K38" s="133">
        <v>0.93661157024793384</v>
      </c>
      <c r="L38" s="14"/>
      <c r="M38" s="14"/>
      <c r="N38" s="14"/>
      <c r="O38" s="14"/>
      <c r="P38" s="14"/>
    </row>
    <row r="39" spans="1:16" x14ac:dyDescent="0.35">
      <c r="A39" s="132">
        <v>4</v>
      </c>
      <c r="B39" s="17">
        <v>46171</v>
      </c>
      <c r="C39" s="253">
        <v>25066.67</v>
      </c>
      <c r="D39" s="253">
        <v>85566.67</v>
      </c>
      <c r="E39" s="253">
        <v>24906.240000000013</v>
      </c>
      <c r="F39" s="253">
        <v>86189.440000000017</v>
      </c>
      <c r="G39" s="253">
        <v>79601.328500000003</v>
      </c>
      <c r="H39" s="253">
        <v>-6588.1115000000136</v>
      </c>
      <c r="I39" s="253">
        <v>-5965.341499999995</v>
      </c>
      <c r="J39" s="23">
        <v>0.92356242829748036</v>
      </c>
      <c r="K39" s="133">
        <v>0.93028428592581669</v>
      </c>
      <c r="L39" s="14"/>
      <c r="M39" s="14"/>
      <c r="N39" s="14"/>
      <c r="O39" s="14"/>
      <c r="P39" s="14"/>
    </row>
    <row r="40" spans="1:16" x14ac:dyDescent="0.35">
      <c r="A40" s="132">
        <v>5</v>
      </c>
      <c r="B40" s="17">
        <v>46178</v>
      </c>
      <c r="C40" s="253">
        <v>29666.67</v>
      </c>
      <c r="D40" s="253">
        <v>115233.34</v>
      </c>
      <c r="E40" s="253">
        <v>29476.800000000003</v>
      </c>
      <c r="F40" s="253">
        <v>115666.24000000002</v>
      </c>
      <c r="G40" s="253">
        <v>106769.6735</v>
      </c>
      <c r="H40" s="253">
        <v>-8896.5665000000154</v>
      </c>
      <c r="I40" s="253">
        <v>-8463.6664999999921</v>
      </c>
      <c r="J40" s="23">
        <v>0.92308415575711622</v>
      </c>
      <c r="K40" s="133">
        <v>0.92655192932878638</v>
      </c>
      <c r="L40" s="14"/>
      <c r="M40" s="14"/>
      <c r="N40" s="14"/>
      <c r="O40" s="14"/>
      <c r="P40" s="14"/>
    </row>
    <row r="41" spans="1:16" x14ac:dyDescent="0.35">
      <c r="A41" s="132">
        <v>6</v>
      </c>
      <c r="B41" s="17">
        <v>46185</v>
      </c>
      <c r="C41" s="253">
        <v>26166.660000000003</v>
      </c>
      <c r="D41" s="253">
        <v>141400</v>
      </c>
      <c r="E41" s="253">
        <v>25999.199999999983</v>
      </c>
      <c r="F41" s="253">
        <v>141665.44</v>
      </c>
      <c r="G41" s="253">
        <v>130717.996</v>
      </c>
      <c r="H41" s="253">
        <v>-10947.444000000003</v>
      </c>
      <c r="I41" s="253">
        <v>-10682.004000000001</v>
      </c>
      <c r="J41" s="23">
        <v>0.92272325558018953</v>
      </c>
      <c r="K41" s="133">
        <v>0.92445541725601132</v>
      </c>
      <c r="L41" s="14"/>
      <c r="M41" s="14"/>
      <c r="N41" s="14"/>
      <c r="O41" s="14"/>
      <c r="P41" s="14"/>
    </row>
    <row r="42" spans="1:16" x14ac:dyDescent="0.35">
      <c r="A42" s="132">
        <v>7</v>
      </c>
      <c r="B42" s="17">
        <v>46192</v>
      </c>
      <c r="C42" s="253">
        <v>17500</v>
      </c>
      <c r="D42" s="253">
        <v>158900</v>
      </c>
      <c r="E42" s="253">
        <v>0</v>
      </c>
      <c r="F42" s="253">
        <v>141665.44</v>
      </c>
      <c r="G42" s="253">
        <v>130717.996</v>
      </c>
      <c r="H42" s="253">
        <v>-10947.444000000003</v>
      </c>
      <c r="I42" s="253">
        <v>-28182.004000000001</v>
      </c>
      <c r="J42" s="23">
        <v>0.92272325558018953</v>
      </c>
      <c r="K42" s="133">
        <v>0.82264314663310256</v>
      </c>
      <c r="L42" s="14"/>
      <c r="M42" s="14"/>
      <c r="N42" s="14"/>
      <c r="O42" s="14"/>
      <c r="P42" s="14"/>
    </row>
    <row r="43" spans="1:16" x14ac:dyDescent="0.35">
      <c r="A43" s="132">
        <v>8</v>
      </c>
      <c r="B43" s="17">
        <v>46199</v>
      </c>
      <c r="C43" s="253">
        <v>29416.670000000013</v>
      </c>
      <c r="D43" s="253">
        <v>188316.67</v>
      </c>
      <c r="E43" s="253">
        <v>0</v>
      </c>
      <c r="F43" s="253">
        <v>141665.44</v>
      </c>
      <c r="G43" s="253">
        <v>130717.996</v>
      </c>
      <c r="H43" s="253">
        <v>-10947.444000000003</v>
      </c>
      <c r="I43" s="253">
        <v>-57598.674000000014</v>
      </c>
      <c r="J43" s="23">
        <v>0.92272325558018953</v>
      </c>
      <c r="K43" s="133">
        <v>0.69413927083566207</v>
      </c>
      <c r="L43" s="14"/>
      <c r="M43" s="14"/>
      <c r="N43" s="14"/>
      <c r="O43" s="14"/>
      <c r="P43" s="14"/>
    </row>
    <row r="44" spans="1:16" x14ac:dyDescent="0.35">
      <c r="A44" s="132">
        <v>9</v>
      </c>
      <c r="B44" s="17">
        <v>46206</v>
      </c>
      <c r="C44" s="253">
        <v>30416.670000000013</v>
      </c>
      <c r="D44" s="253">
        <v>218733.34000000003</v>
      </c>
      <c r="E44" s="253">
        <v>0</v>
      </c>
      <c r="F44" s="253">
        <v>141665.44</v>
      </c>
      <c r="G44" s="253">
        <v>130717.996</v>
      </c>
      <c r="H44" s="253">
        <v>-10947.444000000003</v>
      </c>
      <c r="I44" s="253">
        <v>-88015.344000000026</v>
      </c>
      <c r="J44" s="23">
        <v>0.92272325558018953</v>
      </c>
      <c r="K44" s="133">
        <v>0.59761349595813784</v>
      </c>
      <c r="L44" s="14"/>
      <c r="M44" s="14"/>
      <c r="N44" s="14"/>
      <c r="O44" s="14"/>
      <c r="P44" s="14"/>
    </row>
    <row r="45" spans="1:16" x14ac:dyDescent="0.35">
      <c r="A45" s="132">
        <v>10</v>
      </c>
      <c r="B45" s="17">
        <v>46213</v>
      </c>
      <c r="C45" s="253">
        <v>23416.660000000003</v>
      </c>
      <c r="D45" s="253">
        <v>242150.00000000003</v>
      </c>
      <c r="E45" s="253">
        <v>0</v>
      </c>
      <c r="F45" s="253">
        <v>141665.44</v>
      </c>
      <c r="G45" s="253">
        <v>130717.996</v>
      </c>
      <c r="H45" s="253">
        <v>-10947.444000000003</v>
      </c>
      <c r="I45" s="253">
        <v>-111432.00400000003</v>
      </c>
      <c r="J45" s="23">
        <v>0.92272325558018953</v>
      </c>
      <c r="K45" s="133">
        <v>0.53982240759859579</v>
      </c>
      <c r="L45" s="14"/>
      <c r="M45" s="14"/>
      <c r="N45" s="14"/>
      <c r="O45" s="14"/>
      <c r="P45" s="14"/>
    </row>
    <row r="46" spans="1:16" x14ac:dyDescent="0.35">
      <c r="A46" s="132">
        <v>11</v>
      </c>
      <c r="B46" s="17">
        <v>46220</v>
      </c>
      <c r="C46" s="253">
        <v>15700</v>
      </c>
      <c r="D46" s="253">
        <v>257850.00000000003</v>
      </c>
      <c r="E46" s="253">
        <v>0</v>
      </c>
      <c r="F46" s="253">
        <v>141665.44</v>
      </c>
      <c r="G46" s="253">
        <v>130717.996</v>
      </c>
      <c r="H46" s="253">
        <v>-10947.444000000003</v>
      </c>
      <c r="I46" s="253">
        <v>-127132.00400000003</v>
      </c>
      <c r="J46" s="23">
        <v>0.92272325558018953</v>
      </c>
      <c r="K46" s="133">
        <v>0.50695363971301133</v>
      </c>
      <c r="L46" s="14"/>
      <c r="M46" s="14"/>
      <c r="N46" s="14"/>
      <c r="O46" s="14"/>
      <c r="P46" s="14"/>
    </row>
    <row r="47" spans="1:16" x14ac:dyDescent="0.35">
      <c r="A47" s="136">
        <v>12</v>
      </c>
      <c r="B47" s="137">
        <v>46227</v>
      </c>
      <c r="C47" s="254">
        <v>9299.9999999999709</v>
      </c>
      <c r="D47" s="254">
        <v>267150</v>
      </c>
      <c r="E47" s="254">
        <v>0</v>
      </c>
      <c r="F47" s="254">
        <v>141665.44</v>
      </c>
      <c r="G47" s="254">
        <v>130717.996</v>
      </c>
      <c r="H47" s="254">
        <v>-10947.444000000003</v>
      </c>
      <c r="I47" s="254">
        <v>-136432.00400000002</v>
      </c>
      <c r="J47" s="139">
        <v>0.92272325558018953</v>
      </c>
      <c r="K47" s="140">
        <v>0.48930561856634847</v>
      </c>
      <c r="L47" s="14"/>
      <c r="M47" s="14"/>
      <c r="N47" s="14"/>
      <c r="O47" s="14"/>
      <c r="P47" s="14"/>
    </row>
  </sheetData>
  <mergeCells count="12">
    <mergeCell ref="J7:L7"/>
    <mergeCell ref="A10:C10"/>
    <mergeCell ref="A13:C13"/>
    <mergeCell ref="D13:F13"/>
    <mergeCell ref="G10:I10"/>
    <mergeCell ref="J10:L10"/>
    <mergeCell ref="G13:I13"/>
    <mergeCell ref="J13:L13"/>
    <mergeCell ref="D7:F7"/>
    <mergeCell ref="A7:C7"/>
    <mergeCell ref="G7:I7"/>
    <mergeCell ref="D10:F10"/>
  </mergeCells>
  <conditionalFormatting sqref="A10:F10">
    <cfRule type="cellIs" dxfId="144" priority="1" operator="lessThan">
      <formula>0</formula>
    </cfRule>
    <cfRule type="cellIs" dxfId="143" priority="2" operator="greaterThanOrEqual">
      <formula>0</formula>
    </cfRule>
  </conditionalFormatting>
  <conditionalFormatting sqref="G18:G30">
    <cfRule type="cellIs" dxfId="142" priority="23" operator="lessThan">
      <formula>0.5</formula>
    </cfRule>
    <cfRule type="cellIs" dxfId="141" priority="24" operator="between">
      <formula>0.5</formula>
      <formula>0.799999</formula>
    </cfRule>
    <cfRule type="cellIs" dxfId="140" priority="25" operator="greaterThanOrEqual">
      <formula>0.8</formula>
    </cfRule>
  </conditionalFormatting>
  <conditionalFormatting sqref="G13:I13">
    <cfRule type="cellIs" dxfId="139" priority="5" operator="lessThan">
      <formula>0</formula>
    </cfRule>
    <cfRule type="cellIs" dxfId="138" priority="6" operator="greaterThanOrEqual">
      <formula>0</formula>
    </cfRule>
  </conditionalFormatting>
  <conditionalFormatting sqref="G10:L10">
    <cfRule type="cellIs" dxfId="137" priority="11" operator="lessThan">
      <formula>0.95</formula>
    </cfRule>
    <cfRule type="cellIs" dxfId="136" priority="12" operator="between">
      <formula>0.95</formula>
      <formula>0.999999</formula>
    </cfRule>
    <cfRule type="cellIs" dxfId="135" priority="13" operator="greaterThanOrEqual">
      <formula>1</formula>
    </cfRule>
  </conditionalFormatting>
  <conditionalFormatting sqref="I18:J30">
    <cfRule type="cellIs" dxfId="134" priority="7" operator="lessThan">
      <formula>0</formula>
    </cfRule>
    <cfRule type="cellIs" dxfId="133" priority="8" operator="greaterThanOrEqual">
      <formula>0</formula>
    </cfRule>
  </conditionalFormatting>
  <conditionalFormatting sqref="J13:L13">
    <cfRule type="cellIs" dxfId="132" priority="20" operator="lessThan">
      <formula>0.5</formula>
    </cfRule>
    <cfRule type="cellIs" dxfId="131" priority="21" operator="between">
      <formula>0.5</formula>
      <formula>0.799999</formula>
    </cfRule>
    <cfRule type="cellIs" dxfId="130" priority="22" operator="greaterThanOrEqual">
      <formula>0.8</formula>
    </cfRule>
  </conditionalFormatting>
  <conditionalFormatting sqref="K18:L30">
    <cfRule type="cellIs" dxfId="129" priority="17" operator="lessThan">
      <formula>0.95</formula>
    </cfRule>
    <cfRule type="cellIs" dxfId="128" priority="18" operator="between">
      <formula>0.95</formula>
      <formula>0.999999</formula>
    </cfRule>
    <cfRule type="cellIs" dxfId="127" priority="19" operator="greaterThanOrEqual">
      <formula>1</formula>
    </cfRule>
  </conditionalFormatting>
  <conditionalFormatting sqref="N5:N7">
    <cfRule type="expression" dxfId="126" priority="35">
      <formula>ISNUMBER(SEARCH("Red",N5))</formula>
    </cfRule>
    <cfRule type="expression" dxfId="125" priority="36">
      <formula>ISNUMBER(SEARCH("Amber",N5))</formula>
    </cfRule>
    <cfRule type="expression" dxfId="124" priority="37">
      <formula>ISNUMBER(SEARCH("Green",N5))</formula>
    </cfRule>
  </conditionalFormatting>
  <conditionalFormatting sqref="O18:O30">
    <cfRule type="cellIs" dxfId="123" priority="9" operator="lessThan">
      <formula>0</formula>
    </cfRule>
    <cfRule type="cellIs" dxfId="122" priority="10" operator="greaterThanOrEqual">
      <formula>0</formula>
    </cfRule>
  </conditionalFormatting>
  <conditionalFormatting sqref="P18:P30">
    <cfRule type="cellIs" dxfId="121" priority="27" operator="equal">
      <formula>"On Track"</formula>
    </cfRule>
    <cfRule type="cellIs" dxfId="120" priority="28" operator="equal">
      <formula>"Warning"</formula>
    </cfRule>
    <cfRule type="cellIs" dxfId="119" priority="29" operator="equal">
      <formula>"Overrun"</formula>
    </cfRule>
    <cfRule type="expression" dxfId="118" priority="38">
      <formula>OR(ISNUMBER(SEARCH("Red",P18)),ISNUMBER(SEARCH("Overrun",P18)))</formula>
    </cfRule>
    <cfRule type="expression" dxfId="117" priority="39">
      <formula>OR(ISNUMBER(SEARCH("Amber",P18)),ISNUMBER(SEARCH("Warning",P18)))</formula>
    </cfRule>
    <cfRule type="expression" dxfId="116" priority="40">
      <formula>OR(ISNUMBER(SEARCH("Green",P18)),ISNUMBER(SEARCH("On Track",P18)))</formula>
    </cfRule>
  </conditionalFormatting>
  <pageMargins left="0.75" right="0.75" top="1" bottom="1" header="0.5" footer="0.5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7"/>
  <sheetViews>
    <sheetView topLeftCell="A14" workbookViewId="0">
      <selection activeCell="Q1" sqref="Q1"/>
    </sheetView>
  </sheetViews>
  <sheetFormatPr defaultRowHeight="14.5" x14ac:dyDescent="0.35"/>
  <cols>
    <col min="1" max="1" width="13.453125" style="190" bestFit="1" customWidth="1"/>
    <col min="2" max="2" width="9.1796875" style="190" bestFit="1" customWidth="1"/>
    <col min="3" max="3" width="12.26953125" style="190" bestFit="1" customWidth="1"/>
    <col min="4" max="4" width="11.6328125" style="190" bestFit="1" customWidth="1"/>
    <col min="5" max="5" width="14.08984375" style="190" bestFit="1" customWidth="1"/>
    <col min="6" max="6" width="21.453125" style="190" bestFit="1" customWidth="1"/>
    <col min="7" max="7" width="18.54296875" style="190" bestFit="1" customWidth="1"/>
    <col min="8" max="8" width="10.7265625" style="190" bestFit="1" customWidth="1"/>
  </cols>
  <sheetData>
    <row r="1" spans="1:8" ht="23.5" x14ac:dyDescent="0.55000000000000004">
      <c r="A1" s="244" t="s">
        <v>611</v>
      </c>
      <c r="B1" s="241"/>
      <c r="C1" s="241"/>
      <c r="D1" s="241"/>
      <c r="E1" s="241"/>
      <c r="F1" s="241"/>
      <c r="G1" s="241"/>
      <c r="H1" s="241"/>
    </row>
    <row r="2" spans="1:8" x14ac:dyDescent="0.35">
      <c r="A2" s="242" t="s">
        <v>612</v>
      </c>
      <c r="B2" s="241"/>
      <c r="C2" s="241"/>
      <c r="D2" s="241"/>
      <c r="E2" s="241"/>
      <c r="F2" s="241"/>
      <c r="G2" s="241"/>
      <c r="H2" s="241"/>
    </row>
    <row r="4" spans="1:8" x14ac:dyDescent="0.35">
      <c r="A4" s="240" t="s">
        <v>613</v>
      </c>
      <c r="B4" s="241"/>
      <c r="C4" s="241"/>
      <c r="D4" s="241"/>
      <c r="E4" s="241"/>
      <c r="F4" s="241"/>
      <c r="G4" s="241"/>
      <c r="H4" s="241"/>
    </row>
    <row r="5" spans="1:8" x14ac:dyDescent="0.35">
      <c r="A5" s="243" t="s">
        <v>614</v>
      </c>
      <c r="B5" s="241"/>
      <c r="C5" s="241"/>
      <c r="D5" s="241"/>
      <c r="E5" s="241"/>
      <c r="F5" s="241"/>
      <c r="G5" s="241"/>
      <c r="H5" s="241"/>
    </row>
    <row r="6" spans="1:8" x14ac:dyDescent="0.35">
      <c r="A6" s="241"/>
      <c r="B6" s="241"/>
      <c r="C6" s="241"/>
      <c r="D6" s="241"/>
      <c r="E6" s="241"/>
      <c r="F6" s="241"/>
      <c r="G6" s="241"/>
      <c r="H6" s="241"/>
    </row>
    <row r="7" spans="1:8" x14ac:dyDescent="0.35">
      <c r="A7" s="241"/>
      <c r="B7" s="241"/>
      <c r="C7" s="241"/>
      <c r="D7" s="241"/>
      <c r="E7" s="241"/>
      <c r="F7" s="241"/>
      <c r="G7" s="241"/>
      <c r="H7" s="241"/>
    </row>
    <row r="9" spans="1:8" x14ac:dyDescent="0.35">
      <c r="A9" s="181" t="s">
        <v>615</v>
      </c>
      <c r="B9" s="182"/>
      <c r="C9" s="181" t="s">
        <v>616</v>
      </c>
      <c r="D9" s="182"/>
      <c r="E9" s="181" t="s">
        <v>617</v>
      </c>
      <c r="F9" s="182"/>
      <c r="G9" s="181" t="s">
        <v>618</v>
      </c>
      <c r="H9" s="182"/>
    </row>
    <row r="10" spans="1:8" ht="18.5" x14ac:dyDescent="0.35">
      <c r="A10" s="183">
        <f>COUNTIF(tbl_Task_Plan[Status],"Red")</f>
        <v>8</v>
      </c>
      <c r="B10" s="182"/>
      <c r="C10" s="184">
        <f>_xlfn.MINIFS(tbl_Task_Plan[SPI],tbl_Task_Plan[Status],"Red")</f>
        <v>0</v>
      </c>
      <c r="D10" s="182"/>
      <c r="E10" s="185">
        <f>_xlfn.MINIFS(tbl_Task_Plan[SV],tbl_Task_Plan[Status],"Red")</f>
        <v>-23833.34</v>
      </c>
      <c r="F10" s="182"/>
      <c r="G10" s="185">
        <f>-SUMIFS(tbl_Task_Plan[VAC],tbl_Task_Plan[Status],"Red")</f>
        <v>22124.872193749819</v>
      </c>
      <c r="H10" s="182"/>
    </row>
    <row r="13" spans="1:8" x14ac:dyDescent="0.35">
      <c r="A13" s="186" t="s">
        <v>619</v>
      </c>
      <c r="B13" s="186" t="s">
        <v>2</v>
      </c>
      <c r="C13" s="186" t="s">
        <v>3</v>
      </c>
      <c r="D13" s="186" t="s">
        <v>620</v>
      </c>
      <c r="E13" s="186" t="s">
        <v>621</v>
      </c>
      <c r="F13" s="186" t="s">
        <v>622</v>
      </c>
      <c r="G13" s="186" t="s">
        <v>194</v>
      </c>
      <c r="H13" s="186" t="s">
        <v>337</v>
      </c>
    </row>
    <row r="14" spans="1:8" ht="58" x14ac:dyDescent="0.35">
      <c r="A14" s="187">
        <v>1</v>
      </c>
      <c r="B14" s="187" t="s">
        <v>623</v>
      </c>
      <c r="C14" s="263" t="s">
        <v>708</v>
      </c>
      <c r="D14" s="263" t="s">
        <v>411</v>
      </c>
      <c r="E14" s="263" t="s">
        <v>845</v>
      </c>
      <c r="F14" s="188" t="s">
        <v>846</v>
      </c>
      <c r="G14" s="188" t="s">
        <v>349</v>
      </c>
      <c r="H14" s="189">
        <v>46210</v>
      </c>
    </row>
    <row r="15" spans="1:8" ht="58" x14ac:dyDescent="0.35">
      <c r="A15" s="187">
        <v>2</v>
      </c>
      <c r="B15" s="187" t="s">
        <v>18</v>
      </c>
      <c r="C15" s="263" t="s">
        <v>19</v>
      </c>
      <c r="D15" s="263" t="s">
        <v>411</v>
      </c>
      <c r="E15" s="263" t="s">
        <v>847</v>
      </c>
      <c r="F15" s="188" t="s">
        <v>848</v>
      </c>
      <c r="G15" s="188" t="s">
        <v>349</v>
      </c>
      <c r="H15" s="189">
        <v>46210</v>
      </c>
    </row>
    <row r="16" spans="1:8" ht="58" x14ac:dyDescent="0.35">
      <c r="A16" s="187">
        <v>3</v>
      </c>
      <c r="B16" s="187" t="s">
        <v>33</v>
      </c>
      <c r="C16" s="263" t="s">
        <v>34</v>
      </c>
      <c r="D16" s="263" t="s">
        <v>411</v>
      </c>
      <c r="E16" s="263" t="s">
        <v>847</v>
      </c>
      <c r="F16" s="188" t="s">
        <v>849</v>
      </c>
      <c r="G16" s="188" t="s">
        <v>349</v>
      </c>
      <c r="H16" s="189">
        <v>46210</v>
      </c>
    </row>
    <row r="17" spans="1:8" ht="58" x14ac:dyDescent="0.35">
      <c r="A17" s="187">
        <v>4</v>
      </c>
      <c r="B17" s="187" t="s">
        <v>35</v>
      </c>
      <c r="C17" s="263" t="s">
        <v>36</v>
      </c>
      <c r="D17" s="263" t="s">
        <v>411</v>
      </c>
      <c r="E17" s="263" t="s">
        <v>850</v>
      </c>
      <c r="F17" s="188" t="s">
        <v>851</v>
      </c>
      <c r="G17" s="188" t="s">
        <v>349</v>
      </c>
      <c r="H17" s="189">
        <v>46210</v>
      </c>
    </row>
    <row r="18" spans="1:8" ht="58" x14ac:dyDescent="0.35">
      <c r="A18" s="187">
        <v>5</v>
      </c>
      <c r="B18" s="187" t="s">
        <v>37</v>
      </c>
      <c r="C18" s="263" t="s">
        <v>38</v>
      </c>
      <c r="D18" s="263" t="s">
        <v>411</v>
      </c>
      <c r="E18" s="263" t="s">
        <v>852</v>
      </c>
      <c r="F18" s="188" t="s">
        <v>853</v>
      </c>
      <c r="G18" s="188" t="s">
        <v>349</v>
      </c>
      <c r="H18" s="189">
        <v>46210</v>
      </c>
    </row>
    <row r="19" spans="1:8" ht="58" x14ac:dyDescent="0.35">
      <c r="A19" s="187">
        <v>6</v>
      </c>
      <c r="B19" s="187" t="s">
        <v>39</v>
      </c>
      <c r="C19" s="263" t="s">
        <v>40</v>
      </c>
      <c r="D19" s="263" t="s">
        <v>411</v>
      </c>
      <c r="E19" s="263" t="s">
        <v>854</v>
      </c>
      <c r="F19" s="188" t="s">
        <v>855</v>
      </c>
      <c r="G19" s="188" t="s">
        <v>349</v>
      </c>
      <c r="H19" s="189">
        <v>46210</v>
      </c>
    </row>
    <row r="20" spans="1:8" ht="43.5" x14ac:dyDescent="0.35">
      <c r="A20" s="187">
        <v>7</v>
      </c>
      <c r="B20" s="187" t="s">
        <v>41</v>
      </c>
      <c r="C20" s="263" t="s">
        <v>42</v>
      </c>
      <c r="D20" s="263" t="s">
        <v>770</v>
      </c>
      <c r="E20" s="263" t="s">
        <v>856</v>
      </c>
      <c r="F20" s="188" t="s">
        <v>857</v>
      </c>
      <c r="G20" s="188" t="s">
        <v>349</v>
      </c>
      <c r="H20" s="189">
        <v>46210</v>
      </c>
    </row>
    <row r="21" spans="1:8" ht="58" x14ac:dyDescent="0.35">
      <c r="A21" s="187">
        <v>8</v>
      </c>
      <c r="B21" s="187" t="s">
        <v>43</v>
      </c>
      <c r="C21" s="263" t="s">
        <v>44</v>
      </c>
      <c r="D21" s="263" t="s">
        <v>770</v>
      </c>
      <c r="E21" s="263" t="s">
        <v>856</v>
      </c>
      <c r="F21" s="188" t="s">
        <v>858</v>
      </c>
      <c r="G21" s="188" t="s">
        <v>349</v>
      </c>
      <c r="H21" s="189">
        <v>46210</v>
      </c>
    </row>
    <row r="22" spans="1:8" x14ac:dyDescent="0.35">
      <c r="A22" s="187"/>
      <c r="B22" s="187"/>
      <c r="C22" s="263"/>
      <c r="D22" s="263"/>
      <c r="E22" s="263"/>
      <c r="F22" s="188"/>
      <c r="G22" s="188"/>
      <c r="H22" s="189"/>
    </row>
    <row r="23" spans="1:8" x14ac:dyDescent="0.35">
      <c r="A23" s="187"/>
      <c r="B23" s="187"/>
      <c r="C23" s="263"/>
      <c r="D23" s="263"/>
      <c r="E23" s="263"/>
      <c r="F23" s="188"/>
      <c r="G23" s="188"/>
      <c r="H23" s="189"/>
    </row>
    <row r="24" spans="1:8" x14ac:dyDescent="0.35">
      <c r="A24" s="246"/>
      <c r="B24" s="246"/>
      <c r="C24" s="264"/>
      <c r="D24" s="264"/>
      <c r="E24" s="264"/>
      <c r="F24" s="248"/>
      <c r="G24" s="248"/>
      <c r="H24" s="249"/>
    </row>
    <row r="25" spans="1:8" x14ac:dyDescent="0.35">
      <c r="A25" s="247"/>
      <c r="B25" s="247"/>
      <c r="C25" s="263"/>
      <c r="D25" s="263"/>
      <c r="E25" s="263"/>
      <c r="F25" s="180"/>
      <c r="G25" s="180"/>
      <c r="H25" s="250"/>
    </row>
    <row r="26" spans="1:8" x14ac:dyDescent="0.35">
      <c r="A26" s="180"/>
      <c r="B26" s="180"/>
      <c r="C26" s="180"/>
      <c r="D26" s="180"/>
      <c r="E26" s="180"/>
      <c r="F26" s="180"/>
      <c r="G26" s="180"/>
      <c r="H26" s="180"/>
    </row>
    <row r="27" spans="1:8" x14ac:dyDescent="0.35">
      <c r="A27" s="180"/>
      <c r="B27" s="180"/>
      <c r="C27" s="180"/>
      <c r="D27" s="180"/>
      <c r="E27" s="180"/>
      <c r="F27" s="180"/>
      <c r="G27" s="180"/>
      <c r="H27" s="180"/>
    </row>
  </sheetData>
  <mergeCells count="4">
    <mergeCell ref="A4:H4"/>
    <mergeCell ref="A2:H2"/>
    <mergeCell ref="A5:H7"/>
    <mergeCell ref="A1:H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77"/>
  <sheetViews>
    <sheetView topLeftCell="A38" workbookViewId="0"/>
  </sheetViews>
  <sheetFormatPr defaultRowHeight="14.5" x14ac:dyDescent="0.35"/>
  <cols>
    <col min="1" max="1" width="69.54296875" style="190" bestFit="1" customWidth="1"/>
    <col min="2" max="2" width="17.26953125" style="190" bestFit="1" customWidth="1"/>
    <col min="3" max="3" width="20" style="190" bestFit="1" customWidth="1"/>
    <col min="4" max="4" width="17.54296875" style="190" bestFit="1" customWidth="1"/>
    <col min="5" max="5" width="17.453125" style="190" bestFit="1" customWidth="1"/>
    <col min="6" max="6" width="10.453125" style="190" bestFit="1" customWidth="1"/>
    <col min="7" max="7" width="15.08984375" style="190" bestFit="1" customWidth="1"/>
    <col min="8" max="8" width="10.54296875" style="190" bestFit="1" customWidth="1"/>
    <col min="9" max="14" width="16.36328125" style="190" customWidth="1"/>
  </cols>
  <sheetData>
    <row r="1" spans="1:8" ht="23.5" x14ac:dyDescent="0.55000000000000004">
      <c r="A1" s="191" t="s">
        <v>624</v>
      </c>
      <c r="B1" s="191"/>
      <c r="C1" s="191"/>
      <c r="D1" s="191"/>
      <c r="E1" s="191"/>
      <c r="F1" s="191"/>
      <c r="G1" s="191"/>
      <c r="H1" s="191"/>
    </row>
    <row r="2" spans="1:8" ht="29" x14ac:dyDescent="0.35">
      <c r="A2" s="179" t="s">
        <v>625</v>
      </c>
      <c r="B2" s="179"/>
      <c r="C2" s="179"/>
      <c r="D2" s="179"/>
      <c r="E2" s="179"/>
      <c r="F2" s="179"/>
      <c r="G2" s="179"/>
      <c r="H2" s="179"/>
    </row>
    <row r="4" spans="1:8" x14ac:dyDescent="0.35">
      <c r="A4" s="192" t="s">
        <v>613</v>
      </c>
      <c r="B4" s="192"/>
      <c r="C4" s="192"/>
      <c r="D4" s="192"/>
      <c r="E4" s="192"/>
      <c r="F4" s="192"/>
      <c r="G4" s="192"/>
      <c r="H4" s="192"/>
    </row>
    <row r="5" spans="1:8" ht="43.5" x14ac:dyDescent="0.35">
      <c r="A5" s="188" t="s">
        <v>866</v>
      </c>
      <c r="B5" s="188"/>
      <c r="C5" s="188"/>
      <c r="D5" s="188"/>
      <c r="E5" s="188"/>
      <c r="F5" s="188"/>
      <c r="G5" s="188"/>
      <c r="H5" s="188"/>
    </row>
    <row r="6" spans="1:8" x14ac:dyDescent="0.35">
      <c r="A6" s="188"/>
      <c r="B6" s="188"/>
      <c r="C6" s="188"/>
      <c r="D6" s="188"/>
      <c r="E6" s="188"/>
      <c r="F6" s="188"/>
      <c r="G6" s="188"/>
      <c r="H6" s="188"/>
    </row>
    <row r="8" spans="1:8" x14ac:dyDescent="0.35">
      <c r="A8" s="193" t="s">
        <v>626</v>
      </c>
      <c r="B8" s="193" t="s">
        <v>627</v>
      </c>
      <c r="C8" s="193" t="s">
        <v>256</v>
      </c>
      <c r="D8" s="193" t="s">
        <v>264</v>
      </c>
      <c r="E8" s="193" t="s">
        <v>628</v>
      </c>
      <c r="F8" s="193" t="s">
        <v>629</v>
      </c>
      <c r="G8" s="193" t="s">
        <v>630</v>
      </c>
    </row>
    <row r="9" spans="1:8" x14ac:dyDescent="0.35">
      <c r="A9" s="265" t="s">
        <v>623</v>
      </c>
      <c r="B9" s="267">
        <v>16500</v>
      </c>
      <c r="C9" s="267">
        <v>9280</v>
      </c>
      <c r="D9" s="267">
        <v>8250</v>
      </c>
      <c r="E9" s="267">
        <v>0.6875</v>
      </c>
      <c r="F9" s="267">
        <v>0.88900862068965503</v>
      </c>
      <c r="G9" s="267">
        <v>-2060</v>
      </c>
    </row>
    <row r="10" spans="1:8" x14ac:dyDescent="0.35">
      <c r="A10" s="190" t="s">
        <v>18</v>
      </c>
      <c r="B10" s="268">
        <v>8500</v>
      </c>
      <c r="C10" s="268">
        <v>8700</v>
      </c>
      <c r="D10" s="268">
        <v>8500</v>
      </c>
      <c r="E10" s="268">
        <v>1</v>
      </c>
      <c r="F10" s="268">
        <v>0.97701149425287404</v>
      </c>
      <c r="G10" s="268">
        <v>-200</v>
      </c>
    </row>
    <row r="11" spans="1:8" x14ac:dyDescent="0.35">
      <c r="A11" s="190" t="s">
        <v>33</v>
      </c>
      <c r="B11" s="268">
        <v>13200</v>
      </c>
      <c r="C11" s="268">
        <v>13408.16</v>
      </c>
      <c r="D11" s="268">
        <v>13200</v>
      </c>
      <c r="E11" s="268">
        <v>1</v>
      </c>
      <c r="F11" s="268">
        <v>0.98447512559516004</v>
      </c>
      <c r="G11" s="268">
        <v>-208.15999999999801</v>
      </c>
    </row>
    <row r="12" spans="1:8" x14ac:dyDescent="0.35">
      <c r="A12" s="192" t="s">
        <v>631</v>
      </c>
      <c r="B12" s="192"/>
      <c r="C12" s="192"/>
      <c r="D12" s="192"/>
      <c r="E12" s="192"/>
      <c r="F12" s="192"/>
      <c r="G12" s="192"/>
    </row>
    <row r="13" spans="1:8" x14ac:dyDescent="0.35">
      <c r="A13" s="190" t="s">
        <v>544</v>
      </c>
      <c r="B13" s="190" t="s">
        <v>632</v>
      </c>
      <c r="C13" s="190" t="s">
        <v>633</v>
      </c>
      <c r="D13" s="190" t="s">
        <v>634</v>
      </c>
      <c r="E13" s="190" t="s">
        <v>635</v>
      </c>
      <c r="F13" s="190" t="s">
        <v>636</v>
      </c>
      <c r="G13" s="190" t="s">
        <v>637</v>
      </c>
    </row>
    <row r="14" spans="1:8" x14ac:dyDescent="0.35">
      <c r="A14" s="190" t="s">
        <v>557</v>
      </c>
      <c r="B14" s="269">
        <v>12</v>
      </c>
      <c r="C14" s="269">
        <v>22262.5</v>
      </c>
      <c r="D14" s="269">
        <v>22600</v>
      </c>
      <c r="E14" s="269">
        <v>12510.125444469517</v>
      </c>
      <c r="F14" s="269">
        <v>3600</v>
      </c>
      <c r="G14" s="269">
        <v>42000</v>
      </c>
    </row>
    <row r="15" spans="1:8" x14ac:dyDescent="0.35">
      <c r="A15" s="190" t="s">
        <v>558</v>
      </c>
      <c r="B15" s="269">
        <v>12</v>
      </c>
      <c r="C15" s="269">
        <v>18227.778333333332</v>
      </c>
      <c r="D15" s="269">
        <v>16200</v>
      </c>
      <c r="E15" s="269">
        <v>13348.936831775191</v>
      </c>
      <c r="F15" s="269">
        <v>0</v>
      </c>
      <c r="G15" s="269">
        <v>42000</v>
      </c>
    </row>
    <row r="16" spans="1:8" x14ac:dyDescent="0.35">
      <c r="A16" s="190" t="s">
        <v>559</v>
      </c>
      <c r="B16" s="269">
        <v>12</v>
      </c>
      <c r="C16" s="269">
        <v>11805.453333333337</v>
      </c>
      <c r="D16" s="269">
        <v>8990</v>
      </c>
      <c r="E16" s="269">
        <v>12607.775696474224</v>
      </c>
      <c r="F16" s="269">
        <v>0</v>
      </c>
      <c r="G16" s="269">
        <v>41300</v>
      </c>
    </row>
    <row r="17" spans="1:8" x14ac:dyDescent="0.35">
      <c r="A17" s="190" t="s">
        <v>560</v>
      </c>
      <c r="B17" s="269">
        <v>12</v>
      </c>
      <c r="C17" s="269">
        <v>10893.166333333333</v>
      </c>
      <c r="D17" s="269">
        <v>8375</v>
      </c>
      <c r="E17" s="269">
        <v>12099.634085631811</v>
      </c>
      <c r="F17" s="269">
        <v>0</v>
      </c>
      <c r="G17" s="269">
        <v>42000</v>
      </c>
    </row>
    <row r="18" spans="1:8" x14ac:dyDescent="0.35">
      <c r="A18" s="190" t="s">
        <v>261</v>
      </c>
      <c r="B18" s="269">
        <v>12</v>
      </c>
      <c r="C18" s="269">
        <v>0.48740475000000005</v>
      </c>
      <c r="D18" s="269">
        <v>0.45</v>
      </c>
      <c r="E18" s="269">
        <v>0.43809184617946473</v>
      </c>
      <c r="F18" s="269">
        <v>0</v>
      </c>
      <c r="G18" s="269">
        <v>1</v>
      </c>
    </row>
    <row r="19" spans="1:8" x14ac:dyDescent="0.35">
      <c r="A19" s="190" t="s">
        <v>8</v>
      </c>
      <c r="B19" s="269">
        <v>12</v>
      </c>
      <c r="C19" s="269">
        <v>0.66969641666666668</v>
      </c>
      <c r="D19" s="269">
        <v>0.85</v>
      </c>
      <c r="E19" s="269">
        <v>0.40481944016549098</v>
      </c>
      <c r="F19" s="269">
        <v>0</v>
      </c>
      <c r="G19" s="269">
        <v>1</v>
      </c>
    </row>
    <row r="20" spans="1:8" x14ac:dyDescent="0.35">
      <c r="A20" s="190" t="s">
        <v>9</v>
      </c>
      <c r="B20" s="269">
        <v>12</v>
      </c>
      <c r="C20" s="269">
        <v>0.95188633802801859</v>
      </c>
      <c r="D20" s="269">
        <v>0.99223756279758002</v>
      </c>
      <c r="E20" s="269">
        <v>0.10149718288368355</v>
      </c>
      <c r="F20" s="269">
        <v>0.69449108303976503</v>
      </c>
      <c r="G20" s="269">
        <v>1.0552326348279499</v>
      </c>
    </row>
    <row r="21" spans="1:8" x14ac:dyDescent="0.35">
      <c r="A21" s="190" t="s">
        <v>270</v>
      </c>
      <c r="B21" s="269">
        <v>12</v>
      </c>
      <c r="C21" s="269">
        <v>-7334.6120000000001</v>
      </c>
      <c r="D21" s="269">
        <v>-1875</v>
      </c>
      <c r="E21" s="269">
        <v>9564.5053549098338</v>
      </c>
      <c r="F21" s="269">
        <v>-23833.34</v>
      </c>
      <c r="G21" s="269">
        <v>0</v>
      </c>
    </row>
    <row r="22" spans="1:8" x14ac:dyDescent="0.35">
      <c r="A22" s="190" t="s">
        <v>274</v>
      </c>
      <c r="B22" s="269">
        <v>12</v>
      </c>
      <c r="C22" s="269">
        <v>-912.28699999999981</v>
      </c>
      <c r="D22" s="269">
        <v>-65.602000000000004</v>
      </c>
      <c r="E22" s="269">
        <v>2453.9533227017396</v>
      </c>
      <c r="F22" s="269">
        <v>-8006.24</v>
      </c>
      <c r="G22" s="269">
        <v>1004.96</v>
      </c>
    </row>
    <row r="23" spans="1:8" x14ac:dyDescent="0.35">
      <c r="A23" s="190" t="s">
        <v>294</v>
      </c>
      <c r="B23" s="269">
        <v>12</v>
      </c>
      <c r="C23" s="269">
        <v>-1701.6593494791505</v>
      </c>
      <c r="D23" s="269">
        <v>-100</v>
      </c>
      <c r="E23" s="269">
        <v>3829.7881725459333</v>
      </c>
      <c r="F23" s="269">
        <v>-11437.4857142857</v>
      </c>
      <c r="G23" s="269">
        <v>1004.96</v>
      </c>
    </row>
    <row r="26" spans="1:8" x14ac:dyDescent="0.35">
      <c r="A26" s="192" t="s">
        <v>638</v>
      </c>
      <c r="B26" s="192"/>
      <c r="C26" s="192"/>
      <c r="D26" s="192"/>
      <c r="E26" s="192"/>
      <c r="F26" s="192"/>
      <c r="G26" s="192"/>
      <c r="H26" s="192"/>
    </row>
    <row r="27" spans="1:8" x14ac:dyDescent="0.35">
      <c r="A27" s="35" t="s">
        <v>638</v>
      </c>
      <c r="B27" s="270"/>
      <c r="C27" s="270"/>
      <c r="D27" s="270"/>
      <c r="E27" s="270"/>
      <c r="F27" s="270"/>
      <c r="G27" s="270"/>
      <c r="H27" s="270"/>
    </row>
    <row r="28" spans="1:8" x14ac:dyDescent="0.35">
      <c r="A28" s="35" t="s">
        <v>639</v>
      </c>
      <c r="B28" s="270" t="s">
        <v>640</v>
      </c>
      <c r="C28" s="270" t="s">
        <v>641</v>
      </c>
      <c r="D28" s="270" t="s">
        <v>642</v>
      </c>
      <c r="E28" s="270" t="s">
        <v>643</v>
      </c>
      <c r="F28" s="270" t="s">
        <v>644</v>
      </c>
      <c r="G28" s="270" t="s">
        <v>645</v>
      </c>
      <c r="H28" s="270" t="s">
        <v>646</v>
      </c>
    </row>
    <row r="29" spans="1:8" x14ac:dyDescent="0.35">
      <c r="A29" t="s">
        <v>647</v>
      </c>
      <c r="B29" s="255">
        <v>95400</v>
      </c>
      <c r="C29" s="255">
        <v>78900</v>
      </c>
      <c r="D29" s="255">
        <v>75789.440000000002</v>
      </c>
      <c r="E29" s="255">
        <v>67350</v>
      </c>
      <c r="F29" s="255">
        <v>-11550</v>
      </c>
      <c r="G29" s="255">
        <v>-8439.4399999999987</v>
      </c>
      <c r="H29" s="255">
        <v>-12900.685714285697</v>
      </c>
    </row>
    <row r="30" spans="1:8" x14ac:dyDescent="0.35">
      <c r="A30" t="s">
        <v>648</v>
      </c>
      <c r="B30" s="255">
        <v>107750</v>
      </c>
      <c r="C30" s="255">
        <v>75833.34</v>
      </c>
      <c r="D30" s="255">
        <v>41300</v>
      </c>
      <c r="E30" s="255">
        <v>42000</v>
      </c>
      <c r="F30" s="255">
        <v>-33833.339999999997</v>
      </c>
      <c r="G30" s="255">
        <v>700</v>
      </c>
      <c r="H30" s="255">
        <v>700</v>
      </c>
    </row>
    <row r="31" spans="1:8" x14ac:dyDescent="0.35">
      <c r="A31" t="s">
        <v>649</v>
      </c>
      <c r="B31" s="255">
        <v>64000</v>
      </c>
      <c r="C31" s="255">
        <v>64000</v>
      </c>
      <c r="D31" s="255">
        <v>24576</v>
      </c>
      <c r="E31" s="255">
        <v>21367.995999999999</v>
      </c>
      <c r="F31" s="255">
        <v>-42632.004000000001</v>
      </c>
      <c r="G31" s="255">
        <v>-3208.0040000000004</v>
      </c>
      <c r="H31" s="255">
        <v>-8219.2264794641087</v>
      </c>
    </row>
    <row r="32" spans="1:8" x14ac:dyDescent="0.35">
      <c r="A32" t="s">
        <v>650</v>
      </c>
      <c r="B32" s="255">
        <v>267150</v>
      </c>
      <c r="C32" s="255">
        <v>218733.34</v>
      </c>
      <c r="D32" s="255">
        <v>141665.44000000003</v>
      </c>
      <c r="E32" s="255">
        <v>130717.996</v>
      </c>
      <c r="F32" s="255">
        <v>-88015.343999999997</v>
      </c>
      <c r="G32" s="255">
        <v>-10947.443999999998</v>
      </c>
      <c r="H32" s="255">
        <v>-20419.912193749806</v>
      </c>
    </row>
    <row r="33" spans="1:8" x14ac:dyDescent="0.35">
      <c r="A33"/>
      <c r="B33" s="255"/>
      <c r="C33" s="255"/>
      <c r="D33" s="255"/>
      <c r="E33" s="255"/>
      <c r="F33" s="255"/>
      <c r="G33" s="255"/>
      <c r="H33" s="255"/>
    </row>
    <row r="34" spans="1:8" x14ac:dyDescent="0.35">
      <c r="B34" s="194"/>
      <c r="C34" s="194"/>
      <c r="D34" s="194"/>
      <c r="E34" s="194"/>
      <c r="F34" s="194"/>
      <c r="G34" s="194"/>
      <c r="H34" s="194"/>
    </row>
    <row r="35" spans="1:8" x14ac:dyDescent="0.35">
      <c r="A35" s="192" t="s">
        <v>651</v>
      </c>
      <c r="B35" s="271"/>
      <c r="C35" s="271"/>
      <c r="D35" s="271"/>
      <c r="E35" s="271"/>
      <c r="F35" s="271"/>
      <c r="G35" s="271"/>
      <c r="H35" s="271"/>
    </row>
    <row r="36" spans="1:8" x14ac:dyDescent="0.35">
      <c r="A36" s="35" t="s">
        <v>639</v>
      </c>
      <c r="B36" s="270" t="s">
        <v>640</v>
      </c>
      <c r="C36" s="270" t="s">
        <v>641</v>
      </c>
      <c r="D36" s="270" t="s">
        <v>642</v>
      </c>
      <c r="E36" s="270" t="s">
        <v>643</v>
      </c>
      <c r="F36" s="270" t="s">
        <v>644</v>
      </c>
      <c r="G36" s="270" t="s">
        <v>645</v>
      </c>
      <c r="H36" s="270" t="s">
        <v>646</v>
      </c>
    </row>
    <row r="37" spans="1:8" x14ac:dyDescent="0.35">
      <c r="A37" t="s">
        <v>20</v>
      </c>
      <c r="B37" s="255">
        <v>193950</v>
      </c>
      <c r="C37" s="255">
        <v>157533.34</v>
      </c>
      <c r="D37" s="255">
        <v>82170.399999999994</v>
      </c>
      <c r="E37" s="255">
        <v>69517.995999999999</v>
      </c>
      <c r="F37" s="255">
        <v>-88015.343999999997</v>
      </c>
      <c r="G37" s="255">
        <v>-12652.403999999997</v>
      </c>
      <c r="H37" s="255">
        <v>-22124.872193749805</v>
      </c>
    </row>
    <row r="38" spans="1:8" x14ac:dyDescent="0.35">
      <c r="A38" t="s">
        <v>15</v>
      </c>
      <c r="B38" s="255">
        <v>73200</v>
      </c>
      <c r="C38" s="255">
        <v>61200</v>
      </c>
      <c r="D38" s="255">
        <v>59495.040000000001</v>
      </c>
      <c r="E38" s="255">
        <v>61200</v>
      </c>
      <c r="F38" s="255">
        <v>0</v>
      </c>
      <c r="G38" s="255">
        <v>1704.96</v>
      </c>
      <c r="H38" s="255">
        <v>1704.96</v>
      </c>
    </row>
    <row r="39" spans="1:8" x14ac:dyDescent="0.35">
      <c r="A39" t="s">
        <v>650</v>
      </c>
      <c r="B39" s="255">
        <v>267150</v>
      </c>
      <c r="C39" s="255">
        <v>218733.34</v>
      </c>
      <c r="D39" s="255">
        <v>141665.44000000003</v>
      </c>
      <c r="E39" s="255">
        <v>130717.996</v>
      </c>
      <c r="F39" s="255">
        <v>-88015.343999999997</v>
      </c>
      <c r="G39" s="255">
        <v>-10947.443999999998</v>
      </c>
      <c r="H39" s="255">
        <v>-20419.912193749806</v>
      </c>
    </row>
    <row r="40" spans="1:8" x14ac:dyDescent="0.35">
      <c r="A40"/>
      <c r="B40" s="255"/>
      <c r="C40" s="255"/>
      <c r="D40" s="255"/>
      <c r="E40" s="255"/>
      <c r="F40" s="255"/>
      <c r="G40" s="255"/>
      <c r="H40" s="255"/>
    </row>
    <row r="41" spans="1:8" x14ac:dyDescent="0.35">
      <c r="B41" s="194"/>
      <c r="C41" s="194"/>
      <c r="D41" s="194"/>
      <c r="E41" s="194"/>
      <c r="F41" s="194"/>
      <c r="G41" s="194"/>
      <c r="H41" s="194"/>
    </row>
    <row r="42" spans="1:8" x14ac:dyDescent="0.35">
      <c r="B42" s="194"/>
      <c r="C42" s="194"/>
      <c r="D42" s="194"/>
      <c r="E42" s="194"/>
      <c r="F42" s="194"/>
      <c r="G42" s="194"/>
      <c r="H42" s="194"/>
    </row>
    <row r="43" spans="1:8" x14ac:dyDescent="0.35">
      <c r="A43" s="266" t="s">
        <v>652</v>
      </c>
      <c r="B43" s="272"/>
      <c r="C43" s="272"/>
      <c r="D43" s="194"/>
      <c r="E43" s="194"/>
      <c r="F43" s="194"/>
      <c r="G43" s="194"/>
      <c r="H43" s="194"/>
    </row>
    <row r="44" spans="1:8" x14ac:dyDescent="0.35">
      <c r="A44" s="192" t="s">
        <v>639</v>
      </c>
      <c r="B44" s="271" t="s">
        <v>653</v>
      </c>
      <c r="C44" s="271" t="s">
        <v>654</v>
      </c>
      <c r="D44" s="194"/>
      <c r="E44" s="194"/>
      <c r="F44" s="194"/>
      <c r="G44" s="194"/>
      <c r="H44" s="194"/>
    </row>
    <row r="45" spans="1:8" x14ac:dyDescent="0.35">
      <c r="A45" t="s">
        <v>623</v>
      </c>
      <c r="B45" s="255">
        <v>9280</v>
      </c>
      <c r="C45" s="255">
        <v>6.09</v>
      </c>
      <c r="D45" s="194"/>
      <c r="E45" s="194"/>
      <c r="F45" s="194"/>
      <c r="G45" s="194"/>
      <c r="H45" s="194"/>
    </row>
    <row r="46" spans="1:8" x14ac:dyDescent="0.35">
      <c r="A46" t="s">
        <v>18</v>
      </c>
      <c r="B46" s="255">
        <v>8700</v>
      </c>
      <c r="C46" s="255">
        <v>3.95</v>
      </c>
      <c r="D46" s="194"/>
      <c r="E46" s="194"/>
      <c r="F46" s="194"/>
      <c r="G46" s="194"/>
      <c r="H46" s="194"/>
    </row>
    <row r="47" spans="1:8" x14ac:dyDescent="0.35">
      <c r="A47" t="s">
        <v>24</v>
      </c>
      <c r="B47" s="255">
        <v>18195.04</v>
      </c>
      <c r="C47" s="255">
        <v>7.5999999999999979</v>
      </c>
      <c r="D47" s="194"/>
      <c r="E47" s="194"/>
      <c r="F47" s="194"/>
      <c r="G47" s="194"/>
      <c r="H47" s="194"/>
    </row>
    <row r="48" spans="1:8" x14ac:dyDescent="0.35">
      <c r="A48" t="s">
        <v>28</v>
      </c>
      <c r="B48" s="255">
        <v>41300</v>
      </c>
      <c r="C48" s="255">
        <v>0</v>
      </c>
      <c r="D48" s="194"/>
      <c r="E48" s="194"/>
      <c r="F48" s="194"/>
      <c r="G48" s="194"/>
      <c r="H48" s="194"/>
    </row>
    <row r="49" spans="1:8" x14ac:dyDescent="0.35">
      <c r="A49" t="s">
        <v>33</v>
      </c>
      <c r="B49" s="255">
        <v>13408.159999999998</v>
      </c>
      <c r="C49" s="255">
        <v>6.0499999999999989</v>
      </c>
      <c r="D49" s="194"/>
      <c r="E49" s="194"/>
      <c r="F49" s="194"/>
      <c r="G49" s="194"/>
      <c r="H49" s="194"/>
    </row>
    <row r="50" spans="1:8" x14ac:dyDescent="0.35">
      <c r="A50" t="s">
        <v>35</v>
      </c>
      <c r="B50" s="255">
        <v>26206.239999999998</v>
      </c>
      <c r="C50" s="255">
        <v>10.1</v>
      </c>
      <c r="D50" s="194"/>
      <c r="E50" s="194"/>
      <c r="F50" s="194"/>
      <c r="G50" s="194"/>
      <c r="H50" s="194"/>
    </row>
    <row r="51" spans="1:8" x14ac:dyDescent="0.35">
      <c r="A51" t="s">
        <v>37</v>
      </c>
      <c r="B51" s="255">
        <v>17476.8</v>
      </c>
      <c r="C51" s="255">
        <v>0</v>
      </c>
      <c r="D51" s="194"/>
      <c r="E51" s="194"/>
      <c r="F51" s="194"/>
      <c r="G51" s="194"/>
      <c r="H51" s="194"/>
    </row>
    <row r="52" spans="1:8" x14ac:dyDescent="0.35">
      <c r="A52" t="s">
        <v>39</v>
      </c>
      <c r="B52" s="255">
        <v>7099.2</v>
      </c>
      <c r="C52" s="255">
        <v>0</v>
      </c>
      <c r="D52" s="194"/>
      <c r="E52" s="194"/>
      <c r="F52" s="194"/>
      <c r="G52" s="194"/>
      <c r="H52" s="194"/>
    </row>
    <row r="53" spans="1:8" x14ac:dyDescent="0.35">
      <c r="A53" t="s">
        <v>41</v>
      </c>
      <c r="B53" s="255">
        <v>0</v>
      </c>
      <c r="C53" s="255">
        <v>0</v>
      </c>
      <c r="D53" s="194"/>
      <c r="E53" s="194"/>
      <c r="F53" s="194"/>
      <c r="G53" s="194"/>
      <c r="H53" s="194"/>
    </row>
    <row r="54" spans="1:8" x14ac:dyDescent="0.35">
      <c r="A54" t="s">
        <v>43</v>
      </c>
      <c r="B54" s="255">
        <v>0</v>
      </c>
      <c r="C54" s="255">
        <v>0</v>
      </c>
      <c r="D54" s="194"/>
      <c r="E54" s="194"/>
      <c r="F54" s="194"/>
      <c r="G54" s="194"/>
      <c r="H54" s="194"/>
    </row>
    <row r="55" spans="1:8" x14ac:dyDescent="0.35">
      <c r="A55" t="s">
        <v>45</v>
      </c>
      <c r="B55" s="255">
        <v>0</v>
      </c>
      <c r="C55" s="255">
        <v>0</v>
      </c>
      <c r="D55" s="194"/>
      <c r="E55" s="194"/>
      <c r="F55" s="194"/>
      <c r="G55" s="194"/>
      <c r="H55" s="194"/>
    </row>
    <row r="56" spans="1:8" x14ac:dyDescent="0.35">
      <c r="A56" s="190" t="s">
        <v>47</v>
      </c>
      <c r="B56" s="194">
        <v>0</v>
      </c>
      <c r="C56" s="194">
        <v>0</v>
      </c>
      <c r="D56" s="194"/>
      <c r="E56" s="194"/>
      <c r="F56" s="194"/>
      <c r="G56" s="194"/>
      <c r="H56" s="194"/>
    </row>
    <row r="57" spans="1:8" x14ac:dyDescent="0.35">
      <c r="A57" s="190" t="s">
        <v>650</v>
      </c>
      <c r="B57" s="194">
        <v>141665.44</v>
      </c>
      <c r="C57" s="194">
        <v>33.79000000000002</v>
      </c>
      <c r="D57" s="194"/>
      <c r="E57" s="194"/>
      <c r="F57" s="194"/>
      <c r="G57" s="194"/>
      <c r="H57" s="194"/>
    </row>
    <row r="58" spans="1:8" x14ac:dyDescent="0.35">
      <c r="B58" s="194"/>
      <c r="C58" s="194"/>
      <c r="D58" s="194"/>
      <c r="E58" s="194"/>
      <c r="F58" s="194"/>
      <c r="G58" s="194"/>
      <c r="H58" s="194"/>
    </row>
    <row r="59" spans="1:8" x14ac:dyDescent="0.35">
      <c r="B59" s="194"/>
      <c r="C59" s="194"/>
      <c r="D59" s="194"/>
      <c r="E59" s="194"/>
      <c r="F59" s="194"/>
      <c r="G59" s="194"/>
      <c r="H59" s="194"/>
    </row>
    <row r="60" spans="1:8" x14ac:dyDescent="0.35">
      <c r="A60" s="266" t="s">
        <v>655</v>
      </c>
      <c r="B60" s="272"/>
      <c r="C60" s="272"/>
      <c r="D60" s="272"/>
      <c r="E60" s="272"/>
      <c r="F60" s="272"/>
      <c r="G60" s="272"/>
      <c r="H60" s="272"/>
    </row>
    <row r="61" spans="1:8" x14ac:dyDescent="0.35">
      <c r="A61" s="266" t="s">
        <v>639</v>
      </c>
      <c r="B61" s="272" t="s">
        <v>656</v>
      </c>
      <c r="C61" s="272" t="s">
        <v>657</v>
      </c>
      <c r="D61" s="272" t="s">
        <v>658</v>
      </c>
      <c r="E61" s="272" t="s">
        <v>644</v>
      </c>
      <c r="F61" s="272" t="s">
        <v>645</v>
      </c>
      <c r="G61" s="272" t="s">
        <v>646</v>
      </c>
      <c r="H61" s="272"/>
    </row>
    <row r="62" spans="1:8" x14ac:dyDescent="0.35">
      <c r="A62" s="192">
        <v>1</v>
      </c>
      <c r="B62" s="271">
        <v>14900</v>
      </c>
      <c r="C62" s="271">
        <v>15975.04</v>
      </c>
      <c r="D62" s="271">
        <v>13588</v>
      </c>
      <c r="E62" s="271">
        <v>-1312</v>
      </c>
      <c r="F62" s="271">
        <v>-2387.04</v>
      </c>
      <c r="G62" s="271">
        <v>-46930.949072711199</v>
      </c>
      <c r="H62" s="194"/>
    </row>
    <row r="63" spans="1:8" x14ac:dyDescent="0.35">
      <c r="A63">
        <v>2</v>
      </c>
      <c r="B63" s="255">
        <v>37700</v>
      </c>
      <c r="C63" s="255">
        <v>38629.120000000003</v>
      </c>
      <c r="D63" s="255">
        <v>35814.003100000002</v>
      </c>
      <c r="E63" s="255">
        <v>-1885.9969000000001</v>
      </c>
      <c r="F63" s="255">
        <v>-2815.1169</v>
      </c>
      <c r="G63" s="255">
        <v>-20999.0063868342</v>
      </c>
      <c r="H63" s="194"/>
    </row>
    <row r="64" spans="1:8" x14ac:dyDescent="0.35">
      <c r="A64">
        <v>3</v>
      </c>
      <c r="B64" s="255">
        <v>60500</v>
      </c>
      <c r="C64" s="255">
        <v>61283.199999999997</v>
      </c>
      <c r="D64" s="255">
        <v>56665</v>
      </c>
      <c r="E64" s="255">
        <v>-3835</v>
      </c>
      <c r="F64" s="255">
        <v>-4618.2</v>
      </c>
      <c r="G64" s="255">
        <v>-21772.736786376099</v>
      </c>
      <c r="H64" s="194"/>
    </row>
    <row r="65" spans="1:8" x14ac:dyDescent="0.35">
      <c r="A65">
        <v>4</v>
      </c>
      <c r="B65" s="255">
        <v>85566.67</v>
      </c>
      <c r="C65" s="255">
        <v>86189.440000000002</v>
      </c>
      <c r="D65" s="255">
        <v>79601.328500000003</v>
      </c>
      <c r="E65" s="255">
        <v>-5965.3414999999904</v>
      </c>
      <c r="F65" s="255">
        <v>-6588.11150000001</v>
      </c>
      <c r="G65" s="255">
        <v>-22110.359467493101</v>
      </c>
      <c r="H65" s="194"/>
    </row>
    <row r="66" spans="1:8" x14ac:dyDescent="0.35">
      <c r="A66">
        <v>5</v>
      </c>
      <c r="B66" s="255">
        <v>115233.34</v>
      </c>
      <c r="C66" s="255">
        <v>115666.24000000001</v>
      </c>
      <c r="D66" s="255">
        <v>106769.6735</v>
      </c>
      <c r="E66" s="255">
        <v>-8463.6664999999903</v>
      </c>
      <c r="F66" s="255">
        <v>-8896.5665000000208</v>
      </c>
      <c r="G66" s="255">
        <v>-22260.232354040101</v>
      </c>
      <c r="H66" s="194"/>
    </row>
    <row r="67" spans="1:8" x14ac:dyDescent="0.35">
      <c r="A67">
        <v>6</v>
      </c>
      <c r="B67" s="255">
        <v>141400</v>
      </c>
      <c r="C67" s="255">
        <v>141665.44</v>
      </c>
      <c r="D67" s="255">
        <v>130717.996</v>
      </c>
      <c r="E67" s="255">
        <v>-10682.004000000001</v>
      </c>
      <c r="F67" s="255">
        <v>-10947.444</v>
      </c>
      <c r="G67" s="255">
        <v>-22373.4279448409</v>
      </c>
      <c r="H67" s="194"/>
    </row>
    <row r="68" spans="1:8" x14ac:dyDescent="0.35">
      <c r="A68">
        <v>7</v>
      </c>
      <c r="B68" s="255">
        <v>158900</v>
      </c>
      <c r="C68" s="255">
        <v>141665.44</v>
      </c>
      <c r="D68" s="255">
        <v>130717.996</v>
      </c>
      <c r="E68" s="255">
        <v>-28182.004000000001</v>
      </c>
      <c r="F68" s="255">
        <v>-10947.444</v>
      </c>
      <c r="G68" s="255">
        <v>-22373.4279448409</v>
      </c>
      <c r="H68" s="194"/>
    </row>
    <row r="69" spans="1:8" x14ac:dyDescent="0.35">
      <c r="A69">
        <v>8</v>
      </c>
      <c r="B69" s="255">
        <v>188316.67</v>
      </c>
      <c r="C69" s="255">
        <v>141665.44</v>
      </c>
      <c r="D69" s="255">
        <v>130717.996</v>
      </c>
      <c r="E69" s="255">
        <v>-57598.673999999999</v>
      </c>
      <c r="F69" s="255">
        <v>-10947.444</v>
      </c>
      <c r="G69" s="255">
        <v>-22373.4279448409</v>
      </c>
      <c r="H69" s="194"/>
    </row>
    <row r="70" spans="1:8" x14ac:dyDescent="0.35">
      <c r="A70">
        <v>9</v>
      </c>
      <c r="B70" s="255">
        <v>218733.34</v>
      </c>
      <c r="C70" s="255">
        <v>141665.44</v>
      </c>
      <c r="D70" s="255">
        <v>130717.996</v>
      </c>
      <c r="E70" s="255">
        <v>-88015.343999999997</v>
      </c>
      <c r="F70" s="255">
        <v>-10947.444</v>
      </c>
      <c r="G70" s="255">
        <v>-22373.4279448409</v>
      </c>
      <c r="H70" s="194"/>
    </row>
    <row r="71" spans="1:8" x14ac:dyDescent="0.35">
      <c r="A71">
        <v>10</v>
      </c>
      <c r="B71" s="255">
        <v>242150</v>
      </c>
      <c r="C71" s="255">
        <v>141665.44</v>
      </c>
      <c r="D71" s="255">
        <v>130717.996</v>
      </c>
      <c r="E71" s="255">
        <v>-111432.004</v>
      </c>
      <c r="F71" s="255">
        <v>-10947.444</v>
      </c>
      <c r="G71" s="255">
        <v>-22373.4279448409</v>
      </c>
      <c r="H71" s="194"/>
    </row>
    <row r="72" spans="1:8" x14ac:dyDescent="0.35">
      <c r="A72">
        <v>11</v>
      </c>
      <c r="B72" s="255">
        <v>257850</v>
      </c>
      <c r="C72" s="255">
        <v>141665.44</v>
      </c>
      <c r="D72" s="255">
        <v>130717.996</v>
      </c>
      <c r="E72" s="255">
        <v>-127132.004</v>
      </c>
      <c r="F72" s="255">
        <v>-10947.444</v>
      </c>
      <c r="G72" s="255">
        <v>-22373.4279448409</v>
      </c>
      <c r="H72" s="194"/>
    </row>
    <row r="73" spans="1:8" x14ac:dyDescent="0.35">
      <c r="A73">
        <v>12</v>
      </c>
      <c r="B73" s="255">
        <v>267150</v>
      </c>
      <c r="C73" s="255">
        <v>141665.44</v>
      </c>
      <c r="D73" s="255">
        <v>130717.996</v>
      </c>
      <c r="E73" s="255">
        <v>-136432.00399999999</v>
      </c>
      <c r="F73" s="255">
        <v>-10947.444</v>
      </c>
      <c r="G73" s="255">
        <v>-22373.4279448409</v>
      </c>
      <c r="H73" s="194"/>
    </row>
    <row r="74" spans="1:8" x14ac:dyDescent="0.35">
      <c r="A74" t="s">
        <v>650</v>
      </c>
      <c r="B74" s="255">
        <v>1788400.02</v>
      </c>
      <c r="C74" s="255">
        <v>1309401.1199999996</v>
      </c>
      <c r="D74" s="255">
        <v>1207463.9771000003</v>
      </c>
      <c r="E74" s="255">
        <v>-580936.0429</v>
      </c>
      <c r="F74" s="255">
        <v>-101937.14290000005</v>
      </c>
      <c r="G74" s="255">
        <v>-290687.27968134102</v>
      </c>
      <c r="H74" s="194"/>
    </row>
    <row r="75" spans="1:8" x14ac:dyDescent="0.35">
      <c r="A75"/>
      <c r="B75" s="255"/>
      <c r="C75" s="255"/>
      <c r="D75" s="255"/>
      <c r="E75" s="255"/>
      <c r="F75" s="255"/>
      <c r="G75" s="255"/>
      <c r="H75" s="194"/>
    </row>
    <row r="76" spans="1:8" x14ac:dyDescent="0.35">
      <c r="A76"/>
      <c r="B76" s="255"/>
      <c r="C76" s="255"/>
      <c r="D76" s="255"/>
      <c r="E76" s="255"/>
      <c r="F76" s="255"/>
      <c r="G76" s="255"/>
      <c r="H76" s="194"/>
    </row>
    <row r="77" spans="1:8" x14ac:dyDescent="0.35">
      <c r="A77"/>
      <c r="B77"/>
      <c r="C77"/>
      <c r="D77"/>
      <c r="E77"/>
      <c r="F77"/>
      <c r="G77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AD47"/>
  </sheetPr>
  <dimension ref="A1:Z35"/>
  <sheetViews>
    <sheetView workbookViewId="0">
      <selection sqref="A1:Z1"/>
    </sheetView>
  </sheetViews>
  <sheetFormatPr defaultRowHeight="14.5" x14ac:dyDescent="0.35"/>
  <cols>
    <col min="1" max="1" width="44.453125" bestFit="1" customWidth="1"/>
    <col min="2" max="2" width="11.6328125" bestFit="1" customWidth="1"/>
    <col min="3" max="3" width="18.453125" bestFit="1" customWidth="1"/>
    <col min="4" max="4" width="12.7265625" bestFit="1" customWidth="1"/>
    <col min="5" max="5" width="11.1796875" bestFit="1" customWidth="1"/>
    <col min="6" max="6" width="11" bestFit="1" customWidth="1"/>
    <col min="7" max="7" width="10.90625" customWidth="1"/>
    <col min="8" max="8" width="11.26953125" bestFit="1" customWidth="1"/>
    <col min="9" max="9" width="11.08984375" bestFit="1" customWidth="1"/>
    <col min="10" max="10" width="9.6328125" bestFit="1" customWidth="1"/>
    <col min="11" max="11" width="26.36328125" bestFit="1" customWidth="1"/>
    <col min="12" max="12" width="44.90625" bestFit="1" customWidth="1"/>
    <col min="13" max="13" width="9.1796875" bestFit="1" customWidth="1"/>
    <col min="14" max="16" width="10.1796875" bestFit="1" customWidth="1"/>
    <col min="17" max="17" width="9.6328125" bestFit="1" customWidth="1"/>
    <col min="18" max="18" width="8.7265625" bestFit="1" customWidth="1"/>
    <col min="19" max="19" width="18.7265625" bestFit="1" customWidth="1"/>
    <col min="20" max="20" width="18" bestFit="1" customWidth="1"/>
    <col min="21" max="21" width="8.08984375" bestFit="1" customWidth="1"/>
    <col min="22" max="22" width="8.90625" bestFit="1" customWidth="1"/>
    <col min="23" max="23" width="34.36328125" bestFit="1" customWidth="1"/>
    <col min="24" max="24" width="10.26953125" bestFit="1" customWidth="1"/>
    <col min="25" max="26" width="5.453125" customWidth="1"/>
  </cols>
  <sheetData>
    <row r="1" spans="1:26" ht="23.5" x14ac:dyDescent="0.55000000000000004">
      <c r="A1" s="220" t="s">
        <v>659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spans="1:26" x14ac:dyDescent="0.35">
      <c r="A2" s="219" t="s">
        <v>660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4" spans="1:26" x14ac:dyDescent="0.35">
      <c r="A4" s="86" t="s">
        <v>2</v>
      </c>
      <c r="B4" s="80" t="s">
        <v>3</v>
      </c>
      <c r="C4" s="80" t="s">
        <v>661</v>
      </c>
      <c r="D4" s="80" t="s">
        <v>158</v>
      </c>
      <c r="E4" s="80" t="s">
        <v>662</v>
      </c>
      <c r="F4" s="80" t="s">
        <v>663</v>
      </c>
      <c r="G4" s="80" t="s">
        <v>664</v>
      </c>
      <c r="H4" s="80" t="s">
        <v>665</v>
      </c>
      <c r="I4" s="80" t="s">
        <v>666</v>
      </c>
      <c r="J4" s="80" t="s">
        <v>667</v>
      </c>
      <c r="K4" s="80" t="s">
        <v>668</v>
      </c>
      <c r="L4" s="80" t="s">
        <v>669</v>
      </c>
      <c r="M4" s="80" t="s">
        <v>670</v>
      </c>
      <c r="N4" s="80" t="s">
        <v>671</v>
      </c>
      <c r="O4" s="80" t="s">
        <v>672</v>
      </c>
      <c r="P4" s="80" t="s">
        <v>673</v>
      </c>
      <c r="Q4" s="80" t="s">
        <v>429</v>
      </c>
      <c r="R4" s="80" t="s">
        <v>249</v>
      </c>
      <c r="S4" s="80" t="s">
        <v>674</v>
      </c>
      <c r="T4" s="80" t="s">
        <v>675</v>
      </c>
      <c r="U4" s="80" t="s">
        <v>9</v>
      </c>
      <c r="V4" s="80" t="s">
        <v>10</v>
      </c>
      <c r="W4" s="80" t="s">
        <v>676</v>
      </c>
      <c r="X4" s="87" t="s">
        <v>569</v>
      </c>
      <c r="Y4" s="29"/>
      <c r="Z4" s="29"/>
    </row>
    <row r="5" spans="1:26" x14ac:dyDescent="0.35">
      <c r="A5" s="84" t="s">
        <v>623</v>
      </c>
      <c r="B5" s="2" t="s">
        <v>708</v>
      </c>
      <c r="C5" s="2" t="s">
        <v>859</v>
      </c>
      <c r="D5" s="2" t="s">
        <v>677</v>
      </c>
      <c r="E5" s="34">
        <v>0.84</v>
      </c>
      <c r="F5" s="34">
        <v>1.05</v>
      </c>
      <c r="G5" s="34">
        <v>1.05</v>
      </c>
      <c r="H5" s="34">
        <v>1.05</v>
      </c>
      <c r="I5" s="34">
        <v>1.05</v>
      </c>
      <c r="J5" s="34">
        <v>1.05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6.09</v>
      </c>
      <c r="R5" s="33">
        <v>16500</v>
      </c>
      <c r="S5" s="33">
        <v>9280</v>
      </c>
      <c r="T5" s="33">
        <v>7220</v>
      </c>
      <c r="U5" s="34">
        <v>0.88900862068965514</v>
      </c>
      <c r="V5" s="2" t="s">
        <v>20</v>
      </c>
      <c r="W5" s="2" t="s">
        <v>473</v>
      </c>
      <c r="X5" s="85" t="s">
        <v>678</v>
      </c>
      <c r="Y5" s="2"/>
      <c r="Z5" s="2"/>
    </row>
    <row r="6" spans="1:26" x14ac:dyDescent="0.35">
      <c r="A6" s="84" t="s">
        <v>623</v>
      </c>
      <c r="B6" s="2" t="s">
        <v>708</v>
      </c>
      <c r="C6" s="2" t="s">
        <v>859</v>
      </c>
      <c r="D6" s="2" t="s">
        <v>679</v>
      </c>
      <c r="E6" s="34">
        <v>1280</v>
      </c>
      <c r="F6" s="34">
        <v>1600</v>
      </c>
      <c r="G6" s="34">
        <v>1600</v>
      </c>
      <c r="H6" s="34">
        <v>1600</v>
      </c>
      <c r="I6" s="34">
        <v>1600</v>
      </c>
      <c r="J6" s="34">
        <v>1600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9280</v>
      </c>
      <c r="R6" s="33">
        <v>16500</v>
      </c>
      <c r="S6" s="33">
        <v>9280</v>
      </c>
      <c r="T6" s="33">
        <v>7220</v>
      </c>
      <c r="U6" s="34">
        <v>0.88900862068965514</v>
      </c>
      <c r="V6" s="2" t="s">
        <v>20</v>
      </c>
      <c r="W6" s="2" t="s">
        <v>473</v>
      </c>
      <c r="X6" s="85" t="s">
        <v>680</v>
      </c>
      <c r="Y6" s="2"/>
      <c r="Z6" s="2"/>
    </row>
    <row r="7" spans="1:26" x14ac:dyDescent="0.35">
      <c r="A7" s="84" t="s">
        <v>18</v>
      </c>
      <c r="B7" s="2" t="s">
        <v>19</v>
      </c>
      <c r="C7" s="2" t="s">
        <v>860</v>
      </c>
      <c r="D7" s="2" t="s">
        <v>677</v>
      </c>
      <c r="E7" s="34">
        <v>3.95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3.95</v>
      </c>
      <c r="R7" s="33">
        <v>8500</v>
      </c>
      <c r="S7" s="33">
        <v>8700</v>
      </c>
      <c r="T7" s="33">
        <v>-200</v>
      </c>
      <c r="U7" s="34">
        <v>0.97701149425287359</v>
      </c>
      <c r="V7" s="2" t="s">
        <v>20</v>
      </c>
      <c r="W7" s="2" t="s">
        <v>473</v>
      </c>
      <c r="X7" s="85" t="s">
        <v>678</v>
      </c>
      <c r="Y7" s="2"/>
      <c r="Z7" s="2"/>
    </row>
    <row r="8" spans="1:26" x14ac:dyDescent="0.35">
      <c r="A8" s="84" t="s">
        <v>18</v>
      </c>
      <c r="B8" s="2" t="s">
        <v>19</v>
      </c>
      <c r="C8" s="2" t="s">
        <v>860</v>
      </c>
      <c r="D8" s="2" t="s">
        <v>679</v>
      </c>
      <c r="E8" s="34">
        <v>8700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8700</v>
      </c>
      <c r="R8" s="33">
        <v>8500</v>
      </c>
      <c r="S8" s="33">
        <v>8700</v>
      </c>
      <c r="T8" s="33">
        <v>-200</v>
      </c>
      <c r="U8" s="34">
        <v>0.97701149425287359</v>
      </c>
      <c r="V8" s="2" t="s">
        <v>20</v>
      </c>
      <c r="W8" s="2" t="s">
        <v>473</v>
      </c>
      <c r="X8" s="85" t="s">
        <v>680</v>
      </c>
      <c r="Y8" s="2"/>
      <c r="Z8" s="2"/>
    </row>
    <row r="9" spans="1:26" x14ac:dyDescent="0.35">
      <c r="A9" s="84" t="s">
        <v>24</v>
      </c>
      <c r="B9" s="2" t="s">
        <v>25</v>
      </c>
      <c r="C9" s="2" t="s">
        <v>861</v>
      </c>
      <c r="D9" s="2" t="s">
        <v>677</v>
      </c>
      <c r="E9" s="34">
        <v>2.5</v>
      </c>
      <c r="F9" s="34">
        <v>2.5</v>
      </c>
      <c r="G9" s="34">
        <v>2.6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0</v>
      </c>
      <c r="P9" s="34">
        <v>0</v>
      </c>
      <c r="Q9" s="34">
        <v>7.6</v>
      </c>
      <c r="R9" s="33">
        <v>19200</v>
      </c>
      <c r="S9" s="33">
        <v>18195.04</v>
      </c>
      <c r="T9" s="33">
        <v>1004.9599999999991</v>
      </c>
      <c r="U9" s="34">
        <v>1.055232634827953</v>
      </c>
      <c r="V9" s="2" t="s">
        <v>15</v>
      </c>
      <c r="W9" s="2" t="s">
        <v>473</v>
      </c>
      <c r="X9" s="85" t="s">
        <v>678</v>
      </c>
      <c r="Y9" s="2"/>
      <c r="Z9" s="2"/>
    </row>
    <row r="10" spans="1:26" x14ac:dyDescent="0.35">
      <c r="A10" s="84" t="s">
        <v>24</v>
      </c>
      <c r="B10" s="2" t="s">
        <v>25</v>
      </c>
      <c r="C10" s="2" t="s">
        <v>861</v>
      </c>
      <c r="D10" s="2" t="s">
        <v>679</v>
      </c>
      <c r="E10" s="34">
        <v>5995.04</v>
      </c>
      <c r="F10" s="34">
        <v>6000</v>
      </c>
      <c r="G10" s="34">
        <v>6200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18195.04</v>
      </c>
      <c r="R10" s="33">
        <v>19200</v>
      </c>
      <c r="S10" s="33">
        <v>18195.04</v>
      </c>
      <c r="T10" s="33">
        <v>1004.9599999999991</v>
      </c>
      <c r="U10" s="34">
        <v>1.055232634827953</v>
      </c>
      <c r="V10" s="2" t="s">
        <v>15</v>
      </c>
      <c r="W10" s="2" t="s">
        <v>473</v>
      </c>
      <c r="X10" s="85" t="s">
        <v>680</v>
      </c>
      <c r="Y10" s="2"/>
      <c r="Z10" s="2"/>
    </row>
    <row r="11" spans="1:26" x14ac:dyDescent="0.35">
      <c r="A11" s="84" t="s">
        <v>28</v>
      </c>
      <c r="B11" s="2" t="s">
        <v>29</v>
      </c>
      <c r="C11" s="2" t="s">
        <v>862</v>
      </c>
      <c r="D11" s="2" t="s">
        <v>677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3">
        <v>42000</v>
      </c>
      <c r="S11" s="33">
        <v>41300</v>
      </c>
      <c r="T11" s="33">
        <v>700</v>
      </c>
      <c r="U11" s="34">
        <v>1.0169491525423728</v>
      </c>
      <c r="V11" s="2" t="s">
        <v>15</v>
      </c>
      <c r="W11" s="2" t="s">
        <v>473</v>
      </c>
      <c r="X11" s="85" t="s">
        <v>678</v>
      </c>
      <c r="Y11" s="2"/>
      <c r="Z11" s="2"/>
    </row>
    <row r="12" spans="1:26" x14ac:dyDescent="0.35">
      <c r="A12" s="84" t="s">
        <v>28</v>
      </c>
      <c r="B12" s="2" t="s">
        <v>29</v>
      </c>
      <c r="C12" s="2" t="s">
        <v>862</v>
      </c>
      <c r="D12" s="2" t="s">
        <v>679</v>
      </c>
      <c r="E12" s="34">
        <v>0</v>
      </c>
      <c r="F12" s="34">
        <v>10500</v>
      </c>
      <c r="G12" s="34">
        <v>10200</v>
      </c>
      <c r="H12" s="34">
        <v>10200</v>
      </c>
      <c r="I12" s="34">
        <v>10400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41300</v>
      </c>
      <c r="R12" s="33">
        <v>42000</v>
      </c>
      <c r="S12" s="33">
        <v>41300</v>
      </c>
      <c r="T12" s="33">
        <v>700</v>
      </c>
      <c r="U12" s="34">
        <v>1.0169491525423728</v>
      </c>
      <c r="V12" s="2" t="s">
        <v>15</v>
      </c>
      <c r="W12" s="2" t="s">
        <v>473</v>
      </c>
      <c r="X12" s="85" t="s">
        <v>680</v>
      </c>
      <c r="Y12" s="2"/>
      <c r="Z12" s="2"/>
    </row>
    <row r="13" spans="1:26" x14ac:dyDescent="0.35">
      <c r="A13" s="84" t="s">
        <v>33</v>
      </c>
      <c r="B13" s="2" t="s">
        <v>34</v>
      </c>
      <c r="C13" s="2" t="s">
        <v>860</v>
      </c>
      <c r="D13" s="2" t="s">
        <v>677</v>
      </c>
      <c r="E13" s="34">
        <v>0</v>
      </c>
      <c r="F13" s="34">
        <v>2.0499999999999998</v>
      </c>
      <c r="G13" s="34">
        <v>2.1</v>
      </c>
      <c r="H13" s="34">
        <v>1.9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6.0500000000000007</v>
      </c>
      <c r="R13" s="33">
        <v>13200</v>
      </c>
      <c r="S13" s="33">
        <v>13408.159999999998</v>
      </c>
      <c r="T13" s="33">
        <v>-208.15999999999804</v>
      </c>
      <c r="U13" s="34">
        <v>0.98447512559516015</v>
      </c>
      <c r="V13" s="2" t="s">
        <v>20</v>
      </c>
      <c r="W13" s="2" t="s">
        <v>473</v>
      </c>
      <c r="X13" s="85" t="s">
        <v>678</v>
      </c>
      <c r="Y13" s="2"/>
      <c r="Z13" s="2"/>
    </row>
    <row r="14" spans="1:26" x14ac:dyDescent="0.35">
      <c r="A14" s="84" t="s">
        <v>33</v>
      </c>
      <c r="B14" s="2" t="s">
        <v>34</v>
      </c>
      <c r="C14" s="2" t="s">
        <v>860</v>
      </c>
      <c r="D14" s="2" t="s">
        <v>679</v>
      </c>
      <c r="E14" s="34">
        <v>0</v>
      </c>
      <c r="F14" s="34">
        <v>4554.08</v>
      </c>
      <c r="G14" s="34">
        <v>4654.08</v>
      </c>
      <c r="H14" s="34">
        <v>4200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13408.16</v>
      </c>
      <c r="R14" s="33">
        <v>13200</v>
      </c>
      <c r="S14" s="33">
        <v>13408.159999999998</v>
      </c>
      <c r="T14" s="33">
        <v>-208.15999999999804</v>
      </c>
      <c r="U14" s="34">
        <v>0.98447512559516015</v>
      </c>
      <c r="V14" s="2" t="s">
        <v>20</v>
      </c>
      <c r="W14" s="2" t="s">
        <v>473</v>
      </c>
      <c r="X14" s="85" t="s">
        <v>680</v>
      </c>
      <c r="Y14" s="2"/>
      <c r="Z14" s="2"/>
    </row>
    <row r="15" spans="1:26" x14ac:dyDescent="0.35">
      <c r="A15" s="84" t="s">
        <v>35</v>
      </c>
      <c r="B15" s="2" t="s">
        <v>36</v>
      </c>
      <c r="C15" s="2" t="s">
        <v>863</v>
      </c>
      <c r="D15" s="2" t="s">
        <v>677</v>
      </c>
      <c r="E15" s="34">
        <v>0</v>
      </c>
      <c r="F15" s="34">
        <v>0</v>
      </c>
      <c r="G15" s="34">
        <v>0</v>
      </c>
      <c r="H15" s="34">
        <v>3.4499999999999997</v>
      </c>
      <c r="I15" s="34">
        <v>3.4000000000000004</v>
      </c>
      <c r="J15" s="34">
        <v>3.25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10.1</v>
      </c>
      <c r="R15" s="33">
        <v>26000</v>
      </c>
      <c r="S15" s="33">
        <v>26206.239999999998</v>
      </c>
      <c r="T15" s="33">
        <v>-206.23999999999796</v>
      </c>
      <c r="U15" s="34">
        <v>0.69449108303976459</v>
      </c>
      <c r="V15" s="2" t="s">
        <v>20</v>
      </c>
      <c r="W15" s="2" t="s">
        <v>473</v>
      </c>
      <c r="X15" s="85" t="s">
        <v>678</v>
      </c>
      <c r="Y15" s="2"/>
      <c r="Z15" s="2"/>
    </row>
    <row r="16" spans="1:26" x14ac:dyDescent="0.35">
      <c r="A16" s="84" t="s">
        <v>35</v>
      </c>
      <c r="B16" s="2" t="s">
        <v>36</v>
      </c>
      <c r="C16" s="2" t="s">
        <v>863</v>
      </c>
      <c r="D16" s="2" t="s">
        <v>679</v>
      </c>
      <c r="E16" s="34">
        <v>0</v>
      </c>
      <c r="F16" s="34">
        <v>0</v>
      </c>
      <c r="G16" s="34">
        <v>0</v>
      </c>
      <c r="H16" s="34">
        <v>8906.24</v>
      </c>
      <c r="I16" s="34">
        <v>8800</v>
      </c>
      <c r="J16" s="34">
        <v>8500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26206.239999999998</v>
      </c>
      <c r="R16" s="33">
        <v>26000</v>
      </c>
      <c r="S16" s="33">
        <v>26206.239999999998</v>
      </c>
      <c r="T16" s="33">
        <v>-206.23999999999796</v>
      </c>
      <c r="U16" s="34">
        <v>0.69449108303976459</v>
      </c>
      <c r="V16" s="2" t="s">
        <v>20</v>
      </c>
      <c r="W16" s="2" t="s">
        <v>473</v>
      </c>
      <c r="X16" s="85" t="s">
        <v>680</v>
      </c>
      <c r="Y16" s="2"/>
      <c r="Z16" s="2"/>
    </row>
    <row r="17" spans="1:26" x14ac:dyDescent="0.35">
      <c r="A17" s="84" t="s">
        <v>37</v>
      </c>
      <c r="B17" s="2" t="s">
        <v>38</v>
      </c>
      <c r="C17" s="2" t="s">
        <v>864</v>
      </c>
      <c r="D17" s="2" t="s">
        <v>677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3">
        <v>36000</v>
      </c>
      <c r="S17" s="33">
        <v>17476.8</v>
      </c>
      <c r="T17" s="33">
        <v>18523.2</v>
      </c>
      <c r="U17" s="34">
        <v>0.82394946443284811</v>
      </c>
      <c r="V17" s="2" t="s">
        <v>20</v>
      </c>
      <c r="W17" s="2" t="s">
        <v>473</v>
      </c>
      <c r="X17" s="85" t="s">
        <v>678</v>
      </c>
      <c r="Y17" s="2"/>
      <c r="Z17" s="2"/>
    </row>
    <row r="18" spans="1:26" x14ac:dyDescent="0.35">
      <c r="A18" s="84" t="s">
        <v>37</v>
      </c>
      <c r="B18" s="2" t="s">
        <v>38</v>
      </c>
      <c r="C18" s="2" t="s">
        <v>864</v>
      </c>
      <c r="D18" s="2" t="s">
        <v>679</v>
      </c>
      <c r="E18" s="34">
        <v>0</v>
      </c>
      <c r="F18" s="34">
        <v>0</v>
      </c>
      <c r="G18" s="34">
        <v>0</v>
      </c>
      <c r="H18" s="34">
        <v>0</v>
      </c>
      <c r="I18" s="34">
        <v>8676.7999999999993</v>
      </c>
      <c r="J18" s="34">
        <v>8800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17476.8</v>
      </c>
      <c r="R18" s="33">
        <v>36000</v>
      </c>
      <c r="S18" s="33">
        <v>17476.8</v>
      </c>
      <c r="T18" s="33">
        <v>18523.2</v>
      </c>
      <c r="U18" s="34">
        <v>0.82394946443284811</v>
      </c>
      <c r="V18" s="2" t="s">
        <v>20</v>
      </c>
      <c r="W18" s="2" t="s">
        <v>473</v>
      </c>
      <c r="X18" s="85" t="s">
        <v>680</v>
      </c>
      <c r="Y18" s="2"/>
      <c r="Z18" s="2"/>
    </row>
    <row r="19" spans="1:26" x14ac:dyDescent="0.35">
      <c r="A19" s="84" t="s">
        <v>39</v>
      </c>
      <c r="B19" s="2" t="s">
        <v>40</v>
      </c>
      <c r="C19" s="2" t="s">
        <v>865</v>
      </c>
      <c r="D19" s="2" t="s">
        <v>677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3">
        <v>28000</v>
      </c>
      <c r="S19" s="33">
        <v>7099.2</v>
      </c>
      <c r="T19" s="33">
        <v>20900.8</v>
      </c>
      <c r="U19" s="34">
        <v>0.98151848095560068</v>
      </c>
      <c r="V19" s="2" t="s">
        <v>20</v>
      </c>
      <c r="W19" s="2" t="s">
        <v>473</v>
      </c>
      <c r="X19" s="85" t="s">
        <v>678</v>
      </c>
      <c r="Y19" s="2"/>
      <c r="Z19" s="2"/>
    </row>
    <row r="20" spans="1:26" x14ac:dyDescent="0.35">
      <c r="A20" s="84" t="s">
        <v>39</v>
      </c>
      <c r="B20" s="2" t="s">
        <v>40</v>
      </c>
      <c r="C20" s="2" t="s">
        <v>865</v>
      </c>
      <c r="D20" s="2" t="s">
        <v>679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7099.2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7099.2</v>
      </c>
      <c r="R20" s="33">
        <v>28000</v>
      </c>
      <c r="S20" s="33">
        <v>7099.2</v>
      </c>
      <c r="T20" s="33">
        <v>20900.8</v>
      </c>
      <c r="U20" s="34">
        <v>0.98151848095560068</v>
      </c>
      <c r="V20" s="2" t="s">
        <v>20</v>
      </c>
      <c r="W20" s="2" t="s">
        <v>473</v>
      </c>
      <c r="X20" s="85" t="s">
        <v>680</v>
      </c>
      <c r="Y20" s="2"/>
      <c r="Z20" s="2"/>
    </row>
    <row r="21" spans="1:26" x14ac:dyDescent="0.35">
      <c r="A21" s="84" t="s">
        <v>41</v>
      </c>
      <c r="B21" s="2" t="s">
        <v>42</v>
      </c>
      <c r="C21" s="2" t="s">
        <v>648</v>
      </c>
      <c r="D21" s="2" t="s">
        <v>677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3">
        <v>35750</v>
      </c>
      <c r="S21" s="33">
        <v>0</v>
      </c>
      <c r="T21" s="33">
        <v>35750</v>
      </c>
      <c r="U21" s="34">
        <v>1</v>
      </c>
      <c r="V21" s="2" t="s">
        <v>20</v>
      </c>
      <c r="W21" s="2" t="s">
        <v>473</v>
      </c>
      <c r="X21" s="85" t="s">
        <v>678</v>
      </c>
      <c r="Y21" s="2"/>
      <c r="Z21" s="2"/>
    </row>
    <row r="22" spans="1:26" x14ac:dyDescent="0.35">
      <c r="A22" s="84" t="s">
        <v>41</v>
      </c>
      <c r="B22" s="2" t="s">
        <v>42</v>
      </c>
      <c r="C22" s="2" t="s">
        <v>648</v>
      </c>
      <c r="D22" s="2" t="s">
        <v>679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3">
        <v>35750</v>
      </c>
      <c r="S22" s="33">
        <v>0</v>
      </c>
      <c r="T22" s="33">
        <v>35750</v>
      </c>
      <c r="U22" s="34">
        <v>1</v>
      </c>
      <c r="V22" s="2" t="s">
        <v>20</v>
      </c>
      <c r="W22" s="2" t="s">
        <v>473</v>
      </c>
      <c r="X22" s="85" t="s">
        <v>680</v>
      </c>
      <c r="Y22" s="2"/>
      <c r="Z22" s="2"/>
    </row>
    <row r="23" spans="1:26" x14ac:dyDescent="0.35">
      <c r="A23" s="84" t="s">
        <v>43</v>
      </c>
      <c r="B23" s="2" t="s">
        <v>44</v>
      </c>
      <c r="C23" s="2" t="s">
        <v>648</v>
      </c>
      <c r="D23" s="2" t="s">
        <v>677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3">
        <v>30000</v>
      </c>
      <c r="S23" s="33">
        <v>0</v>
      </c>
      <c r="T23" s="33">
        <v>30000</v>
      </c>
      <c r="U23" s="34">
        <v>1</v>
      </c>
      <c r="V23" s="2" t="s">
        <v>20</v>
      </c>
      <c r="W23" s="2" t="s">
        <v>473</v>
      </c>
      <c r="X23" s="85" t="s">
        <v>678</v>
      </c>
      <c r="Y23" s="2"/>
      <c r="Z23" s="2"/>
    </row>
    <row r="24" spans="1:26" x14ac:dyDescent="0.35">
      <c r="A24" s="84" t="s">
        <v>43</v>
      </c>
      <c r="B24" s="2" t="s">
        <v>44</v>
      </c>
      <c r="C24" s="2" t="s">
        <v>648</v>
      </c>
      <c r="D24" s="2" t="s">
        <v>679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3">
        <v>30000</v>
      </c>
      <c r="S24" s="33">
        <v>0</v>
      </c>
      <c r="T24" s="33">
        <v>30000</v>
      </c>
      <c r="U24" s="34">
        <v>1</v>
      </c>
      <c r="V24" s="2" t="s">
        <v>20</v>
      </c>
      <c r="W24" s="2" t="s">
        <v>473</v>
      </c>
      <c r="X24" s="85" t="s">
        <v>680</v>
      </c>
      <c r="Y24" s="2"/>
      <c r="Z24" s="2"/>
    </row>
    <row r="25" spans="1:26" x14ac:dyDescent="0.35">
      <c r="A25" s="84" t="s">
        <v>45</v>
      </c>
      <c r="B25" s="2" t="s">
        <v>46</v>
      </c>
      <c r="C25" s="2" t="s">
        <v>647</v>
      </c>
      <c r="D25" s="2" t="s">
        <v>677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3">
        <v>8400</v>
      </c>
      <c r="S25" s="33">
        <v>0</v>
      </c>
      <c r="T25" s="33">
        <v>8400</v>
      </c>
      <c r="U25" s="34">
        <v>1</v>
      </c>
      <c r="V25" s="2" t="s">
        <v>15</v>
      </c>
      <c r="W25" s="2" t="s">
        <v>473</v>
      </c>
      <c r="X25" s="85" t="s">
        <v>678</v>
      </c>
      <c r="Y25" s="2"/>
      <c r="Z25" s="2"/>
    </row>
    <row r="26" spans="1:26" x14ac:dyDescent="0.35">
      <c r="A26" s="84" t="s">
        <v>45</v>
      </c>
      <c r="B26" s="2" t="s">
        <v>46</v>
      </c>
      <c r="C26" s="2" t="s">
        <v>647</v>
      </c>
      <c r="D26" s="2" t="s">
        <v>679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3">
        <v>8400</v>
      </c>
      <c r="S26" s="33">
        <v>0</v>
      </c>
      <c r="T26" s="33">
        <v>8400</v>
      </c>
      <c r="U26" s="34">
        <v>1</v>
      </c>
      <c r="V26" s="2" t="s">
        <v>15</v>
      </c>
      <c r="W26" s="2" t="s">
        <v>473</v>
      </c>
      <c r="X26" s="85" t="s">
        <v>680</v>
      </c>
      <c r="Y26" s="2"/>
      <c r="Z26" s="2"/>
    </row>
    <row r="27" spans="1:26" x14ac:dyDescent="0.35">
      <c r="A27" s="84" t="s">
        <v>47</v>
      </c>
      <c r="B27" s="2" t="s">
        <v>48</v>
      </c>
      <c r="C27" s="2" t="s">
        <v>647</v>
      </c>
      <c r="D27" s="2" t="s">
        <v>677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3">
        <v>3600</v>
      </c>
      <c r="S27" s="33">
        <v>0</v>
      </c>
      <c r="T27" s="33">
        <v>3600</v>
      </c>
      <c r="U27" s="34">
        <v>1</v>
      </c>
      <c r="V27" s="2" t="s">
        <v>15</v>
      </c>
      <c r="W27" s="2" t="s">
        <v>473</v>
      </c>
      <c r="X27" s="85" t="s">
        <v>678</v>
      </c>
      <c r="Y27" s="2"/>
      <c r="Z27" s="2"/>
    </row>
    <row r="28" spans="1:26" x14ac:dyDescent="0.35">
      <c r="A28" s="88" t="s">
        <v>47</v>
      </c>
      <c r="B28" s="89" t="s">
        <v>48</v>
      </c>
      <c r="C28" s="89" t="s">
        <v>647</v>
      </c>
      <c r="D28" s="89" t="s">
        <v>679</v>
      </c>
      <c r="E28" s="114">
        <v>0</v>
      </c>
      <c r="F28" s="114">
        <v>0</v>
      </c>
      <c r="G28" s="114">
        <v>0</v>
      </c>
      <c r="H28" s="114">
        <v>0</v>
      </c>
      <c r="I28" s="114">
        <v>0</v>
      </c>
      <c r="J28" s="114">
        <v>0</v>
      </c>
      <c r="K28" s="114">
        <v>0</v>
      </c>
      <c r="L28" s="114">
        <v>0</v>
      </c>
      <c r="M28" s="114">
        <v>0</v>
      </c>
      <c r="N28" s="114">
        <v>0</v>
      </c>
      <c r="O28" s="114">
        <v>0</v>
      </c>
      <c r="P28" s="114">
        <v>0</v>
      </c>
      <c r="Q28" s="114">
        <v>0</v>
      </c>
      <c r="R28" s="96">
        <v>3600</v>
      </c>
      <c r="S28" s="96">
        <v>0</v>
      </c>
      <c r="T28" s="96">
        <v>3600</v>
      </c>
      <c r="U28" s="114">
        <v>1</v>
      </c>
      <c r="V28" s="89" t="s">
        <v>15</v>
      </c>
      <c r="W28" s="89" t="s">
        <v>473</v>
      </c>
      <c r="X28" s="90" t="s">
        <v>680</v>
      </c>
      <c r="Y28" s="2"/>
      <c r="Z28" s="2"/>
    </row>
    <row r="31" spans="1:26" x14ac:dyDescent="0.35">
      <c r="A31" s="86" t="s">
        <v>681</v>
      </c>
      <c r="B31" s="141" t="s">
        <v>682</v>
      </c>
      <c r="C31" s="141" t="s">
        <v>683</v>
      </c>
      <c r="D31" s="141" t="s">
        <v>684</v>
      </c>
      <c r="E31" s="141" t="s">
        <v>685</v>
      </c>
      <c r="F31" s="141" t="s">
        <v>686</v>
      </c>
      <c r="G31" s="141" t="s">
        <v>687</v>
      </c>
      <c r="H31" s="141" t="s">
        <v>688</v>
      </c>
      <c r="I31" s="141" t="s">
        <v>689</v>
      </c>
      <c r="J31" s="80" t="s">
        <v>429</v>
      </c>
      <c r="K31" s="80" t="s">
        <v>442</v>
      </c>
      <c r="L31" s="87" t="s">
        <v>546</v>
      </c>
      <c r="M31" s="29"/>
      <c r="N31" s="29"/>
    </row>
    <row r="32" spans="1:26" x14ac:dyDescent="0.35">
      <c r="A32" s="84" t="s">
        <v>690</v>
      </c>
      <c r="B32" s="33">
        <v>85566.67</v>
      </c>
      <c r="C32" s="33">
        <v>133166.66999999998</v>
      </c>
      <c r="D32" s="33">
        <v>48416.66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267150</v>
      </c>
      <c r="K32" s="2" t="s">
        <v>691</v>
      </c>
      <c r="L32" s="85" t="s">
        <v>692</v>
      </c>
      <c r="M32" s="2"/>
      <c r="N32" s="2"/>
    </row>
    <row r="33" spans="1:14" x14ac:dyDescent="0.35">
      <c r="A33" s="84" t="s">
        <v>256</v>
      </c>
      <c r="B33" s="33">
        <v>86189.440000000017</v>
      </c>
      <c r="C33" s="33">
        <v>55475.999999999985</v>
      </c>
      <c r="D33" s="33">
        <v>0</v>
      </c>
      <c r="E33" s="33">
        <v>0</v>
      </c>
      <c r="F33" s="33">
        <v>0</v>
      </c>
      <c r="G33" s="33">
        <v>0</v>
      </c>
      <c r="H33" s="33">
        <v>0</v>
      </c>
      <c r="I33" s="33">
        <v>0</v>
      </c>
      <c r="J33" s="33">
        <v>141665.44</v>
      </c>
      <c r="K33" s="2" t="s">
        <v>691</v>
      </c>
      <c r="L33" s="85" t="s">
        <v>693</v>
      </c>
      <c r="M33" s="2"/>
      <c r="N33" s="2"/>
    </row>
    <row r="34" spans="1:14" x14ac:dyDescent="0.35">
      <c r="A34" s="88" t="s">
        <v>694</v>
      </c>
      <c r="B34" s="89">
        <v>6</v>
      </c>
      <c r="C34" s="89">
        <v>7</v>
      </c>
      <c r="D34" s="89">
        <v>5</v>
      </c>
      <c r="E34" s="89">
        <v>0</v>
      </c>
      <c r="F34" s="89">
        <v>0</v>
      </c>
      <c r="G34" s="89">
        <v>0</v>
      </c>
      <c r="H34" s="89">
        <v>0</v>
      </c>
      <c r="I34" s="89">
        <v>0</v>
      </c>
      <c r="J34" s="89">
        <v>18</v>
      </c>
      <c r="K34" s="89" t="s">
        <v>691</v>
      </c>
      <c r="L34" s="90" t="s">
        <v>695</v>
      </c>
      <c r="M34" s="2"/>
      <c r="N34" s="2"/>
    </row>
    <row r="35" spans="1:14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mergeCells count="2">
    <mergeCell ref="A1:Z1"/>
    <mergeCell ref="A2:Z2"/>
  </mergeCells>
  <conditionalFormatting sqref="V5:V28">
    <cfRule type="expression" dxfId="115" priority="1">
      <formula>ISNUMBER(SEARCH("Red",V5))</formula>
    </cfRule>
    <cfRule type="expression" dxfId="114" priority="2">
      <formula>ISNUMBER(SEARCH("Amber",V5))</formula>
    </cfRule>
    <cfRule type="expression" dxfId="113" priority="3">
      <formula>ISNUMBER(SEARCH("Green",V5))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A6A6A6"/>
  </sheetPr>
  <dimension ref="A1:F2"/>
  <sheetViews>
    <sheetView workbookViewId="0">
      <selection activeCell="Q1" sqref="Q1"/>
    </sheetView>
  </sheetViews>
  <sheetFormatPr defaultRowHeight="14.5" x14ac:dyDescent="0.35"/>
  <cols>
    <col min="1" max="1" width="11.26953125" customWidth="1"/>
    <col min="2" max="2" width="14.36328125" customWidth="1"/>
    <col min="3" max="3" width="11.54296875" customWidth="1"/>
    <col min="4" max="4" width="10.7265625" customWidth="1"/>
    <col min="5" max="5" width="9.90625" bestFit="1" customWidth="1"/>
    <col min="6" max="6" width="18.36328125" bestFit="1" customWidth="1"/>
  </cols>
  <sheetData>
    <row r="1" spans="1:6" x14ac:dyDescent="0.35">
      <c r="A1" s="143" t="s">
        <v>696</v>
      </c>
      <c r="B1" s="144" t="s">
        <v>697</v>
      </c>
      <c r="C1" s="144" t="s">
        <v>698</v>
      </c>
      <c r="D1" s="144" t="s">
        <v>699</v>
      </c>
      <c r="E1" s="144" t="s">
        <v>249</v>
      </c>
      <c r="F1" s="145" t="s">
        <v>700</v>
      </c>
    </row>
    <row r="2" spans="1:6" x14ac:dyDescent="0.35">
      <c r="A2" s="146" t="s">
        <v>701</v>
      </c>
      <c r="B2" s="147" t="s">
        <v>702</v>
      </c>
      <c r="C2" s="148" t="s">
        <v>340</v>
      </c>
      <c r="D2" s="149" t="s">
        <v>703</v>
      </c>
      <c r="E2" s="150">
        <v>267150</v>
      </c>
      <c r="F2" s="151" t="s">
        <v>704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A6A6A6"/>
  </sheetPr>
  <dimension ref="A1:E13"/>
  <sheetViews>
    <sheetView workbookViewId="0">
      <selection activeCell="Q1" sqref="Q1"/>
    </sheetView>
  </sheetViews>
  <sheetFormatPr defaultRowHeight="14.5" x14ac:dyDescent="0.35"/>
  <cols>
    <col min="1" max="1" width="11.90625" bestFit="1" customWidth="1"/>
    <col min="2" max="2" width="14.453125" bestFit="1" customWidth="1"/>
    <col min="3" max="3" width="21.26953125" bestFit="1" customWidth="1"/>
    <col min="4" max="4" width="12" bestFit="1" customWidth="1"/>
    <col min="5" max="5" width="16.08984375" bestFit="1" customWidth="1"/>
  </cols>
  <sheetData>
    <row r="1" spans="1:5" x14ac:dyDescent="0.35">
      <c r="A1" s="143" t="s">
        <v>561</v>
      </c>
      <c r="B1" s="144" t="s">
        <v>705</v>
      </c>
      <c r="C1" s="144" t="s">
        <v>706</v>
      </c>
      <c r="D1" s="144" t="s">
        <v>141</v>
      </c>
      <c r="E1" s="145" t="s">
        <v>707</v>
      </c>
    </row>
    <row r="2" spans="1:5" x14ac:dyDescent="0.35">
      <c r="A2" s="142" t="s">
        <v>623</v>
      </c>
      <c r="B2" s="19">
        <v>1</v>
      </c>
      <c r="C2" s="19" t="s">
        <v>708</v>
      </c>
      <c r="D2" s="19" t="s">
        <v>647</v>
      </c>
      <c r="E2" s="152">
        <v>16500</v>
      </c>
    </row>
    <row r="3" spans="1:5" x14ac:dyDescent="0.35">
      <c r="A3" s="142" t="s">
        <v>18</v>
      </c>
      <c r="B3" s="19">
        <v>2</v>
      </c>
      <c r="C3" s="19" t="s">
        <v>19</v>
      </c>
      <c r="D3" s="19" t="s">
        <v>647</v>
      </c>
      <c r="E3" s="152">
        <v>8500</v>
      </c>
    </row>
    <row r="4" spans="1:5" x14ac:dyDescent="0.35">
      <c r="A4" s="142" t="s">
        <v>24</v>
      </c>
      <c r="B4" s="19">
        <v>3</v>
      </c>
      <c r="C4" s="19" t="s">
        <v>25</v>
      </c>
      <c r="D4" s="19" t="s">
        <v>647</v>
      </c>
      <c r="E4" s="152">
        <v>19200</v>
      </c>
    </row>
    <row r="5" spans="1:5" x14ac:dyDescent="0.35">
      <c r="A5" s="142" t="s">
        <v>28</v>
      </c>
      <c r="B5" s="19">
        <v>4</v>
      </c>
      <c r="C5" s="19" t="s">
        <v>29</v>
      </c>
      <c r="D5" s="19" t="s">
        <v>648</v>
      </c>
      <c r="E5" s="152">
        <v>42000</v>
      </c>
    </row>
    <row r="6" spans="1:5" x14ac:dyDescent="0.35">
      <c r="A6" s="142" t="s">
        <v>33</v>
      </c>
      <c r="B6" s="19">
        <v>5</v>
      </c>
      <c r="C6" s="19" t="s">
        <v>34</v>
      </c>
      <c r="D6" s="19" t="s">
        <v>647</v>
      </c>
      <c r="E6" s="152">
        <v>13200</v>
      </c>
    </row>
    <row r="7" spans="1:5" x14ac:dyDescent="0.35">
      <c r="A7" s="142" t="s">
        <v>35</v>
      </c>
      <c r="B7" s="19">
        <v>6</v>
      </c>
      <c r="C7" s="19" t="s">
        <v>36</v>
      </c>
      <c r="D7" s="19" t="s">
        <v>647</v>
      </c>
      <c r="E7" s="152">
        <v>26000</v>
      </c>
    </row>
    <row r="8" spans="1:5" x14ac:dyDescent="0.35">
      <c r="A8" s="142" t="s">
        <v>37</v>
      </c>
      <c r="B8" s="19">
        <v>7</v>
      </c>
      <c r="C8" s="19" t="s">
        <v>38</v>
      </c>
      <c r="D8" s="19" t="s">
        <v>649</v>
      </c>
      <c r="E8" s="152">
        <v>36000</v>
      </c>
    </row>
    <row r="9" spans="1:5" x14ac:dyDescent="0.35">
      <c r="A9" s="142" t="s">
        <v>39</v>
      </c>
      <c r="B9" s="19">
        <v>8</v>
      </c>
      <c r="C9" s="19" t="s">
        <v>40</v>
      </c>
      <c r="D9" s="19" t="s">
        <v>649</v>
      </c>
      <c r="E9" s="152">
        <v>28000</v>
      </c>
    </row>
    <row r="10" spans="1:5" x14ac:dyDescent="0.35">
      <c r="A10" s="142" t="s">
        <v>41</v>
      </c>
      <c r="B10" s="19">
        <v>9</v>
      </c>
      <c r="C10" s="19" t="s">
        <v>42</v>
      </c>
      <c r="D10" s="19" t="s">
        <v>648</v>
      </c>
      <c r="E10" s="152">
        <v>35750</v>
      </c>
    </row>
    <row r="11" spans="1:5" x14ac:dyDescent="0.35">
      <c r="A11" s="142" t="s">
        <v>43</v>
      </c>
      <c r="B11" s="19">
        <v>10</v>
      </c>
      <c r="C11" s="19" t="s">
        <v>44</v>
      </c>
      <c r="D11" s="19" t="s">
        <v>648</v>
      </c>
      <c r="E11" s="152">
        <v>30000</v>
      </c>
    </row>
    <row r="12" spans="1:5" x14ac:dyDescent="0.35">
      <c r="A12" s="142" t="s">
        <v>45</v>
      </c>
      <c r="B12" s="19">
        <v>11</v>
      </c>
      <c r="C12" s="19" t="s">
        <v>46</v>
      </c>
      <c r="D12" s="19" t="s">
        <v>647</v>
      </c>
      <c r="E12" s="152">
        <v>8400</v>
      </c>
    </row>
    <row r="13" spans="1:5" x14ac:dyDescent="0.35">
      <c r="A13" s="146" t="s">
        <v>47</v>
      </c>
      <c r="B13" s="147">
        <v>12</v>
      </c>
      <c r="C13" s="147" t="s">
        <v>48</v>
      </c>
      <c r="D13" s="147" t="s">
        <v>647</v>
      </c>
      <c r="E13" s="153">
        <v>3600</v>
      </c>
    </row>
  </sheetData>
  <conditionalFormatting sqref="D2:D13">
    <cfRule type="containsText" dxfId="112" priority="4" operator="containsText" text="Labor">
      <formula>NOT(ISERROR(SEARCH("Labor",D2)))</formula>
    </cfRule>
    <cfRule type="containsText" dxfId="111" priority="5" operator="containsText" text="Material">
      <formula>NOT(ISERROR(SEARCH("Material",D2)))</formula>
    </cfRule>
    <cfRule type="containsText" dxfId="110" priority="6" operator="containsText" text="Subcontractor">
      <formula>NOT(ISERROR(SEARCH("Subcontractor",D2)))</formula>
    </cfRule>
  </conditionalFormatting>
  <conditionalFormatting sqref="E2:E13">
    <cfRule type="cellIs" dxfId="109" priority="1" operator="lessThanOrEqual">
      <formula>13200</formula>
    </cfRule>
    <cfRule type="cellIs" dxfId="108" priority="2" operator="between">
      <formula>13200</formula>
      <formula>28000</formula>
    </cfRule>
    <cfRule type="cellIs" dxfId="107" priority="3" operator="greaterThanOrEqual">
      <formula>28000</formula>
    </cfRule>
  </conditionalFormatting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A6A6A6"/>
  </sheetPr>
  <dimension ref="A1:D12"/>
  <sheetViews>
    <sheetView workbookViewId="0">
      <selection activeCell="Q1" sqref="Q1"/>
    </sheetView>
  </sheetViews>
  <sheetFormatPr defaultRowHeight="14.5" x14ac:dyDescent="0.35"/>
  <cols>
    <col min="1" max="1" width="15.81640625" bestFit="1" customWidth="1"/>
    <col min="2" max="2" width="19" bestFit="1" customWidth="1"/>
    <col min="3" max="3" width="11.26953125" bestFit="1" customWidth="1"/>
    <col min="4" max="4" width="15.54296875" bestFit="1" customWidth="1"/>
  </cols>
  <sheetData>
    <row r="1" spans="1:4" x14ac:dyDescent="0.35">
      <c r="A1" s="143" t="s">
        <v>709</v>
      </c>
      <c r="B1" s="144" t="s">
        <v>710</v>
      </c>
      <c r="C1" s="144" t="s">
        <v>170</v>
      </c>
      <c r="D1" s="145" t="s">
        <v>711</v>
      </c>
    </row>
    <row r="2" spans="1:4" x14ac:dyDescent="0.35">
      <c r="A2" s="142" t="s">
        <v>748</v>
      </c>
      <c r="B2" s="19" t="s">
        <v>349</v>
      </c>
      <c r="C2" s="19" t="s">
        <v>838</v>
      </c>
      <c r="D2" s="152">
        <v>1500</v>
      </c>
    </row>
    <row r="3" spans="1:4" x14ac:dyDescent="0.35">
      <c r="A3" s="142" t="s">
        <v>712</v>
      </c>
      <c r="B3" s="19" t="s">
        <v>713</v>
      </c>
      <c r="C3" s="19" t="s">
        <v>714</v>
      </c>
      <c r="D3" s="152">
        <v>2400</v>
      </c>
    </row>
    <row r="4" spans="1:4" x14ac:dyDescent="0.35">
      <c r="A4" s="142" t="s">
        <v>715</v>
      </c>
      <c r="B4" s="19" t="s">
        <v>716</v>
      </c>
      <c r="C4" s="19" t="s">
        <v>717</v>
      </c>
      <c r="D4" s="152">
        <v>2600</v>
      </c>
    </row>
    <row r="5" spans="1:4" x14ac:dyDescent="0.35">
      <c r="A5" s="142" t="s">
        <v>718</v>
      </c>
      <c r="B5" s="19" t="s">
        <v>719</v>
      </c>
      <c r="C5" s="19" t="s">
        <v>647</v>
      </c>
      <c r="D5" s="152">
        <v>2200</v>
      </c>
    </row>
    <row r="6" spans="1:4" x14ac:dyDescent="0.35">
      <c r="A6" s="142" t="s">
        <v>720</v>
      </c>
      <c r="B6" s="19" t="s">
        <v>721</v>
      </c>
      <c r="C6" s="19" t="s">
        <v>722</v>
      </c>
      <c r="D6" s="152">
        <v>2100</v>
      </c>
    </row>
    <row r="7" spans="1:4" x14ac:dyDescent="0.35">
      <c r="A7" s="142" t="s">
        <v>723</v>
      </c>
      <c r="B7" s="19" t="s">
        <v>724</v>
      </c>
      <c r="C7" s="19" t="s">
        <v>722</v>
      </c>
      <c r="D7" s="152">
        <v>1800</v>
      </c>
    </row>
    <row r="8" spans="1:4" x14ac:dyDescent="0.35">
      <c r="A8" s="142" t="s">
        <v>725</v>
      </c>
      <c r="B8" s="19" t="s">
        <v>726</v>
      </c>
      <c r="C8" s="19" t="s">
        <v>727</v>
      </c>
      <c r="D8" s="152">
        <v>0</v>
      </c>
    </row>
    <row r="9" spans="1:4" x14ac:dyDescent="0.35">
      <c r="A9" s="142" t="s">
        <v>728</v>
      </c>
      <c r="B9" s="19" t="s">
        <v>729</v>
      </c>
      <c r="C9" s="19" t="s">
        <v>730</v>
      </c>
      <c r="D9" s="152">
        <v>0</v>
      </c>
    </row>
    <row r="10" spans="1:4" x14ac:dyDescent="0.35">
      <c r="A10" s="142" t="s">
        <v>731</v>
      </c>
      <c r="B10" s="19" t="s">
        <v>732</v>
      </c>
      <c r="C10" s="19" t="s">
        <v>730</v>
      </c>
      <c r="D10" s="152">
        <v>0</v>
      </c>
    </row>
    <row r="11" spans="1:4" x14ac:dyDescent="0.35">
      <c r="A11" s="142" t="s">
        <v>733</v>
      </c>
      <c r="B11" s="19" t="s">
        <v>734</v>
      </c>
      <c r="C11" s="19" t="s">
        <v>727</v>
      </c>
      <c r="D11" s="152">
        <v>0</v>
      </c>
    </row>
    <row r="12" spans="1:4" x14ac:dyDescent="0.35">
      <c r="A12" s="146" t="s">
        <v>735</v>
      </c>
      <c r="B12" s="147" t="s">
        <v>736</v>
      </c>
      <c r="C12" s="147" t="s">
        <v>727</v>
      </c>
      <c r="D12" s="153">
        <v>0</v>
      </c>
    </row>
  </sheetData>
  <conditionalFormatting sqref="D2:D12">
    <cfRule type="cellIs" dxfId="106" priority="1" operator="equal">
      <formula>0</formula>
    </cfRule>
    <cfRule type="cellIs" dxfId="105" priority="2" operator="between">
      <formula>1</formula>
      <formula>2399.999</formula>
    </cfRule>
    <cfRule type="cellIs" dxfId="104" priority="3" operator="greaterThanOrEqual">
      <formula>2400</formula>
    </cfRule>
  </conditionalFormatting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A6A6A6"/>
  </sheetPr>
  <dimension ref="A1:G85"/>
  <sheetViews>
    <sheetView topLeftCell="F1" workbookViewId="0">
      <selection activeCell="Q1" sqref="Q1"/>
    </sheetView>
  </sheetViews>
  <sheetFormatPr defaultRowHeight="14.5" x14ac:dyDescent="0.35"/>
  <cols>
    <col min="1" max="1" width="10.08984375" bestFit="1" customWidth="1"/>
    <col min="2" max="2" width="6.54296875" customWidth="1"/>
    <col min="3" max="3" width="8.08984375" customWidth="1"/>
    <col min="4" max="4" width="13.81640625" customWidth="1"/>
    <col min="5" max="5" width="9.1796875" customWidth="1"/>
    <col min="6" max="6" width="15.08984375" customWidth="1"/>
    <col min="7" max="7" width="12.81640625" customWidth="1"/>
  </cols>
  <sheetData>
    <row r="1" spans="1:7" x14ac:dyDescent="0.35">
      <c r="A1" s="143" t="s">
        <v>367</v>
      </c>
      <c r="B1" s="144" t="s">
        <v>737</v>
      </c>
      <c r="C1" s="144" t="s">
        <v>164</v>
      </c>
      <c r="D1" s="144" t="s">
        <v>738</v>
      </c>
      <c r="E1" s="144" t="s">
        <v>739</v>
      </c>
      <c r="F1" s="144" t="s">
        <v>740</v>
      </c>
      <c r="G1" s="145" t="s">
        <v>741</v>
      </c>
    </row>
    <row r="2" spans="1:7" x14ac:dyDescent="0.35">
      <c r="A2" s="154">
        <v>46146</v>
      </c>
      <c r="B2" s="19">
        <v>2026</v>
      </c>
      <c r="C2" s="19">
        <v>5</v>
      </c>
      <c r="D2" s="19" t="s">
        <v>742</v>
      </c>
      <c r="E2" s="19">
        <v>2</v>
      </c>
      <c r="F2" s="19">
        <v>1</v>
      </c>
      <c r="G2" s="155">
        <v>1</v>
      </c>
    </row>
    <row r="3" spans="1:7" x14ac:dyDescent="0.35">
      <c r="A3" s="154">
        <v>46147</v>
      </c>
      <c r="B3" s="19">
        <v>2026</v>
      </c>
      <c r="C3" s="19">
        <v>5</v>
      </c>
      <c r="D3" s="19" t="s">
        <v>742</v>
      </c>
      <c r="E3" s="19">
        <v>2</v>
      </c>
      <c r="F3" s="19">
        <v>1</v>
      </c>
      <c r="G3" s="155">
        <v>1</v>
      </c>
    </row>
    <row r="4" spans="1:7" x14ac:dyDescent="0.35">
      <c r="A4" s="154">
        <v>46148</v>
      </c>
      <c r="B4" s="19">
        <v>2026</v>
      </c>
      <c r="C4" s="19">
        <v>5</v>
      </c>
      <c r="D4" s="19" t="s">
        <v>742</v>
      </c>
      <c r="E4" s="19">
        <v>2</v>
      </c>
      <c r="F4" s="19">
        <v>1</v>
      </c>
      <c r="G4" s="155">
        <v>1</v>
      </c>
    </row>
    <row r="5" spans="1:7" x14ac:dyDescent="0.35">
      <c r="A5" s="154">
        <v>46149</v>
      </c>
      <c r="B5" s="19">
        <v>2026</v>
      </c>
      <c r="C5" s="19">
        <v>5</v>
      </c>
      <c r="D5" s="19" t="s">
        <v>742</v>
      </c>
      <c r="E5" s="19">
        <v>2</v>
      </c>
      <c r="F5" s="19">
        <v>1</v>
      </c>
      <c r="G5" s="155">
        <v>1</v>
      </c>
    </row>
    <row r="6" spans="1:7" x14ac:dyDescent="0.35">
      <c r="A6" s="154">
        <v>46150</v>
      </c>
      <c r="B6" s="19">
        <v>2026</v>
      </c>
      <c r="C6" s="19">
        <v>5</v>
      </c>
      <c r="D6" s="19" t="s">
        <v>742</v>
      </c>
      <c r="E6" s="19">
        <v>2</v>
      </c>
      <c r="F6" s="19">
        <v>1</v>
      </c>
      <c r="G6" s="155">
        <v>1</v>
      </c>
    </row>
    <row r="7" spans="1:7" x14ac:dyDescent="0.35">
      <c r="A7" s="154">
        <v>46151</v>
      </c>
      <c r="B7" s="19">
        <v>2026</v>
      </c>
      <c r="C7" s="19">
        <v>5</v>
      </c>
      <c r="D7" s="19" t="s">
        <v>742</v>
      </c>
      <c r="E7" s="19">
        <v>2</v>
      </c>
      <c r="F7" s="19">
        <v>1</v>
      </c>
      <c r="G7" s="155">
        <v>0</v>
      </c>
    </row>
    <row r="8" spans="1:7" x14ac:dyDescent="0.35">
      <c r="A8" s="154">
        <v>46152</v>
      </c>
      <c r="B8" s="19">
        <v>2026</v>
      </c>
      <c r="C8" s="19">
        <v>5</v>
      </c>
      <c r="D8" s="19" t="s">
        <v>742</v>
      </c>
      <c r="E8" s="19">
        <v>2</v>
      </c>
      <c r="F8" s="19">
        <v>1</v>
      </c>
      <c r="G8" s="155">
        <v>0</v>
      </c>
    </row>
    <row r="9" spans="1:7" x14ac:dyDescent="0.35">
      <c r="A9" s="154">
        <v>46153</v>
      </c>
      <c r="B9" s="19">
        <v>2026</v>
      </c>
      <c r="C9" s="19">
        <v>5</v>
      </c>
      <c r="D9" s="19" t="s">
        <v>742</v>
      </c>
      <c r="E9" s="19">
        <v>2</v>
      </c>
      <c r="F9" s="19">
        <v>2</v>
      </c>
      <c r="G9" s="155">
        <v>1</v>
      </c>
    </row>
    <row r="10" spans="1:7" x14ac:dyDescent="0.35">
      <c r="A10" s="154">
        <v>46154</v>
      </c>
      <c r="B10" s="19">
        <v>2026</v>
      </c>
      <c r="C10" s="19">
        <v>5</v>
      </c>
      <c r="D10" s="19" t="s">
        <v>742</v>
      </c>
      <c r="E10" s="19">
        <v>2</v>
      </c>
      <c r="F10" s="19">
        <v>2</v>
      </c>
      <c r="G10" s="155">
        <v>1</v>
      </c>
    </row>
    <row r="11" spans="1:7" x14ac:dyDescent="0.35">
      <c r="A11" s="154">
        <v>46155</v>
      </c>
      <c r="B11" s="19">
        <v>2026</v>
      </c>
      <c r="C11" s="19">
        <v>5</v>
      </c>
      <c r="D11" s="19" t="s">
        <v>742</v>
      </c>
      <c r="E11" s="19">
        <v>2</v>
      </c>
      <c r="F11" s="19">
        <v>2</v>
      </c>
      <c r="G11" s="155">
        <v>1</v>
      </c>
    </row>
    <row r="12" spans="1:7" x14ac:dyDescent="0.35">
      <c r="A12" s="154">
        <v>46156</v>
      </c>
      <c r="B12" s="19">
        <v>2026</v>
      </c>
      <c r="C12" s="19">
        <v>5</v>
      </c>
      <c r="D12" s="19" t="s">
        <v>742</v>
      </c>
      <c r="E12" s="19">
        <v>2</v>
      </c>
      <c r="F12" s="19">
        <v>2</v>
      </c>
      <c r="G12" s="155">
        <v>1</v>
      </c>
    </row>
    <row r="13" spans="1:7" x14ac:dyDescent="0.35">
      <c r="A13" s="154">
        <v>46157</v>
      </c>
      <c r="B13" s="19">
        <v>2026</v>
      </c>
      <c r="C13" s="19">
        <v>5</v>
      </c>
      <c r="D13" s="19" t="s">
        <v>742</v>
      </c>
      <c r="E13" s="19">
        <v>2</v>
      </c>
      <c r="F13" s="19">
        <v>2</v>
      </c>
      <c r="G13" s="155">
        <v>1</v>
      </c>
    </row>
    <row r="14" spans="1:7" x14ac:dyDescent="0.35">
      <c r="A14" s="154">
        <v>46158</v>
      </c>
      <c r="B14" s="19">
        <v>2026</v>
      </c>
      <c r="C14" s="19">
        <v>5</v>
      </c>
      <c r="D14" s="19" t="s">
        <v>742</v>
      </c>
      <c r="E14" s="19">
        <v>2</v>
      </c>
      <c r="F14" s="19">
        <v>2</v>
      </c>
      <c r="G14" s="155">
        <v>0</v>
      </c>
    </row>
    <row r="15" spans="1:7" x14ac:dyDescent="0.35">
      <c r="A15" s="154">
        <v>46159</v>
      </c>
      <c r="B15" s="19">
        <v>2026</v>
      </c>
      <c r="C15" s="19">
        <v>5</v>
      </c>
      <c r="D15" s="19" t="s">
        <v>742</v>
      </c>
      <c r="E15" s="19">
        <v>2</v>
      </c>
      <c r="F15" s="19">
        <v>2</v>
      </c>
      <c r="G15" s="155">
        <v>0</v>
      </c>
    </row>
    <row r="16" spans="1:7" x14ac:dyDescent="0.35">
      <c r="A16" s="154">
        <v>46160</v>
      </c>
      <c r="B16" s="19">
        <v>2026</v>
      </c>
      <c r="C16" s="19">
        <v>5</v>
      </c>
      <c r="D16" s="19" t="s">
        <v>742</v>
      </c>
      <c r="E16" s="19">
        <v>2</v>
      </c>
      <c r="F16" s="19">
        <v>3</v>
      </c>
      <c r="G16" s="155">
        <v>1</v>
      </c>
    </row>
    <row r="17" spans="1:7" x14ac:dyDescent="0.35">
      <c r="A17" s="154">
        <v>46161</v>
      </c>
      <c r="B17" s="19">
        <v>2026</v>
      </c>
      <c r="C17" s="19">
        <v>5</v>
      </c>
      <c r="D17" s="19" t="s">
        <v>742</v>
      </c>
      <c r="E17" s="19">
        <v>2</v>
      </c>
      <c r="F17" s="19">
        <v>3</v>
      </c>
      <c r="G17" s="155">
        <v>1</v>
      </c>
    </row>
    <row r="18" spans="1:7" x14ac:dyDescent="0.35">
      <c r="A18" s="154">
        <v>46162</v>
      </c>
      <c r="B18" s="19">
        <v>2026</v>
      </c>
      <c r="C18" s="19">
        <v>5</v>
      </c>
      <c r="D18" s="19" t="s">
        <v>742</v>
      </c>
      <c r="E18" s="19">
        <v>2</v>
      </c>
      <c r="F18" s="19">
        <v>3</v>
      </c>
      <c r="G18" s="155">
        <v>1</v>
      </c>
    </row>
    <row r="19" spans="1:7" x14ac:dyDescent="0.35">
      <c r="A19" s="154">
        <v>46163</v>
      </c>
      <c r="B19" s="19">
        <v>2026</v>
      </c>
      <c r="C19" s="19">
        <v>5</v>
      </c>
      <c r="D19" s="19" t="s">
        <v>742</v>
      </c>
      <c r="E19" s="19">
        <v>2</v>
      </c>
      <c r="F19" s="19">
        <v>3</v>
      </c>
      <c r="G19" s="155">
        <v>1</v>
      </c>
    </row>
    <row r="20" spans="1:7" x14ac:dyDescent="0.35">
      <c r="A20" s="154">
        <v>46164</v>
      </c>
      <c r="B20" s="19">
        <v>2026</v>
      </c>
      <c r="C20" s="19">
        <v>5</v>
      </c>
      <c r="D20" s="19" t="s">
        <v>742</v>
      </c>
      <c r="E20" s="19">
        <v>2</v>
      </c>
      <c r="F20" s="19">
        <v>3</v>
      </c>
      <c r="G20" s="155">
        <v>1</v>
      </c>
    </row>
    <row r="21" spans="1:7" x14ac:dyDescent="0.35">
      <c r="A21" s="154">
        <v>46165</v>
      </c>
      <c r="B21" s="19">
        <v>2026</v>
      </c>
      <c r="C21" s="19">
        <v>5</v>
      </c>
      <c r="D21" s="19" t="s">
        <v>742</v>
      </c>
      <c r="E21" s="19">
        <v>2</v>
      </c>
      <c r="F21" s="19">
        <v>3</v>
      </c>
      <c r="G21" s="155">
        <v>0</v>
      </c>
    </row>
    <row r="22" spans="1:7" x14ac:dyDescent="0.35">
      <c r="A22" s="154">
        <v>46166</v>
      </c>
      <c r="B22" s="19">
        <v>2026</v>
      </c>
      <c r="C22" s="19">
        <v>5</v>
      </c>
      <c r="D22" s="19" t="s">
        <v>742</v>
      </c>
      <c r="E22" s="19">
        <v>2</v>
      </c>
      <c r="F22" s="19">
        <v>3</v>
      </c>
      <c r="G22" s="155">
        <v>0</v>
      </c>
    </row>
    <row r="23" spans="1:7" x14ac:dyDescent="0.35">
      <c r="A23" s="154">
        <v>46167</v>
      </c>
      <c r="B23" s="19">
        <v>2026</v>
      </c>
      <c r="C23" s="19">
        <v>5</v>
      </c>
      <c r="D23" s="19" t="s">
        <v>742</v>
      </c>
      <c r="E23" s="19">
        <v>2</v>
      </c>
      <c r="F23" s="19">
        <v>4</v>
      </c>
      <c r="G23" s="155">
        <v>1</v>
      </c>
    </row>
    <row r="24" spans="1:7" x14ac:dyDescent="0.35">
      <c r="A24" s="154">
        <v>46168</v>
      </c>
      <c r="B24" s="19">
        <v>2026</v>
      </c>
      <c r="C24" s="19">
        <v>5</v>
      </c>
      <c r="D24" s="19" t="s">
        <v>742</v>
      </c>
      <c r="E24" s="19">
        <v>2</v>
      </c>
      <c r="F24" s="19">
        <v>4</v>
      </c>
      <c r="G24" s="155">
        <v>1</v>
      </c>
    </row>
    <row r="25" spans="1:7" x14ac:dyDescent="0.35">
      <c r="A25" s="154">
        <v>46169</v>
      </c>
      <c r="B25" s="19">
        <v>2026</v>
      </c>
      <c r="C25" s="19">
        <v>5</v>
      </c>
      <c r="D25" s="19" t="s">
        <v>742</v>
      </c>
      <c r="E25" s="19">
        <v>2</v>
      </c>
      <c r="F25" s="19">
        <v>4</v>
      </c>
      <c r="G25" s="155">
        <v>1</v>
      </c>
    </row>
    <row r="26" spans="1:7" x14ac:dyDescent="0.35">
      <c r="A26" s="154">
        <v>46170</v>
      </c>
      <c r="B26" s="19">
        <v>2026</v>
      </c>
      <c r="C26" s="19">
        <v>5</v>
      </c>
      <c r="D26" s="19" t="s">
        <v>742</v>
      </c>
      <c r="E26" s="19">
        <v>2</v>
      </c>
      <c r="F26" s="19">
        <v>4</v>
      </c>
      <c r="G26" s="155">
        <v>1</v>
      </c>
    </row>
    <row r="27" spans="1:7" x14ac:dyDescent="0.35">
      <c r="A27" s="154">
        <v>46171</v>
      </c>
      <c r="B27" s="19">
        <v>2026</v>
      </c>
      <c r="C27" s="19">
        <v>5</v>
      </c>
      <c r="D27" s="19" t="s">
        <v>742</v>
      </c>
      <c r="E27" s="19">
        <v>2</v>
      </c>
      <c r="F27" s="19">
        <v>4</v>
      </c>
      <c r="G27" s="155">
        <v>1</v>
      </c>
    </row>
    <row r="28" spans="1:7" x14ac:dyDescent="0.35">
      <c r="A28" s="154">
        <v>46172</v>
      </c>
      <c r="B28" s="19">
        <v>2026</v>
      </c>
      <c r="C28" s="19">
        <v>5</v>
      </c>
      <c r="D28" s="19" t="s">
        <v>742</v>
      </c>
      <c r="E28" s="19">
        <v>2</v>
      </c>
      <c r="F28" s="19">
        <v>4</v>
      </c>
      <c r="G28" s="155">
        <v>0</v>
      </c>
    </row>
    <row r="29" spans="1:7" x14ac:dyDescent="0.35">
      <c r="A29" s="154">
        <v>46173</v>
      </c>
      <c r="B29" s="19">
        <v>2026</v>
      </c>
      <c r="C29" s="19">
        <v>5</v>
      </c>
      <c r="D29" s="19" t="s">
        <v>742</v>
      </c>
      <c r="E29" s="19">
        <v>2</v>
      </c>
      <c r="F29" s="19">
        <v>4</v>
      </c>
      <c r="G29" s="155">
        <v>0</v>
      </c>
    </row>
    <row r="30" spans="1:7" x14ac:dyDescent="0.35">
      <c r="A30" s="154">
        <v>46174</v>
      </c>
      <c r="B30" s="19">
        <v>2026</v>
      </c>
      <c r="C30" s="19">
        <v>6</v>
      </c>
      <c r="D30" s="19" t="s">
        <v>743</v>
      </c>
      <c r="E30" s="19">
        <v>2</v>
      </c>
      <c r="F30" s="19">
        <v>5</v>
      </c>
      <c r="G30" s="155">
        <v>1</v>
      </c>
    </row>
    <row r="31" spans="1:7" x14ac:dyDescent="0.35">
      <c r="A31" s="154">
        <v>46175</v>
      </c>
      <c r="B31" s="19">
        <v>2026</v>
      </c>
      <c r="C31" s="19">
        <v>6</v>
      </c>
      <c r="D31" s="19" t="s">
        <v>743</v>
      </c>
      <c r="E31" s="19">
        <v>2</v>
      </c>
      <c r="F31" s="19">
        <v>5</v>
      </c>
      <c r="G31" s="155">
        <v>1</v>
      </c>
    </row>
    <row r="32" spans="1:7" x14ac:dyDescent="0.35">
      <c r="A32" s="154">
        <v>46176</v>
      </c>
      <c r="B32" s="19">
        <v>2026</v>
      </c>
      <c r="C32" s="19">
        <v>6</v>
      </c>
      <c r="D32" s="19" t="s">
        <v>743</v>
      </c>
      <c r="E32" s="19">
        <v>2</v>
      </c>
      <c r="F32" s="19">
        <v>5</v>
      </c>
      <c r="G32" s="155">
        <v>1</v>
      </c>
    </row>
    <row r="33" spans="1:7" x14ac:dyDescent="0.35">
      <c r="A33" s="154">
        <v>46177</v>
      </c>
      <c r="B33" s="19">
        <v>2026</v>
      </c>
      <c r="C33" s="19">
        <v>6</v>
      </c>
      <c r="D33" s="19" t="s">
        <v>743</v>
      </c>
      <c r="E33" s="19">
        <v>2</v>
      </c>
      <c r="F33" s="19">
        <v>5</v>
      </c>
      <c r="G33" s="155">
        <v>1</v>
      </c>
    </row>
    <row r="34" spans="1:7" x14ac:dyDescent="0.35">
      <c r="A34" s="154">
        <v>46178</v>
      </c>
      <c r="B34" s="19">
        <v>2026</v>
      </c>
      <c r="C34" s="19">
        <v>6</v>
      </c>
      <c r="D34" s="19" t="s">
        <v>743</v>
      </c>
      <c r="E34" s="19">
        <v>2</v>
      </c>
      <c r="F34" s="19">
        <v>5</v>
      </c>
      <c r="G34" s="155">
        <v>1</v>
      </c>
    </row>
    <row r="35" spans="1:7" x14ac:dyDescent="0.35">
      <c r="A35" s="154">
        <v>46179</v>
      </c>
      <c r="B35" s="19">
        <v>2026</v>
      </c>
      <c r="C35" s="19">
        <v>6</v>
      </c>
      <c r="D35" s="19" t="s">
        <v>743</v>
      </c>
      <c r="E35" s="19">
        <v>2</v>
      </c>
      <c r="F35" s="19">
        <v>5</v>
      </c>
      <c r="G35" s="155">
        <v>0</v>
      </c>
    </row>
    <row r="36" spans="1:7" x14ac:dyDescent="0.35">
      <c r="A36" s="154">
        <v>46180</v>
      </c>
      <c r="B36" s="19">
        <v>2026</v>
      </c>
      <c r="C36" s="19">
        <v>6</v>
      </c>
      <c r="D36" s="19" t="s">
        <v>743</v>
      </c>
      <c r="E36" s="19">
        <v>2</v>
      </c>
      <c r="F36" s="19">
        <v>5</v>
      </c>
      <c r="G36" s="155">
        <v>0</v>
      </c>
    </row>
    <row r="37" spans="1:7" x14ac:dyDescent="0.35">
      <c r="A37" s="154">
        <v>46181</v>
      </c>
      <c r="B37" s="19">
        <v>2026</v>
      </c>
      <c r="C37" s="19">
        <v>6</v>
      </c>
      <c r="D37" s="19" t="s">
        <v>743</v>
      </c>
      <c r="E37" s="19">
        <v>2</v>
      </c>
      <c r="F37" s="19">
        <v>6</v>
      </c>
      <c r="G37" s="155">
        <v>1</v>
      </c>
    </row>
    <row r="38" spans="1:7" x14ac:dyDescent="0.35">
      <c r="A38" s="154">
        <v>46182</v>
      </c>
      <c r="B38" s="19">
        <v>2026</v>
      </c>
      <c r="C38" s="19">
        <v>6</v>
      </c>
      <c r="D38" s="19" t="s">
        <v>743</v>
      </c>
      <c r="E38" s="19">
        <v>2</v>
      </c>
      <c r="F38" s="19">
        <v>6</v>
      </c>
      <c r="G38" s="155">
        <v>1</v>
      </c>
    </row>
    <row r="39" spans="1:7" x14ac:dyDescent="0.35">
      <c r="A39" s="154">
        <v>46183</v>
      </c>
      <c r="B39" s="19">
        <v>2026</v>
      </c>
      <c r="C39" s="19">
        <v>6</v>
      </c>
      <c r="D39" s="19" t="s">
        <v>743</v>
      </c>
      <c r="E39" s="19">
        <v>2</v>
      </c>
      <c r="F39" s="19">
        <v>6</v>
      </c>
      <c r="G39" s="155">
        <v>1</v>
      </c>
    </row>
    <row r="40" spans="1:7" x14ac:dyDescent="0.35">
      <c r="A40" s="154">
        <v>46184</v>
      </c>
      <c r="B40" s="19">
        <v>2026</v>
      </c>
      <c r="C40" s="19">
        <v>6</v>
      </c>
      <c r="D40" s="19" t="s">
        <v>743</v>
      </c>
      <c r="E40" s="19">
        <v>2</v>
      </c>
      <c r="F40" s="19">
        <v>6</v>
      </c>
      <c r="G40" s="155">
        <v>1</v>
      </c>
    </row>
    <row r="41" spans="1:7" x14ac:dyDescent="0.35">
      <c r="A41" s="154">
        <v>46185</v>
      </c>
      <c r="B41" s="19">
        <v>2026</v>
      </c>
      <c r="C41" s="19">
        <v>6</v>
      </c>
      <c r="D41" s="19" t="s">
        <v>743</v>
      </c>
      <c r="E41" s="19">
        <v>2</v>
      </c>
      <c r="F41" s="19">
        <v>6</v>
      </c>
      <c r="G41" s="155">
        <v>1</v>
      </c>
    </row>
    <row r="42" spans="1:7" x14ac:dyDescent="0.35">
      <c r="A42" s="154">
        <v>46186</v>
      </c>
      <c r="B42" s="19">
        <v>2026</v>
      </c>
      <c r="C42" s="19">
        <v>6</v>
      </c>
      <c r="D42" s="19" t="s">
        <v>743</v>
      </c>
      <c r="E42" s="19">
        <v>2</v>
      </c>
      <c r="F42" s="19">
        <v>6</v>
      </c>
      <c r="G42" s="155">
        <v>0</v>
      </c>
    </row>
    <row r="43" spans="1:7" x14ac:dyDescent="0.35">
      <c r="A43" s="154">
        <v>46187</v>
      </c>
      <c r="B43" s="19">
        <v>2026</v>
      </c>
      <c r="C43" s="19">
        <v>6</v>
      </c>
      <c r="D43" s="19" t="s">
        <v>743</v>
      </c>
      <c r="E43" s="19">
        <v>2</v>
      </c>
      <c r="F43" s="19">
        <v>6</v>
      </c>
      <c r="G43" s="155">
        <v>0</v>
      </c>
    </row>
    <row r="44" spans="1:7" x14ac:dyDescent="0.35">
      <c r="A44" s="154">
        <v>46188</v>
      </c>
      <c r="B44" s="19">
        <v>2026</v>
      </c>
      <c r="C44" s="19">
        <v>6</v>
      </c>
      <c r="D44" s="19" t="s">
        <v>743</v>
      </c>
      <c r="E44" s="19">
        <v>2</v>
      </c>
      <c r="F44" s="19">
        <v>7</v>
      </c>
      <c r="G44" s="155">
        <v>1</v>
      </c>
    </row>
    <row r="45" spans="1:7" x14ac:dyDescent="0.35">
      <c r="A45" s="154">
        <v>46189</v>
      </c>
      <c r="B45" s="19">
        <v>2026</v>
      </c>
      <c r="C45" s="19">
        <v>6</v>
      </c>
      <c r="D45" s="19" t="s">
        <v>743</v>
      </c>
      <c r="E45" s="19">
        <v>2</v>
      </c>
      <c r="F45" s="19">
        <v>7</v>
      </c>
      <c r="G45" s="155">
        <v>1</v>
      </c>
    </row>
    <row r="46" spans="1:7" x14ac:dyDescent="0.35">
      <c r="A46" s="154">
        <v>46190</v>
      </c>
      <c r="B46" s="19">
        <v>2026</v>
      </c>
      <c r="C46" s="19">
        <v>6</v>
      </c>
      <c r="D46" s="19" t="s">
        <v>743</v>
      </c>
      <c r="E46" s="19">
        <v>2</v>
      </c>
      <c r="F46" s="19">
        <v>7</v>
      </c>
      <c r="G46" s="155">
        <v>1</v>
      </c>
    </row>
    <row r="47" spans="1:7" x14ac:dyDescent="0.35">
      <c r="A47" s="154">
        <v>46191</v>
      </c>
      <c r="B47" s="19">
        <v>2026</v>
      </c>
      <c r="C47" s="19">
        <v>6</v>
      </c>
      <c r="D47" s="19" t="s">
        <v>743</v>
      </c>
      <c r="E47" s="19">
        <v>2</v>
      </c>
      <c r="F47" s="19">
        <v>7</v>
      </c>
      <c r="G47" s="155">
        <v>1</v>
      </c>
    </row>
    <row r="48" spans="1:7" x14ac:dyDescent="0.35">
      <c r="A48" s="154">
        <v>46192</v>
      </c>
      <c r="B48" s="19">
        <v>2026</v>
      </c>
      <c r="C48" s="19">
        <v>6</v>
      </c>
      <c r="D48" s="19" t="s">
        <v>743</v>
      </c>
      <c r="E48" s="19">
        <v>2</v>
      </c>
      <c r="F48" s="19">
        <v>7</v>
      </c>
      <c r="G48" s="155">
        <v>1</v>
      </c>
    </row>
    <row r="49" spans="1:7" x14ac:dyDescent="0.35">
      <c r="A49" s="154">
        <v>46193</v>
      </c>
      <c r="B49" s="19">
        <v>2026</v>
      </c>
      <c r="C49" s="19">
        <v>6</v>
      </c>
      <c r="D49" s="19" t="s">
        <v>743</v>
      </c>
      <c r="E49" s="19">
        <v>2</v>
      </c>
      <c r="F49" s="19">
        <v>7</v>
      </c>
      <c r="G49" s="155">
        <v>0</v>
      </c>
    </row>
    <row r="50" spans="1:7" x14ac:dyDescent="0.35">
      <c r="A50" s="154">
        <v>46194</v>
      </c>
      <c r="B50" s="19">
        <v>2026</v>
      </c>
      <c r="C50" s="19">
        <v>6</v>
      </c>
      <c r="D50" s="19" t="s">
        <v>743</v>
      </c>
      <c r="E50" s="19">
        <v>2</v>
      </c>
      <c r="F50" s="19">
        <v>7</v>
      </c>
      <c r="G50" s="155">
        <v>0</v>
      </c>
    </row>
    <row r="51" spans="1:7" x14ac:dyDescent="0.35">
      <c r="A51" s="154">
        <v>46195</v>
      </c>
      <c r="B51" s="19">
        <v>2026</v>
      </c>
      <c r="C51" s="19">
        <v>6</v>
      </c>
      <c r="D51" s="19" t="s">
        <v>743</v>
      </c>
      <c r="E51" s="19">
        <v>2</v>
      </c>
      <c r="F51" s="19">
        <v>8</v>
      </c>
      <c r="G51" s="155">
        <v>1</v>
      </c>
    </row>
    <row r="52" spans="1:7" x14ac:dyDescent="0.35">
      <c r="A52" s="154">
        <v>46196</v>
      </c>
      <c r="B52" s="19">
        <v>2026</v>
      </c>
      <c r="C52" s="19">
        <v>6</v>
      </c>
      <c r="D52" s="19" t="s">
        <v>743</v>
      </c>
      <c r="E52" s="19">
        <v>2</v>
      </c>
      <c r="F52" s="19">
        <v>8</v>
      </c>
      <c r="G52" s="155">
        <v>1</v>
      </c>
    </row>
    <row r="53" spans="1:7" x14ac:dyDescent="0.35">
      <c r="A53" s="154">
        <v>46197</v>
      </c>
      <c r="B53" s="19">
        <v>2026</v>
      </c>
      <c r="C53" s="19">
        <v>6</v>
      </c>
      <c r="D53" s="19" t="s">
        <v>743</v>
      </c>
      <c r="E53" s="19">
        <v>2</v>
      </c>
      <c r="F53" s="19">
        <v>8</v>
      </c>
      <c r="G53" s="155">
        <v>1</v>
      </c>
    </row>
    <row r="54" spans="1:7" x14ac:dyDescent="0.35">
      <c r="A54" s="154">
        <v>46198</v>
      </c>
      <c r="B54" s="19">
        <v>2026</v>
      </c>
      <c r="C54" s="19">
        <v>6</v>
      </c>
      <c r="D54" s="19" t="s">
        <v>743</v>
      </c>
      <c r="E54" s="19">
        <v>2</v>
      </c>
      <c r="F54" s="19">
        <v>8</v>
      </c>
      <c r="G54" s="155">
        <v>1</v>
      </c>
    </row>
    <row r="55" spans="1:7" x14ac:dyDescent="0.35">
      <c r="A55" s="154">
        <v>46199</v>
      </c>
      <c r="B55" s="19">
        <v>2026</v>
      </c>
      <c r="C55" s="19">
        <v>6</v>
      </c>
      <c r="D55" s="19" t="s">
        <v>743</v>
      </c>
      <c r="E55" s="19">
        <v>2</v>
      </c>
      <c r="F55" s="19">
        <v>8</v>
      </c>
      <c r="G55" s="155">
        <v>1</v>
      </c>
    </row>
    <row r="56" spans="1:7" x14ac:dyDescent="0.35">
      <c r="A56" s="154">
        <v>46200</v>
      </c>
      <c r="B56" s="19">
        <v>2026</v>
      </c>
      <c r="C56" s="19">
        <v>6</v>
      </c>
      <c r="D56" s="19" t="s">
        <v>743</v>
      </c>
      <c r="E56" s="19">
        <v>2</v>
      </c>
      <c r="F56" s="19">
        <v>8</v>
      </c>
      <c r="G56" s="155">
        <v>0</v>
      </c>
    </row>
    <row r="57" spans="1:7" x14ac:dyDescent="0.35">
      <c r="A57" s="154">
        <v>46201</v>
      </c>
      <c r="B57" s="19">
        <v>2026</v>
      </c>
      <c r="C57" s="19">
        <v>6</v>
      </c>
      <c r="D57" s="19" t="s">
        <v>743</v>
      </c>
      <c r="E57" s="19">
        <v>2</v>
      </c>
      <c r="F57" s="19">
        <v>8</v>
      </c>
      <c r="G57" s="155">
        <v>0</v>
      </c>
    </row>
    <row r="58" spans="1:7" x14ac:dyDescent="0.35">
      <c r="A58" s="154">
        <v>46202</v>
      </c>
      <c r="B58" s="19">
        <v>2026</v>
      </c>
      <c r="C58" s="19">
        <v>6</v>
      </c>
      <c r="D58" s="19" t="s">
        <v>743</v>
      </c>
      <c r="E58" s="19">
        <v>2</v>
      </c>
      <c r="F58" s="19">
        <v>9</v>
      </c>
      <c r="G58" s="155">
        <v>1</v>
      </c>
    </row>
    <row r="59" spans="1:7" x14ac:dyDescent="0.35">
      <c r="A59" s="154">
        <v>46203</v>
      </c>
      <c r="B59" s="19">
        <v>2026</v>
      </c>
      <c r="C59" s="19">
        <v>6</v>
      </c>
      <c r="D59" s="19" t="s">
        <v>743</v>
      </c>
      <c r="E59" s="19">
        <v>2</v>
      </c>
      <c r="F59" s="19">
        <v>9</v>
      </c>
      <c r="G59" s="155">
        <v>1</v>
      </c>
    </row>
    <row r="60" spans="1:7" x14ac:dyDescent="0.35">
      <c r="A60" s="154">
        <v>46204</v>
      </c>
      <c r="B60" s="19">
        <v>2026</v>
      </c>
      <c r="C60" s="19">
        <v>7</v>
      </c>
      <c r="D60" s="19" t="s">
        <v>744</v>
      </c>
      <c r="E60" s="19">
        <v>3</v>
      </c>
      <c r="F60" s="19">
        <v>9</v>
      </c>
      <c r="G60" s="155">
        <v>1</v>
      </c>
    </row>
    <row r="61" spans="1:7" x14ac:dyDescent="0.35">
      <c r="A61" s="154">
        <v>46205</v>
      </c>
      <c r="B61" s="19">
        <v>2026</v>
      </c>
      <c r="C61" s="19">
        <v>7</v>
      </c>
      <c r="D61" s="19" t="s">
        <v>744</v>
      </c>
      <c r="E61" s="19">
        <v>3</v>
      </c>
      <c r="F61" s="19">
        <v>9</v>
      </c>
      <c r="G61" s="155">
        <v>1</v>
      </c>
    </row>
    <row r="62" spans="1:7" x14ac:dyDescent="0.35">
      <c r="A62" s="154">
        <v>46206</v>
      </c>
      <c r="B62" s="19">
        <v>2026</v>
      </c>
      <c r="C62" s="19">
        <v>7</v>
      </c>
      <c r="D62" s="19" t="s">
        <v>744</v>
      </c>
      <c r="E62" s="19">
        <v>3</v>
      </c>
      <c r="F62" s="19">
        <v>9</v>
      </c>
      <c r="G62" s="155">
        <v>1</v>
      </c>
    </row>
    <row r="63" spans="1:7" x14ac:dyDescent="0.35">
      <c r="A63" s="154">
        <v>46207</v>
      </c>
      <c r="B63" s="19">
        <v>2026</v>
      </c>
      <c r="C63" s="19">
        <v>7</v>
      </c>
      <c r="D63" s="19" t="s">
        <v>744</v>
      </c>
      <c r="E63" s="19">
        <v>3</v>
      </c>
      <c r="F63" s="19">
        <v>9</v>
      </c>
      <c r="G63" s="155">
        <v>0</v>
      </c>
    </row>
    <row r="64" spans="1:7" x14ac:dyDescent="0.35">
      <c r="A64" s="154">
        <v>46208</v>
      </c>
      <c r="B64" s="19">
        <v>2026</v>
      </c>
      <c r="C64" s="19">
        <v>7</v>
      </c>
      <c r="D64" s="19" t="s">
        <v>744</v>
      </c>
      <c r="E64" s="19">
        <v>3</v>
      </c>
      <c r="F64" s="19">
        <v>9</v>
      </c>
      <c r="G64" s="155">
        <v>0</v>
      </c>
    </row>
    <row r="65" spans="1:7" x14ac:dyDescent="0.35">
      <c r="A65" s="154">
        <v>46209</v>
      </c>
      <c r="B65" s="19">
        <v>2026</v>
      </c>
      <c r="C65" s="19">
        <v>7</v>
      </c>
      <c r="D65" s="19" t="s">
        <v>744</v>
      </c>
      <c r="E65" s="19">
        <v>3</v>
      </c>
      <c r="F65" s="19">
        <v>10</v>
      </c>
      <c r="G65" s="155">
        <v>1</v>
      </c>
    </row>
    <row r="66" spans="1:7" x14ac:dyDescent="0.35">
      <c r="A66" s="154">
        <v>46210</v>
      </c>
      <c r="B66" s="19">
        <v>2026</v>
      </c>
      <c r="C66" s="19">
        <v>7</v>
      </c>
      <c r="D66" s="19" t="s">
        <v>744</v>
      </c>
      <c r="E66" s="19">
        <v>3</v>
      </c>
      <c r="F66" s="19">
        <v>10</v>
      </c>
      <c r="G66" s="155">
        <v>1</v>
      </c>
    </row>
    <row r="67" spans="1:7" x14ac:dyDescent="0.35">
      <c r="A67" s="154">
        <v>46211</v>
      </c>
      <c r="B67" s="19">
        <v>2026</v>
      </c>
      <c r="C67" s="19">
        <v>7</v>
      </c>
      <c r="D67" s="19" t="s">
        <v>744</v>
      </c>
      <c r="E67" s="19">
        <v>3</v>
      </c>
      <c r="F67" s="19">
        <v>10</v>
      </c>
      <c r="G67" s="155">
        <v>1</v>
      </c>
    </row>
    <row r="68" spans="1:7" x14ac:dyDescent="0.35">
      <c r="A68" s="154">
        <v>46212</v>
      </c>
      <c r="B68" s="19">
        <v>2026</v>
      </c>
      <c r="C68" s="19">
        <v>7</v>
      </c>
      <c r="D68" s="19" t="s">
        <v>744</v>
      </c>
      <c r="E68" s="19">
        <v>3</v>
      </c>
      <c r="F68" s="19">
        <v>10</v>
      </c>
      <c r="G68" s="155">
        <v>1</v>
      </c>
    </row>
    <row r="69" spans="1:7" x14ac:dyDescent="0.35">
      <c r="A69" s="154">
        <v>46213</v>
      </c>
      <c r="B69" s="19">
        <v>2026</v>
      </c>
      <c r="C69" s="19">
        <v>7</v>
      </c>
      <c r="D69" s="19" t="s">
        <v>744</v>
      </c>
      <c r="E69" s="19">
        <v>3</v>
      </c>
      <c r="F69" s="19">
        <v>10</v>
      </c>
      <c r="G69" s="155">
        <v>1</v>
      </c>
    </row>
    <row r="70" spans="1:7" x14ac:dyDescent="0.35">
      <c r="A70" s="154">
        <v>46214</v>
      </c>
      <c r="B70" s="19">
        <v>2026</v>
      </c>
      <c r="C70" s="19">
        <v>7</v>
      </c>
      <c r="D70" s="19" t="s">
        <v>744</v>
      </c>
      <c r="E70" s="19">
        <v>3</v>
      </c>
      <c r="F70" s="19">
        <v>10</v>
      </c>
      <c r="G70" s="155">
        <v>0</v>
      </c>
    </row>
    <row r="71" spans="1:7" x14ac:dyDescent="0.35">
      <c r="A71" s="154">
        <v>46215</v>
      </c>
      <c r="B71" s="19">
        <v>2026</v>
      </c>
      <c r="C71" s="19">
        <v>7</v>
      </c>
      <c r="D71" s="19" t="s">
        <v>744</v>
      </c>
      <c r="E71" s="19">
        <v>3</v>
      </c>
      <c r="F71" s="19">
        <v>10</v>
      </c>
      <c r="G71" s="155">
        <v>0</v>
      </c>
    </row>
    <row r="72" spans="1:7" x14ac:dyDescent="0.35">
      <c r="A72" s="154">
        <v>46216</v>
      </c>
      <c r="B72" s="19">
        <v>2026</v>
      </c>
      <c r="C72" s="19">
        <v>7</v>
      </c>
      <c r="D72" s="19" t="s">
        <v>744</v>
      </c>
      <c r="E72" s="19">
        <v>3</v>
      </c>
      <c r="F72" s="19">
        <v>11</v>
      </c>
      <c r="G72" s="155">
        <v>1</v>
      </c>
    </row>
    <row r="73" spans="1:7" x14ac:dyDescent="0.35">
      <c r="A73" s="154">
        <v>46217</v>
      </c>
      <c r="B73" s="19">
        <v>2026</v>
      </c>
      <c r="C73" s="19">
        <v>7</v>
      </c>
      <c r="D73" s="19" t="s">
        <v>744</v>
      </c>
      <c r="E73" s="19">
        <v>3</v>
      </c>
      <c r="F73" s="19">
        <v>11</v>
      </c>
      <c r="G73" s="155">
        <v>1</v>
      </c>
    </row>
    <row r="74" spans="1:7" x14ac:dyDescent="0.35">
      <c r="A74" s="154">
        <v>46218</v>
      </c>
      <c r="B74" s="19">
        <v>2026</v>
      </c>
      <c r="C74" s="19">
        <v>7</v>
      </c>
      <c r="D74" s="19" t="s">
        <v>744</v>
      </c>
      <c r="E74" s="19">
        <v>3</v>
      </c>
      <c r="F74" s="19">
        <v>11</v>
      </c>
      <c r="G74" s="155">
        <v>1</v>
      </c>
    </row>
    <row r="75" spans="1:7" x14ac:dyDescent="0.35">
      <c r="A75" s="154">
        <v>46219</v>
      </c>
      <c r="B75" s="19">
        <v>2026</v>
      </c>
      <c r="C75" s="19">
        <v>7</v>
      </c>
      <c r="D75" s="19" t="s">
        <v>744</v>
      </c>
      <c r="E75" s="19">
        <v>3</v>
      </c>
      <c r="F75" s="19">
        <v>11</v>
      </c>
      <c r="G75" s="155">
        <v>1</v>
      </c>
    </row>
    <row r="76" spans="1:7" x14ac:dyDescent="0.35">
      <c r="A76" s="154">
        <v>46220</v>
      </c>
      <c r="B76" s="19">
        <v>2026</v>
      </c>
      <c r="C76" s="19">
        <v>7</v>
      </c>
      <c r="D76" s="19" t="s">
        <v>744</v>
      </c>
      <c r="E76" s="19">
        <v>3</v>
      </c>
      <c r="F76" s="19">
        <v>11</v>
      </c>
      <c r="G76" s="155">
        <v>1</v>
      </c>
    </row>
    <row r="77" spans="1:7" x14ac:dyDescent="0.35">
      <c r="A77" s="154">
        <v>46221</v>
      </c>
      <c r="B77" s="19">
        <v>2026</v>
      </c>
      <c r="C77" s="19">
        <v>7</v>
      </c>
      <c r="D77" s="19" t="s">
        <v>744</v>
      </c>
      <c r="E77" s="19">
        <v>3</v>
      </c>
      <c r="F77" s="19">
        <v>11</v>
      </c>
      <c r="G77" s="155">
        <v>0</v>
      </c>
    </row>
    <row r="78" spans="1:7" x14ac:dyDescent="0.35">
      <c r="A78" s="154">
        <v>46222</v>
      </c>
      <c r="B78" s="19">
        <v>2026</v>
      </c>
      <c r="C78" s="19">
        <v>7</v>
      </c>
      <c r="D78" s="19" t="s">
        <v>744</v>
      </c>
      <c r="E78" s="19">
        <v>3</v>
      </c>
      <c r="F78" s="19">
        <v>11</v>
      </c>
      <c r="G78" s="155">
        <v>0</v>
      </c>
    </row>
    <row r="79" spans="1:7" x14ac:dyDescent="0.35">
      <c r="A79" s="154">
        <v>46223</v>
      </c>
      <c r="B79" s="19">
        <v>2026</v>
      </c>
      <c r="C79" s="19">
        <v>7</v>
      </c>
      <c r="D79" s="19" t="s">
        <v>744</v>
      </c>
      <c r="E79" s="19">
        <v>3</v>
      </c>
      <c r="F79" s="19">
        <v>12</v>
      </c>
      <c r="G79" s="155">
        <v>1</v>
      </c>
    </row>
    <row r="80" spans="1:7" x14ac:dyDescent="0.35">
      <c r="A80" s="154">
        <v>46224</v>
      </c>
      <c r="B80" s="19">
        <v>2026</v>
      </c>
      <c r="C80" s="19">
        <v>7</v>
      </c>
      <c r="D80" s="19" t="s">
        <v>744</v>
      </c>
      <c r="E80" s="19">
        <v>3</v>
      </c>
      <c r="F80" s="19">
        <v>12</v>
      </c>
      <c r="G80" s="155">
        <v>1</v>
      </c>
    </row>
    <row r="81" spans="1:7" x14ac:dyDescent="0.35">
      <c r="A81" s="154">
        <v>46225</v>
      </c>
      <c r="B81" s="19">
        <v>2026</v>
      </c>
      <c r="C81" s="19">
        <v>7</v>
      </c>
      <c r="D81" s="19" t="s">
        <v>744</v>
      </c>
      <c r="E81" s="19">
        <v>3</v>
      </c>
      <c r="F81" s="19">
        <v>12</v>
      </c>
      <c r="G81" s="155">
        <v>1</v>
      </c>
    </row>
    <row r="82" spans="1:7" x14ac:dyDescent="0.35">
      <c r="A82" s="154">
        <v>46226</v>
      </c>
      <c r="B82" s="19">
        <v>2026</v>
      </c>
      <c r="C82" s="19">
        <v>7</v>
      </c>
      <c r="D82" s="19" t="s">
        <v>744</v>
      </c>
      <c r="E82" s="19">
        <v>3</v>
      </c>
      <c r="F82" s="19">
        <v>12</v>
      </c>
      <c r="G82" s="155">
        <v>1</v>
      </c>
    </row>
    <row r="83" spans="1:7" x14ac:dyDescent="0.35">
      <c r="A83" s="154">
        <v>46227</v>
      </c>
      <c r="B83" s="19">
        <v>2026</v>
      </c>
      <c r="C83" s="19">
        <v>7</v>
      </c>
      <c r="D83" s="19" t="s">
        <v>744</v>
      </c>
      <c r="E83" s="19">
        <v>3</v>
      </c>
      <c r="F83" s="19">
        <v>12</v>
      </c>
      <c r="G83" s="155">
        <v>1</v>
      </c>
    </row>
    <row r="84" spans="1:7" x14ac:dyDescent="0.35">
      <c r="A84" s="154">
        <v>46228</v>
      </c>
      <c r="B84" s="19">
        <v>2026</v>
      </c>
      <c r="C84" s="19">
        <v>7</v>
      </c>
      <c r="D84" s="19" t="s">
        <v>744</v>
      </c>
      <c r="E84" s="19">
        <v>3</v>
      </c>
      <c r="F84" s="19">
        <v>12</v>
      </c>
      <c r="G84" s="155">
        <v>0</v>
      </c>
    </row>
    <row r="85" spans="1:7" x14ac:dyDescent="0.35">
      <c r="A85" s="156">
        <v>46229</v>
      </c>
      <c r="B85" s="147">
        <v>2026</v>
      </c>
      <c r="C85" s="147">
        <v>7</v>
      </c>
      <c r="D85" s="147" t="s">
        <v>744</v>
      </c>
      <c r="E85" s="147">
        <v>3</v>
      </c>
      <c r="F85" s="147">
        <v>12</v>
      </c>
      <c r="G85" s="157">
        <v>0</v>
      </c>
    </row>
  </sheetData>
  <conditionalFormatting sqref="G2:G85">
    <cfRule type="cellIs" dxfId="103" priority="1" operator="equal">
      <formula>1</formula>
    </cfRule>
    <cfRule type="cellIs" dxfId="102" priority="2" operator="equal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D966"/>
  </sheetPr>
  <dimension ref="A1:C43"/>
  <sheetViews>
    <sheetView workbookViewId="0">
      <selection activeCell="Q1" sqref="Q1"/>
    </sheetView>
  </sheetViews>
  <sheetFormatPr defaultRowHeight="14.5" x14ac:dyDescent="0.35"/>
  <cols>
    <col min="1" max="1" width="10.08984375" bestFit="1" customWidth="1"/>
    <col min="2" max="2" width="11.90625" bestFit="1" customWidth="1"/>
    <col min="3" max="3" width="17.90625" bestFit="1" customWidth="1"/>
  </cols>
  <sheetData>
    <row r="1" spans="1:3" x14ac:dyDescent="0.35">
      <c r="A1" s="143" t="s">
        <v>367</v>
      </c>
      <c r="B1" s="144" t="s">
        <v>561</v>
      </c>
      <c r="C1" s="145" t="s">
        <v>745</v>
      </c>
    </row>
    <row r="2" spans="1:3" x14ac:dyDescent="0.35">
      <c r="A2" s="154">
        <v>46153</v>
      </c>
      <c r="B2" s="19" t="s">
        <v>623</v>
      </c>
      <c r="C2" s="152">
        <v>1500</v>
      </c>
    </row>
    <row r="3" spans="1:3" x14ac:dyDescent="0.35">
      <c r="A3" s="154">
        <v>46160</v>
      </c>
      <c r="B3" s="19" t="s">
        <v>623</v>
      </c>
      <c r="C3" s="152">
        <v>1500</v>
      </c>
    </row>
    <row r="4" spans="1:3" x14ac:dyDescent="0.35">
      <c r="A4" s="154">
        <v>46167</v>
      </c>
      <c r="B4" s="19" t="s">
        <v>623</v>
      </c>
      <c r="C4" s="152">
        <v>1500</v>
      </c>
    </row>
    <row r="5" spans="1:3" x14ac:dyDescent="0.35">
      <c r="A5" s="154">
        <v>46174</v>
      </c>
      <c r="B5" s="19" t="s">
        <v>623</v>
      </c>
      <c r="C5" s="152">
        <v>1500</v>
      </c>
    </row>
    <row r="6" spans="1:3" x14ac:dyDescent="0.35">
      <c r="A6" s="154">
        <v>46181</v>
      </c>
      <c r="B6" s="19" t="s">
        <v>623</v>
      </c>
      <c r="C6" s="152">
        <v>1500</v>
      </c>
    </row>
    <row r="7" spans="1:3" x14ac:dyDescent="0.35">
      <c r="A7" s="154">
        <v>46188</v>
      </c>
      <c r="B7" s="19" t="s">
        <v>623</v>
      </c>
      <c r="C7" s="152">
        <v>1500</v>
      </c>
    </row>
    <row r="8" spans="1:3" x14ac:dyDescent="0.35">
      <c r="A8" s="154">
        <v>46195</v>
      </c>
      <c r="B8" s="19" t="s">
        <v>623</v>
      </c>
      <c r="C8" s="152">
        <v>1500</v>
      </c>
    </row>
    <row r="9" spans="1:3" x14ac:dyDescent="0.35">
      <c r="A9" s="154">
        <v>46202</v>
      </c>
      <c r="B9" s="19" t="s">
        <v>623</v>
      </c>
      <c r="C9" s="152">
        <v>1500</v>
      </c>
    </row>
    <row r="10" spans="1:3" x14ac:dyDescent="0.35">
      <c r="A10" s="154">
        <v>46209</v>
      </c>
      <c r="B10" s="19" t="s">
        <v>623</v>
      </c>
      <c r="C10" s="152">
        <v>1500</v>
      </c>
    </row>
    <row r="11" spans="1:3" x14ac:dyDescent="0.35">
      <c r="A11" s="154">
        <v>46216</v>
      </c>
      <c r="B11" s="19" t="s">
        <v>623</v>
      </c>
      <c r="C11" s="152">
        <v>1500</v>
      </c>
    </row>
    <row r="12" spans="1:3" x14ac:dyDescent="0.35">
      <c r="A12" s="154">
        <v>46223</v>
      </c>
      <c r="B12" s="19" t="s">
        <v>623</v>
      </c>
      <c r="C12" s="152">
        <v>1500</v>
      </c>
    </row>
    <row r="13" spans="1:3" x14ac:dyDescent="0.35">
      <c r="A13" s="154">
        <v>46146</v>
      </c>
      <c r="B13" s="19" t="s">
        <v>18</v>
      </c>
      <c r="C13" s="152">
        <v>8500</v>
      </c>
    </row>
    <row r="14" spans="1:3" x14ac:dyDescent="0.35">
      <c r="A14" s="154">
        <v>46146</v>
      </c>
      <c r="B14" s="19" t="s">
        <v>24</v>
      </c>
      <c r="C14" s="152">
        <v>6400</v>
      </c>
    </row>
    <row r="15" spans="1:3" x14ac:dyDescent="0.35">
      <c r="A15" s="154">
        <v>46153</v>
      </c>
      <c r="B15" s="19" t="s">
        <v>24</v>
      </c>
      <c r="C15" s="152">
        <v>6400</v>
      </c>
    </row>
    <row r="16" spans="1:3" x14ac:dyDescent="0.35">
      <c r="A16" s="154">
        <v>46160</v>
      </c>
      <c r="B16" s="19" t="s">
        <v>24</v>
      </c>
      <c r="C16" s="152">
        <v>6400</v>
      </c>
    </row>
    <row r="17" spans="1:3" x14ac:dyDescent="0.35">
      <c r="A17" s="154">
        <v>46153</v>
      </c>
      <c r="B17" s="19" t="s">
        <v>28</v>
      </c>
      <c r="C17" s="152">
        <v>10500</v>
      </c>
    </row>
    <row r="18" spans="1:3" x14ac:dyDescent="0.35">
      <c r="A18" s="154">
        <v>46160</v>
      </c>
      <c r="B18" s="19" t="s">
        <v>28</v>
      </c>
      <c r="C18" s="152">
        <v>10500</v>
      </c>
    </row>
    <row r="19" spans="1:3" x14ac:dyDescent="0.35">
      <c r="A19" s="154">
        <v>46167</v>
      </c>
      <c r="B19" s="19" t="s">
        <v>28</v>
      </c>
      <c r="C19" s="152">
        <v>10500</v>
      </c>
    </row>
    <row r="20" spans="1:3" x14ac:dyDescent="0.35">
      <c r="A20" s="154">
        <v>46174</v>
      </c>
      <c r="B20" s="19" t="s">
        <v>28</v>
      </c>
      <c r="C20" s="152">
        <v>10500</v>
      </c>
    </row>
    <row r="21" spans="1:3" x14ac:dyDescent="0.35">
      <c r="A21" s="154">
        <v>46153</v>
      </c>
      <c r="B21" s="19" t="s">
        <v>33</v>
      </c>
      <c r="C21" s="152">
        <v>4400</v>
      </c>
    </row>
    <row r="22" spans="1:3" x14ac:dyDescent="0.35">
      <c r="A22" s="154">
        <v>46160</v>
      </c>
      <c r="B22" s="19" t="s">
        <v>33</v>
      </c>
      <c r="C22" s="152">
        <v>4400</v>
      </c>
    </row>
    <row r="23" spans="1:3" x14ac:dyDescent="0.35">
      <c r="A23" s="154">
        <v>46167</v>
      </c>
      <c r="B23" s="19" t="s">
        <v>33</v>
      </c>
      <c r="C23" s="152">
        <v>4400</v>
      </c>
    </row>
    <row r="24" spans="1:3" x14ac:dyDescent="0.35">
      <c r="A24" s="154">
        <v>46167</v>
      </c>
      <c r="B24" s="19" t="s">
        <v>35</v>
      </c>
      <c r="C24" s="152">
        <v>8666.67</v>
      </c>
    </row>
    <row r="25" spans="1:3" x14ac:dyDescent="0.35">
      <c r="A25" s="154">
        <v>46174</v>
      </c>
      <c r="B25" s="19" t="s">
        <v>35</v>
      </c>
      <c r="C25" s="152">
        <v>8666.67</v>
      </c>
    </row>
    <row r="26" spans="1:3" x14ac:dyDescent="0.35">
      <c r="A26" s="154">
        <v>46181</v>
      </c>
      <c r="B26" s="19" t="s">
        <v>35</v>
      </c>
      <c r="C26" s="152">
        <v>8666.66</v>
      </c>
    </row>
    <row r="27" spans="1:3" x14ac:dyDescent="0.35">
      <c r="A27" s="154">
        <v>46174</v>
      </c>
      <c r="B27" s="19" t="s">
        <v>37</v>
      </c>
      <c r="C27" s="152">
        <v>9000</v>
      </c>
    </row>
    <row r="28" spans="1:3" x14ac:dyDescent="0.35">
      <c r="A28" s="154">
        <v>46181</v>
      </c>
      <c r="B28" s="19" t="s">
        <v>37</v>
      </c>
      <c r="C28" s="152">
        <v>9000</v>
      </c>
    </row>
    <row r="29" spans="1:3" x14ac:dyDescent="0.35">
      <c r="A29" s="154">
        <v>46188</v>
      </c>
      <c r="B29" s="19" t="s">
        <v>37</v>
      </c>
      <c r="C29" s="152">
        <v>9000</v>
      </c>
    </row>
    <row r="30" spans="1:3" x14ac:dyDescent="0.35">
      <c r="A30" s="154">
        <v>46195</v>
      </c>
      <c r="B30" s="19" t="s">
        <v>37</v>
      </c>
      <c r="C30" s="152">
        <v>9000</v>
      </c>
    </row>
    <row r="31" spans="1:3" x14ac:dyDescent="0.35">
      <c r="A31" s="154">
        <v>46181</v>
      </c>
      <c r="B31" s="19" t="s">
        <v>39</v>
      </c>
      <c r="C31" s="152">
        <v>7000</v>
      </c>
    </row>
    <row r="32" spans="1:3" x14ac:dyDescent="0.35">
      <c r="A32" s="154">
        <v>46188</v>
      </c>
      <c r="B32" s="19" t="s">
        <v>39</v>
      </c>
      <c r="C32" s="152">
        <v>7000</v>
      </c>
    </row>
    <row r="33" spans="1:3" x14ac:dyDescent="0.35">
      <c r="A33" s="154">
        <v>46195</v>
      </c>
      <c r="B33" s="19" t="s">
        <v>39</v>
      </c>
      <c r="C33" s="152">
        <v>7000</v>
      </c>
    </row>
    <row r="34" spans="1:3" x14ac:dyDescent="0.35">
      <c r="A34" s="154">
        <v>46202</v>
      </c>
      <c r="B34" s="19" t="s">
        <v>39</v>
      </c>
      <c r="C34" s="152">
        <v>7000</v>
      </c>
    </row>
    <row r="35" spans="1:3" x14ac:dyDescent="0.35">
      <c r="A35" s="154">
        <v>46195</v>
      </c>
      <c r="B35" s="19" t="s">
        <v>41</v>
      </c>
      <c r="C35" s="152">
        <v>11916.67</v>
      </c>
    </row>
    <row r="36" spans="1:3" x14ac:dyDescent="0.35">
      <c r="A36" s="154">
        <v>46202</v>
      </c>
      <c r="B36" s="19" t="s">
        <v>41</v>
      </c>
      <c r="C36" s="152">
        <v>11916.67</v>
      </c>
    </row>
    <row r="37" spans="1:3" x14ac:dyDescent="0.35">
      <c r="A37" s="154">
        <v>46209</v>
      </c>
      <c r="B37" s="19" t="s">
        <v>41</v>
      </c>
      <c r="C37" s="152">
        <v>11916.66</v>
      </c>
    </row>
    <row r="38" spans="1:3" x14ac:dyDescent="0.35">
      <c r="A38" s="154">
        <v>46202</v>
      </c>
      <c r="B38" s="19" t="s">
        <v>43</v>
      </c>
      <c r="C38" s="152">
        <v>10000</v>
      </c>
    </row>
    <row r="39" spans="1:3" x14ac:dyDescent="0.35">
      <c r="A39" s="154">
        <v>46209</v>
      </c>
      <c r="B39" s="19" t="s">
        <v>43</v>
      </c>
      <c r="C39" s="152">
        <v>10000</v>
      </c>
    </row>
    <row r="40" spans="1:3" x14ac:dyDescent="0.35">
      <c r="A40" s="154">
        <v>46216</v>
      </c>
      <c r="B40" s="19" t="s">
        <v>43</v>
      </c>
      <c r="C40" s="152">
        <v>10000</v>
      </c>
    </row>
    <row r="41" spans="1:3" x14ac:dyDescent="0.35">
      <c r="A41" s="154">
        <v>46216</v>
      </c>
      <c r="B41" s="19" t="s">
        <v>45</v>
      </c>
      <c r="C41" s="152">
        <v>4200</v>
      </c>
    </row>
    <row r="42" spans="1:3" x14ac:dyDescent="0.35">
      <c r="A42" s="156">
        <v>46223</v>
      </c>
      <c r="B42" s="147" t="s">
        <v>45</v>
      </c>
      <c r="C42" s="153">
        <v>4200</v>
      </c>
    </row>
    <row r="43" spans="1:3" x14ac:dyDescent="0.35">
      <c r="A43" s="156">
        <v>46223</v>
      </c>
      <c r="B43" s="147" t="s">
        <v>47</v>
      </c>
      <c r="C43" s="153">
        <v>3600</v>
      </c>
    </row>
  </sheetData>
  <conditionalFormatting sqref="C2:C43">
    <cfRule type="cellIs" dxfId="101" priority="1" operator="lessThanOrEqual">
      <formula>4200</formula>
    </cfRule>
    <cfRule type="cellIs" dxfId="100" priority="2" operator="between">
      <formula>4200</formula>
      <formula>8666.67</formula>
    </cfRule>
    <cfRule type="cellIs" dxfId="99" priority="3" operator="greaterThanOrEqual">
      <formula>8666.67</formula>
    </cfRule>
  </conditionalFormatting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D966"/>
  </sheetPr>
  <dimension ref="A1:E99"/>
  <sheetViews>
    <sheetView topLeftCell="K1" workbookViewId="0">
      <selection activeCell="U9" sqref="U9"/>
    </sheetView>
  </sheetViews>
  <sheetFormatPr defaultRowHeight="14.5" x14ac:dyDescent="0.35"/>
  <cols>
    <col min="1" max="1" width="10.08984375" bestFit="1" customWidth="1"/>
    <col min="2" max="2" width="11.90625" bestFit="1" customWidth="1"/>
    <col min="3" max="3" width="15.81640625" bestFit="1" customWidth="1"/>
    <col min="4" max="4" width="15.36328125" bestFit="1" customWidth="1"/>
    <col min="5" max="5" width="17.7265625" bestFit="1" customWidth="1"/>
  </cols>
  <sheetData>
    <row r="1" spans="1:5" x14ac:dyDescent="0.35">
      <c r="A1" s="143" t="s">
        <v>367</v>
      </c>
      <c r="B1" s="144" t="s">
        <v>561</v>
      </c>
      <c r="C1" s="144" t="s">
        <v>709</v>
      </c>
      <c r="D1" s="144" t="s">
        <v>746</v>
      </c>
      <c r="E1" s="145" t="s">
        <v>747</v>
      </c>
    </row>
    <row r="2" spans="1:5" x14ac:dyDescent="0.35">
      <c r="A2" s="154">
        <v>46147</v>
      </c>
      <c r="B2" s="19" t="s">
        <v>623</v>
      </c>
      <c r="C2" s="19" t="s">
        <v>748</v>
      </c>
      <c r="D2" s="22">
        <v>320</v>
      </c>
      <c r="E2" s="133">
        <v>0.21</v>
      </c>
    </row>
    <row r="3" spans="1:5" x14ac:dyDescent="0.35">
      <c r="A3" s="154">
        <v>46148</v>
      </c>
      <c r="B3" s="19" t="s">
        <v>623</v>
      </c>
      <c r="C3" s="19" t="s">
        <v>748</v>
      </c>
      <c r="D3" s="22">
        <v>320</v>
      </c>
      <c r="E3" s="133">
        <v>0.21</v>
      </c>
    </row>
    <row r="4" spans="1:5" x14ac:dyDescent="0.35">
      <c r="A4" s="154">
        <v>46149</v>
      </c>
      <c r="B4" s="19" t="s">
        <v>623</v>
      </c>
      <c r="C4" s="19" t="s">
        <v>748</v>
      </c>
      <c r="D4" s="22">
        <v>320</v>
      </c>
      <c r="E4" s="133">
        <v>0.21</v>
      </c>
    </row>
    <row r="5" spans="1:5" x14ac:dyDescent="0.35">
      <c r="A5" s="154">
        <v>46150</v>
      </c>
      <c r="B5" s="19" t="s">
        <v>623</v>
      </c>
      <c r="C5" s="19" t="s">
        <v>748</v>
      </c>
      <c r="D5" s="22">
        <v>320</v>
      </c>
      <c r="E5" s="133">
        <v>0.21</v>
      </c>
    </row>
    <row r="6" spans="1:5" x14ac:dyDescent="0.35">
      <c r="A6" s="154">
        <v>46146</v>
      </c>
      <c r="B6" s="19" t="s">
        <v>18</v>
      </c>
      <c r="C6" s="19" t="s">
        <v>718</v>
      </c>
      <c r="D6" s="22">
        <v>1740</v>
      </c>
      <c r="E6" s="133">
        <v>0.79</v>
      </c>
    </row>
    <row r="7" spans="1:5" x14ac:dyDescent="0.35">
      <c r="A7" s="154">
        <v>46147</v>
      </c>
      <c r="B7" s="19" t="s">
        <v>18</v>
      </c>
      <c r="C7" s="19" t="s">
        <v>718</v>
      </c>
      <c r="D7" s="22">
        <v>1740</v>
      </c>
      <c r="E7" s="133">
        <v>0.79</v>
      </c>
    </row>
    <row r="8" spans="1:5" x14ac:dyDescent="0.35">
      <c r="A8" s="154">
        <v>46148</v>
      </c>
      <c r="B8" s="19" t="s">
        <v>18</v>
      </c>
      <c r="C8" s="19" t="s">
        <v>718</v>
      </c>
      <c r="D8" s="22">
        <v>1740</v>
      </c>
      <c r="E8" s="133">
        <v>0.79</v>
      </c>
    </row>
    <row r="9" spans="1:5" x14ac:dyDescent="0.35">
      <c r="A9" s="154">
        <v>46149</v>
      </c>
      <c r="B9" s="19" t="s">
        <v>18</v>
      </c>
      <c r="C9" s="19" t="s">
        <v>718</v>
      </c>
      <c r="D9" s="22">
        <v>1740</v>
      </c>
      <c r="E9" s="133">
        <v>0.79</v>
      </c>
    </row>
    <row r="10" spans="1:5" x14ac:dyDescent="0.35">
      <c r="A10" s="154">
        <v>46150</v>
      </c>
      <c r="B10" s="19" t="s">
        <v>18</v>
      </c>
      <c r="C10" s="19" t="s">
        <v>718</v>
      </c>
      <c r="D10" s="22">
        <v>1740</v>
      </c>
      <c r="E10" s="133">
        <v>0.79</v>
      </c>
    </row>
    <row r="11" spans="1:5" x14ac:dyDescent="0.35">
      <c r="A11" s="154">
        <v>46146</v>
      </c>
      <c r="B11" s="19" t="s">
        <v>24</v>
      </c>
      <c r="C11" s="19" t="s">
        <v>712</v>
      </c>
      <c r="D11" s="22">
        <v>1199.01</v>
      </c>
      <c r="E11" s="133">
        <v>0.5</v>
      </c>
    </row>
    <row r="12" spans="1:5" x14ac:dyDescent="0.35">
      <c r="A12" s="154">
        <v>46147</v>
      </c>
      <c r="B12" s="19" t="s">
        <v>24</v>
      </c>
      <c r="C12" s="19" t="s">
        <v>712</v>
      </c>
      <c r="D12" s="22">
        <v>1199.01</v>
      </c>
      <c r="E12" s="133">
        <v>0.5</v>
      </c>
    </row>
    <row r="13" spans="1:5" x14ac:dyDescent="0.35">
      <c r="A13" s="154">
        <v>46148</v>
      </c>
      <c r="B13" s="19" t="s">
        <v>24</v>
      </c>
      <c r="C13" s="19" t="s">
        <v>712</v>
      </c>
      <c r="D13" s="22">
        <v>1199.01</v>
      </c>
      <c r="E13" s="133">
        <v>0.5</v>
      </c>
    </row>
    <row r="14" spans="1:5" x14ac:dyDescent="0.35">
      <c r="A14" s="154">
        <v>46149</v>
      </c>
      <c r="B14" s="19" t="s">
        <v>24</v>
      </c>
      <c r="C14" s="19" t="s">
        <v>712</v>
      </c>
      <c r="D14" s="22">
        <v>1199.01</v>
      </c>
      <c r="E14" s="133">
        <v>0.5</v>
      </c>
    </row>
    <row r="15" spans="1:5" x14ac:dyDescent="0.35">
      <c r="A15" s="154">
        <v>46150</v>
      </c>
      <c r="B15" s="19" t="s">
        <v>24</v>
      </c>
      <c r="C15" s="19" t="s">
        <v>712</v>
      </c>
      <c r="D15" s="22">
        <v>1199</v>
      </c>
      <c r="E15" s="133">
        <v>0.5</v>
      </c>
    </row>
    <row r="16" spans="1:5" x14ac:dyDescent="0.35">
      <c r="A16" s="154">
        <v>46153</v>
      </c>
      <c r="B16" s="19" t="s">
        <v>623</v>
      </c>
      <c r="C16" s="19" t="s">
        <v>748</v>
      </c>
      <c r="D16" s="22">
        <v>320</v>
      </c>
      <c r="E16" s="133">
        <v>0.21</v>
      </c>
    </row>
    <row r="17" spans="1:5" x14ac:dyDescent="0.35">
      <c r="A17" s="154">
        <v>46154</v>
      </c>
      <c r="B17" s="19" t="s">
        <v>623</v>
      </c>
      <c r="C17" s="19" t="s">
        <v>748</v>
      </c>
      <c r="D17" s="22">
        <v>320</v>
      </c>
      <c r="E17" s="133">
        <v>0.21</v>
      </c>
    </row>
    <row r="18" spans="1:5" x14ac:dyDescent="0.35">
      <c r="A18" s="154">
        <v>46155</v>
      </c>
      <c r="B18" s="19" t="s">
        <v>623</v>
      </c>
      <c r="C18" s="19" t="s">
        <v>748</v>
      </c>
      <c r="D18" s="22">
        <v>320</v>
      </c>
      <c r="E18" s="133">
        <v>0.21</v>
      </c>
    </row>
    <row r="19" spans="1:5" x14ac:dyDescent="0.35">
      <c r="A19" s="154">
        <v>46156</v>
      </c>
      <c r="B19" s="19" t="s">
        <v>623</v>
      </c>
      <c r="C19" s="19" t="s">
        <v>748</v>
      </c>
      <c r="D19" s="22">
        <v>320</v>
      </c>
      <c r="E19" s="133">
        <v>0.21</v>
      </c>
    </row>
    <row r="20" spans="1:5" x14ac:dyDescent="0.35">
      <c r="A20" s="154">
        <v>46157</v>
      </c>
      <c r="B20" s="19" t="s">
        <v>623</v>
      </c>
      <c r="C20" s="19" t="s">
        <v>748</v>
      </c>
      <c r="D20" s="22">
        <v>320</v>
      </c>
      <c r="E20" s="133">
        <v>0.21</v>
      </c>
    </row>
    <row r="21" spans="1:5" x14ac:dyDescent="0.35">
      <c r="A21" s="154">
        <v>46153</v>
      </c>
      <c r="B21" s="19" t="s">
        <v>24</v>
      </c>
      <c r="C21" s="19" t="s">
        <v>712</v>
      </c>
      <c r="D21" s="22">
        <v>1200</v>
      </c>
      <c r="E21" s="133">
        <v>0.5</v>
      </c>
    </row>
    <row r="22" spans="1:5" x14ac:dyDescent="0.35">
      <c r="A22" s="154">
        <v>46154</v>
      </c>
      <c r="B22" s="19" t="s">
        <v>24</v>
      </c>
      <c r="C22" s="19" t="s">
        <v>712</v>
      </c>
      <c r="D22" s="22">
        <v>1200</v>
      </c>
      <c r="E22" s="133">
        <v>0.5</v>
      </c>
    </row>
    <row r="23" spans="1:5" x14ac:dyDescent="0.35">
      <c r="A23" s="154">
        <v>46155</v>
      </c>
      <c r="B23" s="19" t="s">
        <v>24</v>
      </c>
      <c r="C23" s="19" t="s">
        <v>712</v>
      </c>
      <c r="D23" s="22">
        <v>1200</v>
      </c>
      <c r="E23" s="133">
        <v>0.5</v>
      </c>
    </row>
    <row r="24" spans="1:5" x14ac:dyDescent="0.35">
      <c r="A24" s="154">
        <v>46156</v>
      </c>
      <c r="B24" s="19" t="s">
        <v>24</v>
      </c>
      <c r="C24" s="19" t="s">
        <v>712</v>
      </c>
      <c r="D24" s="22">
        <v>1200</v>
      </c>
      <c r="E24" s="133">
        <v>0.5</v>
      </c>
    </row>
    <row r="25" spans="1:5" x14ac:dyDescent="0.35">
      <c r="A25" s="154">
        <v>46157</v>
      </c>
      <c r="B25" s="19" t="s">
        <v>24</v>
      </c>
      <c r="C25" s="19" t="s">
        <v>712</v>
      </c>
      <c r="D25" s="22">
        <v>1200</v>
      </c>
      <c r="E25" s="133">
        <v>0.5</v>
      </c>
    </row>
    <row r="26" spans="1:5" x14ac:dyDescent="0.35">
      <c r="A26" s="154">
        <v>46155</v>
      </c>
      <c r="B26" s="19" t="s">
        <v>28</v>
      </c>
      <c r="C26" s="19" t="s">
        <v>725</v>
      </c>
      <c r="D26" s="22">
        <v>10500</v>
      </c>
      <c r="E26" s="133">
        <v>0</v>
      </c>
    </row>
    <row r="27" spans="1:5" x14ac:dyDescent="0.35">
      <c r="A27" s="154">
        <v>46153</v>
      </c>
      <c r="B27" s="19" t="s">
        <v>33</v>
      </c>
      <c r="C27" s="19" t="s">
        <v>718</v>
      </c>
      <c r="D27" s="22">
        <v>910.82</v>
      </c>
      <c r="E27" s="133">
        <v>0.41</v>
      </c>
    </row>
    <row r="28" spans="1:5" x14ac:dyDescent="0.35">
      <c r="A28" s="154">
        <v>46154</v>
      </c>
      <c r="B28" s="19" t="s">
        <v>33</v>
      </c>
      <c r="C28" s="19" t="s">
        <v>718</v>
      </c>
      <c r="D28" s="22">
        <v>910.82</v>
      </c>
      <c r="E28" s="133">
        <v>0.41</v>
      </c>
    </row>
    <row r="29" spans="1:5" x14ac:dyDescent="0.35">
      <c r="A29" s="154">
        <v>46155</v>
      </c>
      <c r="B29" s="19" t="s">
        <v>33</v>
      </c>
      <c r="C29" s="19" t="s">
        <v>718</v>
      </c>
      <c r="D29" s="22">
        <v>910.82</v>
      </c>
      <c r="E29" s="133">
        <v>0.41</v>
      </c>
    </row>
    <row r="30" spans="1:5" x14ac:dyDescent="0.35">
      <c r="A30" s="154">
        <v>46156</v>
      </c>
      <c r="B30" s="19" t="s">
        <v>33</v>
      </c>
      <c r="C30" s="19" t="s">
        <v>718</v>
      </c>
      <c r="D30" s="22">
        <v>910.82</v>
      </c>
      <c r="E30" s="133">
        <v>0.41</v>
      </c>
    </row>
    <row r="31" spans="1:5" x14ac:dyDescent="0.35">
      <c r="A31" s="154">
        <v>46157</v>
      </c>
      <c r="B31" s="19" t="s">
        <v>33</v>
      </c>
      <c r="C31" s="19" t="s">
        <v>718</v>
      </c>
      <c r="D31" s="22">
        <v>910.8</v>
      </c>
      <c r="E31" s="133">
        <v>0.41</v>
      </c>
    </row>
    <row r="32" spans="1:5" x14ac:dyDescent="0.35">
      <c r="A32" s="154">
        <v>46160</v>
      </c>
      <c r="B32" s="19" t="s">
        <v>623</v>
      </c>
      <c r="C32" s="19" t="s">
        <v>748</v>
      </c>
      <c r="D32" s="22">
        <v>320</v>
      </c>
      <c r="E32" s="133">
        <v>0.21</v>
      </c>
    </row>
    <row r="33" spans="1:5" x14ac:dyDescent="0.35">
      <c r="A33" s="154">
        <v>46161</v>
      </c>
      <c r="B33" s="19" t="s">
        <v>623</v>
      </c>
      <c r="C33" s="19" t="s">
        <v>748</v>
      </c>
      <c r="D33" s="22">
        <v>320</v>
      </c>
      <c r="E33" s="133">
        <v>0.21</v>
      </c>
    </row>
    <row r="34" spans="1:5" x14ac:dyDescent="0.35">
      <c r="A34" s="154">
        <v>46162</v>
      </c>
      <c r="B34" s="19" t="s">
        <v>623</v>
      </c>
      <c r="C34" s="19" t="s">
        <v>748</v>
      </c>
      <c r="D34" s="22">
        <v>320</v>
      </c>
      <c r="E34" s="133">
        <v>0.21</v>
      </c>
    </row>
    <row r="35" spans="1:5" x14ac:dyDescent="0.35">
      <c r="A35" s="154">
        <v>46163</v>
      </c>
      <c r="B35" s="19" t="s">
        <v>623</v>
      </c>
      <c r="C35" s="19" t="s">
        <v>748</v>
      </c>
      <c r="D35" s="22">
        <v>320</v>
      </c>
      <c r="E35" s="133">
        <v>0.21</v>
      </c>
    </row>
    <row r="36" spans="1:5" x14ac:dyDescent="0.35">
      <c r="A36" s="154">
        <v>46164</v>
      </c>
      <c r="B36" s="19" t="s">
        <v>623</v>
      </c>
      <c r="C36" s="19" t="s">
        <v>748</v>
      </c>
      <c r="D36" s="22">
        <v>320</v>
      </c>
      <c r="E36" s="133">
        <v>0.21</v>
      </c>
    </row>
    <row r="37" spans="1:5" x14ac:dyDescent="0.35">
      <c r="A37" s="154">
        <v>46160</v>
      </c>
      <c r="B37" s="19" t="s">
        <v>24</v>
      </c>
      <c r="C37" s="19" t="s">
        <v>712</v>
      </c>
      <c r="D37" s="22">
        <v>1240</v>
      </c>
      <c r="E37" s="133">
        <v>0.52</v>
      </c>
    </row>
    <row r="38" spans="1:5" x14ac:dyDescent="0.35">
      <c r="A38" s="154">
        <v>46161</v>
      </c>
      <c r="B38" s="19" t="s">
        <v>24</v>
      </c>
      <c r="C38" s="19" t="s">
        <v>712</v>
      </c>
      <c r="D38" s="22">
        <v>1240</v>
      </c>
      <c r="E38" s="133">
        <v>0.52</v>
      </c>
    </row>
    <row r="39" spans="1:5" x14ac:dyDescent="0.35">
      <c r="A39" s="154">
        <v>46162</v>
      </c>
      <c r="B39" s="19" t="s">
        <v>24</v>
      </c>
      <c r="C39" s="19" t="s">
        <v>712</v>
      </c>
      <c r="D39" s="22">
        <v>1240</v>
      </c>
      <c r="E39" s="133">
        <v>0.52</v>
      </c>
    </row>
    <row r="40" spans="1:5" x14ac:dyDescent="0.35">
      <c r="A40" s="154">
        <v>46163</v>
      </c>
      <c r="B40" s="19" t="s">
        <v>24</v>
      </c>
      <c r="C40" s="19" t="s">
        <v>712</v>
      </c>
      <c r="D40" s="22">
        <v>1240</v>
      </c>
      <c r="E40" s="133">
        <v>0.52</v>
      </c>
    </row>
    <row r="41" spans="1:5" x14ac:dyDescent="0.35">
      <c r="A41" s="154">
        <v>46164</v>
      </c>
      <c r="B41" s="19" t="s">
        <v>24</v>
      </c>
      <c r="C41" s="19" t="s">
        <v>712</v>
      </c>
      <c r="D41" s="22">
        <v>1240</v>
      </c>
      <c r="E41" s="133">
        <v>0.52</v>
      </c>
    </row>
    <row r="42" spans="1:5" x14ac:dyDescent="0.35">
      <c r="A42" s="154">
        <v>46162</v>
      </c>
      <c r="B42" s="19" t="s">
        <v>28</v>
      </c>
      <c r="C42" s="19" t="s">
        <v>725</v>
      </c>
      <c r="D42" s="22">
        <v>10200</v>
      </c>
      <c r="E42" s="133">
        <v>0</v>
      </c>
    </row>
    <row r="43" spans="1:5" x14ac:dyDescent="0.35">
      <c r="A43" s="154">
        <v>46160</v>
      </c>
      <c r="B43" s="19" t="s">
        <v>33</v>
      </c>
      <c r="C43" s="19" t="s">
        <v>718</v>
      </c>
      <c r="D43" s="22">
        <v>930.82</v>
      </c>
      <c r="E43" s="133">
        <v>0.42</v>
      </c>
    </row>
    <row r="44" spans="1:5" x14ac:dyDescent="0.35">
      <c r="A44" s="154">
        <v>46161</v>
      </c>
      <c r="B44" s="19" t="s">
        <v>33</v>
      </c>
      <c r="C44" s="19" t="s">
        <v>718</v>
      </c>
      <c r="D44" s="22">
        <v>930.82</v>
      </c>
      <c r="E44" s="133">
        <v>0.42</v>
      </c>
    </row>
    <row r="45" spans="1:5" x14ac:dyDescent="0.35">
      <c r="A45" s="154">
        <v>46162</v>
      </c>
      <c r="B45" s="19" t="s">
        <v>33</v>
      </c>
      <c r="C45" s="19" t="s">
        <v>718</v>
      </c>
      <c r="D45" s="22">
        <v>930.82</v>
      </c>
      <c r="E45" s="133">
        <v>0.42</v>
      </c>
    </row>
    <row r="46" spans="1:5" x14ac:dyDescent="0.35">
      <c r="A46" s="154">
        <v>46163</v>
      </c>
      <c r="B46" s="19" t="s">
        <v>33</v>
      </c>
      <c r="C46" s="19" t="s">
        <v>718</v>
      </c>
      <c r="D46" s="22">
        <v>930.82</v>
      </c>
      <c r="E46" s="133">
        <v>0.42</v>
      </c>
    </row>
    <row r="47" spans="1:5" x14ac:dyDescent="0.35">
      <c r="A47" s="154">
        <v>46164</v>
      </c>
      <c r="B47" s="19" t="s">
        <v>33</v>
      </c>
      <c r="C47" s="19" t="s">
        <v>718</v>
      </c>
      <c r="D47" s="22">
        <v>930.8</v>
      </c>
      <c r="E47" s="133">
        <v>0.42</v>
      </c>
    </row>
    <row r="48" spans="1:5" x14ac:dyDescent="0.35">
      <c r="A48" s="154">
        <v>46167</v>
      </c>
      <c r="B48" s="19" t="s">
        <v>623</v>
      </c>
      <c r="C48" s="19" t="s">
        <v>748</v>
      </c>
      <c r="D48" s="22">
        <v>320</v>
      </c>
      <c r="E48" s="133">
        <v>0.21</v>
      </c>
    </row>
    <row r="49" spans="1:5" x14ac:dyDescent="0.35">
      <c r="A49" s="154">
        <v>46168</v>
      </c>
      <c r="B49" s="19" t="s">
        <v>623</v>
      </c>
      <c r="C49" s="19" t="s">
        <v>748</v>
      </c>
      <c r="D49" s="22">
        <v>320</v>
      </c>
      <c r="E49" s="133">
        <v>0.21</v>
      </c>
    </row>
    <row r="50" spans="1:5" x14ac:dyDescent="0.35">
      <c r="A50" s="154">
        <v>46169</v>
      </c>
      <c r="B50" s="19" t="s">
        <v>623</v>
      </c>
      <c r="C50" s="19" t="s">
        <v>748</v>
      </c>
      <c r="D50" s="22">
        <v>320</v>
      </c>
      <c r="E50" s="133">
        <v>0.21</v>
      </c>
    </row>
    <row r="51" spans="1:5" x14ac:dyDescent="0.35">
      <c r="A51" s="154">
        <v>46170</v>
      </c>
      <c r="B51" s="19" t="s">
        <v>623</v>
      </c>
      <c r="C51" s="19" t="s">
        <v>748</v>
      </c>
      <c r="D51" s="22">
        <v>320</v>
      </c>
      <c r="E51" s="133">
        <v>0.21</v>
      </c>
    </row>
    <row r="52" spans="1:5" x14ac:dyDescent="0.35">
      <c r="A52" s="154">
        <v>46171</v>
      </c>
      <c r="B52" s="19" t="s">
        <v>623</v>
      </c>
      <c r="C52" s="19" t="s">
        <v>748</v>
      </c>
      <c r="D52" s="22">
        <v>320</v>
      </c>
      <c r="E52" s="133">
        <v>0.21</v>
      </c>
    </row>
    <row r="53" spans="1:5" x14ac:dyDescent="0.35">
      <c r="A53" s="154">
        <v>46169</v>
      </c>
      <c r="B53" s="19" t="s">
        <v>28</v>
      </c>
      <c r="C53" s="19" t="s">
        <v>725</v>
      </c>
      <c r="D53" s="22">
        <v>10200</v>
      </c>
      <c r="E53" s="133">
        <v>0</v>
      </c>
    </row>
    <row r="54" spans="1:5" x14ac:dyDescent="0.35">
      <c r="A54" s="154">
        <v>46167</v>
      </c>
      <c r="B54" s="19" t="s">
        <v>33</v>
      </c>
      <c r="C54" s="19" t="s">
        <v>718</v>
      </c>
      <c r="D54" s="22">
        <v>840</v>
      </c>
      <c r="E54" s="133">
        <v>0.38</v>
      </c>
    </row>
    <row r="55" spans="1:5" x14ac:dyDescent="0.35">
      <c r="A55" s="154">
        <v>46168</v>
      </c>
      <c r="B55" s="19" t="s">
        <v>33</v>
      </c>
      <c r="C55" s="19" t="s">
        <v>718</v>
      </c>
      <c r="D55" s="22">
        <v>840</v>
      </c>
      <c r="E55" s="133">
        <v>0.38</v>
      </c>
    </row>
    <row r="56" spans="1:5" x14ac:dyDescent="0.35">
      <c r="A56" s="154">
        <v>46169</v>
      </c>
      <c r="B56" s="19" t="s">
        <v>33</v>
      </c>
      <c r="C56" s="19" t="s">
        <v>718</v>
      </c>
      <c r="D56" s="22">
        <v>840</v>
      </c>
      <c r="E56" s="133">
        <v>0.38</v>
      </c>
    </row>
    <row r="57" spans="1:5" x14ac:dyDescent="0.35">
      <c r="A57" s="154">
        <v>46170</v>
      </c>
      <c r="B57" s="19" t="s">
        <v>33</v>
      </c>
      <c r="C57" s="19" t="s">
        <v>718</v>
      </c>
      <c r="D57" s="22">
        <v>840</v>
      </c>
      <c r="E57" s="133">
        <v>0.38</v>
      </c>
    </row>
    <row r="58" spans="1:5" x14ac:dyDescent="0.35">
      <c r="A58" s="154">
        <v>46171</v>
      </c>
      <c r="B58" s="19" t="s">
        <v>33</v>
      </c>
      <c r="C58" s="19" t="s">
        <v>718</v>
      </c>
      <c r="D58" s="22">
        <v>840</v>
      </c>
      <c r="E58" s="133">
        <v>0.38</v>
      </c>
    </row>
    <row r="59" spans="1:5" x14ac:dyDescent="0.35">
      <c r="A59" s="154">
        <v>46167</v>
      </c>
      <c r="B59" s="19" t="s">
        <v>35</v>
      </c>
      <c r="C59" s="19" t="s">
        <v>715</v>
      </c>
      <c r="D59" s="22">
        <v>1781.25</v>
      </c>
      <c r="E59" s="133">
        <v>0.69</v>
      </c>
    </row>
    <row r="60" spans="1:5" x14ac:dyDescent="0.35">
      <c r="A60" s="154">
        <v>46168</v>
      </c>
      <c r="B60" s="19" t="s">
        <v>35</v>
      </c>
      <c r="C60" s="19" t="s">
        <v>715</v>
      </c>
      <c r="D60" s="22">
        <v>1781.25</v>
      </c>
      <c r="E60" s="133">
        <v>0.69</v>
      </c>
    </row>
    <row r="61" spans="1:5" x14ac:dyDescent="0.35">
      <c r="A61" s="154">
        <v>46169</v>
      </c>
      <c r="B61" s="19" t="s">
        <v>35</v>
      </c>
      <c r="C61" s="19" t="s">
        <v>715</v>
      </c>
      <c r="D61" s="22">
        <v>1781.25</v>
      </c>
      <c r="E61" s="133">
        <v>0.69</v>
      </c>
    </row>
    <row r="62" spans="1:5" x14ac:dyDescent="0.35">
      <c r="A62" s="154">
        <v>46170</v>
      </c>
      <c r="B62" s="19" t="s">
        <v>35</v>
      </c>
      <c r="C62" s="19" t="s">
        <v>715</v>
      </c>
      <c r="D62" s="22">
        <v>1781.25</v>
      </c>
      <c r="E62" s="133">
        <v>0.69</v>
      </c>
    </row>
    <row r="63" spans="1:5" x14ac:dyDescent="0.35">
      <c r="A63" s="154">
        <v>46171</v>
      </c>
      <c r="B63" s="19" t="s">
        <v>35</v>
      </c>
      <c r="C63" s="19" t="s">
        <v>715</v>
      </c>
      <c r="D63" s="22">
        <v>1781.24</v>
      </c>
      <c r="E63" s="133">
        <v>0.69</v>
      </c>
    </row>
    <row r="64" spans="1:5" x14ac:dyDescent="0.35">
      <c r="A64" s="154">
        <v>46174</v>
      </c>
      <c r="B64" s="19" t="s">
        <v>623</v>
      </c>
      <c r="C64" s="19" t="s">
        <v>748</v>
      </c>
      <c r="D64" s="22">
        <v>320</v>
      </c>
      <c r="E64" s="133">
        <v>0.21</v>
      </c>
    </row>
    <row r="65" spans="1:5" x14ac:dyDescent="0.35">
      <c r="A65" s="154">
        <v>46175</v>
      </c>
      <c r="B65" s="19" t="s">
        <v>623</v>
      </c>
      <c r="C65" s="19" t="s">
        <v>748</v>
      </c>
      <c r="D65" s="22">
        <v>320</v>
      </c>
      <c r="E65" s="133">
        <v>0.21</v>
      </c>
    </row>
    <row r="66" spans="1:5" x14ac:dyDescent="0.35">
      <c r="A66" s="154">
        <v>46176</v>
      </c>
      <c r="B66" s="19" t="s">
        <v>623</v>
      </c>
      <c r="C66" s="19" t="s">
        <v>748</v>
      </c>
      <c r="D66" s="22">
        <v>320</v>
      </c>
      <c r="E66" s="133">
        <v>0.21</v>
      </c>
    </row>
    <row r="67" spans="1:5" x14ac:dyDescent="0.35">
      <c r="A67" s="154">
        <v>46177</v>
      </c>
      <c r="B67" s="19" t="s">
        <v>623</v>
      </c>
      <c r="C67" s="19" t="s">
        <v>748</v>
      </c>
      <c r="D67" s="22">
        <v>320</v>
      </c>
      <c r="E67" s="133">
        <v>0.21</v>
      </c>
    </row>
    <row r="68" spans="1:5" x14ac:dyDescent="0.35">
      <c r="A68" s="154">
        <v>46178</v>
      </c>
      <c r="B68" s="19" t="s">
        <v>623</v>
      </c>
      <c r="C68" s="19" t="s">
        <v>748</v>
      </c>
      <c r="D68" s="22">
        <v>320</v>
      </c>
      <c r="E68" s="133">
        <v>0.21</v>
      </c>
    </row>
    <row r="69" spans="1:5" x14ac:dyDescent="0.35">
      <c r="A69" s="154">
        <v>46176</v>
      </c>
      <c r="B69" s="19" t="s">
        <v>28</v>
      </c>
      <c r="C69" s="19" t="s">
        <v>725</v>
      </c>
      <c r="D69" s="22">
        <v>10400</v>
      </c>
      <c r="E69" s="133">
        <v>0</v>
      </c>
    </row>
    <row r="70" spans="1:5" x14ac:dyDescent="0.35">
      <c r="A70" s="154">
        <v>46174</v>
      </c>
      <c r="B70" s="19" t="s">
        <v>35</v>
      </c>
      <c r="C70" s="19" t="s">
        <v>715</v>
      </c>
      <c r="D70" s="22">
        <v>1760</v>
      </c>
      <c r="E70" s="133">
        <v>0.68</v>
      </c>
    </row>
    <row r="71" spans="1:5" x14ac:dyDescent="0.35">
      <c r="A71" s="154">
        <v>46175</v>
      </c>
      <c r="B71" s="19" t="s">
        <v>35</v>
      </c>
      <c r="C71" s="19" t="s">
        <v>715</v>
      </c>
      <c r="D71" s="22">
        <v>1760</v>
      </c>
      <c r="E71" s="133">
        <v>0.68</v>
      </c>
    </row>
    <row r="72" spans="1:5" x14ac:dyDescent="0.35">
      <c r="A72" s="154">
        <v>46176</v>
      </c>
      <c r="B72" s="19" t="s">
        <v>35</v>
      </c>
      <c r="C72" s="19" t="s">
        <v>715</v>
      </c>
      <c r="D72" s="22">
        <v>1760</v>
      </c>
      <c r="E72" s="133">
        <v>0.68</v>
      </c>
    </row>
    <row r="73" spans="1:5" x14ac:dyDescent="0.35">
      <c r="A73" s="154">
        <v>46177</v>
      </c>
      <c r="B73" s="19" t="s">
        <v>35</v>
      </c>
      <c r="C73" s="19" t="s">
        <v>715</v>
      </c>
      <c r="D73" s="22">
        <v>1760</v>
      </c>
      <c r="E73" s="133">
        <v>0.68</v>
      </c>
    </row>
    <row r="74" spans="1:5" x14ac:dyDescent="0.35">
      <c r="A74" s="154">
        <v>46178</v>
      </c>
      <c r="B74" s="19" t="s">
        <v>35</v>
      </c>
      <c r="C74" s="19" t="s">
        <v>715</v>
      </c>
      <c r="D74" s="22">
        <v>1760</v>
      </c>
      <c r="E74" s="133">
        <v>0.68</v>
      </c>
    </row>
    <row r="75" spans="1:5" x14ac:dyDescent="0.35">
      <c r="A75" s="154">
        <v>46174</v>
      </c>
      <c r="B75" s="19" t="s">
        <v>37</v>
      </c>
      <c r="C75" s="19" t="s">
        <v>728</v>
      </c>
      <c r="D75" s="22">
        <v>1735.36</v>
      </c>
      <c r="E75" s="133">
        <v>0</v>
      </c>
    </row>
    <row r="76" spans="1:5" x14ac:dyDescent="0.35">
      <c r="A76" s="154">
        <v>46175</v>
      </c>
      <c r="B76" s="19" t="s">
        <v>37</v>
      </c>
      <c r="C76" s="19" t="s">
        <v>728</v>
      </c>
      <c r="D76" s="22">
        <v>1735.36</v>
      </c>
      <c r="E76" s="133">
        <v>0</v>
      </c>
    </row>
    <row r="77" spans="1:5" x14ac:dyDescent="0.35">
      <c r="A77" s="154">
        <v>46176</v>
      </c>
      <c r="B77" s="19" t="s">
        <v>37</v>
      </c>
      <c r="C77" s="19" t="s">
        <v>728</v>
      </c>
      <c r="D77" s="22">
        <v>1735.36</v>
      </c>
      <c r="E77" s="133">
        <v>0</v>
      </c>
    </row>
    <row r="78" spans="1:5" x14ac:dyDescent="0.35">
      <c r="A78" s="154">
        <v>46177</v>
      </c>
      <c r="B78" s="19" t="s">
        <v>37</v>
      </c>
      <c r="C78" s="19" t="s">
        <v>728</v>
      </c>
      <c r="D78" s="22">
        <v>1735.36</v>
      </c>
      <c r="E78" s="133">
        <v>0</v>
      </c>
    </row>
    <row r="79" spans="1:5" x14ac:dyDescent="0.35">
      <c r="A79" s="154">
        <v>46178</v>
      </c>
      <c r="B79" s="19" t="s">
        <v>37</v>
      </c>
      <c r="C79" s="19" t="s">
        <v>728</v>
      </c>
      <c r="D79" s="22">
        <v>1735.36</v>
      </c>
      <c r="E79" s="133">
        <v>0</v>
      </c>
    </row>
    <row r="80" spans="1:5" x14ac:dyDescent="0.35">
      <c r="A80" s="154">
        <v>46181</v>
      </c>
      <c r="B80" s="19" t="s">
        <v>623</v>
      </c>
      <c r="C80" s="19" t="s">
        <v>748</v>
      </c>
      <c r="D80" s="22">
        <v>320</v>
      </c>
      <c r="E80" s="133">
        <v>0.21</v>
      </c>
    </row>
    <row r="81" spans="1:5" x14ac:dyDescent="0.35">
      <c r="A81" s="154">
        <v>46182</v>
      </c>
      <c r="B81" s="19" t="s">
        <v>623</v>
      </c>
      <c r="C81" s="19" t="s">
        <v>748</v>
      </c>
      <c r="D81" s="22">
        <v>320</v>
      </c>
      <c r="E81" s="133">
        <v>0.21</v>
      </c>
    </row>
    <row r="82" spans="1:5" x14ac:dyDescent="0.35">
      <c r="A82" s="154">
        <v>46183</v>
      </c>
      <c r="B82" s="19" t="s">
        <v>623</v>
      </c>
      <c r="C82" s="19" t="s">
        <v>748</v>
      </c>
      <c r="D82" s="22">
        <v>320</v>
      </c>
      <c r="E82" s="133">
        <v>0.21</v>
      </c>
    </row>
    <row r="83" spans="1:5" x14ac:dyDescent="0.35">
      <c r="A83" s="154">
        <v>46184</v>
      </c>
      <c r="B83" s="19" t="s">
        <v>623</v>
      </c>
      <c r="C83" s="19" t="s">
        <v>748</v>
      </c>
      <c r="D83" s="22">
        <v>320</v>
      </c>
      <c r="E83" s="133">
        <v>0.21</v>
      </c>
    </row>
    <row r="84" spans="1:5" x14ac:dyDescent="0.35">
      <c r="A84" s="154">
        <v>46185</v>
      </c>
      <c r="B84" s="19" t="s">
        <v>623</v>
      </c>
      <c r="C84" s="19" t="s">
        <v>748</v>
      </c>
      <c r="D84" s="22">
        <v>320</v>
      </c>
      <c r="E84" s="133">
        <v>0.21</v>
      </c>
    </row>
    <row r="85" spans="1:5" x14ac:dyDescent="0.35">
      <c r="A85" s="154">
        <v>46181</v>
      </c>
      <c r="B85" s="19" t="s">
        <v>35</v>
      </c>
      <c r="C85" s="19" t="s">
        <v>715</v>
      </c>
      <c r="D85" s="22">
        <v>1700</v>
      </c>
      <c r="E85" s="133">
        <v>0.65</v>
      </c>
    </row>
    <row r="86" spans="1:5" x14ac:dyDescent="0.35">
      <c r="A86" s="154">
        <v>46182</v>
      </c>
      <c r="B86" s="19" t="s">
        <v>35</v>
      </c>
      <c r="C86" s="19" t="s">
        <v>715</v>
      </c>
      <c r="D86" s="22">
        <v>1700</v>
      </c>
      <c r="E86" s="133">
        <v>0.65</v>
      </c>
    </row>
    <row r="87" spans="1:5" x14ac:dyDescent="0.35">
      <c r="A87" s="154">
        <v>46183</v>
      </c>
      <c r="B87" s="19" t="s">
        <v>35</v>
      </c>
      <c r="C87" s="19" t="s">
        <v>715</v>
      </c>
      <c r="D87" s="22">
        <v>1700</v>
      </c>
      <c r="E87" s="133">
        <v>0.65</v>
      </c>
    </row>
    <row r="88" spans="1:5" x14ac:dyDescent="0.35">
      <c r="A88" s="154">
        <v>46184</v>
      </c>
      <c r="B88" s="19" t="s">
        <v>35</v>
      </c>
      <c r="C88" s="19" t="s">
        <v>715</v>
      </c>
      <c r="D88" s="22">
        <v>1700</v>
      </c>
      <c r="E88" s="133">
        <v>0.65</v>
      </c>
    </row>
    <row r="89" spans="1:5" x14ac:dyDescent="0.35">
      <c r="A89" s="154">
        <v>46185</v>
      </c>
      <c r="B89" s="19" t="s">
        <v>35</v>
      </c>
      <c r="C89" s="19" t="s">
        <v>715</v>
      </c>
      <c r="D89" s="22">
        <v>1700</v>
      </c>
      <c r="E89" s="133">
        <v>0.65</v>
      </c>
    </row>
    <row r="90" spans="1:5" x14ac:dyDescent="0.35">
      <c r="A90" s="154">
        <v>46181</v>
      </c>
      <c r="B90" s="19" t="s">
        <v>37</v>
      </c>
      <c r="C90" s="19" t="s">
        <v>728</v>
      </c>
      <c r="D90" s="22">
        <v>1760</v>
      </c>
      <c r="E90" s="133">
        <v>0</v>
      </c>
    </row>
    <row r="91" spans="1:5" x14ac:dyDescent="0.35">
      <c r="A91" s="154">
        <v>46182</v>
      </c>
      <c r="B91" s="19" t="s">
        <v>37</v>
      </c>
      <c r="C91" s="19" t="s">
        <v>728</v>
      </c>
      <c r="D91" s="22">
        <v>1760</v>
      </c>
      <c r="E91" s="133">
        <v>0</v>
      </c>
    </row>
    <row r="92" spans="1:5" x14ac:dyDescent="0.35">
      <c r="A92" s="154">
        <v>46183</v>
      </c>
      <c r="B92" s="19" t="s">
        <v>37</v>
      </c>
      <c r="C92" s="19" t="s">
        <v>728</v>
      </c>
      <c r="D92" s="22">
        <v>1760</v>
      </c>
      <c r="E92" s="133">
        <v>0</v>
      </c>
    </row>
    <row r="93" spans="1:5" x14ac:dyDescent="0.35">
      <c r="A93" s="154">
        <v>46184</v>
      </c>
      <c r="B93" s="19" t="s">
        <v>37</v>
      </c>
      <c r="C93" s="19" t="s">
        <v>728</v>
      </c>
      <c r="D93" s="22">
        <v>1760</v>
      </c>
      <c r="E93" s="133">
        <v>0</v>
      </c>
    </row>
    <row r="94" spans="1:5" x14ac:dyDescent="0.35">
      <c r="A94" s="154">
        <v>46185</v>
      </c>
      <c r="B94" s="19" t="s">
        <v>37</v>
      </c>
      <c r="C94" s="19" t="s">
        <v>728</v>
      </c>
      <c r="D94" s="22">
        <v>1760</v>
      </c>
      <c r="E94" s="133">
        <v>0</v>
      </c>
    </row>
    <row r="95" spans="1:5" x14ac:dyDescent="0.35">
      <c r="A95" s="154">
        <v>46181</v>
      </c>
      <c r="B95" s="19" t="s">
        <v>39</v>
      </c>
      <c r="C95" s="19" t="s">
        <v>731</v>
      </c>
      <c r="D95" s="22">
        <v>1419.84</v>
      </c>
      <c r="E95" s="133">
        <v>0</v>
      </c>
    </row>
    <row r="96" spans="1:5" x14ac:dyDescent="0.35">
      <c r="A96" s="154">
        <v>46182</v>
      </c>
      <c r="B96" s="19" t="s">
        <v>39</v>
      </c>
      <c r="C96" s="19" t="s">
        <v>731</v>
      </c>
      <c r="D96" s="22">
        <v>1419.84</v>
      </c>
      <c r="E96" s="133">
        <v>0</v>
      </c>
    </row>
    <row r="97" spans="1:5" x14ac:dyDescent="0.35">
      <c r="A97" s="154">
        <v>46183</v>
      </c>
      <c r="B97" s="19" t="s">
        <v>39</v>
      </c>
      <c r="C97" s="19" t="s">
        <v>731</v>
      </c>
      <c r="D97" s="22">
        <v>1419.84</v>
      </c>
      <c r="E97" s="133">
        <v>0</v>
      </c>
    </row>
    <row r="98" spans="1:5" x14ac:dyDescent="0.35">
      <c r="A98" s="156">
        <v>46184</v>
      </c>
      <c r="B98" s="147" t="s">
        <v>39</v>
      </c>
      <c r="C98" s="147" t="s">
        <v>731</v>
      </c>
      <c r="D98" s="138">
        <v>1419.84</v>
      </c>
      <c r="E98" s="140">
        <v>0</v>
      </c>
    </row>
    <row r="99" spans="1:5" x14ac:dyDescent="0.35">
      <c r="A99" s="156">
        <v>46185</v>
      </c>
      <c r="B99" s="147" t="s">
        <v>39</v>
      </c>
      <c r="C99" s="147" t="s">
        <v>731</v>
      </c>
      <c r="D99" s="138">
        <v>1419.84</v>
      </c>
      <c r="E99" s="140">
        <v>0</v>
      </c>
    </row>
  </sheetData>
  <conditionalFormatting sqref="D2:D99">
    <cfRule type="cellIs" dxfId="98" priority="1" operator="lessThanOrEqual">
      <formula>840</formula>
    </cfRule>
    <cfRule type="cellIs" dxfId="97" priority="2" operator="between">
      <formula>840</formula>
      <formula>1700</formula>
    </cfRule>
    <cfRule type="cellIs" dxfId="96" priority="3" operator="greaterThanOrEqual">
      <formula>1700</formula>
    </cfRule>
  </conditionalFormatting>
  <conditionalFormatting sqref="E2:E99">
    <cfRule type="cellIs" dxfId="95" priority="4" operator="lessThanOrEqual">
      <formula>0.21</formula>
    </cfRule>
    <cfRule type="cellIs" dxfId="94" priority="5" operator="between">
      <formula>0.21</formula>
      <formula>0.5</formula>
    </cfRule>
    <cfRule type="cellIs" dxfId="93" priority="6" operator="greaterThanOrEqual">
      <formula>0.5</formula>
    </cfRule>
  </conditionalFormatting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D966"/>
  </sheetPr>
  <dimension ref="A1:C34"/>
  <sheetViews>
    <sheetView workbookViewId="0">
      <selection activeCell="Q1" sqref="Q1"/>
    </sheetView>
  </sheetViews>
  <sheetFormatPr defaultRowHeight="14.5" x14ac:dyDescent="0.35"/>
  <cols>
    <col min="1" max="1" width="10.08984375" bestFit="1" customWidth="1"/>
    <col min="2" max="2" width="11.90625" bestFit="1" customWidth="1"/>
    <col min="3" max="3" width="24" bestFit="1" customWidth="1"/>
  </cols>
  <sheetData>
    <row r="1" spans="1:3" x14ac:dyDescent="0.35">
      <c r="A1" s="143" t="s">
        <v>367</v>
      </c>
      <c r="B1" s="144" t="s">
        <v>561</v>
      </c>
      <c r="C1" s="145" t="s">
        <v>749</v>
      </c>
    </row>
    <row r="2" spans="1:3" x14ac:dyDescent="0.35">
      <c r="A2" s="154">
        <v>46150</v>
      </c>
      <c r="B2" s="19" t="s">
        <v>18</v>
      </c>
      <c r="C2" s="158">
        <v>1</v>
      </c>
    </row>
    <row r="3" spans="1:3" x14ac:dyDescent="0.35">
      <c r="A3" s="154">
        <v>46150</v>
      </c>
      <c r="B3" s="19" t="s">
        <v>24</v>
      </c>
      <c r="C3" s="158">
        <v>0.26500000000000001</v>
      </c>
    </row>
    <row r="4" spans="1:3" x14ac:dyDescent="0.35">
      <c r="A4" s="154">
        <v>46157</v>
      </c>
      <c r="B4" s="19" t="s">
        <v>623</v>
      </c>
      <c r="C4" s="158">
        <v>0.16666700000000001</v>
      </c>
    </row>
    <row r="5" spans="1:3" x14ac:dyDescent="0.35">
      <c r="A5" s="154">
        <v>46157</v>
      </c>
      <c r="B5" s="19" t="s">
        <v>18</v>
      </c>
      <c r="C5" s="158">
        <v>1</v>
      </c>
    </row>
    <row r="6" spans="1:3" x14ac:dyDescent="0.35">
      <c r="A6" s="154">
        <v>46157</v>
      </c>
      <c r="B6" s="19" t="s">
        <v>24</v>
      </c>
      <c r="C6" s="158">
        <v>0.6</v>
      </c>
    </row>
    <row r="7" spans="1:3" x14ac:dyDescent="0.35">
      <c r="A7" s="154">
        <v>46157</v>
      </c>
      <c r="B7" s="19" t="s">
        <v>28</v>
      </c>
      <c r="C7" s="158">
        <v>0.2</v>
      </c>
    </row>
    <row r="8" spans="1:3" x14ac:dyDescent="0.35">
      <c r="A8" s="154">
        <v>46157</v>
      </c>
      <c r="B8" s="19" t="s">
        <v>33</v>
      </c>
      <c r="C8" s="158">
        <v>0.35181800000000002</v>
      </c>
    </row>
    <row r="9" spans="1:3" x14ac:dyDescent="0.35">
      <c r="A9" s="154">
        <v>46164</v>
      </c>
      <c r="B9" s="19" t="s">
        <v>623</v>
      </c>
      <c r="C9" s="158">
        <v>0.25</v>
      </c>
    </row>
    <row r="10" spans="1:3" x14ac:dyDescent="0.35">
      <c r="A10" s="154">
        <v>46164</v>
      </c>
      <c r="B10" s="19" t="s">
        <v>18</v>
      </c>
      <c r="C10" s="158">
        <v>1</v>
      </c>
    </row>
    <row r="11" spans="1:3" x14ac:dyDescent="0.35">
      <c r="A11" s="154">
        <v>46164</v>
      </c>
      <c r="B11" s="19" t="s">
        <v>24</v>
      </c>
      <c r="C11" s="158">
        <v>1</v>
      </c>
    </row>
    <row r="12" spans="1:3" x14ac:dyDescent="0.35">
      <c r="A12" s="154">
        <v>46164</v>
      </c>
      <c r="B12" s="19" t="s">
        <v>28</v>
      </c>
      <c r="C12" s="158">
        <v>0.45</v>
      </c>
    </row>
    <row r="13" spans="1:3" x14ac:dyDescent="0.35">
      <c r="A13" s="154">
        <v>46164</v>
      </c>
      <c r="B13" s="19" t="s">
        <v>33</v>
      </c>
      <c r="C13" s="158">
        <v>0.45</v>
      </c>
    </row>
    <row r="14" spans="1:3" x14ac:dyDescent="0.35">
      <c r="A14" s="154">
        <v>46171</v>
      </c>
      <c r="B14" s="19" t="s">
        <v>623</v>
      </c>
      <c r="C14" s="158">
        <v>0.33333299999999999</v>
      </c>
    </row>
    <row r="15" spans="1:3" x14ac:dyDescent="0.35">
      <c r="A15" s="154">
        <v>46171</v>
      </c>
      <c r="B15" s="19" t="s">
        <v>18</v>
      </c>
      <c r="C15" s="158">
        <v>1</v>
      </c>
    </row>
    <row r="16" spans="1:3" x14ac:dyDescent="0.35">
      <c r="A16" s="154">
        <v>46171</v>
      </c>
      <c r="B16" s="19" t="s">
        <v>24</v>
      </c>
      <c r="C16" s="158">
        <v>1</v>
      </c>
    </row>
    <row r="17" spans="1:3" x14ac:dyDescent="0.35">
      <c r="A17" s="154">
        <v>46171</v>
      </c>
      <c r="B17" s="19" t="s">
        <v>28</v>
      </c>
      <c r="C17" s="158">
        <v>0.7</v>
      </c>
    </row>
    <row r="18" spans="1:3" x14ac:dyDescent="0.35">
      <c r="A18" s="154">
        <v>46171</v>
      </c>
      <c r="B18" s="19" t="s">
        <v>33</v>
      </c>
      <c r="C18" s="158">
        <v>0.85</v>
      </c>
    </row>
    <row r="19" spans="1:3" x14ac:dyDescent="0.35">
      <c r="A19" s="154">
        <v>46171</v>
      </c>
      <c r="B19" s="19" t="s">
        <v>35</v>
      </c>
      <c r="C19" s="158">
        <v>0.222359</v>
      </c>
    </row>
    <row r="20" spans="1:3" x14ac:dyDescent="0.35">
      <c r="A20" s="154">
        <v>46178</v>
      </c>
      <c r="B20" s="19" t="s">
        <v>623</v>
      </c>
      <c r="C20" s="158">
        <v>0.41666700000000001</v>
      </c>
    </row>
    <row r="21" spans="1:3" x14ac:dyDescent="0.35">
      <c r="A21" s="154">
        <v>46178</v>
      </c>
      <c r="B21" s="19" t="s">
        <v>18</v>
      </c>
      <c r="C21" s="158">
        <v>1</v>
      </c>
    </row>
    <row r="22" spans="1:3" x14ac:dyDescent="0.35">
      <c r="A22" s="154">
        <v>46178</v>
      </c>
      <c r="B22" s="19" t="s">
        <v>24</v>
      </c>
      <c r="C22" s="158">
        <v>1</v>
      </c>
    </row>
    <row r="23" spans="1:3" x14ac:dyDescent="0.35">
      <c r="A23" s="154">
        <v>46178</v>
      </c>
      <c r="B23" s="19" t="s">
        <v>28</v>
      </c>
      <c r="C23" s="158">
        <v>1</v>
      </c>
    </row>
    <row r="24" spans="1:3" x14ac:dyDescent="0.35">
      <c r="A24" s="154">
        <v>46178</v>
      </c>
      <c r="B24" s="19" t="s">
        <v>33</v>
      </c>
      <c r="C24" s="158">
        <v>1</v>
      </c>
    </row>
    <row r="25" spans="1:3" x14ac:dyDescent="0.35">
      <c r="A25" s="154">
        <v>46178</v>
      </c>
      <c r="B25" s="19" t="s">
        <v>35</v>
      </c>
      <c r="C25" s="158">
        <v>0.5</v>
      </c>
    </row>
    <row r="26" spans="1:3" x14ac:dyDescent="0.35">
      <c r="A26" s="154">
        <v>46178</v>
      </c>
      <c r="B26" s="19" t="s">
        <v>37</v>
      </c>
      <c r="C26" s="158">
        <v>0.11096300000000001</v>
      </c>
    </row>
    <row r="27" spans="1:3" x14ac:dyDescent="0.35">
      <c r="A27" s="154">
        <v>46185</v>
      </c>
      <c r="B27" s="19" t="s">
        <v>623</v>
      </c>
      <c r="C27" s="158">
        <v>0.5</v>
      </c>
    </row>
    <row r="28" spans="1:3" x14ac:dyDescent="0.35">
      <c r="A28" s="154">
        <v>46185</v>
      </c>
      <c r="B28" s="19" t="s">
        <v>18</v>
      </c>
      <c r="C28" s="158">
        <v>1</v>
      </c>
    </row>
    <row r="29" spans="1:3" x14ac:dyDescent="0.35">
      <c r="A29" s="154">
        <v>46185</v>
      </c>
      <c r="B29" s="19" t="s">
        <v>24</v>
      </c>
      <c r="C29" s="158">
        <v>1</v>
      </c>
    </row>
    <row r="30" spans="1:3" x14ac:dyDescent="0.35">
      <c r="A30" s="154">
        <v>46185</v>
      </c>
      <c r="B30" s="19" t="s">
        <v>28</v>
      </c>
      <c r="C30" s="158">
        <v>1</v>
      </c>
    </row>
    <row r="31" spans="1:3" x14ac:dyDescent="0.35">
      <c r="A31" s="154">
        <v>46185</v>
      </c>
      <c r="B31" s="19" t="s">
        <v>33</v>
      </c>
      <c r="C31" s="158">
        <v>1</v>
      </c>
    </row>
    <row r="32" spans="1:3" x14ac:dyDescent="0.35">
      <c r="A32" s="154">
        <v>46185</v>
      </c>
      <c r="B32" s="19" t="s">
        <v>35</v>
      </c>
      <c r="C32" s="158">
        <v>0.7</v>
      </c>
    </row>
    <row r="33" spans="1:3" x14ac:dyDescent="0.35">
      <c r="A33" s="156">
        <v>46185</v>
      </c>
      <c r="B33" s="147" t="s">
        <v>37</v>
      </c>
      <c r="C33" s="159">
        <v>0.4</v>
      </c>
    </row>
    <row r="34" spans="1:3" x14ac:dyDescent="0.35">
      <c r="A34" s="156">
        <v>46185</v>
      </c>
      <c r="B34" s="147" t="s">
        <v>39</v>
      </c>
      <c r="C34" s="159">
        <v>0.24885699999999999</v>
      </c>
    </row>
  </sheetData>
  <conditionalFormatting sqref="C2:C34">
    <cfRule type="cellIs" dxfId="92" priority="1" operator="lessThan">
      <formula>0.5</formula>
    </cfRule>
    <cfRule type="cellIs" dxfId="91" priority="2" operator="between">
      <formula>0.5</formula>
      <formula>0.799999</formula>
    </cfRule>
    <cfRule type="cellIs" dxfId="90" priority="3" operator="greaterThanOrEqual">
      <formula>0.8</formula>
    </cfRule>
  </conditionalFormatting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ED7D31"/>
  </sheetPr>
  <dimension ref="A1:N25"/>
  <sheetViews>
    <sheetView workbookViewId="0">
      <selection activeCell="Q1" sqref="Q1"/>
    </sheetView>
  </sheetViews>
  <sheetFormatPr defaultRowHeight="14.5" x14ac:dyDescent="0.35"/>
  <cols>
    <col min="1" max="1" width="14.36328125" bestFit="1" customWidth="1"/>
    <col min="2" max="2" width="28.453125" bestFit="1" customWidth="1"/>
    <col min="3" max="3" width="34.54296875" bestFit="1" customWidth="1"/>
    <col min="4" max="4" width="27.08984375" bestFit="1" customWidth="1"/>
    <col min="5" max="5" width="11.81640625" bestFit="1" customWidth="1"/>
    <col min="6" max="6" width="22.90625" bestFit="1" customWidth="1"/>
    <col min="7" max="7" width="10.54296875" bestFit="1" customWidth="1"/>
    <col min="8" max="8" width="14.54296875" bestFit="1" customWidth="1"/>
    <col min="9" max="9" width="17.26953125" bestFit="1" customWidth="1"/>
    <col min="10" max="10" width="16" bestFit="1" customWidth="1"/>
    <col min="11" max="11" width="10.36328125" bestFit="1" customWidth="1"/>
    <col min="12" max="12" width="9.08984375" bestFit="1" customWidth="1"/>
    <col min="13" max="13" width="12.54296875" bestFit="1" customWidth="1"/>
    <col min="14" max="14" width="10.6328125" bestFit="1" customWidth="1"/>
    <col min="15" max="15" width="7.26953125" customWidth="1"/>
  </cols>
  <sheetData>
    <row r="1" spans="1:14" ht="23.5" x14ac:dyDescent="0.55000000000000004">
      <c r="A1" s="221" t="s">
        <v>750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14" x14ac:dyDescent="0.35">
      <c r="A2" s="219" t="s">
        <v>751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</row>
    <row r="4" spans="1:14" x14ac:dyDescent="0.35">
      <c r="A4" s="86" t="s">
        <v>152</v>
      </c>
      <c r="B4" s="80" t="s">
        <v>605</v>
      </c>
      <c r="C4" s="80" t="s">
        <v>607</v>
      </c>
      <c r="D4" s="80" t="s">
        <v>609</v>
      </c>
      <c r="E4" s="80" t="s">
        <v>610</v>
      </c>
      <c r="F4" s="80" t="s">
        <v>270</v>
      </c>
      <c r="G4" s="80" t="s">
        <v>274</v>
      </c>
      <c r="H4" s="80" t="s">
        <v>8</v>
      </c>
      <c r="I4" s="80" t="s">
        <v>9</v>
      </c>
      <c r="J4" s="80" t="s">
        <v>249</v>
      </c>
      <c r="K4" s="80" t="s">
        <v>286</v>
      </c>
      <c r="L4" s="80" t="s">
        <v>290</v>
      </c>
      <c r="M4" s="80" t="s">
        <v>294</v>
      </c>
      <c r="N4" s="87" t="s">
        <v>138</v>
      </c>
    </row>
    <row r="5" spans="1:14" x14ac:dyDescent="0.35">
      <c r="A5" s="84">
        <v>1</v>
      </c>
      <c r="B5" s="30">
        <v>46150</v>
      </c>
      <c r="C5" s="251">
        <v>14900</v>
      </c>
      <c r="D5" s="251">
        <v>15975.04</v>
      </c>
      <c r="E5" s="251">
        <v>13588</v>
      </c>
      <c r="F5" s="251">
        <v>-1312</v>
      </c>
      <c r="G5" s="251">
        <v>-2387.0400000000009</v>
      </c>
      <c r="H5" s="34">
        <v>0.91194630872483218</v>
      </c>
      <c r="I5" s="34">
        <v>0.8505768999639437</v>
      </c>
      <c r="J5" s="251">
        <v>267150</v>
      </c>
      <c r="K5" s="251">
        <v>314080.94907271123</v>
      </c>
      <c r="L5" s="251">
        <v>298105.90907271125</v>
      </c>
      <c r="M5" s="251">
        <v>-46930.949072711228</v>
      </c>
      <c r="N5" s="85" t="s">
        <v>20</v>
      </c>
    </row>
    <row r="6" spans="1:14" x14ac:dyDescent="0.35">
      <c r="A6" s="84">
        <v>2</v>
      </c>
      <c r="B6" s="30">
        <v>46157</v>
      </c>
      <c r="C6" s="251">
        <v>37700</v>
      </c>
      <c r="D6" s="251">
        <v>38629.120000000003</v>
      </c>
      <c r="E6" s="251">
        <v>35814.003100000002</v>
      </c>
      <c r="F6" s="251">
        <v>-1885.9968999999983</v>
      </c>
      <c r="G6" s="251">
        <v>-2815.1169000000009</v>
      </c>
      <c r="H6" s="34">
        <v>0.94997355702917774</v>
      </c>
      <c r="I6" s="34">
        <v>0.92712448795105862</v>
      </c>
      <c r="J6" s="251">
        <v>267150</v>
      </c>
      <c r="K6" s="251">
        <v>288149.0063868342</v>
      </c>
      <c r="L6" s="251">
        <v>249519.8863868342</v>
      </c>
      <c r="M6" s="251">
        <v>-20999.006386834197</v>
      </c>
      <c r="N6" s="85" t="s">
        <v>20</v>
      </c>
    </row>
    <row r="7" spans="1:14" x14ac:dyDescent="0.35">
      <c r="A7" s="84">
        <v>3</v>
      </c>
      <c r="B7" s="30">
        <v>46164</v>
      </c>
      <c r="C7" s="251">
        <v>60500</v>
      </c>
      <c r="D7" s="251">
        <v>61283.200000000004</v>
      </c>
      <c r="E7" s="251">
        <v>56665</v>
      </c>
      <c r="F7" s="251">
        <v>-3835</v>
      </c>
      <c r="G7" s="251">
        <v>-4618.2000000000044</v>
      </c>
      <c r="H7" s="34">
        <v>0.93661157024793384</v>
      </c>
      <c r="I7" s="34">
        <v>0.92464166362069855</v>
      </c>
      <c r="J7" s="251">
        <v>267150</v>
      </c>
      <c r="K7" s="251">
        <v>288922.7367863761</v>
      </c>
      <c r="L7" s="251">
        <v>227639.53678637609</v>
      </c>
      <c r="M7" s="251">
        <v>-21772.736786376103</v>
      </c>
      <c r="N7" s="85" t="s">
        <v>20</v>
      </c>
    </row>
    <row r="8" spans="1:14" x14ac:dyDescent="0.35">
      <c r="A8" s="84">
        <v>4</v>
      </c>
      <c r="B8" s="30">
        <v>46171</v>
      </c>
      <c r="C8" s="251">
        <v>85566.67</v>
      </c>
      <c r="D8" s="251">
        <v>86189.440000000017</v>
      </c>
      <c r="E8" s="251">
        <v>79601.328500000003</v>
      </c>
      <c r="F8" s="251">
        <v>-5965.341499999995</v>
      </c>
      <c r="G8" s="251">
        <v>-6588.1115000000136</v>
      </c>
      <c r="H8" s="34">
        <v>0.93028428592581669</v>
      </c>
      <c r="I8" s="34">
        <v>0.92356242829748036</v>
      </c>
      <c r="J8" s="251">
        <v>267150</v>
      </c>
      <c r="K8" s="251">
        <v>289260.35946749314</v>
      </c>
      <c r="L8" s="251">
        <v>203070.91946749314</v>
      </c>
      <c r="M8" s="251">
        <v>-22110.359467493137</v>
      </c>
      <c r="N8" s="85" t="s">
        <v>20</v>
      </c>
    </row>
    <row r="9" spans="1:14" x14ac:dyDescent="0.35">
      <c r="A9" s="84">
        <v>5</v>
      </c>
      <c r="B9" s="30">
        <v>46178</v>
      </c>
      <c r="C9" s="251">
        <v>115233.34</v>
      </c>
      <c r="D9" s="251">
        <v>115666.24000000002</v>
      </c>
      <c r="E9" s="251">
        <v>106769.6735</v>
      </c>
      <c r="F9" s="251">
        <v>-8463.6664999999921</v>
      </c>
      <c r="G9" s="251">
        <v>-8896.5665000000154</v>
      </c>
      <c r="H9" s="34">
        <v>0.92655192932878638</v>
      </c>
      <c r="I9" s="34">
        <v>0.92308415575711622</v>
      </c>
      <c r="J9" s="251">
        <v>267150</v>
      </c>
      <c r="K9" s="251">
        <v>289410.23235404014</v>
      </c>
      <c r="L9" s="251">
        <v>173743.99235404012</v>
      </c>
      <c r="M9" s="251">
        <v>-22260.232354040141</v>
      </c>
      <c r="N9" s="85" t="s">
        <v>20</v>
      </c>
    </row>
    <row r="10" spans="1:14" x14ac:dyDescent="0.35">
      <c r="A10" s="84">
        <v>6</v>
      </c>
      <c r="B10" s="30">
        <v>46185</v>
      </c>
      <c r="C10" s="251">
        <v>141400</v>
      </c>
      <c r="D10" s="251">
        <v>141665.44</v>
      </c>
      <c r="E10" s="251">
        <v>130717.996</v>
      </c>
      <c r="F10" s="251">
        <v>-10682.004000000001</v>
      </c>
      <c r="G10" s="251">
        <v>-10947.444000000003</v>
      </c>
      <c r="H10" s="34">
        <v>0.92445541725601132</v>
      </c>
      <c r="I10" s="34">
        <v>0.92272325558018953</v>
      </c>
      <c r="J10" s="251">
        <v>267150</v>
      </c>
      <c r="K10" s="251">
        <v>289523.42794484086</v>
      </c>
      <c r="L10" s="251">
        <v>147857.98794484086</v>
      </c>
      <c r="M10" s="251">
        <v>-22373.427944840863</v>
      </c>
      <c r="N10" s="85" t="s">
        <v>20</v>
      </c>
    </row>
    <row r="11" spans="1:14" x14ac:dyDescent="0.35">
      <c r="A11" s="84">
        <v>7</v>
      </c>
      <c r="B11" s="30">
        <v>46192</v>
      </c>
      <c r="C11" s="251">
        <v>158900</v>
      </c>
      <c r="D11" s="251">
        <v>141665.44</v>
      </c>
      <c r="E11" s="251">
        <v>130717.996</v>
      </c>
      <c r="F11" s="251">
        <v>-28182.004000000001</v>
      </c>
      <c r="G11" s="251">
        <v>-10947.444000000003</v>
      </c>
      <c r="H11" s="34">
        <v>0.82264314663310256</v>
      </c>
      <c r="I11" s="34">
        <v>0.92272325558018953</v>
      </c>
      <c r="J11" s="251">
        <v>267150</v>
      </c>
      <c r="K11" s="251">
        <v>289523.42794484086</v>
      </c>
      <c r="L11" s="251">
        <v>147857.98794484086</v>
      </c>
      <c r="M11" s="251">
        <v>-22373.427944840863</v>
      </c>
      <c r="N11" s="85" t="s">
        <v>20</v>
      </c>
    </row>
    <row r="12" spans="1:14" x14ac:dyDescent="0.35">
      <c r="A12" s="84">
        <v>8</v>
      </c>
      <c r="B12" s="30">
        <v>46199</v>
      </c>
      <c r="C12" s="251">
        <v>188316.67</v>
      </c>
      <c r="D12" s="251">
        <v>141665.44</v>
      </c>
      <c r="E12" s="251">
        <v>130717.996</v>
      </c>
      <c r="F12" s="251">
        <v>-57598.674000000014</v>
      </c>
      <c r="G12" s="251">
        <v>-10947.444000000003</v>
      </c>
      <c r="H12" s="34">
        <v>0.69413927083566207</v>
      </c>
      <c r="I12" s="34">
        <v>0.92272325558018953</v>
      </c>
      <c r="J12" s="251">
        <v>267150</v>
      </c>
      <c r="K12" s="251">
        <v>289523.42794484086</v>
      </c>
      <c r="L12" s="251">
        <v>147857.98794484086</v>
      </c>
      <c r="M12" s="251">
        <v>-22373.427944840863</v>
      </c>
      <c r="N12" s="85" t="s">
        <v>20</v>
      </c>
    </row>
    <row r="13" spans="1:14" x14ac:dyDescent="0.35">
      <c r="A13" s="84">
        <v>9</v>
      </c>
      <c r="B13" s="30">
        <v>46206</v>
      </c>
      <c r="C13" s="251">
        <v>218733.34000000003</v>
      </c>
      <c r="D13" s="251">
        <v>141665.44</v>
      </c>
      <c r="E13" s="251">
        <v>130717.996</v>
      </c>
      <c r="F13" s="251">
        <v>-88015.344000000026</v>
      </c>
      <c r="G13" s="251">
        <v>-10947.444000000003</v>
      </c>
      <c r="H13" s="34">
        <v>0.59761349595813784</v>
      </c>
      <c r="I13" s="34">
        <v>0.92272325558018953</v>
      </c>
      <c r="J13" s="251">
        <v>267150</v>
      </c>
      <c r="K13" s="251">
        <v>289523.42794484086</v>
      </c>
      <c r="L13" s="251">
        <v>147857.98794484086</v>
      </c>
      <c r="M13" s="251">
        <v>-22373.427944840863</v>
      </c>
      <c r="N13" s="85" t="s">
        <v>20</v>
      </c>
    </row>
    <row r="14" spans="1:14" x14ac:dyDescent="0.35">
      <c r="A14" s="84">
        <v>10</v>
      </c>
      <c r="B14" s="30">
        <v>46213</v>
      </c>
      <c r="C14" s="251">
        <v>242150.00000000003</v>
      </c>
      <c r="D14" s="251">
        <v>141665.44</v>
      </c>
      <c r="E14" s="251">
        <v>130717.996</v>
      </c>
      <c r="F14" s="251">
        <v>-111432.00400000003</v>
      </c>
      <c r="G14" s="251">
        <v>-10947.444000000003</v>
      </c>
      <c r="H14" s="34">
        <v>0.53982240759859579</v>
      </c>
      <c r="I14" s="34">
        <v>0.92272325558018953</v>
      </c>
      <c r="J14" s="251">
        <v>267150</v>
      </c>
      <c r="K14" s="251">
        <v>289523.42794484086</v>
      </c>
      <c r="L14" s="251">
        <v>147857.98794484086</v>
      </c>
      <c r="M14" s="251">
        <v>-22373.427944840863</v>
      </c>
      <c r="N14" s="85" t="s">
        <v>20</v>
      </c>
    </row>
    <row r="15" spans="1:14" x14ac:dyDescent="0.35">
      <c r="A15" s="84">
        <v>11</v>
      </c>
      <c r="B15" s="30">
        <v>46220</v>
      </c>
      <c r="C15" s="251">
        <v>257850.00000000003</v>
      </c>
      <c r="D15" s="251">
        <v>141665.44</v>
      </c>
      <c r="E15" s="251">
        <v>130717.996</v>
      </c>
      <c r="F15" s="251">
        <v>-127132.00400000003</v>
      </c>
      <c r="G15" s="251">
        <v>-10947.444000000003</v>
      </c>
      <c r="H15" s="34">
        <v>0.50695363971301133</v>
      </c>
      <c r="I15" s="34">
        <v>0.92272325558018953</v>
      </c>
      <c r="J15" s="251">
        <v>267150</v>
      </c>
      <c r="K15" s="251">
        <v>289523.42794484086</v>
      </c>
      <c r="L15" s="251">
        <v>147857.98794484086</v>
      </c>
      <c r="M15" s="251">
        <v>-22373.427944840863</v>
      </c>
      <c r="N15" s="85" t="s">
        <v>20</v>
      </c>
    </row>
    <row r="16" spans="1:14" x14ac:dyDescent="0.35">
      <c r="A16" s="88">
        <v>12</v>
      </c>
      <c r="B16" s="111">
        <v>46227</v>
      </c>
      <c r="C16" s="252">
        <v>267150</v>
      </c>
      <c r="D16" s="252">
        <v>141665.44</v>
      </c>
      <c r="E16" s="252">
        <v>130717.996</v>
      </c>
      <c r="F16" s="252">
        <v>-136432.00400000002</v>
      </c>
      <c r="G16" s="252">
        <v>-10947.444000000003</v>
      </c>
      <c r="H16" s="114">
        <v>0.48930561856634847</v>
      </c>
      <c r="I16" s="114">
        <v>0.92272325558018953</v>
      </c>
      <c r="J16" s="252">
        <v>267150</v>
      </c>
      <c r="K16" s="252">
        <v>289523.42794484086</v>
      </c>
      <c r="L16" s="252">
        <v>147857.98794484086</v>
      </c>
      <c r="M16" s="252">
        <v>-22373.427944840863</v>
      </c>
      <c r="N16" s="90" t="s">
        <v>20</v>
      </c>
    </row>
    <row r="19" spans="1:13" x14ac:dyDescent="0.35">
      <c r="A19" s="83" t="s">
        <v>752</v>
      </c>
      <c r="B19" s="29" t="s">
        <v>440</v>
      </c>
      <c r="C19" s="29" t="s">
        <v>753</v>
      </c>
      <c r="D19" s="29" t="s">
        <v>754</v>
      </c>
      <c r="E19" s="29" t="s">
        <v>755</v>
      </c>
      <c r="F19" s="29" t="s">
        <v>442</v>
      </c>
      <c r="G19" t="s">
        <v>13</v>
      </c>
      <c r="H19" s="3" t="s">
        <v>756</v>
      </c>
      <c r="I19" s="3" t="s">
        <v>757</v>
      </c>
      <c r="J19" s="3" t="s">
        <v>758</v>
      </c>
      <c r="K19" s="3" t="s">
        <v>268</v>
      </c>
      <c r="L19" s="3" t="s">
        <v>759</v>
      </c>
      <c r="M19" s="91" t="s">
        <v>760</v>
      </c>
    </row>
    <row r="20" spans="1:13" x14ac:dyDescent="0.35">
      <c r="A20" s="84" t="s">
        <v>761</v>
      </c>
      <c r="B20" s="33" t="e">
        <f>INDEX(E5:E16,MATCH(Setup!$B$9,B5:B16,0))-INDEX(C5:C16,MATCH(Setup!$B$9,B5:B16,0))</f>
        <v>#N/A</v>
      </c>
      <c r="C20" s="2" t="s">
        <v>762</v>
      </c>
      <c r="D20" s="33">
        <v>-88015.343999999997</v>
      </c>
      <c r="E20" s="2" t="s">
        <v>763</v>
      </c>
      <c r="F20" s="2" t="s">
        <v>764</v>
      </c>
      <c r="H20" s="2" t="s">
        <v>253</v>
      </c>
      <c r="I20" s="33">
        <v>218733.34</v>
      </c>
      <c r="J20" s="33">
        <v>218733.34</v>
      </c>
      <c r="K20" s="33">
        <v>0</v>
      </c>
      <c r="L20" s="2" t="s">
        <v>842</v>
      </c>
      <c r="M20" s="85" t="s">
        <v>765</v>
      </c>
    </row>
    <row r="21" spans="1:13" x14ac:dyDescent="0.35">
      <c r="A21" s="84" t="s">
        <v>766</v>
      </c>
      <c r="B21" s="33" t="e">
        <f>INDEX(E5:E16,MATCH(Setup!$B$9,B5:B16,0))-INDEX(D5:D16,MATCH(Setup!$B$9,B5:B16,0))</f>
        <v>#N/A</v>
      </c>
      <c r="C21" s="2" t="s">
        <v>767</v>
      </c>
      <c r="D21" s="33">
        <v>-10947.444000000003</v>
      </c>
      <c r="E21" s="2" t="s">
        <v>763</v>
      </c>
      <c r="F21" s="2" t="s">
        <v>764</v>
      </c>
      <c r="H21" s="2" t="s">
        <v>257</v>
      </c>
      <c r="I21" s="33">
        <v>141665.44</v>
      </c>
      <c r="J21" s="33">
        <v>141665.44</v>
      </c>
      <c r="K21" s="33">
        <v>0</v>
      </c>
      <c r="L21" s="2" t="s">
        <v>842</v>
      </c>
      <c r="M21" s="85" t="s">
        <v>768</v>
      </c>
    </row>
    <row r="22" spans="1:13" x14ac:dyDescent="0.35">
      <c r="A22" s="84" t="s">
        <v>769</v>
      </c>
      <c r="B22" s="33" t="e">
        <f>INDEX(E5:E16,MATCH(Setup!$B$9,B5:B16,0))/INDEX(C5:C16,MATCH(Setup!$B$9,B5:B16,0))</f>
        <v>#N/A</v>
      </c>
      <c r="C22" s="2" t="s">
        <v>770</v>
      </c>
      <c r="D22" s="34">
        <v>0.59761349595813784</v>
      </c>
      <c r="E22" s="2" t="s">
        <v>763</v>
      </c>
      <c r="F22" s="2" t="s">
        <v>764</v>
      </c>
      <c r="H22" s="2" t="s">
        <v>265</v>
      </c>
      <c r="I22" s="33">
        <v>130717.996</v>
      </c>
      <c r="J22" s="33">
        <v>130717.996</v>
      </c>
      <c r="K22" s="33">
        <v>0</v>
      </c>
      <c r="L22" s="2" t="s">
        <v>842</v>
      </c>
      <c r="M22" s="85" t="s">
        <v>771</v>
      </c>
    </row>
    <row r="23" spans="1:13" x14ac:dyDescent="0.35">
      <c r="A23" s="84" t="s">
        <v>772</v>
      </c>
      <c r="B23" s="33" t="e">
        <f>INDEX(E5:E16,MATCH(Setup!$B$9,B5:B16,0))/INDEX(D5:D16,MATCH(Setup!$B$9,B5:B16,0))</f>
        <v>#N/A</v>
      </c>
      <c r="C23" s="2" t="s">
        <v>773</v>
      </c>
      <c r="D23" s="34">
        <v>0.92272325558018953</v>
      </c>
      <c r="E23" s="2" t="s">
        <v>763</v>
      </c>
      <c r="F23" s="2" t="s">
        <v>764</v>
      </c>
      <c r="H23" s="2" t="s">
        <v>8</v>
      </c>
      <c r="I23" s="34">
        <v>-10947.444000000003</v>
      </c>
      <c r="J23" s="34">
        <v>-10947.444000000003</v>
      </c>
      <c r="K23" s="34">
        <v>0</v>
      </c>
      <c r="L23" s="2" t="s">
        <v>842</v>
      </c>
      <c r="M23" s="85" t="s">
        <v>774</v>
      </c>
    </row>
    <row r="24" spans="1:13" x14ac:dyDescent="0.35">
      <c r="A24" s="84" t="s">
        <v>775</v>
      </c>
      <c r="B24" s="33" t="e">
        <f>Setup!$B$11/B23</f>
        <v>#N/A</v>
      </c>
      <c r="C24" s="2" t="s">
        <v>776</v>
      </c>
      <c r="D24" s="33">
        <v>289523.42794484086</v>
      </c>
      <c r="E24" s="2" t="s">
        <v>763</v>
      </c>
      <c r="F24" s="2" t="s">
        <v>777</v>
      </c>
      <c r="H24" s="2" t="s">
        <v>9</v>
      </c>
      <c r="I24" s="34">
        <v>0.59761349595813784</v>
      </c>
      <c r="J24" s="34">
        <v>0.59761349595813784</v>
      </c>
      <c r="K24" s="34">
        <v>0</v>
      </c>
      <c r="L24" s="2" t="s">
        <v>842</v>
      </c>
      <c r="M24" s="85" t="s">
        <v>778</v>
      </c>
    </row>
    <row r="25" spans="1:13" x14ac:dyDescent="0.35">
      <c r="A25" s="84" t="s">
        <v>779</v>
      </c>
      <c r="B25" s="33" t="e">
        <f>Setup!$B$11/B23*-1+Setup!$B$11</f>
        <v>#N/A</v>
      </c>
      <c r="C25" s="2" t="s">
        <v>780</v>
      </c>
      <c r="D25" s="33">
        <v>147857.98794484086</v>
      </c>
      <c r="E25" s="2" t="s">
        <v>763</v>
      </c>
      <c r="F25" s="2" t="s">
        <v>777</v>
      </c>
      <c r="H25" s="2" t="s">
        <v>294</v>
      </c>
      <c r="I25" s="33">
        <v>0.92272325558018953</v>
      </c>
      <c r="J25" s="33">
        <v>0.92272325558018953</v>
      </c>
      <c r="K25" s="33">
        <v>0</v>
      </c>
      <c r="L25" s="2" t="s">
        <v>842</v>
      </c>
      <c r="M25" s="85" t="s">
        <v>781</v>
      </c>
    </row>
  </sheetData>
  <mergeCells count="2">
    <mergeCell ref="A2:N2"/>
    <mergeCell ref="A1:N1"/>
  </mergeCells>
  <conditionalFormatting sqref="F5:G16">
    <cfRule type="cellIs" dxfId="89" priority="7" operator="lessThan">
      <formula>0</formula>
    </cfRule>
    <cfRule type="cellIs" dxfId="88" priority="8" operator="greaterThanOrEqual">
      <formula>0</formula>
    </cfRule>
  </conditionalFormatting>
  <conditionalFormatting sqref="H5:I16">
    <cfRule type="cellIs" dxfId="87" priority="4" operator="lessThan">
      <formula>0.95</formula>
    </cfRule>
    <cfRule type="cellIs" dxfId="86" priority="5" operator="between">
      <formula>0.95</formula>
      <formula>0.999999</formula>
    </cfRule>
    <cfRule type="cellIs" dxfId="85" priority="6" operator="greaterThanOrEqual">
      <formula>1</formula>
    </cfRule>
  </conditionalFormatting>
  <conditionalFormatting sqref="L20:L25">
    <cfRule type="containsText" dxfId="84" priority="9" operator="containsText" text="OK">
      <formula>NOT(ISERROR(SEARCH("OK",L20)))</formula>
    </cfRule>
    <cfRule type="containsText" dxfId="83" priority="10" operator="containsText" text="Review">
      <formula>NOT(ISERROR(SEARCH("Review",L20)))</formula>
    </cfRule>
  </conditionalFormatting>
  <conditionalFormatting sqref="N5:N16">
    <cfRule type="expression" dxfId="82" priority="11">
      <formula>ISNUMBER(SEARCH("Red",N5))</formula>
    </cfRule>
    <cfRule type="expression" dxfId="81" priority="12">
      <formula>ISNUMBER(SEARCH("Amber",N5))</formula>
    </cfRule>
    <cfRule type="expression" dxfId="80" priority="13">
      <formula>ISNUMBER(SEARCH("Green",N5))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ED7D31"/>
  </sheetPr>
  <dimension ref="A1:P37"/>
  <sheetViews>
    <sheetView showGridLines="0" tabSelected="1" topLeftCell="A2" workbookViewId="0">
      <selection activeCell="AI8" sqref="AI8"/>
    </sheetView>
  </sheetViews>
  <sheetFormatPr defaultRowHeight="14.5" x14ac:dyDescent="0.35"/>
  <cols>
    <col min="1" max="1" width="44.26953125" bestFit="1" customWidth="1"/>
    <col min="2" max="2" width="11.54296875" bestFit="1" customWidth="1"/>
    <col min="3" max="3" width="10.08984375" bestFit="1" customWidth="1"/>
    <col min="4" max="4" width="10.1796875" bestFit="1" customWidth="1"/>
    <col min="5" max="5" width="15.08984375" bestFit="1" customWidth="1"/>
    <col min="6" max="6" width="17.26953125" bestFit="1" customWidth="1"/>
    <col min="7" max="7" width="14.453125" bestFit="1" customWidth="1"/>
    <col min="8" max="8" width="8.90625" bestFit="1" customWidth="1"/>
    <col min="9" max="9" width="14.36328125" customWidth="1"/>
    <col min="12" max="12" width="38.6328125" customWidth="1"/>
    <col min="14" max="14" width="15.26953125" bestFit="1" customWidth="1"/>
    <col min="15" max="15" width="21.81640625" bestFit="1" customWidth="1"/>
    <col min="16" max="16" width="26" bestFit="1" customWidth="1"/>
  </cols>
  <sheetData>
    <row r="1" spans="1:16" ht="23.5" x14ac:dyDescent="0.55000000000000004">
      <c r="A1" s="27" t="s">
        <v>782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29" t="s">
        <v>217</v>
      </c>
      <c r="O1" s="30">
        <v>46146</v>
      </c>
    </row>
    <row r="2" spans="1:16" ht="43.5" x14ac:dyDescent="0.35">
      <c r="A2" s="28" t="s">
        <v>783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N2" s="29" t="s">
        <v>784</v>
      </c>
      <c r="O2" s="30" t="str">
        <f>Control_Project_End</f>
        <v>2026-12-31</v>
      </c>
    </row>
    <row r="3" spans="1:16" x14ac:dyDescent="0.35">
      <c r="N3" s="29" t="s">
        <v>223</v>
      </c>
      <c r="O3" s="30">
        <v>46203</v>
      </c>
    </row>
    <row r="4" spans="1:16" x14ac:dyDescent="0.35">
      <c r="A4" s="86" t="s">
        <v>2</v>
      </c>
      <c r="B4" s="80" t="s">
        <v>3</v>
      </c>
      <c r="C4" s="80" t="s">
        <v>785</v>
      </c>
      <c r="D4" s="80" t="s">
        <v>786</v>
      </c>
      <c r="E4" s="80" t="s">
        <v>787</v>
      </c>
      <c r="F4" s="80" t="s">
        <v>241</v>
      </c>
      <c r="G4" s="80" t="s">
        <v>261</v>
      </c>
      <c r="H4" s="87" t="s">
        <v>10</v>
      </c>
    </row>
    <row r="5" spans="1:16" x14ac:dyDescent="0.35">
      <c r="A5" s="84" t="s">
        <v>623</v>
      </c>
      <c r="B5" s="2" t="s">
        <v>708</v>
      </c>
      <c r="C5" s="30">
        <v>46153</v>
      </c>
      <c r="D5" s="30">
        <v>46229</v>
      </c>
      <c r="E5" s="31">
        <v>7</v>
      </c>
      <c r="F5" s="31">
        <v>77</v>
      </c>
      <c r="G5" s="32">
        <v>0.5</v>
      </c>
      <c r="H5" s="85" t="s">
        <v>21</v>
      </c>
      <c r="N5" s="80" t="s">
        <v>581</v>
      </c>
      <c r="O5" s="80" t="s">
        <v>545</v>
      </c>
      <c r="P5" s="80" t="s">
        <v>788</v>
      </c>
    </row>
    <row r="6" spans="1:16" x14ac:dyDescent="0.35">
      <c r="A6" s="84" t="s">
        <v>18</v>
      </c>
      <c r="B6" s="2" t="s">
        <v>19</v>
      </c>
      <c r="C6" s="30">
        <v>46146</v>
      </c>
      <c r="D6" s="30">
        <v>46152</v>
      </c>
      <c r="E6" s="31">
        <v>0</v>
      </c>
      <c r="F6" s="31">
        <v>7</v>
      </c>
      <c r="G6" s="32">
        <v>1</v>
      </c>
      <c r="H6" s="85" t="s">
        <v>15</v>
      </c>
      <c r="N6" s="46" t="s">
        <v>15</v>
      </c>
      <c r="O6" s="7" t="s">
        <v>789</v>
      </c>
      <c r="P6" s="50" t="s">
        <v>790</v>
      </c>
    </row>
    <row r="7" spans="1:16" x14ac:dyDescent="0.35">
      <c r="A7" s="84" t="s">
        <v>24</v>
      </c>
      <c r="B7" s="2" t="s">
        <v>25</v>
      </c>
      <c r="C7" s="30">
        <v>46146</v>
      </c>
      <c r="D7" s="30">
        <v>46166</v>
      </c>
      <c r="E7" s="31">
        <v>0</v>
      </c>
      <c r="F7" s="31">
        <v>21</v>
      </c>
      <c r="G7" s="32">
        <v>1</v>
      </c>
      <c r="H7" s="85" t="s">
        <v>15</v>
      </c>
      <c r="N7" s="47" t="s">
        <v>21</v>
      </c>
      <c r="O7" s="7" t="s">
        <v>791</v>
      </c>
      <c r="P7" s="50" t="s">
        <v>792</v>
      </c>
    </row>
    <row r="8" spans="1:16" x14ac:dyDescent="0.35">
      <c r="A8" s="84" t="s">
        <v>28</v>
      </c>
      <c r="B8" s="2" t="s">
        <v>29</v>
      </c>
      <c r="C8" s="30">
        <v>46153</v>
      </c>
      <c r="D8" s="30">
        <v>46180</v>
      </c>
      <c r="E8" s="31">
        <v>7</v>
      </c>
      <c r="F8" s="31">
        <v>28</v>
      </c>
      <c r="G8" s="32">
        <v>1</v>
      </c>
      <c r="H8" s="85" t="s">
        <v>15</v>
      </c>
      <c r="N8" s="48" t="s">
        <v>20</v>
      </c>
      <c r="O8" s="7" t="s">
        <v>793</v>
      </c>
      <c r="P8" s="50" t="s">
        <v>794</v>
      </c>
    </row>
    <row r="9" spans="1:16" x14ac:dyDescent="0.35">
      <c r="A9" s="84" t="s">
        <v>33</v>
      </c>
      <c r="B9" s="2" t="s">
        <v>34</v>
      </c>
      <c r="C9" s="30">
        <v>46153</v>
      </c>
      <c r="D9" s="30">
        <v>46173</v>
      </c>
      <c r="E9" s="31">
        <v>7</v>
      </c>
      <c r="F9" s="31">
        <v>21</v>
      </c>
      <c r="G9" s="32">
        <v>1</v>
      </c>
      <c r="H9" s="85" t="s">
        <v>15</v>
      </c>
      <c r="N9" s="49" t="s">
        <v>795</v>
      </c>
      <c r="O9" s="7" t="s">
        <v>796</v>
      </c>
      <c r="P9" s="50" t="s">
        <v>797</v>
      </c>
    </row>
    <row r="10" spans="1:16" x14ac:dyDescent="0.35">
      <c r="A10" s="84" t="s">
        <v>35</v>
      </c>
      <c r="B10" s="2" t="s">
        <v>36</v>
      </c>
      <c r="C10" s="30">
        <v>46167</v>
      </c>
      <c r="D10" s="30">
        <v>46187</v>
      </c>
      <c r="E10" s="31">
        <v>21</v>
      </c>
      <c r="F10" s="31">
        <v>21</v>
      </c>
      <c r="G10" s="32">
        <v>0.7</v>
      </c>
      <c r="H10" s="85" t="s">
        <v>21</v>
      </c>
      <c r="N10" s="36" t="s">
        <v>798</v>
      </c>
      <c r="O10" s="35" t="s">
        <v>799</v>
      </c>
      <c r="P10" s="35" t="s">
        <v>800</v>
      </c>
    </row>
    <row r="11" spans="1:16" x14ac:dyDescent="0.35">
      <c r="A11" s="84" t="s">
        <v>37</v>
      </c>
      <c r="B11" s="2" t="s">
        <v>38</v>
      </c>
      <c r="C11" s="30">
        <v>46174</v>
      </c>
      <c r="D11" s="30">
        <v>46201</v>
      </c>
      <c r="E11" s="31">
        <v>28</v>
      </c>
      <c r="F11" s="31">
        <v>28</v>
      </c>
      <c r="G11" s="32">
        <v>0.4</v>
      </c>
      <c r="H11" s="85" t="s">
        <v>20</v>
      </c>
    </row>
    <row r="12" spans="1:16" x14ac:dyDescent="0.35">
      <c r="A12" s="84" t="s">
        <v>39</v>
      </c>
      <c r="B12" s="2" t="s">
        <v>40</v>
      </c>
      <c r="C12" s="30">
        <v>46181</v>
      </c>
      <c r="D12" s="30">
        <v>46208</v>
      </c>
      <c r="E12" s="31">
        <v>35</v>
      </c>
      <c r="F12" s="31">
        <v>28</v>
      </c>
      <c r="G12" s="32">
        <v>0.24885699999999999</v>
      </c>
      <c r="H12" s="85" t="s">
        <v>20</v>
      </c>
    </row>
    <row r="13" spans="1:16" x14ac:dyDescent="0.35">
      <c r="A13" s="84" t="s">
        <v>41</v>
      </c>
      <c r="B13" s="2" t="s">
        <v>42</v>
      </c>
      <c r="C13" s="30">
        <v>46195</v>
      </c>
      <c r="D13" s="30">
        <v>46215</v>
      </c>
      <c r="E13" s="31">
        <v>49</v>
      </c>
      <c r="F13" s="31">
        <v>21</v>
      </c>
      <c r="G13" s="32">
        <v>0</v>
      </c>
      <c r="H13" s="85" t="s">
        <v>20</v>
      </c>
    </row>
    <row r="14" spans="1:16" x14ac:dyDescent="0.35">
      <c r="A14" s="84" t="s">
        <v>43</v>
      </c>
      <c r="B14" s="2" t="s">
        <v>44</v>
      </c>
      <c r="C14" s="30">
        <v>46202</v>
      </c>
      <c r="D14" s="30">
        <v>46222</v>
      </c>
      <c r="E14" s="31">
        <v>56</v>
      </c>
      <c r="F14" s="31">
        <v>21</v>
      </c>
      <c r="G14" s="32">
        <v>0</v>
      </c>
      <c r="H14" s="85" t="s">
        <v>20</v>
      </c>
    </row>
    <row r="15" spans="1:16" x14ac:dyDescent="0.35">
      <c r="A15" s="84" t="s">
        <v>45</v>
      </c>
      <c r="B15" s="2" t="s">
        <v>46</v>
      </c>
      <c r="C15" s="30">
        <v>46216</v>
      </c>
      <c r="D15" s="30">
        <v>46229</v>
      </c>
      <c r="E15" s="31">
        <v>70</v>
      </c>
      <c r="F15" s="31">
        <v>14</v>
      </c>
      <c r="G15" s="32">
        <v>0</v>
      </c>
      <c r="H15" s="85" t="s">
        <v>20</v>
      </c>
    </row>
    <row r="16" spans="1:16" x14ac:dyDescent="0.35">
      <c r="A16" s="88" t="s">
        <v>47</v>
      </c>
      <c r="B16" s="89" t="s">
        <v>48</v>
      </c>
      <c r="C16" s="111">
        <v>46223</v>
      </c>
      <c r="D16" s="111">
        <v>46229</v>
      </c>
      <c r="E16" s="112">
        <v>77</v>
      </c>
      <c r="F16" s="112">
        <v>7</v>
      </c>
      <c r="G16" s="113">
        <v>0</v>
      </c>
      <c r="H16" s="90" t="s">
        <v>20</v>
      </c>
    </row>
    <row r="23" spans="1:16" x14ac:dyDescent="0.35">
      <c r="A23" s="86" t="s">
        <v>152</v>
      </c>
      <c r="B23" s="80" t="s">
        <v>605</v>
      </c>
      <c r="C23" s="80" t="s">
        <v>607</v>
      </c>
      <c r="D23" s="80" t="s">
        <v>609</v>
      </c>
      <c r="E23" s="80" t="s">
        <v>610</v>
      </c>
      <c r="F23" s="80" t="s">
        <v>9</v>
      </c>
      <c r="G23" s="87" t="s">
        <v>8</v>
      </c>
      <c r="H23" t="s">
        <v>274</v>
      </c>
      <c r="I23" t="s">
        <v>270</v>
      </c>
      <c r="J23" t="s">
        <v>605</v>
      </c>
      <c r="K23" t="s">
        <v>607</v>
      </c>
      <c r="L23" t="s">
        <v>609</v>
      </c>
      <c r="M23" t="s">
        <v>610</v>
      </c>
      <c r="N23" t="s">
        <v>868</v>
      </c>
      <c r="O23" t="s">
        <v>869</v>
      </c>
      <c r="P23" t="s">
        <v>870</v>
      </c>
    </row>
    <row r="24" spans="1:16" x14ac:dyDescent="0.35">
      <c r="A24" s="84">
        <v>1</v>
      </c>
      <c r="B24" s="30">
        <f>MIN(Fact_Baseline_PV!$A:$A)+4+(0*7)</f>
        <v>46150</v>
      </c>
      <c r="C24" s="33">
        <f>SUMIFS(Fact_Baseline_PV!$C:$C,Fact_Baseline_PV!$A:$A,"&lt;="&amp;B24)</f>
        <v>14900</v>
      </c>
      <c r="D24" s="33">
        <f>SUMIFS(Fact_Actual_Costs!$D:$D,Fact_Actual_Costs!$A:$A,"&lt;="&amp;B24)</f>
        <v>15975.04</v>
      </c>
      <c r="E24" s="33">
        <f t="array" ref="E24">SUM(IFERROR(LOOKUP(2,1/(Fact_Physical_Progress!$B$2:$B$34=Dim_WBS!$A$2)/(Fact_Physical_Progress!$A$2:$A$34&lt;=B24),Fact_Physical_Progress!$C$2:$C$34),0)*Dim_WBS!$E$2,IFERROR(LOOKUP(2,1/(Fact_Physical_Progress!$B$2:$B$34=Dim_WBS!$A$3)/(Fact_Physical_Progress!$A$2:$A$34&lt;=B24),Fact_Physical_Progress!$C$2:$C$34),0)*Dim_WBS!$E$3,IFERROR(LOOKUP(2,1/(Fact_Physical_Progress!$B$2:$B$34=Dim_WBS!$A$4)/(Fact_Physical_Progress!$A$2:$A$34&lt;=B24),Fact_Physical_Progress!$C$2:$C$34),0)*Dim_WBS!$E$4,IFERROR(LOOKUP(2,1/(Fact_Physical_Progress!$B$2:$B$34=Dim_WBS!$A$5)/(Fact_Physical_Progress!$A$2:$A$34&lt;=B24),Fact_Physical_Progress!$C$2:$C$34),0)*Dim_WBS!$E$5,IFERROR(LOOKUP(2,1/(Fact_Physical_Progress!$B$2:$B$34=Dim_WBS!$A$6)/(Fact_Physical_Progress!$A$2:$A$34&lt;=B24),Fact_Physical_Progress!$C$2:$C$34),0)*Dim_WBS!$E$6,IFERROR(LOOKUP(2,1/(Fact_Physical_Progress!$B$2:$B$34=Dim_WBS!$A$7)/(Fact_Physical_Progress!$A$2:$A$34&lt;=B24),Fact_Physical_Progress!$C$2:$C$34),0)*Dim_WBS!$E$7,IFERROR(LOOKUP(2,1/(Fact_Physical_Progress!$B$2:$B$34=Dim_WBS!$A$8)/(Fact_Physical_Progress!$A$2:$A$34&lt;=B24),Fact_Physical_Progress!$C$2:$C$34),0)*Dim_WBS!$E$8,IFERROR(LOOKUP(2,1/(Fact_Physical_Progress!$B$2:$B$34=Dim_WBS!$A$9)/(Fact_Physical_Progress!$A$2:$A$34&lt;=B24),Fact_Physical_Progress!$C$2:$C$34),0)*Dim_WBS!$E$9,IFERROR(LOOKUP(2,1/(Fact_Physical_Progress!$B$2:$B$34=Dim_WBS!$A$10)/(Fact_Physical_Progress!$A$2:$A$34&lt;=B24),Fact_Physical_Progress!$C$2:$C$34),0)*Dim_WBS!$E$10,IFERROR(LOOKUP(2,1/(Fact_Physical_Progress!$B$2:$B$34=Dim_WBS!$A$11)/(Fact_Physical_Progress!$A$2:$A$34&lt;=B24),Fact_Physical_Progress!$C$2:$C$34),0)*Dim_WBS!$E$11,IFERROR(LOOKUP(2,1/(Fact_Physical_Progress!$B$2:$B$34=Dim_WBS!$A$12)/(Fact_Physical_Progress!$A$2:$A$34&lt;=B24),Fact_Physical_Progress!$C$2:$C$34),0)*Dim_WBS!$E$12,IFERROR(LOOKUP(2,1/(Fact_Physical_Progress!$B$2:$B$34=Dim_WBS!$A$13)/(Fact_Physical_Progress!$A$2:$A$34&lt;=B24),Fact_Physical_Progress!$C$2:$C$34),0)*Dim_WBS!$E$13)</f>
        <v>13588</v>
      </c>
      <c r="F24" s="34">
        <f t="shared" ref="F24:F35" si="0">IFERROR(E24/D24,0)</f>
        <v>0.8505768999639437</v>
      </c>
      <c r="G24" s="105">
        <f t="shared" ref="G24:G35" si="1">IFERROR(E24/C24,0)</f>
        <v>0.91194630872483218</v>
      </c>
      <c r="H24">
        <f t="shared" ref="H24:H35" si="2">E24-D24</f>
        <v>-2387.0400000000009</v>
      </c>
      <c r="I24">
        <f t="shared" ref="I24:I35" si="3">E24-C24</f>
        <v>-1312</v>
      </c>
      <c r="J24" s="292">
        <v>46150</v>
      </c>
      <c r="K24" s="293">
        <v>14900</v>
      </c>
      <c r="L24" s="293">
        <v>15975.04</v>
      </c>
      <c r="M24" s="293">
        <v>13588</v>
      </c>
    </row>
    <row r="25" spans="1:16" x14ac:dyDescent="0.35">
      <c r="A25" s="84">
        <v>2</v>
      </c>
      <c r="B25" s="30">
        <f>MIN(Fact_Baseline_PV!$A:$A)+4+(1*7)</f>
        <v>46157</v>
      </c>
      <c r="C25" s="33">
        <f>SUMIFS(Fact_Baseline_PV!$C:$C,Fact_Baseline_PV!$A:$A,"&lt;="&amp;B25)</f>
        <v>37700</v>
      </c>
      <c r="D25" s="33">
        <f>SUMIFS(Fact_Actual_Costs!$D:$D,Fact_Actual_Costs!$A:$A,"&lt;="&amp;B25)</f>
        <v>38629.120000000003</v>
      </c>
      <c r="E25" s="33">
        <f t="array" ref="E25">SUM(IFERROR(LOOKUP(2,1/(Fact_Physical_Progress!$B$2:$B$34=Dim_WBS!$A$2)/(Fact_Physical_Progress!$A$2:$A$34&lt;=B25),Fact_Physical_Progress!$C$2:$C$34),0)*Dim_WBS!$E$2,IFERROR(LOOKUP(2,1/(Fact_Physical_Progress!$B$2:$B$34=Dim_WBS!$A$3)/(Fact_Physical_Progress!$A$2:$A$34&lt;=B25),Fact_Physical_Progress!$C$2:$C$34),0)*Dim_WBS!$E$3,IFERROR(LOOKUP(2,1/(Fact_Physical_Progress!$B$2:$B$34=Dim_WBS!$A$4)/(Fact_Physical_Progress!$A$2:$A$34&lt;=B25),Fact_Physical_Progress!$C$2:$C$34),0)*Dim_WBS!$E$4,IFERROR(LOOKUP(2,1/(Fact_Physical_Progress!$B$2:$B$34=Dim_WBS!$A$5)/(Fact_Physical_Progress!$A$2:$A$34&lt;=B25),Fact_Physical_Progress!$C$2:$C$34),0)*Dim_WBS!$E$5,IFERROR(LOOKUP(2,1/(Fact_Physical_Progress!$B$2:$B$34=Dim_WBS!$A$6)/(Fact_Physical_Progress!$A$2:$A$34&lt;=B25),Fact_Physical_Progress!$C$2:$C$34),0)*Dim_WBS!$E$6,IFERROR(LOOKUP(2,1/(Fact_Physical_Progress!$B$2:$B$34=Dim_WBS!$A$7)/(Fact_Physical_Progress!$A$2:$A$34&lt;=B25),Fact_Physical_Progress!$C$2:$C$34),0)*Dim_WBS!$E$7,IFERROR(LOOKUP(2,1/(Fact_Physical_Progress!$B$2:$B$34=Dim_WBS!$A$8)/(Fact_Physical_Progress!$A$2:$A$34&lt;=B25),Fact_Physical_Progress!$C$2:$C$34),0)*Dim_WBS!$E$8,IFERROR(LOOKUP(2,1/(Fact_Physical_Progress!$B$2:$B$34=Dim_WBS!$A$9)/(Fact_Physical_Progress!$A$2:$A$34&lt;=B25),Fact_Physical_Progress!$C$2:$C$34),0)*Dim_WBS!$E$9,IFERROR(LOOKUP(2,1/(Fact_Physical_Progress!$B$2:$B$34=Dim_WBS!$A$10)/(Fact_Physical_Progress!$A$2:$A$34&lt;=B25),Fact_Physical_Progress!$C$2:$C$34),0)*Dim_WBS!$E$10,IFERROR(LOOKUP(2,1/(Fact_Physical_Progress!$B$2:$B$34=Dim_WBS!$A$11)/(Fact_Physical_Progress!$A$2:$A$34&lt;=B25),Fact_Physical_Progress!$C$2:$C$34),0)*Dim_WBS!$E$11,IFERROR(LOOKUP(2,1/(Fact_Physical_Progress!$B$2:$B$34=Dim_WBS!$A$12)/(Fact_Physical_Progress!$A$2:$A$34&lt;=B25),Fact_Physical_Progress!$C$2:$C$34),0)*Dim_WBS!$E$12,IFERROR(LOOKUP(2,1/(Fact_Physical_Progress!$B$2:$B$34=Dim_WBS!$A$13)/(Fact_Physical_Progress!$A$2:$A$34&lt;=B25),Fact_Physical_Progress!$C$2:$C$34),0)*Dim_WBS!$E$13)</f>
        <v>35814.003100000002</v>
      </c>
      <c r="F25" s="34">
        <f t="shared" si="0"/>
        <v>0.92712448795105862</v>
      </c>
      <c r="G25" s="105">
        <f t="shared" si="1"/>
        <v>0.94997355702917774</v>
      </c>
      <c r="H25">
        <f t="shared" si="2"/>
        <v>-2815.1169000000009</v>
      </c>
      <c r="I25">
        <f t="shared" si="3"/>
        <v>-1885.9968999999983</v>
      </c>
      <c r="J25" s="292">
        <v>46157</v>
      </c>
      <c r="K25" s="293">
        <v>37700</v>
      </c>
      <c r="L25" s="293">
        <v>38629.120000000003</v>
      </c>
      <c r="M25" s="293">
        <v>35814.003100000002</v>
      </c>
    </row>
    <row r="26" spans="1:16" x14ac:dyDescent="0.35">
      <c r="A26" s="84">
        <v>3</v>
      </c>
      <c r="B26" s="30">
        <f>MIN(Fact_Baseline_PV!$A:$A)+4+(2*7)</f>
        <v>46164</v>
      </c>
      <c r="C26" s="33">
        <f>SUMIFS(Fact_Baseline_PV!$C:$C,Fact_Baseline_PV!$A:$A,"&lt;="&amp;B26)</f>
        <v>60500</v>
      </c>
      <c r="D26" s="33">
        <f>SUMIFS(Fact_Actual_Costs!$D:$D,Fact_Actual_Costs!$A:$A,"&lt;="&amp;B26)</f>
        <v>61283.200000000004</v>
      </c>
      <c r="E26" s="33">
        <f t="array" ref="E26">SUM(IFERROR(LOOKUP(2,1/(Fact_Physical_Progress!$B$2:$B$34=Dim_WBS!$A$2)/(Fact_Physical_Progress!$A$2:$A$34&lt;=B26),Fact_Physical_Progress!$C$2:$C$34),0)*Dim_WBS!$E$2,IFERROR(LOOKUP(2,1/(Fact_Physical_Progress!$B$2:$B$34=Dim_WBS!$A$3)/(Fact_Physical_Progress!$A$2:$A$34&lt;=B26),Fact_Physical_Progress!$C$2:$C$34),0)*Dim_WBS!$E$3,IFERROR(LOOKUP(2,1/(Fact_Physical_Progress!$B$2:$B$34=Dim_WBS!$A$4)/(Fact_Physical_Progress!$A$2:$A$34&lt;=B26),Fact_Physical_Progress!$C$2:$C$34),0)*Dim_WBS!$E$4,IFERROR(LOOKUP(2,1/(Fact_Physical_Progress!$B$2:$B$34=Dim_WBS!$A$5)/(Fact_Physical_Progress!$A$2:$A$34&lt;=B26),Fact_Physical_Progress!$C$2:$C$34),0)*Dim_WBS!$E$5,IFERROR(LOOKUP(2,1/(Fact_Physical_Progress!$B$2:$B$34=Dim_WBS!$A$6)/(Fact_Physical_Progress!$A$2:$A$34&lt;=B26),Fact_Physical_Progress!$C$2:$C$34),0)*Dim_WBS!$E$6,IFERROR(LOOKUP(2,1/(Fact_Physical_Progress!$B$2:$B$34=Dim_WBS!$A$7)/(Fact_Physical_Progress!$A$2:$A$34&lt;=B26),Fact_Physical_Progress!$C$2:$C$34),0)*Dim_WBS!$E$7,IFERROR(LOOKUP(2,1/(Fact_Physical_Progress!$B$2:$B$34=Dim_WBS!$A$8)/(Fact_Physical_Progress!$A$2:$A$34&lt;=B26),Fact_Physical_Progress!$C$2:$C$34),0)*Dim_WBS!$E$8,IFERROR(LOOKUP(2,1/(Fact_Physical_Progress!$B$2:$B$34=Dim_WBS!$A$9)/(Fact_Physical_Progress!$A$2:$A$34&lt;=B26),Fact_Physical_Progress!$C$2:$C$34),0)*Dim_WBS!$E$9,IFERROR(LOOKUP(2,1/(Fact_Physical_Progress!$B$2:$B$34=Dim_WBS!$A$10)/(Fact_Physical_Progress!$A$2:$A$34&lt;=B26),Fact_Physical_Progress!$C$2:$C$34),0)*Dim_WBS!$E$10,IFERROR(LOOKUP(2,1/(Fact_Physical_Progress!$B$2:$B$34=Dim_WBS!$A$11)/(Fact_Physical_Progress!$A$2:$A$34&lt;=B26),Fact_Physical_Progress!$C$2:$C$34),0)*Dim_WBS!$E$11,IFERROR(LOOKUP(2,1/(Fact_Physical_Progress!$B$2:$B$34=Dim_WBS!$A$12)/(Fact_Physical_Progress!$A$2:$A$34&lt;=B26),Fact_Physical_Progress!$C$2:$C$34),0)*Dim_WBS!$E$12,IFERROR(LOOKUP(2,1/(Fact_Physical_Progress!$B$2:$B$34=Dim_WBS!$A$13)/(Fact_Physical_Progress!$A$2:$A$34&lt;=B26),Fact_Physical_Progress!$C$2:$C$34),0)*Dim_WBS!$E$13)</f>
        <v>56665</v>
      </c>
      <c r="F26" s="34">
        <f t="shared" si="0"/>
        <v>0.92464166362069855</v>
      </c>
      <c r="G26" s="105">
        <f t="shared" si="1"/>
        <v>0.93661157024793384</v>
      </c>
      <c r="H26">
        <f t="shared" si="2"/>
        <v>-4618.2000000000044</v>
      </c>
      <c r="I26">
        <f t="shared" si="3"/>
        <v>-3835</v>
      </c>
      <c r="J26" s="292">
        <v>46164</v>
      </c>
      <c r="K26" s="293">
        <v>60500</v>
      </c>
      <c r="L26" s="293">
        <v>61283.199999999997</v>
      </c>
      <c r="M26" s="293">
        <v>56665</v>
      </c>
    </row>
    <row r="27" spans="1:16" x14ac:dyDescent="0.35">
      <c r="A27" s="84">
        <v>4</v>
      </c>
      <c r="B27" s="30">
        <f>MIN(Fact_Baseline_PV!$A:$A)+4+(3*7)</f>
        <v>46171</v>
      </c>
      <c r="C27" s="33">
        <f>SUMIFS(Fact_Baseline_PV!$C:$C,Fact_Baseline_PV!$A:$A,"&lt;="&amp;B27)</f>
        <v>85566.67</v>
      </c>
      <c r="D27" s="33">
        <f>SUMIFS(Fact_Actual_Costs!$D:$D,Fact_Actual_Costs!$A:$A,"&lt;="&amp;B27)</f>
        <v>86189.440000000017</v>
      </c>
      <c r="E27" s="33">
        <f t="array" ref="E27">SUM(IFERROR(LOOKUP(2,1/(Fact_Physical_Progress!$B$2:$B$34=Dim_WBS!$A$2)/(Fact_Physical_Progress!$A$2:$A$34&lt;=B27),Fact_Physical_Progress!$C$2:$C$34),0)*Dim_WBS!$E$2,IFERROR(LOOKUP(2,1/(Fact_Physical_Progress!$B$2:$B$34=Dim_WBS!$A$3)/(Fact_Physical_Progress!$A$2:$A$34&lt;=B27),Fact_Physical_Progress!$C$2:$C$34),0)*Dim_WBS!$E$3,IFERROR(LOOKUP(2,1/(Fact_Physical_Progress!$B$2:$B$34=Dim_WBS!$A$4)/(Fact_Physical_Progress!$A$2:$A$34&lt;=B27),Fact_Physical_Progress!$C$2:$C$34),0)*Dim_WBS!$E$4,IFERROR(LOOKUP(2,1/(Fact_Physical_Progress!$B$2:$B$34=Dim_WBS!$A$5)/(Fact_Physical_Progress!$A$2:$A$34&lt;=B27),Fact_Physical_Progress!$C$2:$C$34),0)*Dim_WBS!$E$5,IFERROR(LOOKUP(2,1/(Fact_Physical_Progress!$B$2:$B$34=Dim_WBS!$A$6)/(Fact_Physical_Progress!$A$2:$A$34&lt;=B27),Fact_Physical_Progress!$C$2:$C$34),0)*Dim_WBS!$E$6,IFERROR(LOOKUP(2,1/(Fact_Physical_Progress!$B$2:$B$34=Dim_WBS!$A$7)/(Fact_Physical_Progress!$A$2:$A$34&lt;=B27),Fact_Physical_Progress!$C$2:$C$34),0)*Dim_WBS!$E$7,IFERROR(LOOKUP(2,1/(Fact_Physical_Progress!$B$2:$B$34=Dim_WBS!$A$8)/(Fact_Physical_Progress!$A$2:$A$34&lt;=B27),Fact_Physical_Progress!$C$2:$C$34),0)*Dim_WBS!$E$8,IFERROR(LOOKUP(2,1/(Fact_Physical_Progress!$B$2:$B$34=Dim_WBS!$A$9)/(Fact_Physical_Progress!$A$2:$A$34&lt;=B27),Fact_Physical_Progress!$C$2:$C$34),0)*Dim_WBS!$E$9,IFERROR(LOOKUP(2,1/(Fact_Physical_Progress!$B$2:$B$34=Dim_WBS!$A$10)/(Fact_Physical_Progress!$A$2:$A$34&lt;=B27),Fact_Physical_Progress!$C$2:$C$34),0)*Dim_WBS!$E$10,IFERROR(LOOKUP(2,1/(Fact_Physical_Progress!$B$2:$B$34=Dim_WBS!$A$11)/(Fact_Physical_Progress!$A$2:$A$34&lt;=B27),Fact_Physical_Progress!$C$2:$C$34),0)*Dim_WBS!$E$11,IFERROR(LOOKUP(2,1/(Fact_Physical_Progress!$B$2:$B$34=Dim_WBS!$A$12)/(Fact_Physical_Progress!$A$2:$A$34&lt;=B27),Fact_Physical_Progress!$C$2:$C$34),0)*Dim_WBS!$E$12,IFERROR(LOOKUP(2,1/(Fact_Physical_Progress!$B$2:$B$34=Dim_WBS!$A$13)/(Fact_Physical_Progress!$A$2:$A$34&lt;=B27),Fact_Physical_Progress!$C$2:$C$34),0)*Dim_WBS!$E$13)</f>
        <v>79601.328500000003</v>
      </c>
      <c r="F27" s="34">
        <f t="shared" si="0"/>
        <v>0.92356242829748036</v>
      </c>
      <c r="G27" s="105">
        <f t="shared" si="1"/>
        <v>0.93028428592581669</v>
      </c>
      <c r="H27">
        <f t="shared" si="2"/>
        <v>-6588.1115000000136</v>
      </c>
      <c r="I27">
        <f t="shared" si="3"/>
        <v>-5965.341499999995</v>
      </c>
      <c r="J27" s="292">
        <v>46171</v>
      </c>
      <c r="K27" s="293">
        <v>85566.67</v>
      </c>
      <c r="L27" s="293">
        <v>86189.440000000002</v>
      </c>
      <c r="M27" s="293">
        <v>79601.328500000003</v>
      </c>
    </row>
    <row r="28" spans="1:16" x14ac:dyDescent="0.35">
      <c r="A28" s="84">
        <v>5</v>
      </c>
      <c r="B28" s="30">
        <f>MIN(Fact_Baseline_PV!$A:$A)+4+(4*7)</f>
        <v>46178</v>
      </c>
      <c r="C28" s="33">
        <f>SUMIFS(Fact_Baseline_PV!$C:$C,Fact_Baseline_PV!$A:$A,"&lt;="&amp;B28)</f>
        <v>115233.34</v>
      </c>
      <c r="D28" s="33">
        <f>SUMIFS(Fact_Actual_Costs!$D:$D,Fact_Actual_Costs!$A:$A,"&lt;="&amp;B28)</f>
        <v>115666.24000000002</v>
      </c>
      <c r="E28" s="33">
        <f t="array" ref="E28">SUM(IFERROR(LOOKUP(2,1/(Fact_Physical_Progress!$B$2:$B$34=Dim_WBS!$A$2)/(Fact_Physical_Progress!$A$2:$A$34&lt;=B28),Fact_Physical_Progress!$C$2:$C$34),0)*Dim_WBS!$E$2,IFERROR(LOOKUP(2,1/(Fact_Physical_Progress!$B$2:$B$34=Dim_WBS!$A$3)/(Fact_Physical_Progress!$A$2:$A$34&lt;=B28),Fact_Physical_Progress!$C$2:$C$34),0)*Dim_WBS!$E$3,IFERROR(LOOKUP(2,1/(Fact_Physical_Progress!$B$2:$B$34=Dim_WBS!$A$4)/(Fact_Physical_Progress!$A$2:$A$34&lt;=B28),Fact_Physical_Progress!$C$2:$C$34),0)*Dim_WBS!$E$4,IFERROR(LOOKUP(2,1/(Fact_Physical_Progress!$B$2:$B$34=Dim_WBS!$A$5)/(Fact_Physical_Progress!$A$2:$A$34&lt;=B28),Fact_Physical_Progress!$C$2:$C$34),0)*Dim_WBS!$E$5,IFERROR(LOOKUP(2,1/(Fact_Physical_Progress!$B$2:$B$34=Dim_WBS!$A$6)/(Fact_Physical_Progress!$A$2:$A$34&lt;=B28),Fact_Physical_Progress!$C$2:$C$34),0)*Dim_WBS!$E$6,IFERROR(LOOKUP(2,1/(Fact_Physical_Progress!$B$2:$B$34=Dim_WBS!$A$7)/(Fact_Physical_Progress!$A$2:$A$34&lt;=B28),Fact_Physical_Progress!$C$2:$C$34),0)*Dim_WBS!$E$7,IFERROR(LOOKUP(2,1/(Fact_Physical_Progress!$B$2:$B$34=Dim_WBS!$A$8)/(Fact_Physical_Progress!$A$2:$A$34&lt;=B28),Fact_Physical_Progress!$C$2:$C$34),0)*Dim_WBS!$E$8,IFERROR(LOOKUP(2,1/(Fact_Physical_Progress!$B$2:$B$34=Dim_WBS!$A$9)/(Fact_Physical_Progress!$A$2:$A$34&lt;=B28),Fact_Physical_Progress!$C$2:$C$34),0)*Dim_WBS!$E$9,IFERROR(LOOKUP(2,1/(Fact_Physical_Progress!$B$2:$B$34=Dim_WBS!$A$10)/(Fact_Physical_Progress!$A$2:$A$34&lt;=B28),Fact_Physical_Progress!$C$2:$C$34),0)*Dim_WBS!$E$10,IFERROR(LOOKUP(2,1/(Fact_Physical_Progress!$B$2:$B$34=Dim_WBS!$A$11)/(Fact_Physical_Progress!$A$2:$A$34&lt;=B28),Fact_Physical_Progress!$C$2:$C$34),0)*Dim_WBS!$E$11,IFERROR(LOOKUP(2,1/(Fact_Physical_Progress!$B$2:$B$34=Dim_WBS!$A$12)/(Fact_Physical_Progress!$A$2:$A$34&lt;=B28),Fact_Physical_Progress!$C$2:$C$34),0)*Dim_WBS!$E$12,IFERROR(LOOKUP(2,1/(Fact_Physical_Progress!$B$2:$B$34=Dim_WBS!$A$13)/(Fact_Physical_Progress!$A$2:$A$34&lt;=B28),Fact_Physical_Progress!$C$2:$C$34),0)*Dim_WBS!$E$13)</f>
        <v>106769.6735</v>
      </c>
      <c r="F28" s="34">
        <f t="shared" si="0"/>
        <v>0.92308415575711622</v>
      </c>
      <c r="G28" s="105">
        <f t="shared" si="1"/>
        <v>0.92655192932878638</v>
      </c>
      <c r="H28">
        <f t="shared" si="2"/>
        <v>-8896.5665000000154</v>
      </c>
      <c r="I28">
        <f t="shared" si="3"/>
        <v>-8463.6664999999921</v>
      </c>
      <c r="J28" s="292">
        <v>46178</v>
      </c>
      <c r="K28" s="293">
        <v>115233.34</v>
      </c>
      <c r="L28" s="293">
        <v>115666.24000000001</v>
      </c>
      <c r="M28" s="293">
        <v>106769.6735</v>
      </c>
    </row>
    <row r="29" spans="1:16" x14ac:dyDescent="0.35">
      <c r="A29" s="84">
        <v>6</v>
      </c>
      <c r="B29" s="30">
        <f>MIN(Fact_Baseline_PV!$A:$A)+4+(5*7)</f>
        <v>46185</v>
      </c>
      <c r="C29" s="33">
        <f>SUMIFS(Fact_Baseline_PV!$C:$C,Fact_Baseline_PV!$A:$A,"&lt;="&amp;B29)</f>
        <v>141400</v>
      </c>
      <c r="D29" s="33">
        <f>SUMIFS(Fact_Actual_Costs!$D:$D,Fact_Actual_Costs!$A:$A,"&lt;="&amp;B29)</f>
        <v>141665.44</v>
      </c>
      <c r="E29" s="33">
        <f t="array" ref="E29">SUM(IFERROR(LOOKUP(2,1/(Fact_Physical_Progress!$B$2:$B$34=Dim_WBS!$A$2)/(Fact_Physical_Progress!$A$2:$A$34&lt;=B29),Fact_Physical_Progress!$C$2:$C$34),0)*Dim_WBS!$E$2,IFERROR(LOOKUP(2,1/(Fact_Physical_Progress!$B$2:$B$34=Dim_WBS!$A$3)/(Fact_Physical_Progress!$A$2:$A$34&lt;=B29),Fact_Physical_Progress!$C$2:$C$34),0)*Dim_WBS!$E$3,IFERROR(LOOKUP(2,1/(Fact_Physical_Progress!$B$2:$B$34=Dim_WBS!$A$4)/(Fact_Physical_Progress!$A$2:$A$34&lt;=B29),Fact_Physical_Progress!$C$2:$C$34),0)*Dim_WBS!$E$4,IFERROR(LOOKUP(2,1/(Fact_Physical_Progress!$B$2:$B$34=Dim_WBS!$A$5)/(Fact_Physical_Progress!$A$2:$A$34&lt;=B29),Fact_Physical_Progress!$C$2:$C$34),0)*Dim_WBS!$E$5,IFERROR(LOOKUP(2,1/(Fact_Physical_Progress!$B$2:$B$34=Dim_WBS!$A$6)/(Fact_Physical_Progress!$A$2:$A$34&lt;=B29),Fact_Physical_Progress!$C$2:$C$34),0)*Dim_WBS!$E$6,IFERROR(LOOKUP(2,1/(Fact_Physical_Progress!$B$2:$B$34=Dim_WBS!$A$7)/(Fact_Physical_Progress!$A$2:$A$34&lt;=B29),Fact_Physical_Progress!$C$2:$C$34),0)*Dim_WBS!$E$7,IFERROR(LOOKUP(2,1/(Fact_Physical_Progress!$B$2:$B$34=Dim_WBS!$A$8)/(Fact_Physical_Progress!$A$2:$A$34&lt;=B29),Fact_Physical_Progress!$C$2:$C$34),0)*Dim_WBS!$E$8,IFERROR(LOOKUP(2,1/(Fact_Physical_Progress!$B$2:$B$34=Dim_WBS!$A$9)/(Fact_Physical_Progress!$A$2:$A$34&lt;=B29),Fact_Physical_Progress!$C$2:$C$34),0)*Dim_WBS!$E$9,IFERROR(LOOKUP(2,1/(Fact_Physical_Progress!$B$2:$B$34=Dim_WBS!$A$10)/(Fact_Physical_Progress!$A$2:$A$34&lt;=B29),Fact_Physical_Progress!$C$2:$C$34),0)*Dim_WBS!$E$10,IFERROR(LOOKUP(2,1/(Fact_Physical_Progress!$B$2:$B$34=Dim_WBS!$A$11)/(Fact_Physical_Progress!$A$2:$A$34&lt;=B29),Fact_Physical_Progress!$C$2:$C$34),0)*Dim_WBS!$E$11,IFERROR(LOOKUP(2,1/(Fact_Physical_Progress!$B$2:$B$34=Dim_WBS!$A$12)/(Fact_Physical_Progress!$A$2:$A$34&lt;=B29),Fact_Physical_Progress!$C$2:$C$34),0)*Dim_WBS!$E$12,IFERROR(LOOKUP(2,1/(Fact_Physical_Progress!$B$2:$B$34=Dim_WBS!$A$13)/(Fact_Physical_Progress!$A$2:$A$34&lt;=B29),Fact_Physical_Progress!$C$2:$C$34),0)*Dim_WBS!$E$13)</f>
        <v>130717.996</v>
      </c>
      <c r="F29" s="34">
        <f t="shared" si="0"/>
        <v>0.92272325558018953</v>
      </c>
      <c r="G29" s="105">
        <f t="shared" si="1"/>
        <v>0.92445541725601132</v>
      </c>
      <c r="H29">
        <f t="shared" si="2"/>
        <v>-10947.444000000003</v>
      </c>
      <c r="I29">
        <f t="shared" si="3"/>
        <v>-10682.004000000001</v>
      </c>
      <c r="J29" s="292">
        <v>46185</v>
      </c>
      <c r="K29" s="293">
        <v>141400</v>
      </c>
      <c r="L29" s="293">
        <v>141665.44</v>
      </c>
      <c r="M29" s="293">
        <v>130717.996</v>
      </c>
    </row>
    <row r="30" spans="1:16" x14ac:dyDescent="0.35">
      <c r="A30" s="84">
        <v>7</v>
      </c>
      <c r="B30" s="30">
        <f>MIN(Fact_Baseline_PV!$A:$A)+4+(6*7)</f>
        <v>46192</v>
      </c>
      <c r="C30" s="33">
        <f>SUMIFS(Fact_Baseline_PV!$C:$C,Fact_Baseline_PV!$A:$A,"&lt;="&amp;B30)</f>
        <v>158900</v>
      </c>
      <c r="D30" s="33">
        <f>SUMIFS(Fact_Actual_Costs!$D:$D,Fact_Actual_Costs!$A:$A,"&lt;="&amp;B30)</f>
        <v>141665.44</v>
      </c>
      <c r="E30" s="33">
        <f t="array" ref="E30">SUM(IFERROR(LOOKUP(2,1/(Fact_Physical_Progress!$B$2:$B$34=Dim_WBS!$A$2)/(Fact_Physical_Progress!$A$2:$A$34&lt;=B30),Fact_Physical_Progress!$C$2:$C$34),0)*Dim_WBS!$E$2,IFERROR(LOOKUP(2,1/(Fact_Physical_Progress!$B$2:$B$34=Dim_WBS!$A$3)/(Fact_Physical_Progress!$A$2:$A$34&lt;=B30),Fact_Physical_Progress!$C$2:$C$34),0)*Dim_WBS!$E$3,IFERROR(LOOKUP(2,1/(Fact_Physical_Progress!$B$2:$B$34=Dim_WBS!$A$4)/(Fact_Physical_Progress!$A$2:$A$34&lt;=B30),Fact_Physical_Progress!$C$2:$C$34),0)*Dim_WBS!$E$4,IFERROR(LOOKUP(2,1/(Fact_Physical_Progress!$B$2:$B$34=Dim_WBS!$A$5)/(Fact_Physical_Progress!$A$2:$A$34&lt;=B30),Fact_Physical_Progress!$C$2:$C$34),0)*Dim_WBS!$E$5,IFERROR(LOOKUP(2,1/(Fact_Physical_Progress!$B$2:$B$34=Dim_WBS!$A$6)/(Fact_Physical_Progress!$A$2:$A$34&lt;=B30),Fact_Physical_Progress!$C$2:$C$34),0)*Dim_WBS!$E$6,IFERROR(LOOKUP(2,1/(Fact_Physical_Progress!$B$2:$B$34=Dim_WBS!$A$7)/(Fact_Physical_Progress!$A$2:$A$34&lt;=B30),Fact_Physical_Progress!$C$2:$C$34),0)*Dim_WBS!$E$7,IFERROR(LOOKUP(2,1/(Fact_Physical_Progress!$B$2:$B$34=Dim_WBS!$A$8)/(Fact_Physical_Progress!$A$2:$A$34&lt;=B30),Fact_Physical_Progress!$C$2:$C$34),0)*Dim_WBS!$E$8,IFERROR(LOOKUP(2,1/(Fact_Physical_Progress!$B$2:$B$34=Dim_WBS!$A$9)/(Fact_Physical_Progress!$A$2:$A$34&lt;=B30),Fact_Physical_Progress!$C$2:$C$34),0)*Dim_WBS!$E$9,IFERROR(LOOKUP(2,1/(Fact_Physical_Progress!$B$2:$B$34=Dim_WBS!$A$10)/(Fact_Physical_Progress!$A$2:$A$34&lt;=B30),Fact_Physical_Progress!$C$2:$C$34),0)*Dim_WBS!$E$10,IFERROR(LOOKUP(2,1/(Fact_Physical_Progress!$B$2:$B$34=Dim_WBS!$A$11)/(Fact_Physical_Progress!$A$2:$A$34&lt;=B30),Fact_Physical_Progress!$C$2:$C$34),0)*Dim_WBS!$E$11,IFERROR(LOOKUP(2,1/(Fact_Physical_Progress!$B$2:$B$34=Dim_WBS!$A$12)/(Fact_Physical_Progress!$A$2:$A$34&lt;=B30),Fact_Physical_Progress!$C$2:$C$34),0)*Dim_WBS!$E$12,IFERROR(LOOKUP(2,1/(Fact_Physical_Progress!$B$2:$B$34=Dim_WBS!$A$13)/(Fact_Physical_Progress!$A$2:$A$34&lt;=B30),Fact_Physical_Progress!$C$2:$C$34),0)*Dim_WBS!$E$13)</f>
        <v>130717.996</v>
      </c>
      <c r="F30" s="34">
        <f t="shared" si="0"/>
        <v>0.92272325558018953</v>
      </c>
      <c r="G30" s="105">
        <f t="shared" si="1"/>
        <v>0.82264314663310256</v>
      </c>
      <c r="H30">
        <f t="shared" si="2"/>
        <v>-10947.444000000003</v>
      </c>
      <c r="I30">
        <f t="shared" si="3"/>
        <v>-28182.004000000001</v>
      </c>
      <c r="J30" s="292">
        <v>46192</v>
      </c>
      <c r="K30" s="293">
        <v>158900</v>
      </c>
      <c r="L30" s="293">
        <v>141665.44</v>
      </c>
      <c r="M30" s="293">
        <v>130717.996</v>
      </c>
    </row>
    <row r="31" spans="1:16" x14ac:dyDescent="0.35">
      <c r="A31" s="84">
        <v>8</v>
      </c>
      <c r="B31" s="30">
        <f>MIN(Fact_Baseline_PV!$A:$A)+4+(7*7)</f>
        <v>46199</v>
      </c>
      <c r="C31" s="33">
        <f>SUMIFS(Fact_Baseline_PV!$C:$C,Fact_Baseline_PV!$A:$A,"&lt;="&amp;B31)</f>
        <v>188316.67</v>
      </c>
      <c r="D31" s="33">
        <f>SUMIFS(Fact_Actual_Costs!$D:$D,Fact_Actual_Costs!$A:$A,"&lt;="&amp;B31)</f>
        <v>141665.44</v>
      </c>
      <c r="E31" s="33">
        <f t="array" ref="E31">SUM(IFERROR(LOOKUP(2,1/(Fact_Physical_Progress!$B$2:$B$34=Dim_WBS!$A$2)/(Fact_Physical_Progress!$A$2:$A$34&lt;=B31),Fact_Physical_Progress!$C$2:$C$34),0)*Dim_WBS!$E$2,IFERROR(LOOKUP(2,1/(Fact_Physical_Progress!$B$2:$B$34=Dim_WBS!$A$3)/(Fact_Physical_Progress!$A$2:$A$34&lt;=B31),Fact_Physical_Progress!$C$2:$C$34),0)*Dim_WBS!$E$3,IFERROR(LOOKUP(2,1/(Fact_Physical_Progress!$B$2:$B$34=Dim_WBS!$A$4)/(Fact_Physical_Progress!$A$2:$A$34&lt;=B31),Fact_Physical_Progress!$C$2:$C$34),0)*Dim_WBS!$E$4,IFERROR(LOOKUP(2,1/(Fact_Physical_Progress!$B$2:$B$34=Dim_WBS!$A$5)/(Fact_Physical_Progress!$A$2:$A$34&lt;=B31),Fact_Physical_Progress!$C$2:$C$34),0)*Dim_WBS!$E$5,IFERROR(LOOKUP(2,1/(Fact_Physical_Progress!$B$2:$B$34=Dim_WBS!$A$6)/(Fact_Physical_Progress!$A$2:$A$34&lt;=B31),Fact_Physical_Progress!$C$2:$C$34),0)*Dim_WBS!$E$6,IFERROR(LOOKUP(2,1/(Fact_Physical_Progress!$B$2:$B$34=Dim_WBS!$A$7)/(Fact_Physical_Progress!$A$2:$A$34&lt;=B31),Fact_Physical_Progress!$C$2:$C$34),0)*Dim_WBS!$E$7,IFERROR(LOOKUP(2,1/(Fact_Physical_Progress!$B$2:$B$34=Dim_WBS!$A$8)/(Fact_Physical_Progress!$A$2:$A$34&lt;=B31),Fact_Physical_Progress!$C$2:$C$34),0)*Dim_WBS!$E$8,IFERROR(LOOKUP(2,1/(Fact_Physical_Progress!$B$2:$B$34=Dim_WBS!$A$9)/(Fact_Physical_Progress!$A$2:$A$34&lt;=B31),Fact_Physical_Progress!$C$2:$C$34),0)*Dim_WBS!$E$9,IFERROR(LOOKUP(2,1/(Fact_Physical_Progress!$B$2:$B$34=Dim_WBS!$A$10)/(Fact_Physical_Progress!$A$2:$A$34&lt;=B31),Fact_Physical_Progress!$C$2:$C$34),0)*Dim_WBS!$E$10,IFERROR(LOOKUP(2,1/(Fact_Physical_Progress!$B$2:$B$34=Dim_WBS!$A$11)/(Fact_Physical_Progress!$A$2:$A$34&lt;=B31),Fact_Physical_Progress!$C$2:$C$34),0)*Dim_WBS!$E$11,IFERROR(LOOKUP(2,1/(Fact_Physical_Progress!$B$2:$B$34=Dim_WBS!$A$12)/(Fact_Physical_Progress!$A$2:$A$34&lt;=B31),Fact_Physical_Progress!$C$2:$C$34),0)*Dim_WBS!$E$12,IFERROR(LOOKUP(2,1/(Fact_Physical_Progress!$B$2:$B$34=Dim_WBS!$A$13)/(Fact_Physical_Progress!$A$2:$A$34&lt;=B31),Fact_Physical_Progress!$C$2:$C$34),0)*Dim_WBS!$E$13)</f>
        <v>130717.996</v>
      </c>
      <c r="F31" s="34">
        <f t="shared" si="0"/>
        <v>0.92272325558018953</v>
      </c>
      <c r="G31" s="105">
        <f t="shared" si="1"/>
        <v>0.69413927083566207</v>
      </c>
      <c r="H31">
        <f t="shared" si="2"/>
        <v>-10947.444000000003</v>
      </c>
      <c r="I31">
        <f t="shared" si="3"/>
        <v>-57598.674000000014</v>
      </c>
      <c r="J31" s="292">
        <v>46199</v>
      </c>
      <c r="K31" s="293">
        <v>188316.67</v>
      </c>
      <c r="L31" s="293">
        <v>141665.44</v>
      </c>
      <c r="M31" s="293">
        <v>130717.996</v>
      </c>
    </row>
    <row r="32" spans="1:16" x14ac:dyDescent="0.35">
      <c r="A32" s="84">
        <v>9</v>
      </c>
      <c r="B32" s="30">
        <f>MIN(Fact_Baseline_PV!$A:$A)+4+(8*7)</f>
        <v>46206</v>
      </c>
      <c r="C32" s="33">
        <f>SUMIFS(Fact_Baseline_PV!$C:$C,Fact_Baseline_PV!$A:$A,"&lt;="&amp;B32)</f>
        <v>218733.34000000003</v>
      </c>
      <c r="D32" s="33">
        <f>SUMIFS(Fact_Actual_Costs!$D:$D,Fact_Actual_Costs!$A:$A,"&lt;="&amp;B32)</f>
        <v>141665.44</v>
      </c>
      <c r="E32" s="33">
        <f t="array" ref="E32">SUM(IFERROR(LOOKUP(2,1/(Fact_Physical_Progress!$B$2:$B$34=Dim_WBS!$A$2)/(Fact_Physical_Progress!$A$2:$A$34&lt;=B32),Fact_Physical_Progress!$C$2:$C$34),0)*Dim_WBS!$E$2,IFERROR(LOOKUP(2,1/(Fact_Physical_Progress!$B$2:$B$34=Dim_WBS!$A$3)/(Fact_Physical_Progress!$A$2:$A$34&lt;=B32),Fact_Physical_Progress!$C$2:$C$34),0)*Dim_WBS!$E$3,IFERROR(LOOKUP(2,1/(Fact_Physical_Progress!$B$2:$B$34=Dim_WBS!$A$4)/(Fact_Physical_Progress!$A$2:$A$34&lt;=B32),Fact_Physical_Progress!$C$2:$C$34),0)*Dim_WBS!$E$4,IFERROR(LOOKUP(2,1/(Fact_Physical_Progress!$B$2:$B$34=Dim_WBS!$A$5)/(Fact_Physical_Progress!$A$2:$A$34&lt;=B32),Fact_Physical_Progress!$C$2:$C$34),0)*Dim_WBS!$E$5,IFERROR(LOOKUP(2,1/(Fact_Physical_Progress!$B$2:$B$34=Dim_WBS!$A$6)/(Fact_Physical_Progress!$A$2:$A$34&lt;=B32),Fact_Physical_Progress!$C$2:$C$34),0)*Dim_WBS!$E$6,IFERROR(LOOKUP(2,1/(Fact_Physical_Progress!$B$2:$B$34=Dim_WBS!$A$7)/(Fact_Physical_Progress!$A$2:$A$34&lt;=B32),Fact_Physical_Progress!$C$2:$C$34),0)*Dim_WBS!$E$7,IFERROR(LOOKUP(2,1/(Fact_Physical_Progress!$B$2:$B$34=Dim_WBS!$A$8)/(Fact_Physical_Progress!$A$2:$A$34&lt;=B32),Fact_Physical_Progress!$C$2:$C$34),0)*Dim_WBS!$E$8,IFERROR(LOOKUP(2,1/(Fact_Physical_Progress!$B$2:$B$34=Dim_WBS!$A$9)/(Fact_Physical_Progress!$A$2:$A$34&lt;=B32),Fact_Physical_Progress!$C$2:$C$34),0)*Dim_WBS!$E$9,IFERROR(LOOKUP(2,1/(Fact_Physical_Progress!$B$2:$B$34=Dim_WBS!$A$10)/(Fact_Physical_Progress!$A$2:$A$34&lt;=B32),Fact_Physical_Progress!$C$2:$C$34),0)*Dim_WBS!$E$10,IFERROR(LOOKUP(2,1/(Fact_Physical_Progress!$B$2:$B$34=Dim_WBS!$A$11)/(Fact_Physical_Progress!$A$2:$A$34&lt;=B32),Fact_Physical_Progress!$C$2:$C$34),0)*Dim_WBS!$E$11,IFERROR(LOOKUP(2,1/(Fact_Physical_Progress!$B$2:$B$34=Dim_WBS!$A$12)/(Fact_Physical_Progress!$A$2:$A$34&lt;=B32),Fact_Physical_Progress!$C$2:$C$34),0)*Dim_WBS!$E$12,IFERROR(LOOKUP(2,1/(Fact_Physical_Progress!$B$2:$B$34=Dim_WBS!$A$13)/(Fact_Physical_Progress!$A$2:$A$34&lt;=B32),Fact_Physical_Progress!$C$2:$C$34),0)*Dim_WBS!$E$13)</f>
        <v>130717.996</v>
      </c>
      <c r="F32" s="34">
        <f t="shared" si="0"/>
        <v>0.92272325558018953</v>
      </c>
      <c r="G32" s="105">
        <f t="shared" si="1"/>
        <v>0.59761349595813784</v>
      </c>
      <c r="H32">
        <f t="shared" si="2"/>
        <v>-10947.444000000003</v>
      </c>
      <c r="I32">
        <f t="shared" si="3"/>
        <v>-88015.344000000026</v>
      </c>
      <c r="J32" s="292">
        <v>46206</v>
      </c>
      <c r="K32" s="293">
        <v>218733.34</v>
      </c>
      <c r="L32" s="293">
        <v>141665.44</v>
      </c>
      <c r="M32" s="293">
        <v>130717.996</v>
      </c>
    </row>
    <row r="33" spans="1:16" x14ac:dyDescent="0.35">
      <c r="A33" s="84">
        <v>10</v>
      </c>
      <c r="B33" s="30">
        <f>MIN(Fact_Baseline_PV!$A:$A)+4+(9*7)</f>
        <v>46213</v>
      </c>
      <c r="C33" s="33">
        <f>SUMIFS(Fact_Baseline_PV!$C:$C,Fact_Baseline_PV!$A:$A,"&lt;="&amp;B33)</f>
        <v>242150.00000000003</v>
      </c>
      <c r="D33" s="33">
        <f>SUMIFS(Fact_Actual_Costs!$D:$D,Fact_Actual_Costs!$A:$A,"&lt;="&amp;B33)</f>
        <v>141665.44</v>
      </c>
      <c r="E33" s="33">
        <f t="array" ref="E33">SUM(IFERROR(LOOKUP(2,1/(Fact_Physical_Progress!$B$2:$B$34=Dim_WBS!$A$2)/(Fact_Physical_Progress!$A$2:$A$34&lt;=B33),Fact_Physical_Progress!$C$2:$C$34),0)*Dim_WBS!$E$2,IFERROR(LOOKUP(2,1/(Fact_Physical_Progress!$B$2:$B$34=Dim_WBS!$A$3)/(Fact_Physical_Progress!$A$2:$A$34&lt;=B33),Fact_Physical_Progress!$C$2:$C$34),0)*Dim_WBS!$E$3,IFERROR(LOOKUP(2,1/(Fact_Physical_Progress!$B$2:$B$34=Dim_WBS!$A$4)/(Fact_Physical_Progress!$A$2:$A$34&lt;=B33),Fact_Physical_Progress!$C$2:$C$34),0)*Dim_WBS!$E$4,IFERROR(LOOKUP(2,1/(Fact_Physical_Progress!$B$2:$B$34=Dim_WBS!$A$5)/(Fact_Physical_Progress!$A$2:$A$34&lt;=B33),Fact_Physical_Progress!$C$2:$C$34),0)*Dim_WBS!$E$5,IFERROR(LOOKUP(2,1/(Fact_Physical_Progress!$B$2:$B$34=Dim_WBS!$A$6)/(Fact_Physical_Progress!$A$2:$A$34&lt;=B33),Fact_Physical_Progress!$C$2:$C$34),0)*Dim_WBS!$E$6,IFERROR(LOOKUP(2,1/(Fact_Physical_Progress!$B$2:$B$34=Dim_WBS!$A$7)/(Fact_Physical_Progress!$A$2:$A$34&lt;=B33),Fact_Physical_Progress!$C$2:$C$34),0)*Dim_WBS!$E$7,IFERROR(LOOKUP(2,1/(Fact_Physical_Progress!$B$2:$B$34=Dim_WBS!$A$8)/(Fact_Physical_Progress!$A$2:$A$34&lt;=B33),Fact_Physical_Progress!$C$2:$C$34),0)*Dim_WBS!$E$8,IFERROR(LOOKUP(2,1/(Fact_Physical_Progress!$B$2:$B$34=Dim_WBS!$A$9)/(Fact_Physical_Progress!$A$2:$A$34&lt;=B33),Fact_Physical_Progress!$C$2:$C$34),0)*Dim_WBS!$E$9,IFERROR(LOOKUP(2,1/(Fact_Physical_Progress!$B$2:$B$34=Dim_WBS!$A$10)/(Fact_Physical_Progress!$A$2:$A$34&lt;=B33),Fact_Physical_Progress!$C$2:$C$34),0)*Dim_WBS!$E$10,IFERROR(LOOKUP(2,1/(Fact_Physical_Progress!$B$2:$B$34=Dim_WBS!$A$11)/(Fact_Physical_Progress!$A$2:$A$34&lt;=B33),Fact_Physical_Progress!$C$2:$C$34),0)*Dim_WBS!$E$11,IFERROR(LOOKUP(2,1/(Fact_Physical_Progress!$B$2:$B$34=Dim_WBS!$A$12)/(Fact_Physical_Progress!$A$2:$A$34&lt;=B33),Fact_Physical_Progress!$C$2:$C$34),0)*Dim_WBS!$E$12,IFERROR(LOOKUP(2,1/(Fact_Physical_Progress!$B$2:$B$34=Dim_WBS!$A$13)/(Fact_Physical_Progress!$A$2:$A$34&lt;=B33),Fact_Physical_Progress!$C$2:$C$34),0)*Dim_WBS!$E$13)</f>
        <v>130717.996</v>
      </c>
      <c r="F33" s="34">
        <f t="shared" si="0"/>
        <v>0.92272325558018953</v>
      </c>
      <c r="G33" s="105">
        <f t="shared" si="1"/>
        <v>0.53982240759859579</v>
      </c>
      <c r="H33">
        <f t="shared" si="2"/>
        <v>-10947.444000000003</v>
      </c>
      <c r="I33">
        <f t="shared" si="3"/>
        <v>-111432.00400000003</v>
      </c>
      <c r="J33" s="292">
        <v>46213</v>
      </c>
      <c r="K33" s="293">
        <v>242150</v>
      </c>
      <c r="L33" s="293">
        <v>141665.44</v>
      </c>
      <c r="M33" s="293">
        <v>130717.996</v>
      </c>
    </row>
    <row r="34" spans="1:16" x14ac:dyDescent="0.35">
      <c r="A34" s="84">
        <v>11</v>
      </c>
      <c r="B34" s="30">
        <f>MIN(Fact_Baseline_PV!$A:$A)+4+(10*7)</f>
        <v>46220</v>
      </c>
      <c r="C34" s="33">
        <f>SUMIFS(Fact_Baseline_PV!$C:$C,Fact_Baseline_PV!$A:$A,"&lt;="&amp;B34)</f>
        <v>257850.00000000003</v>
      </c>
      <c r="D34" s="33">
        <f>SUMIFS(Fact_Actual_Costs!$D:$D,Fact_Actual_Costs!$A:$A,"&lt;="&amp;B34)</f>
        <v>141665.44</v>
      </c>
      <c r="E34" s="33">
        <f t="array" ref="E34">SUM(IFERROR(LOOKUP(2,1/(Fact_Physical_Progress!$B$2:$B$34=Dim_WBS!$A$2)/(Fact_Physical_Progress!$A$2:$A$34&lt;=B34),Fact_Physical_Progress!$C$2:$C$34),0)*Dim_WBS!$E$2,IFERROR(LOOKUP(2,1/(Fact_Physical_Progress!$B$2:$B$34=Dim_WBS!$A$3)/(Fact_Physical_Progress!$A$2:$A$34&lt;=B34),Fact_Physical_Progress!$C$2:$C$34),0)*Dim_WBS!$E$3,IFERROR(LOOKUP(2,1/(Fact_Physical_Progress!$B$2:$B$34=Dim_WBS!$A$4)/(Fact_Physical_Progress!$A$2:$A$34&lt;=B34),Fact_Physical_Progress!$C$2:$C$34),0)*Dim_WBS!$E$4,IFERROR(LOOKUP(2,1/(Fact_Physical_Progress!$B$2:$B$34=Dim_WBS!$A$5)/(Fact_Physical_Progress!$A$2:$A$34&lt;=B34),Fact_Physical_Progress!$C$2:$C$34),0)*Dim_WBS!$E$5,IFERROR(LOOKUP(2,1/(Fact_Physical_Progress!$B$2:$B$34=Dim_WBS!$A$6)/(Fact_Physical_Progress!$A$2:$A$34&lt;=B34),Fact_Physical_Progress!$C$2:$C$34),0)*Dim_WBS!$E$6,IFERROR(LOOKUP(2,1/(Fact_Physical_Progress!$B$2:$B$34=Dim_WBS!$A$7)/(Fact_Physical_Progress!$A$2:$A$34&lt;=B34),Fact_Physical_Progress!$C$2:$C$34),0)*Dim_WBS!$E$7,IFERROR(LOOKUP(2,1/(Fact_Physical_Progress!$B$2:$B$34=Dim_WBS!$A$8)/(Fact_Physical_Progress!$A$2:$A$34&lt;=B34),Fact_Physical_Progress!$C$2:$C$34),0)*Dim_WBS!$E$8,IFERROR(LOOKUP(2,1/(Fact_Physical_Progress!$B$2:$B$34=Dim_WBS!$A$9)/(Fact_Physical_Progress!$A$2:$A$34&lt;=B34),Fact_Physical_Progress!$C$2:$C$34),0)*Dim_WBS!$E$9,IFERROR(LOOKUP(2,1/(Fact_Physical_Progress!$B$2:$B$34=Dim_WBS!$A$10)/(Fact_Physical_Progress!$A$2:$A$34&lt;=B34),Fact_Physical_Progress!$C$2:$C$34),0)*Dim_WBS!$E$10,IFERROR(LOOKUP(2,1/(Fact_Physical_Progress!$B$2:$B$34=Dim_WBS!$A$11)/(Fact_Physical_Progress!$A$2:$A$34&lt;=B34),Fact_Physical_Progress!$C$2:$C$34),0)*Dim_WBS!$E$11,IFERROR(LOOKUP(2,1/(Fact_Physical_Progress!$B$2:$B$34=Dim_WBS!$A$12)/(Fact_Physical_Progress!$A$2:$A$34&lt;=B34),Fact_Physical_Progress!$C$2:$C$34),0)*Dim_WBS!$E$12,IFERROR(LOOKUP(2,1/(Fact_Physical_Progress!$B$2:$B$34=Dim_WBS!$A$13)/(Fact_Physical_Progress!$A$2:$A$34&lt;=B34),Fact_Physical_Progress!$C$2:$C$34),0)*Dim_WBS!$E$13)</f>
        <v>130717.996</v>
      </c>
      <c r="F34" s="34">
        <f t="shared" si="0"/>
        <v>0.92272325558018953</v>
      </c>
      <c r="G34" s="105">
        <f t="shared" si="1"/>
        <v>0.50695363971301133</v>
      </c>
      <c r="H34">
        <f t="shared" si="2"/>
        <v>-10947.444000000003</v>
      </c>
      <c r="I34">
        <f t="shared" si="3"/>
        <v>-127132.00400000003</v>
      </c>
      <c r="J34" s="292">
        <v>46220</v>
      </c>
      <c r="K34" s="293">
        <v>257850</v>
      </c>
      <c r="L34" s="293">
        <v>141665.44</v>
      </c>
      <c r="M34" s="293">
        <v>130717.996</v>
      </c>
    </row>
    <row r="35" spans="1:16" x14ac:dyDescent="0.35">
      <c r="A35" s="88">
        <v>12</v>
      </c>
      <c r="B35" s="111">
        <f>MIN(Fact_Baseline_PV!$A:$A)+4+(11*7)</f>
        <v>46227</v>
      </c>
      <c r="C35" s="96">
        <f>SUMIFS(Fact_Baseline_PV!$C:$C,Fact_Baseline_PV!$A:$A,"&lt;="&amp;B35)</f>
        <v>267150</v>
      </c>
      <c r="D35" s="96">
        <f>SUMIFS(Fact_Actual_Costs!$D:$D,Fact_Actual_Costs!$A:$A,"&lt;="&amp;B35)</f>
        <v>141665.44</v>
      </c>
      <c r="E35" s="96">
        <f t="array" ref="E35">SUM(IFERROR(LOOKUP(2,1/(Fact_Physical_Progress!$B$2:$B$34=Dim_WBS!$A$2)/(Fact_Physical_Progress!$A$2:$A$34&lt;=B35),Fact_Physical_Progress!$C$2:$C$34),0)*Dim_WBS!$E$2,IFERROR(LOOKUP(2,1/(Fact_Physical_Progress!$B$2:$B$34=Dim_WBS!$A$3)/(Fact_Physical_Progress!$A$2:$A$34&lt;=B35),Fact_Physical_Progress!$C$2:$C$34),0)*Dim_WBS!$E$3,IFERROR(LOOKUP(2,1/(Fact_Physical_Progress!$B$2:$B$34=Dim_WBS!$A$4)/(Fact_Physical_Progress!$A$2:$A$34&lt;=B35),Fact_Physical_Progress!$C$2:$C$34),0)*Dim_WBS!$E$4,IFERROR(LOOKUP(2,1/(Fact_Physical_Progress!$B$2:$B$34=Dim_WBS!$A$5)/(Fact_Physical_Progress!$A$2:$A$34&lt;=B35),Fact_Physical_Progress!$C$2:$C$34),0)*Dim_WBS!$E$5,IFERROR(LOOKUP(2,1/(Fact_Physical_Progress!$B$2:$B$34=Dim_WBS!$A$6)/(Fact_Physical_Progress!$A$2:$A$34&lt;=B35),Fact_Physical_Progress!$C$2:$C$34),0)*Dim_WBS!$E$6,IFERROR(LOOKUP(2,1/(Fact_Physical_Progress!$B$2:$B$34=Dim_WBS!$A$7)/(Fact_Physical_Progress!$A$2:$A$34&lt;=B35),Fact_Physical_Progress!$C$2:$C$34),0)*Dim_WBS!$E$7,IFERROR(LOOKUP(2,1/(Fact_Physical_Progress!$B$2:$B$34=Dim_WBS!$A$8)/(Fact_Physical_Progress!$A$2:$A$34&lt;=B35),Fact_Physical_Progress!$C$2:$C$34),0)*Dim_WBS!$E$8,IFERROR(LOOKUP(2,1/(Fact_Physical_Progress!$B$2:$B$34=Dim_WBS!$A$9)/(Fact_Physical_Progress!$A$2:$A$34&lt;=B35),Fact_Physical_Progress!$C$2:$C$34),0)*Dim_WBS!$E$9,IFERROR(LOOKUP(2,1/(Fact_Physical_Progress!$B$2:$B$34=Dim_WBS!$A$10)/(Fact_Physical_Progress!$A$2:$A$34&lt;=B35),Fact_Physical_Progress!$C$2:$C$34),0)*Dim_WBS!$E$10,IFERROR(LOOKUP(2,1/(Fact_Physical_Progress!$B$2:$B$34=Dim_WBS!$A$11)/(Fact_Physical_Progress!$A$2:$A$34&lt;=B35),Fact_Physical_Progress!$C$2:$C$34),0)*Dim_WBS!$E$11,IFERROR(LOOKUP(2,1/(Fact_Physical_Progress!$B$2:$B$34=Dim_WBS!$A$12)/(Fact_Physical_Progress!$A$2:$A$34&lt;=B35),Fact_Physical_Progress!$C$2:$C$34),0)*Dim_WBS!$E$12,IFERROR(LOOKUP(2,1/(Fact_Physical_Progress!$B$2:$B$34=Dim_WBS!$A$13)/(Fact_Physical_Progress!$A$2:$A$34&lt;=B35),Fact_Physical_Progress!$C$2:$C$34),0)*Dim_WBS!$E$13)</f>
        <v>130717.996</v>
      </c>
      <c r="F35" s="114">
        <f t="shared" si="0"/>
        <v>0.92272325558018953</v>
      </c>
      <c r="G35" s="106">
        <f t="shared" si="1"/>
        <v>0.48930561856634847</v>
      </c>
      <c r="H35">
        <f t="shared" si="2"/>
        <v>-10947.444000000003</v>
      </c>
      <c r="I35">
        <f t="shared" si="3"/>
        <v>-136432.00400000002</v>
      </c>
      <c r="J35" s="292">
        <v>46227</v>
      </c>
      <c r="K35" s="293">
        <v>267150</v>
      </c>
      <c r="L35" s="293">
        <v>141665.44</v>
      </c>
      <c r="M35" s="293">
        <v>130717.996</v>
      </c>
    </row>
    <row r="36" spans="1:16" x14ac:dyDescent="0.35">
      <c r="J36" s="292">
        <v>46203</v>
      </c>
      <c r="K36" s="293"/>
      <c r="L36" s="293"/>
      <c r="M36" s="293"/>
      <c r="N36" s="292">
        <v>46203</v>
      </c>
      <c r="O36" s="293">
        <v>0</v>
      </c>
    </row>
    <row r="37" spans="1:16" x14ac:dyDescent="0.35">
      <c r="J37" s="292">
        <v>46203</v>
      </c>
      <c r="K37" s="293"/>
      <c r="L37" s="293"/>
      <c r="M37" s="293"/>
      <c r="N37" s="292">
        <v>46203</v>
      </c>
      <c r="O37" s="293">
        <v>280507.5</v>
      </c>
      <c r="P37" t="s">
        <v>830</v>
      </c>
    </row>
  </sheetData>
  <conditionalFormatting sqref="F24:G35">
    <cfRule type="cellIs" dxfId="79" priority="4" operator="lessThan">
      <formula>0.95</formula>
    </cfRule>
    <cfRule type="cellIs" dxfId="78" priority="5" operator="between">
      <formula>0.95</formula>
      <formula>0.999999</formula>
    </cfRule>
    <cfRule type="cellIs" dxfId="77" priority="6" operator="greaterThanOrEqual">
      <formula>1</formula>
    </cfRule>
  </conditionalFormatting>
  <conditionalFormatting sqref="G5:G16">
    <cfRule type="cellIs" dxfId="76" priority="1" operator="lessThan">
      <formula>0.5</formula>
    </cfRule>
    <cfRule type="cellIs" dxfId="75" priority="2" operator="between">
      <formula>0.5</formula>
      <formula>0.799999</formula>
    </cfRule>
    <cfRule type="cellIs" dxfId="74" priority="3" operator="greaterThanOrEqual">
      <formula>0.8</formula>
    </cfRule>
  </conditionalFormatting>
  <conditionalFormatting sqref="H5:H16">
    <cfRule type="expression" dxfId="73" priority="13">
      <formula>ISNUMBER(SEARCH("Red",H5))</formula>
    </cfRule>
    <cfRule type="expression" dxfId="72" priority="14">
      <formula>ISNUMBER(SEARCH("Amber",H5))</formula>
    </cfRule>
    <cfRule type="expression" dxfId="71" priority="15">
      <formula>ISNUMBER(SEARCH("Green",H5))</formula>
    </cfRule>
  </conditionalFormatting>
  <conditionalFormatting sqref="N6:N10">
    <cfRule type="expression" dxfId="70" priority="16">
      <formula>ISNUMBER(SEARCH("Red",N6))</formula>
    </cfRule>
    <cfRule type="expression" dxfId="69" priority="17">
      <formula>ISNUMBER(SEARCH("Amber",N6))</formula>
    </cfRule>
    <cfRule type="expression" dxfId="68" priority="18">
      <formula>ISNUMBER(SEARCH("Green",N6))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70AD47"/>
  </sheetPr>
  <dimension ref="A1:AH66"/>
  <sheetViews>
    <sheetView showGridLines="0" topLeftCell="A42" workbookViewId="0">
      <selection activeCell="Q1" sqref="Q1"/>
    </sheetView>
  </sheetViews>
  <sheetFormatPr defaultRowHeight="14.5" x14ac:dyDescent="0.35"/>
  <cols>
    <col min="1" max="1" width="30.90625" customWidth="1"/>
    <col min="2" max="2" width="17.26953125" customWidth="1"/>
    <col min="3" max="3" width="13.1796875" customWidth="1"/>
    <col min="4" max="4" width="13.08984375" customWidth="1"/>
    <col min="5" max="5" width="13.7265625" customWidth="1"/>
    <col min="6" max="6" width="13" customWidth="1"/>
    <col min="7" max="14" width="10" customWidth="1"/>
    <col min="15" max="15" width="13.6328125" customWidth="1"/>
  </cols>
  <sheetData>
    <row r="1" spans="1:34" ht="23.5" customHeight="1" x14ac:dyDescent="0.55000000000000004">
      <c r="A1" s="220" t="s">
        <v>801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AA1" s="27"/>
      <c r="AB1" s="27"/>
      <c r="AC1" s="27"/>
      <c r="AD1" s="27"/>
      <c r="AE1" s="27"/>
      <c r="AF1" s="27"/>
      <c r="AG1" s="27"/>
      <c r="AH1" s="27"/>
    </row>
    <row r="2" spans="1:34" x14ac:dyDescent="0.35">
      <c r="A2" s="219" t="s">
        <v>802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AA2" s="28"/>
      <c r="AB2" s="28"/>
      <c r="AC2" s="28"/>
      <c r="AD2" s="28"/>
      <c r="AE2" s="28"/>
      <c r="AF2" s="28"/>
      <c r="AG2" s="28"/>
      <c r="AH2" s="28"/>
    </row>
    <row r="4" spans="1:34" x14ac:dyDescent="0.35">
      <c r="A4" s="234" t="s">
        <v>803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4"/>
    </row>
    <row r="5" spans="1:34" x14ac:dyDescent="0.35">
      <c r="A5" s="29" t="s">
        <v>804</v>
      </c>
      <c r="B5" s="29" t="str">
        <f>Control_Project_Name</f>
        <v>Generic Master Project</v>
      </c>
      <c r="C5" s="29" t="s">
        <v>217</v>
      </c>
      <c r="D5" s="66" t="str">
        <f>Control_Project_Start</f>
        <v>2026-01-01</v>
      </c>
      <c r="E5" s="66" t="s">
        <v>220</v>
      </c>
      <c r="F5" s="66" t="str">
        <f>Control_Project_End</f>
        <v>2026-12-31</v>
      </c>
      <c r="G5" s="66" t="s">
        <v>223</v>
      </c>
      <c r="H5" s="66">
        <f>Control_Status_Date</f>
        <v>46203</v>
      </c>
      <c r="I5" s="29" t="s">
        <v>249</v>
      </c>
      <c r="J5" s="29" t="s">
        <v>805</v>
      </c>
      <c r="K5" s="29" t="s">
        <v>442</v>
      </c>
      <c r="L5" s="29" t="s">
        <v>806</v>
      </c>
      <c r="M5" s="29"/>
      <c r="N5" s="29"/>
      <c r="O5" s="29"/>
    </row>
    <row r="6" spans="1:34" x14ac:dyDescent="0.35">
      <c r="A6" s="160" t="s">
        <v>807</v>
      </c>
      <c r="B6" s="161" t="s">
        <v>808</v>
      </c>
      <c r="C6" s="161" t="s">
        <v>809</v>
      </c>
      <c r="D6" s="161" t="s">
        <v>93</v>
      </c>
      <c r="E6" s="162" t="s">
        <v>810</v>
      </c>
      <c r="F6" s="55"/>
      <c r="G6" s="55"/>
      <c r="H6" s="55"/>
      <c r="I6" s="55"/>
      <c r="J6" s="55"/>
      <c r="K6" s="55"/>
      <c r="L6" s="55"/>
      <c r="M6" s="55"/>
      <c r="N6" s="55"/>
      <c r="O6" s="55"/>
    </row>
    <row r="7" spans="1:34" ht="14" customHeight="1" x14ac:dyDescent="0.35">
      <c r="A7" s="84" t="s">
        <v>811</v>
      </c>
      <c r="B7" s="2" t="s">
        <v>812</v>
      </c>
      <c r="C7" s="2" t="s">
        <v>813</v>
      </c>
      <c r="D7" s="38" t="s">
        <v>814</v>
      </c>
      <c r="E7" s="85" t="s">
        <v>101</v>
      </c>
      <c r="F7" s="2"/>
      <c r="G7" s="2"/>
      <c r="H7" s="2"/>
      <c r="I7" s="2"/>
      <c r="J7" s="2"/>
      <c r="K7" s="2"/>
      <c r="L7" s="2"/>
      <c r="M7" s="2"/>
      <c r="N7" s="2"/>
      <c r="O7" s="2"/>
    </row>
    <row r="8" spans="1:34" ht="10" customHeight="1" x14ac:dyDescent="0.35">
      <c r="A8" s="88" t="s">
        <v>815</v>
      </c>
      <c r="B8" s="89" t="s">
        <v>816</v>
      </c>
      <c r="C8" s="89" t="s">
        <v>817</v>
      </c>
      <c r="D8" s="81" t="s">
        <v>818</v>
      </c>
      <c r="E8" s="90" t="s">
        <v>101</v>
      </c>
      <c r="F8" s="2"/>
      <c r="G8" s="2"/>
      <c r="H8" s="2"/>
      <c r="I8" s="2"/>
      <c r="J8" s="2"/>
      <c r="K8" s="2"/>
      <c r="L8" s="2"/>
      <c r="M8" s="2"/>
      <c r="N8" s="2"/>
      <c r="O8" s="2"/>
    </row>
    <row r="9" spans="1:34" x14ac:dyDescent="0.35">
      <c r="K9" s="290" t="s">
        <v>867</v>
      </c>
    </row>
    <row r="10" spans="1:34" x14ac:dyDescent="0.35">
      <c r="A10" s="234" t="s">
        <v>819</v>
      </c>
      <c r="B10" s="223"/>
      <c r="C10" s="223"/>
      <c r="D10" s="223"/>
      <c r="E10" s="223"/>
      <c r="F10" s="223"/>
      <c r="G10" s="223"/>
      <c r="H10" s="223"/>
      <c r="I10" s="223"/>
      <c r="J10" s="223"/>
      <c r="K10" s="291"/>
      <c r="L10" s="223"/>
      <c r="M10" s="223"/>
      <c r="N10" s="223"/>
      <c r="O10" s="224"/>
      <c r="AA10" s="51"/>
      <c r="AB10" s="51"/>
      <c r="AC10" s="51"/>
      <c r="AD10" s="51"/>
      <c r="AE10" s="51"/>
      <c r="AF10" s="51"/>
      <c r="AG10" s="51"/>
      <c r="AH10" s="51"/>
    </row>
    <row r="11" spans="1:34" x14ac:dyDescent="0.35">
      <c r="A11" s="29" t="s">
        <v>566</v>
      </c>
      <c r="B11" s="29" t="s">
        <v>820</v>
      </c>
      <c r="C11" s="66">
        <v>46146</v>
      </c>
      <c r="D11" s="66">
        <v>46153</v>
      </c>
      <c r="E11" s="66">
        <v>46160</v>
      </c>
      <c r="F11" s="66">
        <v>46167</v>
      </c>
      <c r="G11" s="66">
        <v>46174</v>
      </c>
      <c r="H11" s="66">
        <v>46181</v>
      </c>
      <c r="I11" s="66">
        <v>46188</v>
      </c>
      <c r="J11" s="273">
        <v>46195</v>
      </c>
      <c r="K11" s="283">
        <v>46202</v>
      </c>
      <c r="L11" s="279">
        <v>46209</v>
      </c>
      <c r="M11" s="66">
        <v>46216</v>
      </c>
      <c r="N11" s="66">
        <v>46223</v>
      </c>
      <c r="O11" s="29" t="s">
        <v>429</v>
      </c>
    </row>
    <row r="12" spans="1:34" x14ac:dyDescent="0.35">
      <c r="A12" s="29"/>
      <c r="B12" s="29"/>
      <c r="C12" s="29">
        <v>1</v>
      </c>
      <c r="D12" s="29">
        <v>2</v>
      </c>
      <c r="E12" s="29">
        <v>3</v>
      </c>
      <c r="F12" s="29">
        <v>4</v>
      </c>
      <c r="G12" s="29">
        <v>5</v>
      </c>
      <c r="H12" s="29">
        <v>6</v>
      </c>
      <c r="I12" s="29">
        <v>7</v>
      </c>
      <c r="J12" s="274">
        <v>8</v>
      </c>
      <c r="K12" s="284">
        <v>9</v>
      </c>
      <c r="L12" s="83">
        <v>10</v>
      </c>
      <c r="M12" s="29">
        <v>11</v>
      </c>
      <c r="N12" s="29">
        <v>12</v>
      </c>
      <c r="O12" s="29"/>
    </row>
    <row r="13" spans="1:34" x14ac:dyDescent="0.35">
      <c r="A13" s="9" t="s">
        <v>708</v>
      </c>
      <c r="B13" s="9" t="s">
        <v>647</v>
      </c>
      <c r="C13" s="34">
        <v>1.05</v>
      </c>
      <c r="D13" s="34">
        <v>1.05</v>
      </c>
      <c r="E13" s="34">
        <v>1.05</v>
      </c>
      <c r="F13" s="34">
        <v>1.05</v>
      </c>
      <c r="G13" s="34">
        <v>1.05</v>
      </c>
      <c r="H13" s="34">
        <v>1.05</v>
      </c>
      <c r="I13" s="34" t="s">
        <v>821</v>
      </c>
      <c r="J13" s="105" t="s">
        <v>821</v>
      </c>
      <c r="K13" s="285" t="s">
        <v>821</v>
      </c>
      <c r="L13" s="280" t="s">
        <v>821</v>
      </c>
      <c r="M13" s="34" t="s">
        <v>821</v>
      </c>
      <c r="N13" s="34" t="s">
        <v>821</v>
      </c>
      <c r="O13" s="67">
        <v>6.3</v>
      </c>
    </row>
    <row r="14" spans="1:34" x14ac:dyDescent="0.35">
      <c r="A14" s="9" t="s">
        <v>19</v>
      </c>
      <c r="B14" s="9" t="s">
        <v>647</v>
      </c>
      <c r="C14" s="34">
        <v>3.95</v>
      </c>
      <c r="D14" s="34"/>
      <c r="E14" s="34"/>
      <c r="F14" s="34"/>
      <c r="G14" s="34"/>
      <c r="H14" s="34"/>
      <c r="I14" s="34"/>
      <c r="J14" s="105"/>
      <c r="K14" s="285"/>
      <c r="L14" s="280"/>
      <c r="M14" s="34"/>
      <c r="N14" s="34"/>
      <c r="O14" s="67">
        <v>3.95</v>
      </c>
    </row>
    <row r="15" spans="1:34" x14ac:dyDescent="0.35">
      <c r="A15" s="6" t="s">
        <v>25</v>
      </c>
      <c r="B15" s="6" t="s">
        <v>647</v>
      </c>
      <c r="C15" s="34">
        <v>2.5</v>
      </c>
      <c r="D15" s="34">
        <v>2.5</v>
      </c>
      <c r="E15" s="34">
        <v>2.6</v>
      </c>
      <c r="F15" s="34"/>
      <c r="G15" s="34"/>
      <c r="H15" s="34"/>
      <c r="I15" s="34"/>
      <c r="J15" s="105"/>
      <c r="K15" s="285"/>
      <c r="L15" s="280"/>
      <c r="M15" s="34"/>
      <c r="N15" s="34"/>
      <c r="O15" s="69">
        <v>7.6</v>
      </c>
    </row>
    <row r="16" spans="1:34" x14ac:dyDescent="0.35">
      <c r="A16" s="6" t="s">
        <v>29</v>
      </c>
      <c r="B16" s="6" t="s">
        <v>648</v>
      </c>
      <c r="C16" s="34"/>
      <c r="D16" s="34" t="s">
        <v>821</v>
      </c>
      <c r="E16" s="34" t="s">
        <v>821</v>
      </c>
      <c r="F16" s="34" t="s">
        <v>821</v>
      </c>
      <c r="G16" s="34" t="s">
        <v>821</v>
      </c>
      <c r="H16" s="34"/>
      <c r="I16" s="34"/>
      <c r="J16" s="105"/>
      <c r="K16" s="285"/>
      <c r="L16" s="280"/>
      <c r="M16" s="34"/>
      <c r="N16" s="34"/>
      <c r="O16" s="69">
        <v>0</v>
      </c>
    </row>
    <row r="17" spans="1:15" x14ac:dyDescent="0.35">
      <c r="A17" s="9" t="s">
        <v>34</v>
      </c>
      <c r="B17" s="9" t="s">
        <v>647</v>
      </c>
      <c r="C17" s="34"/>
      <c r="D17" s="34">
        <v>2.0499999999999998</v>
      </c>
      <c r="E17" s="34">
        <v>2.1</v>
      </c>
      <c r="F17" s="34">
        <v>1.9</v>
      </c>
      <c r="G17" s="34"/>
      <c r="H17" s="34"/>
      <c r="I17" s="34"/>
      <c r="J17" s="105"/>
      <c r="K17" s="285"/>
      <c r="L17" s="280"/>
      <c r="M17" s="34"/>
      <c r="N17" s="34"/>
      <c r="O17" s="67">
        <v>6.05</v>
      </c>
    </row>
    <row r="18" spans="1:15" x14ac:dyDescent="0.35">
      <c r="A18" s="9" t="s">
        <v>36</v>
      </c>
      <c r="B18" s="9" t="s">
        <v>647</v>
      </c>
      <c r="C18" s="34"/>
      <c r="D18" s="34"/>
      <c r="E18" s="34"/>
      <c r="F18" s="34">
        <v>3.45</v>
      </c>
      <c r="G18" s="34">
        <v>3.4</v>
      </c>
      <c r="H18" s="34">
        <v>3.25</v>
      </c>
      <c r="I18" s="34"/>
      <c r="J18" s="105"/>
      <c r="K18" s="285"/>
      <c r="L18" s="280"/>
      <c r="M18" s="34"/>
      <c r="N18" s="34"/>
      <c r="O18" s="67">
        <v>10.1</v>
      </c>
    </row>
    <row r="19" spans="1:15" x14ac:dyDescent="0.35">
      <c r="A19" s="9" t="s">
        <v>38</v>
      </c>
      <c r="B19" s="9" t="s">
        <v>649</v>
      </c>
      <c r="C19" s="34"/>
      <c r="D19" s="34"/>
      <c r="E19" s="34"/>
      <c r="F19" s="34"/>
      <c r="G19" s="34" t="s">
        <v>821</v>
      </c>
      <c r="H19" s="34" t="s">
        <v>821</v>
      </c>
      <c r="I19" s="34" t="s">
        <v>821</v>
      </c>
      <c r="J19" s="105" t="s">
        <v>821</v>
      </c>
      <c r="K19" s="285"/>
      <c r="L19" s="280"/>
      <c r="M19" s="34"/>
      <c r="N19" s="34"/>
      <c r="O19" s="67">
        <v>0</v>
      </c>
    </row>
    <row r="20" spans="1:15" x14ac:dyDescent="0.35">
      <c r="A20" s="9" t="s">
        <v>40</v>
      </c>
      <c r="B20" s="9" t="s">
        <v>649</v>
      </c>
      <c r="C20" s="34"/>
      <c r="D20" s="34"/>
      <c r="E20" s="34"/>
      <c r="F20" s="34"/>
      <c r="G20" s="34"/>
      <c r="H20" s="34" t="s">
        <v>821</v>
      </c>
      <c r="I20" s="34" t="s">
        <v>821</v>
      </c>
      <c r="J20" s="105" t="s">
        <v>821</v>
      </c>
      <c r="K20" s="285" t="s">
        <v>821</v>
      </c>
      <c r="L20" s="280"/>
      <c r="M20" s="34"/>
      <c r="N20" s="34"/>
      <c r="O20" s="67">
        <v>0</v>
      </c>
    </row>
    <row r="21" spans="1:15" x14ac:dyDescent="0.35">
      <c r="A21" s="9" t="s">
        <v>42</v>
      </c>
      <c r="B21" s="9" t="s">
        <v>648</v>
      </c>
      <c r="C21" s="34"/>
      <c r="D21" s="34"/>
      <c r="E21" s="34"/>
      <c r="F21" s="34"/>
      <c r="G21" s="34"/>
      <c r="H21" s="34"/>
      <c r="I21" s="34"/>
      <c r="J21" s="105" t="s">
        <v>821</v>
      </c>
      <c r="K21" s="285" t="s">
        <v>821</v>
      </c>
      <c r="L21" s="280" t="s">
        <v>821</v>
      </c>
      <c r="M21" s="34"/>
      <c r="N21" s="34"/>
      <c r="O21" s="67">
        <v>0</v>
      </c>
    </row>
    <row r="22" spans="1:15" x14ac:dyDescent="0.35">
      <c r="A22" s="9" t="s">
        <v>44</v>
      </c>
      <c r="B22" s="9" t="s">
        <v>648</v>
      </c>
      <c r="C22" s="34"/>
      <c r="D22" s="34"/>
      <c r="E22" s="34"/>
      <c r="F22" s="34"/>
      <c r="G22" s="34"/>
      <c r="H22" s="34"/>
      <c r="I22" s="34"/>
      <c r="J22" s="105"/>
      <c r="K22" s="285" t="s">
        <v>821</v>
      </c>
      <c r="L22" s="280" t="s">
        <v>821</v>
      </c>
      <c r="M22" s="34" t="s">
        <v>821</v>
      </c>
      <c r="N22" s="34"/>
      <c r="O22" s="67">
        <v>0</v>
      </c>
    </row>
    <row r="23" spans="1:15" x14ac:dyDescent="0.35">
      <c r="A23" s="6" t="s">
        <v>46</v>
      </c>
      <c r="B23" s="6" t="s">
        <v>647</v>
      </c>
      <c r="C23" s="34"/>
      <c r="D23" s="34"/>
      <c r="E23" s="34"/>
      <c r="F23" s="34"/>
      <c r="G23" s="34"/>
      <c r="H23" s="34"/>
      <c r="I23" s="34"/>
      <c r="J23" s="105"/>
      <c r="K23" s="285"/>
      <c r="L23" s="280"/>
      <c r="M23" s="34" t="s">
        <v>821</v>
      </c>
      <c r="N23" s="34" t="s">
        <v>821</v>
      </c>
      <c r="O23" s="69">
        <v>0</v>
      </c>
    </row>
    <row r="24" spans="1:15" x14ac:dyDescent="0.35">
      <c r="A24" s="6" t="s">
        <v>48</v>
      </c>
      <c r="B24" s="6" t="s">
        <v>647</v>
      </c>
      <c r="C24" s="34"/>
      <c r="D24" s="34"/>
      <c r="E24" s="34"/>
      <c r="F24" s="34"/>
      <c r="G24" s="34"/>
      <c r="H24" s="34"/>
      <c r="I24" s="34"/>
      <c r="J24" s="105"/>
      <c r="K24" s="285"/>
      <c r="L24" s="280"/>
      <c r="M24" s="34"/>
      <c r="N24" s="34" t="s">
        <v>821</v>
      </c>
      <c r="O24" s="69">
        <v>0</v>
      </c>
    </row>
    <row r="25" spans="1:15" x14ac:dyDescent="0.35">
      <c r="A25" s="39" t="s">
        <v>822</v>
      </c>
      <c r="B25" s="39"/>
      <c r="C25" s="41">
        <v>7.5</v>
      </c>
      <c r="D25" s="41">
        <v>5.6</v>
      </c>
      <c r="E25" s="41">
        <v>5.75</v>
      </c>
      <c r="F25" s="41">
        <v>6.4</v>
      </c>
      <c r="G25" s="41">
        <v>4.45</v>
      </c>
      <c r="H25" s="41">
        <v>4.3</v>
      </c>
      <c r="I25" s="41">
        <v>0</v>
      </c>
      <c r="J25" s="275">
        <v>0</v>
      </c>
      <c r="K25" s="286">
        <v>0</v>
      </c>
      <c r="L25" s="281">
        <v>0</v>
      </c>
      <c r="M25" s="41">
        <v>0</v>
      </c>
      <c r="N25" s="41">
        <v>0</v>
      </c>
      <c r="O25" s="41">
        <v>34</v>
      </c>
    </row>
    <row r="26" spans="1:15" x14ac:dyDescent="0.35">
      <c r="J26" s="276"/>
      <c r="K26" s="287"/>
      <c r="L26" s="276"/>
    </row>
    <row r="27" spans="1:15" x14ac:dyDescent="0.35">
      <c r="J27" s="276"/>
      <c r="K27" s="287"/>
      <c r="L27" s="276"/>
    </row>
    <row r="28" spans="1:15" x14ac:dyDescent="0.35">
      <c r="A28" s="234" t="s">
        <v>823</v>
      </c>
      <c r="B28" s="223"/>
      <c r="C28" s="223"/>
      <c r="D28" s="223"/>
      <c r="E28" s="223"/>
      <c r="F28" s="223"/>
      <c r="G28" s="223"/>
      <c r="H28" s="223"/>
      <c r="I28" s="223"/>
      <c r="J28" s="277"/>
      <c r="K28" s="288"/>
      <c r="L28" s="277"/>
      <c r="M28" s="223"/>
      <c r="N28" s="223"/>
      <c r="O28" s="224"/>
    </row>
    <row r="29" spans="1:15" x14ac:dyDescent="0.35">
      <c r="A29" s="29" t="s">
        <v>566</v>
      </c>
      <c r="B29" s="29" t="s">
        <v>824</v>
      </c>
      <c r="C29" s="66">
        <v>46146</v>
      </c>
      <c r="D29" s="66">
        <v>46153</v>
      </c>
      <c r="E29" s="66">
        <v>46160</v>
      </c>
      <c r="F29" s="66">
        <v>46167</v>
      </c>
      <c r="G29" s="66">
        <v>46174</v>
      </c>
      <c r="H29" s="66">
        <v>46181</v>
      </c>
      <c r="I29" s="66">
        <v>46188</v>
      </c>
      <c r="J29" s="273">
        <v>46195</v>
      </c>
      <c r="K29" s="283">
        <v>46202</v>
      </c>
      <c r="L29" s="279">
        <v>46209</v>
      </c>
      <c r="M29" s="66">
        <v>46216</v>
      </c>
      <c r="N29" s="66">
        <v>46223</v>
      </c>
      <c r="O29" s="29" t="s">
        <v>429</v>
      </c>
    </row>
    <row r="30" spans="1:15" x14ac:dyDescent="0.35">
      <c r="A30" s="29"/>
      <c r="B30" s="29"/>
      <c r="C30" s="29">
        <v>1</v>
      </c>
      <c r="D30" s="29">
        <v>2</v>
      </c>
      <c r="E30" s="29">
        <v>3</v>
      </c>
      <c r="F30" s="29">
        <v>4</v>
      </c>
      <c r="G30" s="29">
        <v>5</v>
      </c>
      <c r="H30" s="29">
        <v>6</v>
      </c>
      <c r="I30" s="29">
        <v>7</v>
      </c>
      <c r="J30" s="274">
        <v>8</v>
      </c>
      <c r="K30" s="284">
        <v>9</v>
      </c>
      <c r="L30" s="83">
        <v>10</v>
      </c>
      <c r="M30" s="29">
        <v>11</v>
      </c>
      <c r="N30" s="29">
        <v>12</v>
      </c>
      <c r="O30" s="29"/>
    </row>
    <row r="31" spans="1:15" x14ac:dyDescent="0.35">
      <c r="A31" s="9" t="s">
        <v>708</v>
      </c>
      <c r="B31" s="9" t="s">
        <v>647</v>
      </c>
      <c r="C31" s="33">
        <v>1600</v>
      </c>
      <c r="D31" s="33">
        <v>1600</v>
      </c>
      <c r="E31" s="33">
        <v>1600</v>
      </c>
      <c r="F31" s="33">
        <v>1600</v>
      </c>
      <c r="G31" s="33">
        <v>1600</v>
      </c>
      <c r="H31" s="33">
        <v>1600</v>
      </c>
      <c r="I31" s="33" t="s">
        <v>821</v>
      </c>
      <c r="J31" s="92" t="s">
        <v>821</v>
      </c>
      <c r="K31" s="289" t="s">
        <v>821</v>
      </c>
      <c r="L31" s="282" t="s">
        <v>821</v>
      </c>
      <c r="M31" s="33" t="s">
        <v>821</v>
      </c>
      <c r="N31" s="33" t="s">
        <v>821</v>
      </c>
      <c r="O31" s="68">
        <v>9600</v>
      </c>
    </row>
    <row r="32" spans="1:15" x14ac:dyDescent="0.35">
      <c r="A32" s="9" t="s">
        <v>19</v>
      </c>
      <c r="B32" s="9" t="s">
        <v>647</v>
      </c>
      <c r="C32" s="33">
        <v>8700</v>
      </c>
      <c r="D32" s="33"/>
      <c r="E32" s="33"/>
      <c r="F32" s="33"/>
      <c r="G32" s="33"/>
      <c r="H32" s="33"/>
      <c r="I32" s="33"/>
      <c r="J32" s="92"/>
      <c r="K32" s="289"/>
      <c r="L32" s="282"/>
      <c r="M32" s="33"/>
      <c r="N32" s="33"/>
      <c r="O32" s="68">
        <v>8700</v>
      </c>
    </row>
    <row r="33" spans="1:15" x14ac:dyDescent="0.35">
      <c r="A33" s="6" t="s">
        <v>25</v>
      </c>
      <c r="B33" s="6" t="s">
        <v>647</v>
      </c>
      <c r="C33" s="33">
        <v>5995.04</v>
      </c>
      <c r="D33" s="33">
        <v>6000</v>
      </c>
      <c r="E33" s="33">
        <v>6200</v>
      </c>
      <c r="F33" s="33"/>
      <c r="G33" s="33"/>
      <c r="H33" s="33"/>
      <c r="I33" s="33"/>
      <c r="J33" s="92"/>
      <c r="K33" s="289"/>
      <c r="L33" s="282"/>
      <c r="M33" s="33"/>
      <c r="N33" s="33"/>
      <c r="O33" s="70">
        <v>18195.04</v>
      </c>
    </row>
    <row r="34" spans="1:15" x14ac:dyDescent="0.35">
      <c r="A34" s="6" t="s">
        <v>29</v>
      </c>
      <c r="B34" s="6" t="s">
        <v>648</v>
      </c>
      <c r="C34" s="33"/>
      <c r="D34" s="33">
        <v>10500</v>
      </c>
      <c r="E34" s="33">
        <v>10200</v>
      </c>
      <c r="F34" s="33">
        <v>10200</v>
      </c>
      <c r="G34" s="33">
        <v>10400</v>
      </c>
      <c r="H34" s="33"/>
      <c r="I34" s="33"/>
      <c r="J34" s="92"/>
      <c r="K34" s="289"/>
      <c r="L34" s="282"/>
      <c r="M34" s="33"/>
      <c r="N34" s="33"/>
      <c r="O34" s="70">
        <v>41300</v>
      </c>
    </row>
    <row r="35" spans="1:15" x14ac:dyDescent="0.35">
      <c r="A35" s="9" t="s">
        <v>34</v>
      </c>
      <c r="B35" s="9" t="s">
        <v>647</v>
      </c>
      <c r="C35" s="33"/>
      <c r="D35" s="33">
        <v>4554.08</v>
      </c>
      <c r="E35" s="33">
        <v>4654.08</v>
      </c>
      <c r="F35" s="33">
        <v>4200</v>
      </c>
      <c r="G35" s="33"/>
      <c r="H35" s="33"/>
      <c r="I35" s="33"/>
      <c r="J35" s="33"/>
      <c r="K35" s="278"/>
      <c r="L35" s="33"/>
      <c r="M35" s="33"/>
      <c r="N35" s="33"/>
      <c r="O35" s="68">
        <v>13408.16</v>
      </c>
    </row>
    <row r="36" spans="1:15" x14ac:dyDescent="0.35">
      <c r="A36" s="9" t="s">
        <v>36</v>
      </c>
      <c r="B36" s="9" t="s">
        <v>647</v>
      </c>
      <c r="C36" s="33"/>
      <c r="D36" s="33"/>
      <c r="E36" s="33"/>
      <c r="F36" s="33">
        <v>8906.24</v>
      </c>
      <c r="G36" s="33">
        <v>8800</v>
      </c>
      <c r="H36" s="33">
        <v>8500</v>
      </c>
      <c r="I36" s="33"/>
      <c r="J36" s="33"/>
      <c r="K36" s="71"/>
      <c r="L36" s="33"/>
      <c r="M36" s="33"/>
      <c r="N36" s="33"/>
      <c r="O36" s="68">
        <v>26206.240000000002</v>
      </c>
    </row>
    <row r="37" spans="1:15" x14ac:dyDescent="0.35">
      <c r="A37" s="9" t="s">
        <v>38</v>
      </c>
      <c r="B37" s="9" t="s">
        <v>649</v>
      </c>
      <c r="C37" s="33"/>
      <c r="D37" s="33"/>
      <c r="E37" s="33"/>
      <c r="F37" s="33"/>
      <c r="G37" s="33">
        <v>8676.7999999999993</v>
      </c>
      <c r="H37" s="33">
        <v>8800</v>
      </c>
      <c r="I37" s="33" t="s">
        <v>821</v>
      </c>
      <c r="J37" s="33" t="s">
        <v>821</v>
      </c>
      <c r="K37" s="71"/>
      <c r="L37" s="33"/>
      <c r="M37" s="33"/>
      <c r="N37" s="33"/>
      <c r="O37" s="68">
        <v>17476.8</v>
      </c>
    </row>
    <row r="38" spans="1:15" x14ac:dyDescent="0.35">
      <c r="A38" s="9" t="s">
        <v>40</v>
      </c>
      <c r="B38" s="9" t="s">
        <v>649</v>
      </c>
      <c r="C38" s="33"/>
      <c r="D38" s="33"/>
      <c r="E38" s="33"/>
      <c r="F38" s="33"/>
      <c r="G38" s="33"/>
      <c r="H38" s="33">
        <v>7099.2</v>
      </c>
      <c r="I38" s="33" t="s">
        <v>821</v>
      </c>
      <c r="J38" s="33" t="s">
        <v>821</v>
      </c>
      <c r="K38" s="71" t="s">
        <v>821</v>
      </c>
      <c r="L38" s="33"/>
      <c r="M38" s="33"/>
      <c r="N38" s="33"/>
      <c r="O38" s="68">
        <v>7099.2</v>
      </c>
    </row>
    <row r="39" spans="1:15" x14ac:dyDescent="0.35">
      <c r="A39" s="9" t="s">
        <v>42</v>
      </c>
      <c r="B39" s="9" t="s">
        <v>648</v>
      </c>
      <c r="C39" s="33"/>
      <c r="D39" s="33"/>
      <c r="E39" s="33"/>
      <c r="F39" s="33"/>
      <c r="G39" s="33"/>
      <c r="H39" s="33"/>
      <c r="I39" s="33"/>
      <c r="J39" s="33" t="s">
        <v>821</v>
      </c>
      <c r="K39" s="71" t="s">
        <v>821</v>
      </c>
      <c r="L39" s="33" t="s">
        <v>821</v>
      </c>
      <c r="M39" s="33"/>
      <c r="N39" s="33"/>
      <c r="O39" s="68">
        <v>0</v>
      </c>
    </row>
    <row r="40" spans="1:15" x14ac:dyDescent="0.35">
      <c r="A40" s="9" t="s">
        <v>44</v>
      </c>
      <c r="B40" s="9" t="s">
        <v>648</v>
      </c>
      <c r="C40" s="33"/>
      <c r="D40" s="33"/>
      <c r="E40" s="33"/>
      <c r="F40" s="33"/>
      <c r="G40" s="33"/>
      <c r="H40" s="33"/>
      <c r="I40" s="33"/>
      <c r="J40" s="33"/>
      <c r="K40" s="71" t="s">
        <v>821</v>
      </c>
      <c r="L40" s="33" t="s">
        <v>821</v>
      </c>
      <c r="M40" s="33" t="s">
        <v>821</v>
      </c>
      <c r="N40" s="33"/>
      <c r="O40" s="68">
        <v>0</v>
      </c>
    </row>
    <row r="41" spans="1:15" x14ac:dyDescent="0.35">
      <c r="A41" s="6" t="s">
        <v>46</v>
      </c>
      <c r="B41" s="6" t="s">
        <v>647</v>
      </c>
      <c r="C41" s="33"/>
      <c r="D41" s="33"/>
      <c r="E41" s="33"/>
      <c r="F41" s="33"/>
      <c r="G41" s="33"/>
      <c r="H41" s="33"/>
      <c r="I41" s="33"/>
      <c r="J41" s="33"/>
      <c r="K41" s="71"/>
      <c r="L41" s="33"/>
      <c r="M41" s="33" t="s">
        <v>821</v>
      </c>
      <c r="N41" s="33" t="s">
        <v>821</v>
      </c>
      <c r="O41" s="70">
        <v>0</v>
      </c>
    </row>
    <row r="42" spans="1:15" x14ac:dyDescent="0.35">
      <c r="A42" s="6" t="s">
        <v>48</v>
      </c>
      <c r="B42" s="6" t="s">
        <v>647</v>
      </c>
      <c r="C42" s="33"/>
      <c r="D42" s="33"/>
      <c r="E42" s="33"/>
      <c r="F42" s="33"/>
      <c r="G42" s="33"/>
      <c r="H42" s="33"/>
      <c r="I42" s="33"/>
      <c r="J42" s="33"/>
      <c r="K42" s="71"/>
      <c r="L42" s="33"/>
      <c r="M42" s="33"/>
      <c r="N42" s="33" t="s">
        <v>821</v>
      </c>
      <c r="O42" s="70">
        <v>0</v>
      </c>
    </row>
    <row r="43" spans="1:15" x14ac:dyDescent="0.35">
      <c r="A43" s="39" t="s">
        <v>825</v>
      </c>
      <c r="B43" s="39"/>
      <c r="C43" s="40">
        <v>16295.04</v>
      </c>
      <c r="D43" s="40">
        <v>22654.080000000002</v>
      </c>
      <c r="E43" s="40">
        <v>22654.080000000002</v>
      </c>
      <c r="F43" s="40">
        <v>24906.240000000002</v>
      </c>
      <c r="G43" s="40">
        <v>29476.799999999999</v>
      </c>
      <c r="H43" s="40">
        <v>25999.200000000001</v>
      </c>
      <c r="I43" s="40">
        <v>0</v>
      </c>
      <c r="J43" s="40">
        <v>0</v>
      </c>
      <c r="K43" s="72">
        <v>0</v>
      </c>
      <c r="L43" s="40">
        <v>0</v>
      </c>
      <c r="M43" s="40">
        <v>0</v>
      </c>
      <c r="N43" s="40">
        <v>0</v>
      </c>
      <c r="O43" s="40">
        <v>141985.44</v>
      </c>
    </row>
    <row r="46" spans="1:15" x14ac:dyDescent="0.35">
      <c r="A46" s="86" t="s">
        <v>566</v>
      </c>
      <c r="B46" s="80" t="s">
        <v>249</v>
      </c>
      <c r="C46" s="80" t="s">
        <v>558</v>
      </c>
      <c r="D46" s="80" t="s">
        <v>559</v>
      </c>
      <c r="E46" s="80" t="s">
        <v>261</v>
      </c>
      <c r="F46" s="80" t="s">
        <v>560</v>
      </c>
      <c r="G46" s="80" t="s">
        <v>270</v>
      </c>
      <c r="H46" s="80" t="s">
        <v>274</v>
      </c>
      <c r="I46" s="80" t="s">
        <v>8</v>
      </c>
      <c r="J46" s="80" t="s">
        <v>9</v>
      </c>
      <c r="K46" s="87" t="s">
        <v>10</v>
      </c>
    </row>
    <row r="47" spans="1:15" x14ac:dyDescent="0.35">
      <c r="A47" s="163" t="s">
        <v>708</v>
      </c>
      <c r="B47" s="68">
        <v>18000</v>
      </c>
      <c r="C47" s="68">
        <v>13500</v>
      </c>
      <c r="D47" s="68">
        <v>9600</v>
      </c>
      <c r="E47" s="73">
        <v>0.5</v>
      </c>
      <c r="F47" s="68">
        <v>9000</v>
      </c>
      <c r="G47" s="68">
        <v>-4500</v>
      </c>
      <c r="H47" s="68">
        <v>-600</v>
      </c>
      <c r="I47" s="67">
        <v>0.66666666666666696</v>
      </c>
      <c r="J47" s="67">
        <v>0.9375</v>
      </c>
      <c r="K47" s="165" t="s">
        <v>20</v>
      </c>
    </row>
    <row r="48" spans="1:15" x14ac:dyDescent="0.35">
      <c r="A48" s="163" t="s">
        <v>19</v>
      </c>
      <c r="B48" s="68">
        <v>8500</v>
      </c>
      <c r="C48" s="68">
        <v>8500</v>
      </c>
      <c r="D48" s="68">
        <v>8700</v>
      </c>
      <c r="E48" s="73">
        <v>1</v>
      </c>
      <c r="F48" s="68">
        <v>8500</v>
      </c>
      <c r="G48" s="68">
        <v>0</v>
      </c>
      <c r="H48" s="68">
        <v>-200</v>
      </c>
      <c r="I48" s="67">
        <v>1</v>
      </c>
      <c r="J48" s="67">
        <v>0.97701149425287404</v>
      </c>
      <c r="K48" s="165" t="s">
        <v>20</v>
      </c>
    </row>
    <row r="49" spans="1:11" x14ac:dyDescent="0.35">
      <c r="A49" s="164" t="s">
        <v>25</v>
      </c>
      <c r="B49" s="70">
        <v>19200</v>
      </c>
      <c r="C49" s="70">
        <v>19200</v>
      </c>
      <c r="D49" s="70">
        <v>18195.04</v>
      </c>
      <c r="E49" s="74">
        <v>1</v>
      </c>
      <c r="F49" s="70">
        <v>19200</v>
      </c>
      <c r="G49" s="70">
        <v>0</v>
      </c>
      <c r="H49" s="70">
        <v>1004.96</v>
      </c>
      <c r="I49" s="69">
        <v>1</v>
      </c>
      <c r="J49" s="69">
        <v>1.0552326348279499</v>
      </c>
      <c r="K49" s="166" t="s">
        <v>15</v>
      </c>
    </row>
    <row r="50" spans="1:11" x14ac:dyDescent="0.35">
      <c r="A50" s="164" t="s">
        <v>29</v>
      </c>
      <c r="B50" s="70">
        <v>42000</v>
      </c>
      <c r="C50" s="70">
        <v>42000</v>
      </c>
      <c r="D50" s="70">
        <v>41300</v>
      </c>
      <c r="E50" s="74">
        <v>1</v>
      </c>
      <c r="F50" s="70">
        <v>42000</v>
      </c>
      <c r="G50" s="70">
        <v>0</v>
      </c>
      <c r="H50" s="70">
        <v>700</v>
      </c>
      <c r="I50" s="69">
        <v>1</v>
      </c>
      <c r="J50" s="69">
        <v>1.0169491525423699</v>
      </c>
      <c r="K50" s="166" t="s">
        <v>15</v>
      </c>
    </row>
    <row r="51" spans="1:11" x14ac:dyDescent="0.35">
      <c r="A51" s="163" t="s">
        <v>34</v>
      </c>
      <c r="B51" s="68">
        <v>13200</v>
      </c>
      <c r="C51" s="68">
        <v>13200</v>
      </c>
      <c r="D51" s="68">
        <v>13408.16</v>
      </c>
      <c r="E51" s="73">
        <v>1</v>
      </c>
      <c r="F51" s="68">
        <v>13200</v>
      </c>
      <c r="G51" s="68">
        <v>0</v>
      </c>
      <c r="H51" s="68">
        <v>-208.15999999999801</v>
      </c>
      <c r="I51" s="67">
        <v>1</v>
      </c>
      <c r="J51" s="67">
        <v>0.98447512559516004</v>
      </c>
      <c r="K51" s="165" t="s">
        <v>20</v>
      </c>
    </row>
    <row r="52" spans="1:11" x14ac:dyDescent="0.35">
      <c r="A52" s="163" t="s">
        <v>36</v>
      </c>
      <c r="B52" s="68">
        <v>26000</v>
      </c>
      <c r="C52" s="68">
        <v>26000</v>
      </c>
      <c r="D52" s="68">
        <v>26206.240000000002</v>
      </c>
      <c r="E52" s="73">
        <v>0.7</v>
      </c>
      <c r="F52" s="68">
        <v>18200</v>
      </c>
      <c r="G52" s="68">
        <v>-7800</v>
      </c>
      <c r="H52" s="68">
        <v>-8006.24</v>
      </c>
      <c r="I52" s="67">
        <v>0.7</v>
      </c>
      <c r="J52" s="67">
        <v>0.69449108303976503</v>
      </c>
      <c r="K52" s="165" t="s">
        <v>20</v>
      </c>
    </row>
    <row r="53" spans="1:11" x14ac:dyDescent="0.35">
      <c r="A53" s="163" t="s">
        <v>38</v>
      </c>
      <c r="B53" s="68">
        <v>36000</v>
      </c>
      <c r="C53" s="68">
        <v>36000</v>
      </c>
      <c r="D53" s="68">
        <v>17476.8</v>
      </c>
      <c r="E53" s="73">
        <v>0.4</v>
      </c>
      <c r="F53" s="68">
        <v>14400</v>
      </c>
      <c r="G53" s="68">
        <v>-21600</v>
      </c>
      <c r="H53" s="68">
        <v>-3076.8</v>
      </c>
      <c r="I53" s="67">
        <v>0.4</v>
      </c>
      <c r="J53" s="67">
        <v>0.823949464432848</v>
      </c>
      <c r="K53" s="165" t="s">
        <v>20</v>
      </c>
    </row>
    <row r="54" spans="1:11" x14ac:dyDescent="0.35">
      <c r="A54" s="163" t="s">
        <v>40</v>
      </c>
      <c r="B54" s="68">
        <v>28000</v>
      </c>
      <c r="C54" s="68">
        <v>28000</v>
      </c>
      <c r="D54" s="68">
        <v>7099.2</v>
      </c>
      <c r="E54" s="73">
        <v>0.24885699999999999</v>
      </c>
      <c r="F54" s="68">
        <v>6967.9960000000001</v>
      </c>
      <c r="G54" s="68">
        <v>-21032.004000000001</v>
      </c>
      <c r="H54" s="68">
        <v>-131.20400000000001</v>
      </c>
      <c r="I54" s="67">
        <v>0.24885699999999999</v>
      </c>
      <c r="J54" s="67">
        <v>0.98151848095560101</v>
      </c>
      <c r="K54" s="165" t="s">
        <v>20</v>
      </c>
    </row>
    <row r="55" spans="1:11" x14ac:dyDescent="0.35">
      <c r="A55" s="163" t="s">
        <v>42</v>
      </c>
      <c r="B55" s="68">
        <v>35750</v>
      </c>
      <c r="C55" s="68">
        <v>23833.34</v>
      </c>
      <c r="D55" s="68">
        <v>0</v>
      </c>
      <c r="E55" s="73">
        <v>0</v>
      </c>
      <c r="F55" s="68">
        <v>0</v>
      </c>
      <c r="G55" s="68">
        <v>-23833.34</v>
      </c>
      <c r="H55" s="68">
        <v>0</v>
      </c>
      <c r="I55" s="67">
        <v>0</v>
      </c>
      <c r="J55" s="67">
        <v>1</v>
      </c>
      <c r="K55" s="165" t="s">
        <v>20</v>
      </c>
    </row>
    <row r="56" spans="1:11" x14ac:dyDescent="0.35">
      <c r="A56" s="163" t="s">
        <v>44</v>
      </c>
      <c r="B56" s="68">
        <v>30000</v>
      </c>
      <c r="C56" s="68">
        <v>10000</v>
      </c>
      <c r="D56" s="68">
        <v>0</v>
      </c>
      <c r="E56" s="73">
        <v>0</v>
      </c>
      <c r="F56" s="68">
        <v>0</v>
      </c>
      <c r="G56" s="68">
        <v>-10000</v>
      </c>
      <c r="H56" s="68">
        <v>0</v>
      </c>
      <c r="I56" s="67">
        <v>0</v>
      </c>
      <c r="J56" s="67">
        <v>1</v>
      </c>
      <c r="K56" s="165" t="s">
        <v>20</v>
      </c>
    </row>
    <row r="57" spans="1:11" x14ac:dyDescent="0.35">
      <c r="A57" s="164" t="s">
        <v>46</v>
      </c>
      <c r="B57" s="70">
        <v>8400</v>
      </c>
      <c r="C57" s="70">
        <v>0</v>
      </c>
      <c r="D57" s="70">
        <v>0</v>
      </c>
      <c r="E57" s="74">
        <v>0</v>
      </c>
      <c r="F57" s="70">
        <v>0</v>
      </c>
      <c r="G57" s="70">
        <v>0</v>
      </c>
      <c r="H57" s="70">
        <v>0</v>
      </c>
      <c r="I57" s="69">
        <v>1</v>
      </c>
      <c r="J57" s="69">
        <v>1</v>
      </c>
      <c r="K57" s="166" t="s">
        <v>15</v>
      </c>
    </row>
    <row r="58" spans="1:11" x14ac:dyDescent="0.35">
      <c r="A58" s="167" t="s">
        <v>48</v>
      </c>
      <c r="B58" s="168">
        <v>3600</v>
      </c>
      <c r="C58" s="168">
        <v>0</v>
      </c>
      <c r="D58" s="168">
        <v>0</v>
      </c>
      <c r="E58" s="169">
        <v>0</v>
      </c>
      <c r="F58" s="168">
        <v>0</v>
      </c>
      <c r="G58" s="168">
        <v>0</v>
      </c>
      <c r="H58" s="168">
        <v>0</v>
      </c>
      <c r="I58" s="170">
        <v>1</v>
      </c>
      <c r="J58" s="170">
        <v>1</v>
      </c>
      <c r="K58" s="171" t="s">
        <v>15</v>
      </c>
    </row>
    <row r="61" spans="1:11" x14ac:dyDescent="0.35">
      <c r="A61" s="225" t="s">
        <v>826</v>
      </c>
      <c r="B61" s="223"/>
      <c r="C61" s="223"/>
      <c r="D61" s="223"/>
      <c r="E61" s="223"/>
      <c r="F61" s="223"/>
      <c r="G61" s="223"/>
      <c r="H61" s="223"/>
      <c r="I61" s="223"/>
      <c r="J61" s="223"/>
      <c r="K61" s="224"/>
    </row>
    <row r="62" spans="1:11" x14ac:dyDescent="0.35">
      <c r="A62" s="86" t="s">
        <v>827</v>
      </c>
      <c r="B62" s="80" t="s">
        <v>93</v>
      </c>
      <c r="C62" s="87" t="s">
        <v>828</v>
      </c>
      <c r="D62" s="29"/>
      <c r="E62" s="29"/>
      <c r="F62" s="29"/>
      <c r="G62" s="29"/>
      <c r="H62" s="29"/>
      <c r="I62" s="29"/>
      <c r="J62" s="29"/>
      <c r="K62" s="29"/>
    </row>
    <row r="63" spans="1:11" x14ac:dyDescent="0.35">
      <c r="A63" s="84" t="s">
        <v>829</v>
      </c>
      <c r="B63" s="2" t="s">
        <v>830</v>
      </c>
      <c r="C63" s="85" t="s">
        <v>831</v>
      </c>
      <c r="D63" s="2"/>
      <c r="E63" s="2"/>
      <c r="F63" s="2"/>
      <c r="G63" s="2"/>
      <c r="H63" s="2"/>
      <c r="I63" s="2"/>
      <c r="J63" s="2"/>
      <c r="K63" s="2"/>
    </row>
    <row r="64" spans="1:11" x14ac:dyDescent="0.35">
      <c r="A64" s="107" t="s">
        <v>832</v>
      </c>
      <c r="B64" s="2" t="s">
        <v>833</v>
      </c>
      <c r="C64" s="85" t="s">
        <v>834</v>
      </c>
      <c r="D64" s="2"/>
      <c r="E64" s="2"/>
      <c r="F64" s="2"/>
      <c r="G64" s="2"/>
      <c r="H64" s="2"/>
      <c r="I64" s="2"/>
      <c r="J64" s="2"/>
      <c r="K64" s="2"/>
    </row>
    <row r="65" spans="1:11" x14ac:dyDescent="0.35">
      <c r="A65" s="108" t="s">
        <v>835</v>
      </c>
      <c r="B65" s="2" t="s">
        <v>23</v>
      </c>
      <c r="C65" s="85" t="s">
        <v>834</v>
      </c>
      <c r="D65" s="2"/>
      <c r="E65" s="2"/>
      <c r="F65" s="2"/>
      <c r="G65" s="2"/>
      <c r="H65" s="2"/>
      <c r="I65" s="2"/>
      <c r="J65" s="2"/>
      <c r="K65" s="2"/>
    </row>
    <row r="66" spans="1:11" x14ac:dyDescent="0.35">
      <c r="A66" s="110" t="s">
        <v>836</v>
      </c>
      <c r="B66" s="89" t="s">
        <v>837</v>
      </c>
      <c r="C66" s="90" t="s">
        <v>834</v>
      </c>
      <c r="D66" s="2"/>
      <c r="E66" s="2"/>
      <c r="F66" s="2"/>
      <c r="G66" s="2"/>
      <c r="H66" s="2"/>
      <c r="I66" s="2"/>
      <c r="J66" s="2"/>
      <c r="K66" s="2"/>
    </row>
  </sheetData>
  <mergeCells count="6">
    <mergeCell ref="A61:K61"/>
    <mergeCell ref="A2:O2"/>
    <mergeCell ref="A10:O10"/>
    <mergeCell ref="A28:O28"/>
    <mergeCell ref="A1:O1"/>
    <mergeCell ref="A4:O4"/>
  </mergeCells>
  <conditionalFormatting sqref="C13:N24">
    <cfRule type="containsText" dxfId="67" priority="1" operator="containsText" text="o">
      <formula>NOT(ISERROR(SEARCH("o",C13)))</formula>
    </cfRule>
    <cfRule type="expression" dxfId="66" priority="6">
      <formula>AND(Control_Status_Date&gt;=C$11, Control_Status_Date&lt;C$11+7)</formula>
    </cfRule>
    <cfRule type="expression" dxfId="65" priority="8">
      <formula>OR(C13="M", C13="◆")</formula>
    </cfRule>
  </conditionalFormatting>
  <conditionalFormatting sqref="C31:N42">
    <cfRule type="containsText" dxfId="64" priority="2" operator="containsText" text="o">
      <formula>NOT(ISERROR(SEARCH("o",C31)))</formula>
    </cfRule>
    <cfRule type="expression" dxfId="63" priority="7">
      <formula>AND(Control_Status_Date&gt;=C$29, Control_Status_Date&lt;C$29+7)</formula>
    </cfRule>
    <cfRule type="expression" dxfId="62" priority="9">
      <formula>OR(C31="M", C31="◆")</formula>
    </cfRule>
  </conditionalFormatting>
  <conditionalFormatting sqref="K47:K58">
    <cfRule type="expression" dxfId="61" priority="3">
      <formula>ISNUMBER(SEARCH("Red",K47))</formula>
    </cfRule>
    <cfRule type="expression" dxfId="60" priority="4">
      <formula>ISNUMBER(SEARCH("Amber",K47))</formula>
    </cfRule>
    <cfRule type="expression" dxfId="59" priority="5">
      <formula>ISNUMBER(SEARCH("Green",K47))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D7D31"/>
  </sheetPr>
  <dimension ref="A1:N23"/>
  <sheetViews>
    <sheetView showGridLines="0" zoomScale="85" zoomScaleNormal="85" workbookViewId="0">
      <selection activeCell="E10" sqref="E10"/>
    </sheetView>
  </sheetViews>
  <sheetFormatPr defaultRowHeight="14.5" x14ac:dyDescent="0.35"/>
  <cols>
    <col min="1" max="1" width="12.453125" bestFit="1" customWidth="1"/>
    <col min="2" max="2" width="12.90625" bestFit="1" customWidth="1"/>
    <col min="3" max="3" width="18.1796875" bestFit="1" customWidth="1"/>
    <col min="4" max="4" width="19" bestFit="1" customWidth="1"/>
    <col min="5" max="5" width="13.81640625" bestFit="1" customWidth="1"/>
    <col min="6" max="6" width="13.6328125" bestFit="1" customWidth="1"/>
    <col min="7" max="7" width="8.81640625" bestFit="1" customWidth="1"/>
    <col min="8" max="8" width="9" bestFit="1" customWidth="1"/>
    <col min="9" max="9" width="10" bestFit="1" customWidth="1"/>
    <col min="10" max="10" width="26.54296875" bestFit="1" customWidth="1"/>
    <col min="12" max="12" width="26.6328125" bestFit="1" customWidth="1"/>
    <col min="13" max="13" width="13.81640625" bestFit="1" customWidth="1"/>
    <col min="14" max="14" width="23.36328125" bestFit="1" customWidth="1"/>
  </cols>
  <sheetData>
    <row r="1" spans="1:14" ht="23.5" x14ac:dyDescent="0.55000000000000004">
      <c r="A1" s="220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14" x14ac:dyDescent="0.35">
      <c r="A2" s="219" t="s">
        <v>1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</row>
    <row r="4" spans="1:14" x14ac:dyDescent="0.35">
      <c r="A4" s="86" t="s">
        <v>2</v>
      </c>
      <c r="B4" s="80" t="s">
        <v>3</v>
      </c>
      <c r="C4" s="80" t="s">
        <v>4</v>
      </c>
      <c r="D4" s="80" t="s">
        <v>5</v>
      </c>
      <c r="E4" s="80" t="s">
        <v>6</v>
      </c>
      <c r="F4" s="80" t="s">
        <v>7</v>
      </c>
      <c r="G4" s="80" t="s">
        <v>8</v>
      </c>
      <c r="H4" s="80" t="s">
        <v>9</v>
      </c>
      <c r="I4" s="80" t="s">
        <v>10</v>
      </c>
      <c r="J4" s="87" t="s">
        <v>11</v>
      </c>
      <c r="L4" s="86" t="s">
        <v>12</v>
      </c>
      <c r="M4" s="80" t="s">
        <v>13</v>
      </c>
      <c r="N4" s="87" t="s">
        <v>14</v>
      </c>
    </row>
    <row r="5" spans="1:14" x14ac:dyDescent="0.35">
      <c r="A5" s="84" t="s">
        <v>623</v>
      </c>
      <c r="B5" s="2" t="s">
        <v>708</v>
      </c>
      <c r="C5" s="30">
        <v>46153</v>
      </c>
      <c r="D5" s="30">
        <v>46229</v>
      </c>
      <c r="E5" s="31">
        <v>77</v>
      </c>
      <c r="F5" s="32">
        <v>0.5</v>
      </c>
      <c r="G5" s="34">
        <v>0.6875</v>
      </c>
      <c r="H5" s="34">
        <v>0.88900862068965514</v>
      </c>
      <c r="I5" s="2" t="s">
        <v>20</v>
      </c>
      <c r="J5" s="85" t="s">
        <v>785</v>
      </c>
      <c r="L5" s="107" t="s">
        <v>15</v>
      </c>
      <c r="M5" s="2" t="s">
        <v>16</v>
      </c>
      <c r="N5" s="85" t="s">
        <v>17</v>
      </c>
    </row>
    <row r="6" spans="1:14" x14ac:dyDescent="0.35">
      <c r="A6" s="84" t="s">
        <v>18</v>
      </c>
      <c r="B6" s="2" t="s">
        <v>19</v>
      </c>
      <c r="C6" s="30">
        <v>46146</v>
      </c>
      <c r="D6" s="30">
        <v>46152</v>
      </c>
      <c r="E6" s="31">
        <v>7</v>
      </c>
      <c r="F6" s="32">
        <v>1</v>
      </c>
      <c r="G6" s="34">
        <v>1</v>
      </c>
      <c r="H6" s="34">
        <v>0.97701149425287359</v>
      </c>
      <c r="I6" s="2" t="s">
        <v>20</v>
      </c>
      <c r="J6" s="85" t="s">
        <v>623</v>
      </c>
      <c r="L6" s="108" t="s">
        <v>21</v>
      </c>
      <c r="M6" s="2" t="s">
        <v>22</v>
      </c>
      <c r="N6" s="85" t="s">
        <v>23</v>
      </c>
    </row>
    <row r="7" spans="1:14" x14ac:dyDescent="0.35">
      <c r="A7" s="84" t="s">
        <v>24</v>
      </c>
      <c r="B7" s="2" t="s">
        <v>25</v>
      </c>
      <c r="C7" s="30">
        <v>46146</v>
      </c>
      <c r="D7" s="30">
        <v>46166</v>
      </c>
      <c r="E7" s="31">
        <v>21</v>
      </c>
      <c r="F7" s="32">
        <v>1</v>
      </c>
      <c r="G7" s="34">
        <v>1</v>
      </c>
      <c r="H7" s="34">
        <v>1.055232634827953</v>
      </c>
      <c r="I7" s="2" t="s">
        <v>15</v>
      </c>
      <c r="J7" s="85" t="s">
        <v>18</v>
      </c>
      <c r="L7" s="109" t="s">
        <v>20</v>
      </c>
      <c r="M7" s="2" t="s">
        <v>26</v>
      </c>
      <c r="N7" s="85" t="s">
        <v>27</v>
      </c>
    </row>
    <row r="8" spans="1:14" x14ac:dyDescent="0.35">
      <c r="A8" s="84" t="s">
        <v>28</v>
      </c>
      <c r="B8" s="2" t="s">
        <v>29</v>
      </c>
      <c r="C8" s="30">
        <v>46153</v>
      </c>
      <c r="D8" s="30">
        <v>46180</v>
      </c>
      <c r="E8" s="31">
        <v>28</v>
      </c>
      <c r="F8" s="32">
        <v>1</v>
      </c>
      <c r="G8" s="34">
        <v>1</v>
      </c>
      <c r="H8" s="34">
        <v>1.0169491525423728</v>
      </c>
      <c r="I8" s="2" t="s">
        <v>15</v>
      </c>
      <c r="J8" s="85" t="s">
        <v>24</v>
      </c>
      <c r="L8" s="172" t="s">
        <v>30</v>
      </c>
      <c r="M8" s="89" t="s">
        <v>31</v>
      </c>
      <c r="N8" s="90" t="s">
        <v>32</v>
      </c>
    </row>
    <row r="9" spans="1:14" x14ac:dyDescent="0.35">
      <c r="A9" s="84" t="s">
        <v>33</v>
      </c>
      <c r="B9" s="2" t="s">
        <v>34</v>
      </c>
      <c r="C9" s="30">
        <v>46153</v>
      </c>
      <c r="D9" s="30">
        <v>46173</v>
      </c>
      <c r="E9" s="31">
        <v>21</v>
      </c>
      <c r="F9" s="32">
        <v>1</v>
      </c>
      <c r="G9" s="34">
        <v>1</v>
      </c>
      <c r="H9" s="34">
        <v>0.98447512559516015</v>
      </c>
      <c r="I9" s="2" t="s">
        <v>20</v>
      </c>
      <c r="J9" s="85" t="s">
        <v>28</v>
      </c>
    </row>
    <row r="10" spans="1:14" x14ac:dyDescent="0.35">
      <c r="A10" s="84" t="s">
        <v>35</v>
      </c>
      <c r="B10" s="2" t="s">
        <v>36</v>
      </c>
      <c r="C10" s="30">
        <v>46167</v>
      </c>
      <c r="D10" s="30">
        <v>46187</v>
      </c>
      <c r="E10" s="31">
        <v>21</v>
      </c>
      <c r="F10" s="32">
        <v>0.7</v>
      </c>
      <c r="G10" s="34">
        <v>0.7</v>
      </c>
      <c r="H10" s="34">
        <v>0.69449108303976459</v>
      </c>
      <c r="I10" s="2" t="s">
        <v>20</v>
      </c>
      <c r="J10" s="85" t="s">
        <v>33</v>
      </c>
    </row>
    <row r="11" spans="1:14" x14ac:dyDescent="0.35">
      <c r="A11" s="84" t="s">
        <v>37</v>
      </c>
      <c r="B11" s="2" t="s">
        <v>38</v>
      </c>
      <c r="C11" s="30">
        <v>46174</v>
      </c>
      <c r="D11" s="30">
        <v>46201</v>
      </c>
      <c r="E11" s="31">
        <v>28</v>
      </c>
      <c r="F11" s="32">
        <v>0.4</v>
      </c>
      <c r="G11" s="34">
        <v>0.4</v>
      </c>
      <c r="H11" s="34">
        <v>0.82394946443284811</v>
      </c>
      <c r="I11" s="2" t="s">
        <v>20</v>
      </c>
      <c r="J11" s="85" t="s">
        <v>35</v>
      </c>
    </row>
    <row r="12" spans="1:14" x14ac:dyDescent="0.35">
      <c r="A12" s="84" t="s">
        <v>39</v>
      </c>
      <c r="B12" s="2" t="s">
        <v>40</v>
      </c>
      <c r="C12" s="30">
        <v>46181</v>
      </c>
      <c r="D12" s="30">
        <v>46208</v>
      </c>
      <c r="E12" s="31">
        <v>28</v>
      </c>
      <c r="F12" s="32">
        <v>0.24885699999999999</v>
      </c>
      <c r="G12" s="34">
        <v>0.24885699999999999</v>
      </c>
      <c r="H12" s="34">
        <v>0.98151848095560068</v>
      </c>
      <c r="I12" s="2" t="s">
        <v>20</v>
      </c>
      <c r="J12" s="85" t="s">
        <v>37</v>
      </c>
    </row>
    <row r="13" spans="1:14" x14ac:dyDescent="0.35">
      <c r="A13" s="84" t="s">
        <v>41</v>
      </c>
      <c r="B13" s="2" t="s">
        <v>42</v>
      </c>
      <c r="C13" s="30">
        <v>46195</v>
      </c>
      <c r="D13" s="30">
        <v>46215</v>
      </c>
      <c r="E13" s="31">
        <v>21</v>
      </c>
      <c r="F13" s="32">
        <v>0</v>
      </c>
      <c r="G13" s="34">
        <v>0</v>
      </c>
      <c r="H13" s="34">
        <v>1</v>
      </c>
      <c r="I13" s="2" t="s">
        <v>20</v>
      </c>
      <c r="J13" s="85" t="s">
        <v>39</v>
      </c>
    </row>
    <row r="14" spans="1:14" x14ac:dyDescent="0.35">
      <c r="A14" s="84" t="s">
        <v>43</v>
      </c>
      <c r="B14" s="2" t="s">
        <v>44</v>
      </c>
      <c r="C14" s="30">
        <v>46202</v>
      </c>
      <c r="D14" s="30">
        <v>46222</v>
      </c>
      <c r="E14" s="31">
        <v>21</v>
      </c>
      <c r="F14" s="32">
        <v>0</v>
      </c>
      <c r="G14" s="34">
        <v>0</v>
      </c>
      <c r="H14" s="34">
        <v>1</v>
      </c>
      <c r="I14" s="2" t="s">
        <v>20</v>
      </c>
      <c r="J14" s="85" t="s">
        <v>41</v>
      </c>
    </row>
    <row r="15" spans="1:14" x14ac:dyDescent="0.35">
      <c r="A15" s="84" t="s">
        <v>45</v>
      </c>
      <c r="B15" s="2" t="s">
        <v>46</v>
      </c>
      <c r="C15" s="30">
        <v>46216</v>
      </c>
      <c r="D15" s="30">
        <v>46229</v>
      </c>
      <c r="E15" s="31">
        <v>14</v>
      </c>
      <c r="F15" s="32">
        <v>0</v>
      </c>
      <c r="G15" s="34">
        <v>1</v>
      </c>
      <c r="H15" s="34">
        <v>1</v>
      </c>
      <c r="I15" s="2" t="s">
        <v>15</v>
      </c>
      <c r="J15" s="85" t="s">
        <v>43</v>
      </c>
    </row>
    <row r="16" spans="1:14" x14ac:dyDescent="0.35">
      <c r="A16" s="88" t="s">
        <v>47</v>
      </c>
      <c r="B16" s="89" t="s">
        <v>48</v>
      </c>
      <c r="C16" s="111">
        <v>46223</v>
      </c>
      <c r="D16" s="111">
        <v>46229</v>
      </c>
      <c r="E16" s="112">
        <v>7</v>
      </c>
      <c r="F16" s="113">
        <v>0</v>
      </c>
      <c r="G16" s="114">
        <v>1</v>
      </c>
      <c r="H16" s="114">
        <v>1</v>
      </c>
      <c r="I16" s="89" t="s">
        <v>15</v>
      </c>
      <c r="J16" s="90" t="s">
        <v>45</v>
      </c>
    </row>
    <row r="17" spans="1:14" x14ac:dyDescent="0.35">
      <c r="C17" s="75"/>
      <c r="D17" s="75"/>
      <c r="E17" s="76"/>
      <c r="F17" s="77"/>
      <c r="G17" s="78"/>
      <c r="H17" s="78"/>
    </row>
    <row r="18" spans="1:14" x14ac:dyDescent="0.35">
      <c r="A18" s="217" t="s">
        <v>49</v>
      </c>
      <c r="B18" s="218"/>
      <c r="C18" s="218"/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18"/>
    </row>
    <row r="19" spans="1:14" x14ac:dyDescent="0.35">
      <c r="C19" s="75"/>
      <c r="D19" s="75"/>
      <c r="E19" s="76"/>
      <c r="F19" s="77"/>
      <c r="G19" s="78"/>
      <c r="H19" s="78"/>
    </row>
    <row r="20" spans="1:14" x14ac:dyDescent="0.35">
      <c r="C20" s="75"/>
      <c r="D20" s="75"/>
      <c r="E20" s="76"/>
      <c r="F20" s="77"/>
      <c r="G20" s="78"/>
      <c r="H20" s="78"/>
    </row>
    <row r="21" spans="1:14" x14ac:dyDescent="0.35">
      <c r="C21" s="75"/>
      <c r="D21" s="75"/>
      <c r="E21" s="76"/>
      <c r="F21" s="77"/>
      <c r="G21" s="78"/>
      <c r="H21" s="78"/>
    </row>
    <row r="22" spans="1:14" x14ac:dyDescent="0.35">
      <c r="C22" s="75"/>
      <c r="D22" s="75"/>
      <c r="E22" s="76"/>
      <c r="F22" s="77"/>
      <c r="G22" s="78"/>
      <c r="H22" s="78"/>
    </row>
    <row r="23" spans="1:14" x14ac:dyDescent="0.35">
      <c r="C23" s="75"/>
      <c r="D23" s="75"/>
      <c r="E23" s="76"/>
      <c r="F23" s="77"/>
      <c r="G23" s="78"/>
      <c r="H23" s="78"/>
    </row>
  </sheetData>
  <mergeCells count="3">
    <mergeCell ref="A18:N18"/>
    <mergeCell ref="A2:N2"/>
    <mergeCell ref="A1:N1"/>
  </mergeCells>
  <conditionalFormatting sqref="I5:I16">
    <cfRule type="expression" dxfId="58" priority="7">
      <formula>ISNUMBER(SEARCH("Red",I5))</formula>
    </cfRule>
    <cfRule type="expression" dxfId="57" priority="8">
      <formula>ISNUMBER(SEARCH("Amber",I5))</formula>
    </cfRule>
    <cfRule type="expression" dxfId="56" priority="9">
      <formula>ISNUMBER(SEARCH("Green",I5))</formula>
    </cfRule>
  </conditionalFormatting>
  <conditionalFormatting sqref="L5:L8">
    <cfRule type="expression" dxfId="55" priority="10">
      <formula>ISNUMBER(SEARCH("Red",L5))</formula>
    </cfRule>
    <cfRule type="expression" dxfId="54" priority="11">
      <formula>ISNUMBER(SEARCH("Amber",L5))</formula>
    </cfRule>
    <cfRule type="expression" dxfId="53" priority="12">
      <formula>ISNUMBER(SEARCH("Green",L5))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26</vt:i4>
      </vt:variant>
    </vt:vector>
  </HeadingPairs>
  <TitlesOfParts>
    <vt:vector size="51" baseType="lpstr">
      <vt:lpstr>Cover</vt:lpstr>
      <vt:lpstr>Slicer Controls</vt:lpstr>
      <vt:lpstr>Glossary</vt:lpstr>
      <vt:lpstr>Review</vt:lpstr>
      <vt:lpstr>PID</vt:lpstr>
      <vt:lpstr>Method Roadmap</vt:lpstr>
      <vt:lpstr>PM-EVM Compliance</vt:lpstr>
      <vt:lpstr>Setup</vt:lpstr>
      <vt:lpstr>Task Plan</vt:lpstr>
      <vt:lpstr>Task Capture</vt:lpstr>
      <vt:lpstr>EVM Dashboard</vt:lpstr>
      <vt:lpstr>Red Actions</vt:lpstr>
      <vt:lpstr>Pivot Summary</vt:lpstr>
      <vt:lpstr>Resource Grid</vt:lpstr>
      <vt:lpstr>Dim_Project</vt:lpstr>
      <vt:lpstr>Dim_WBS</vt:lpstr>
      <vt:lpstr>Dim_Resource</vt:lpstr>
      <vt:lpstr>Dim_Calendar</vt:lpstr>
      <vt:lpstr>Fact_Baseline_PV</vt:lpstr>
      <vt:lpstr>Fact_Actual_Costs</vt:lpstr>
      <vt:lpstr>Fact_Physical_Progress</vt:lpstr>
      <vt:lpstr>EVM</vt:lpstr>
      <vt:lpstr>EVM Charts</vt:lpstr>
      <vt:lpstr>Simple Gantt Model</vt:lpstr>
      <vt:lpstr>PERT Diagram</vt:lpstr>
      <vt:lpstr>Actual_Cost_Values</vt:lpstr>
      <vt:lpstr>Actual_Hours_Values</vt:lpstr>
      <vt:lpstr>Baseline_PV_Values</vt:lpstr>
      <vt:lpstr>Control_BAC</vt:lpstr>
      <vt:lpstr>Control_CPI_SPI_Green</vt:lpstr>
      <vt:lpstr>Control_CPI_SPI_Red</vt:lpstr>
      <vt:lpstr>Control_Progress_Amber</vt:lpstr>
      <vt:lpstr>Control_Progress_Green</vt:lpstr>
      <vt:lpstr>Control_Project_End</vt:lpstr>
      <vt:lpstr>Control_Project_ID</vt:lpstr>
      <vt:lpstr>Control_Project_Name</vt:lpstr>
      <vt:lpstr>Control_Project_Start</vt:lpstr>
      <vt:lpstr>Control_Sector</vt:lpstr>
      <vt:lpstr>Control_Status_Date</vt:lpstr>
      <vt:lpstr>Input_Actual_Costs</vt:lpstr>
      <vt:lpstr>Input_Baseline_PV</vt:lpstr>
      <vt:lpstr>Input_Calendar</vt:lpstr>
      <vt:lpstr>Input_Physical_Progress</vt:lpstr>
      <vt:lpstr>Input_Project</vt:lpstr>
      <vt:lpstr>Input_Resources</vt:lpstr>
      <vt:lpstr>Input_WBS</vt:lpstr>
      <vt:lpstr>Progress_Pct_Values</vt:lpstr>
      <vt:lpstr>WBS_Activities</vt:lpstr>
      <vt:lpstr>WBS_Budgets</vt:lpstr>
      <vt:lpstr>WBS_IDs</vt:lpstr>
      <vt:lpstr>WBS_Types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Ellingsen</cp:lastModifiedBy>
  <dcterms:created xsi:type="dcterms:W3CDTF">2026-08-04T11:57:05Z</dcterms:created>
  <dcterms:modified xsi:type="dcterms:W3CDTF">2026-08-04T20:06:45Z</dcterms:modified>
</cp:coreProperties>
</file>