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Desktop\Project Mng\PM teori\"/>
    </mc:Choice>
  </mc:AlternateContent>
  <xr:revisionPtr revIDLastSave="0" documentId="13_ncr:1_{28E48F0B-1BC6-40BE-B01F-30B1C4C49631}" xr6:coauthVersionLast="47" xr6:coauthVersionMax="47" xr10:uidLastSave="{00000000-0000-0000-0000-000000000000}"/>
  <bookViews>
    <workbookView xWindow="-110" yWindow="-110" windowWidth="19420" windowHeight="10300" activeTab="1" xr2:uid="{8145E041-C4AC-41BA-BA3E-2974979EBD69}"/>
  </bookViews>
  <sheets>
    <sheet name="Project Plan" sheetId="1" r:id="rId1"/>
    <sheet name="EVM 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2" i="2" l="1"/>
  <c r="N33" i="2"/>
  <c r="N34" i="2"/>
  <c r="N35" i="2"/>
  <c r="N36" i="2"/>
  <c r="N37" i="2"/>
  <c r="N38" i="2"/>
  <c r="M6" i="2"/>
  <c r="E46" i="2"/>
  <c r="E47" i="2"/>
  <c r="E48" i="2"/>
  <c r="E49" i="2"/>
  <c r="E50" i="2"/>
  <c r="C32" i="1"/>
  <c r="C33" i="1"/>
  <c r="C36" i="1" s="1"/>
  <c r="C39" i="1" s="1"/>
  <c r="C34" i="1"/>
  <c r="C35" i="1"/>
  <c r="C37" i="1"/>
  <c r="C38" i="1"/>
  <c r="K31" i="2"/>
  <c r="K32" i="2"/>
  <c r="K33" i="2"/>
  <c r="K34" i="2"/>
  <c r="K35" i="2"/>
  <c r="K36" i="2"/>
  <c r="K37" i="2"/>
  <c r="K38" i="2"/>
  <c r="K39" i="2"/>
  <c r="K40" i="2"/>
  <c r="K41" i="2"/>
  <c r="K42" i="2"/>
  <c r="J31" i="2"/>
  <c r="J32" i="2"/>
  <c r="J33" i="2"/>
  <c r="J34" i="2"/>
  <c r="J35" i="2"/>
  <c r="J36" i="2"/>
  <c r="J37" i="2"/>
  <c r="J38" i="2"/>
  <c r="J39" i="2"/>
  <c r="J40" i="2"/>
  <c r="J41" i="2"/>
  <c r="J42" i="2"/>
  <c r="I31" i="2"/>
  <c r="I32" i="2"/>
  <c r="I33" i="2"/>
  <c r="I34" i="2"/>
  <c r="I35" i="2"/>
  <c r="I36" i="2"/>
  <c r="I37" i="2"/>
  <c r="I38" i="2"/>
  <c r="I39" i="2"/>
  <c r="I40" i="2"/>
  <c r="I41" i="2"/>
  <c r="I42" i="2"/>
  <c r="H31" i="2"/>
  <c r="H32" i="2"/>
  <c r="H33" i="2"/>
  <c r="H34" i="2"/>
  <c r="H35" i="2"/>
  <c r="H36" i="2"/>
  <c r="H37" i="2"/>
  <c r="H38" i="2"/>
  <c r="H39" i="2"/>
  <c r="H40" i="2"/>
  <c r="H41" i="2"/>
  <c r="H42" i="2"/>
  <c r="G31" i="2"/>
  <c r="G32" i="2"/>
  <c r="G33" i="2"/>
  <c r="G34" i="2"/>
  <c r="G35" i="2"/>
  <c r="G36" i="2"/>
  <c r="G37" i="2"/>
  <c r="G38" i="2"/>
  <c r="G39" i="2"/>
  <c r="G40" i="2"/>
  <c r="G41" i="2"/>
  <c r="G42" i="2"/>
  <c r="F31" i="2"/>
  <c r="F32" i="2"/>
  <c r="F33" i="2"/>
  <c r="F34" i="2"/>
  <c r="F35" i="2"/>
  <c r="F36" i="2"/>
  <c r="F37" i="2"/>
  <c r="F38" i="2"/>
  <c r="F39" i="2"/>
  <c r="F40" i="2"/>
  <c r="F41" i="2"/>
  <c r="F42" i="2"/>
  <c r="E31" i="2"/>
  <c r="E32" i="2"/>
  <c r="E33" i="2"/>
  <c r="E34" i="2"/>
  <c r="E35" i="2"/>
  <c r="E36" i="2"/>
  <c r="E37" i="2"/>
  <c r="E38" i="2"/>
  <c r="E39" i="2"/>
  <c r="E40" i="2"/>
  <c r="E41" i="2"/>
  <c r="E42" i="2"/>
  <c r="D31" i="2"/>
  <c r="D32" i="2"/>
  <c r="D33" i="2"/>
  <c r="D34" i="2"/>
  <c r="D35" i="2"/>
  <c r="D36" i="2"/>
  <c r="D37" i="2"/>
  <c r="D38" i="2"/>
  <c r="D39" i="2"/>
  <c r="D40" i="2"/>
  <c r="D41" i="2"/>
  <c r="D42" i="2"/>
  <c r="C31" i="2"/>
  <c r="C32" i="2"/>
  <c r="C33" i="2"/>
  <c r="C34" i="2"/>
  <c r="C35" i="2"/>
  <c r="C36" i="2"/>
  <c r="C37" i="2"/>
  <c r="C38" i="2"/>
  <c r="C39" i="2"/>
  <c r="C40" i="2"/>
  <c r="C41" i="2"/>
  <c r="C42" i="2"/>
  <c r="B31" i="2"/>
  <c r="B32" i="2"/>
  <c r="B33" i="2"/>
  <c r="B34" i="2"/>
  <c r="B35" i="2"/>
  <c r="B36" i="2"/>
  <c r="B37" i="2"/>
  <c r="B38" i="2"/>
  <c r="B39" i="2"/>
  <c r="B40" i="2"/>
  <c r="B41" i="2"/>
  <c r="B42" i="2"/>
  <c r="B37" i="1"/>
  <c r="B38" i="1"/>
  <c r="B39" i="1"/>
  <c r="C46" i="2"/>
  <c r="C47" i="2"/>
  <c r="C48" i="2"/>
  <c r="C49" i="2"/>
  <c r="C50" i="2"/>
  <c r="B46" i="2"/>
  <c r="B47" i="2"/>
  <c r="B48" i="2"/>
  <c r="B49" i="2"/>
  <c r="B50" i="2"/>
  <c r="M5" i="2"/>
  <c r="B28" i="1"/>
  <c r="B29" i="1" a="1"/>
  <c r="B29" i="1" s="1"/>
  <c r="B30" i="1" a="1"/>
  <c r="B30" i="1"/>
  <c r="B33" i="1" s="1"/>
  <c r="B31" i="1" a="1"/>
  <c r="B31" i="1" s="1"/>
  <c r="F25" i="1"/>
  <c r="G25" i="1"/>
  <c r="H25" i="1"/>
  <c r="I25" i="1"/>
  <c r="J25" i="1"/>
  <c r="K25" i="1"/>
  <c r="L25" i="1"/>
  <c r="M25" i="1"/>
  <c r="N25" i="1"/>
  <c r="O25" i="1"/>
  <c r="P25" i="1"/>
  <c r="Q25" i="1"/>
  <c r="F24" i="1"/>
  <c r="G24" i="1"/>
  <c r="H24" i="1"/>
  <c r="I24" i="1"/>
  <c r="J24" i="1"/>
  <c r="K24" i="1"/>
  <c r="L24" i="1"/>
  <c r="M24" i="1"/>
  <c r="N24" i="1"/>
  <c r="O24" i="1"/>
  <c r="P24" i="1"/>
  <c r="Q24" i="1"/>
  <c r="F23" i="1"/>
  <c r="G23" i="1"/>
  <c r="H23" i="1"/>
  <c r="I23" i="1"/>
  <c r="J23" i="1"/>
  <c r="K23" i="1"/>
  <c r="L23" i="1"/>
  <c r="M23" i="1"/>
  <c r="N23" i="1"/>
  <c r="O23" i="1"/>
  <c r="P23" i="1"/>
  <c r="Q23" i="1"/>
  <c r="F21" i="1"/>
  <c r="G21" i="1"/>
  <c r="H21" i="1"/>
  <c r="I21" i="1"/>
  <c r="J21" i="1"/>
  <c r="K21" i="1"/>
  <c r="L21" i="1"/>
  <c r="M21" i="1"/>
  <c r="N21" i="1"/>
  <c r="O21" i="1"/>
  <c r="P21" i="1"/>
  <c r="Q21" i="1"/>
  <c r="F20" i="1"/>
  <c r="G20" i="1"/>
  <c r="H20" i="1"/>
  <c r="I20" i="1"/>
  <c r="J20" i="1"/>
  <c r="K20" i="1"/>
  <c r="L20" i="1"/>
  <c r="M20" i="1"/>
  <c r="N20" i="1"/>
  <c r="O20" i="1"/>
  <c r="P20" i="1"/>
  <c r="Q20" i="1"/>
  <c r="E19" i="1"/>
  <c r="F51" i="2"/>
  <c r="F52" i="2"/>
  <c r="J5" i="2"/>
  <c r="G6" i="1"/>
  <c r="H6" i="1"/>
  <c r="I6" i="1"/>
  <c r="J6" i="1"/>
  <c r="K6" i="1"/>
  <c r="L6" i="1"/>
  <c r="M6" i="1"/>
  <c r="N6" i="1"/>
  <c r="O6" i="1"/>
  <c r="P6" i="1"/>
  <c r="Q6" i="1"/>
  <c r="I7" i="1"/>
  <c r="J7" i="1"/>
  <c r="K7" i="1"/>
  <c r="L7" i="1"/>
  <c r="M7" i="1"/>
  <c r="N7" i="1"/>
  <c r="O7" i="1"/>
  <c r="P7" i="1"/>
  <c r="Q7" i="1"/>
  <c r="F8" i="1"/>
  <c r="K8" i="1"/>
  <c r="L8" i="1"/>
  <c r="M8" i="1"/>
  <c r="N8" i="1"/>
  <c r="O8" i="1"/>
  <c r="P8" i="1"/>
  <c r="Q8" i="1"/>
  <c r="F9" i="1"/>
  <c r="J9" i="1"/>
  <c r="K9" i="1"/>
  <c r="L9" i="1"/>
  <c r="M9" i="1"/>
  <c r="N9" i="1"/>
  <c r="O9" i="1"/>
  <c r="P9" i="1"/>
  <c r="Q9" i="1"/>
  <c r="F10" i="1"/>
  <c r="G10" i="1"/>
  <c r="H10" i="1"/>
  <c r="I10" i="1"/>
  <c r="J10" i="1"/>
  <c r="L10" i="1"/>
  <c r="M10" i="1"/>
  <c r="N10" i="1"/>
  <c r="O10" i="1"/>
  <c r="P10" i="1"/>
  <c r="Q10" i="1"/>
  <c r="F11" i="1"/>
  <c r="G11" i="1"/>
  <c r="H11" i="1"/>
  <c r="I11" i="1"/>
  <c r="M11" i="1"/>
  <c r="N11" i="1"/>
  <c r="O11" i="1"/>
  <c r="P11" i="1"/>
  <c r="Q11" i="1"/>
  <c r="F12" i="1"/>
  <c r="G12" i="1"/>
  <c r="H12" i="1"/>
  <c r="I12" i="1"/>
  <c r="J12" i="1"/>
  <c r="O12" i="1"/>
  <c r="P12" i="1"/>
  <c r="Q12" i="1"/>
  <c r="F13" i="1"/>
  <c r="G13" i="1"/>
  <c r="H13" i="1"/>
  <c r="I13" i="1"/>
  <c r="J13" i="1"/>
  <c r="K13" i="1"/>
  <c r="L13" i="1"/>
  <c r="P13" i="1"/>
  <c r="Q13" i="1"/>
  <c r="F14" i="1"/>
  <c r="G14" i="1"/>
  <c r="H14" i="1"/>
  <c r="I14" i="1"/>
  <c r="J14" i="1"/>
  <c r="K14" i="1"/>
  <c r="L14" i="1"/>
  <c r="M14" i="1"/>
  <c r="Q14" i="1"/>
  <c r="F15" i="1"/>
  <c r="G15" i="1"/>
  <c r="H15" i="1"/>
  <c r="I15" i="1"/>
  <c r="J15" i="1"/>
  <c r="K15" i="1"/>
  <c r="L15" i="1"/>
  <c r="M15" i="1"/>
  <c r="N15" i="1"/>
  <c r="O15" i="1"/>
  <c r="F16" i="1"/>
  <c r="G16" i="1"/>
  <c r="H16" i="1"/>
  <c r="I16" i="1"/>
  <c r="J16" i="1"/>
  <c r="K16" i="1"/>
  <c r="L16" i="1"/>
  <c r="M16" i="1"/>
  <c r="N16" i="1"/>
  <c r="O16" i="1"/>
  <c r="P16" i="1"/>
  <c r="Q16" i="1"/>
  <c r="A14" i="2"/>
  <c r="B14" i="2"/>
  <c r="A15" i="2"/>
  <c r="B15" i="2"/>
  <c r="A16" i="2"/>
  <c r="B16" i="2"/>
  <c r="A17" i="2"/>
  <c r="B17" i="2"/>
  <c r="A18" i="2"/>
  <c r="B18" i="2"/>
  <c r="A19" i="2"/>
  <c r="B19" i="2"/>
  <c r="A20" i="2"/>
  <c r="B20" i="2"/>
  <c r="A21" i="2"/>
  <c r="B21" i="2"/>
  <c r="A22" i="2"/>
  <c r="B22" i="2"/>
  <c r="A23" i="2"/>
  <c r="B23" i="2"/>
  <c r="A24" i="2"/>
  <c r="B24" i="2"/>
  <c r="A25" i="2"/>
  <c r="B25" i="2"/>
  <c r="E5" i="1"/>
  <c r="E6" i="1"/>
  <c r="F6" i="1" s="1"/>
  <c r="E7" i="1"/>
  <c r="F7" i="1" s="1"/>
  <c r="E8" i="1"/>
  <c r="I8" i="1" s="1"/>
  <c r="E9" i="1"/>
  <c r="G9" i="1" s="1"/>
  <c r="E10" i="1"/>
  <c r="K10" i="1" s="1"/>
  <c r="E11" i="1"/>
  <c r="J11" i="1" s="1"/>
  <c r="E12" i="1"/>
  <c r="K12" i="1" s="1"/>
  <c r="E13" i="1"/>
  <c r="N13" i="1" s="1"/>
  <c r="E14" i="1"/>
  <c r="N14" i="1" s="1"/>
  <c r="E15" i="1"/>
  <c r="P15" i="1" s="1"/>
  <c r="E16" i="1"/>
  <c r="B32" i="1" l="1"/>
  <c r="G52" i="2"/>
  <c r="A5" i="2"/>
  <c r="P14" i="1"/>
  <c r="L11" i="1"/>
  <c r="H8" i="1"/>
  <c r="L5" i="1"/>
  <c r="C57" i="2" s="1"/>
  <c r="M13" i="1"/>
  <c r="O14" i="1"/>
  <c r="K11" i="1"/>
  <c r="G8" i="1"/>
  <c r="K5" i="1"/>
  <c r="C56" i="2" s="1"/>
  <c r="N12" i="1"/>
  <c r="J5" i="1"/>
  <c r="C55" i="2" s="1"/>
  <c r="Q15" i="1"/>
  <c r="M12" i="1"/>
  <c r="I9" i="1"/>
  <c r="Q5" i="1"/>
  <c r="I5" i="1"/>
  <c r="L12" i="1"/>
  <c r="H9" i="1"/>
  <c r="H7" i="1"/>
  <c r="P5" i="1"/>
  <c r="C61" i="2" s="1"/>
  <c r="H5" i="1"/>
  <c r="O13" i="1"/>
  <c r="G7" i="1"/>
  <c r="O5" i="1"/>
  <c r="G5" i="1"/>
  <c r="C52" i="2" s="1"/>
  <c r="J8" i="1"/>
  <c r="N5" i="1"/>
  <c r="C59" i="2" s="1"/>
  <c r="F5" i="1"/>
  <c r="M5" i="1"/>
  <c r="C58" i="2" s="1"/>
  <c r="B34" i="1" l="1"/>
  <c r="B35" i="1" s="1"/>
  <c r="B36" i="1"/>
  <c r="C53" i="2"/>
  <c r="D51" i="2"/>
  <c r="D52" i="2"/>
  <c r="D53" i="2"/>
  <c r="C51" i="2"/>
  <c r="C54" i="2"/>
  <c r="C60" i="2"/>
  <c r="C62" i="2"/>
  <c r="D61" i="2" l="1"/>
  <c r="D60" i="2"/>
  <c r="D57" i="2"/>
  <c r="D59" i="2"/>
  <c r="D55" i="2"/>
  <c r="D62" i="2"/>
  <c r="D54" i="2"/>
  <c r="D58" i="2"/>
  <c r="D56" i="2" l="1"/>
  <c r="D5" i="2" a="1"/>
  <c r="D5" i="2" s="1"/>
  <c r="A8" i="2" l="1"/>
  <c r="G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<sst xmlns="http://schemas.openxmlformats.org/spreadsheetml/2006/main" count="265" uniqueCount="125">
  <si>
    <t>EVM Mock Project Plan — Office Fit-Out</t>
  </si>
  <si>
    <t>Mock EVM baseline: activity budgets are spread across planned weeks; weekly PV and cumulative PV roll up to BAC.</t>
  </si>
  <si>
    <t>Activity</t>
  </si>
  <si>
    <t>Type</t>
  </si>
  <si>
    <t>Unit Quantity</t>
  </si>
  <si>
    <t>Rate</t>
  </si>
  <si>
    <t>Total Budget</t>
  </si>
  <si>
    <t>wk1</t>
  </si>
  <si>
    <t>wk2</t>
  </si>
  <si>
    <t>wk3</t>
  </si>
  <si>
    <t>wk4</t>
  </si>
  <si>
    <t>wk5</t>
  </si>
  <si>
    <t>wk6</t>
  </si>
  <si>
    <t>wk7</t>
  </si>
  <si>
    <t>wk8</t>
  </si>
  <si>
    <t>wk9</t>
  </si>
  <si>
    <t>wk10</t>
  </si>
  <si>
    <t>wk11</t>
  </si>
  <si>
    <t>wk12</t>
  </si>
  <si>
    <t>Start Week</t>
  </si>
  <si>
    <t>End Week</t>
  </si>
  <si>
    <t>Project Management</t>
  </si>
  <si>
    <t>Labor</t>
  </si>
  <si>
    <t>Site Survey &amp; Mobilization</t>
  </si>
  <si>
    <t>Design &amp; Engineering</t>
  </si>
  <si>
    <t>Procurement - Materials</t>
  </si>
  <si>
    <t>Material</t>
  </si>
  <si>
    <t>Demolition &amp; Prep</t>
  </si>
  <si>
    <t>Electrical Rough-In</t>
  </si>
  <si>
    <t>HVAC Installation</t>
  </si>
  <si>
    <t>Subcontractor</t>
  </si>
  <si>
    <t>Partitions &amp; Drywall</t>
  </si>
  <si>
    <t>Flooring</t>
  </si>
  <si>
    <t>Fixtures &amp; Furniture</t>
  </si>
  <si>
    <t>Testing / Commissioning</t>
  </si>
  <si>
    <t>Handover &amp; Closeout</t>
  </si>
  <si>
    <t>EVM Roll-up</t>
  </si>
  <si>
    <t>Total (BAC)</t>
  </si>
  <si>
    <t>Weekly PV</t>
  </si>
  <si>
    <t>Cumulative PV</t>
  </si>
  <si>
    <t>Current Week</t>
  </si>
  <si>
    <t>BAC</t>
  </si>
  <si>
    <t>PV</t>
  </si>
  <si>
    <t>Planned Value: authorized budget assigned to scheduled work.</t>
  </si>
  <si>
    <t>EV</t>
  </si>
  <si>
    <t>AC</t>
  </si>
  <si>
    <t>SV</t>
  </si>
  <si>
    <t>CV</t>
  </si>
  <si>
    <t>EVM Dashboard — Gantt + Planned Value S-Curve</t>
  </si>
  <si>
    <t>The Gantt grid and S-curve share the same weekly PV formulas; the red dotted marker indicates the present time / status week.</t>
  </si>
  <si>
    <t>PV @ Current Week</t>
  </si>
  <si>
    <t>% Planned Complete</t>
  </si>
  <si>
    <t>Status Week</t>
  </si>
  <si>
    <t>Story in Brief</t>
  </si>
  <si>
    <t>Gantt Baseline with Present-Time Marker</t>
  </si>
  <si>
    <t>■</t>
  </si>
  <si>
    <t>Week</t>
  </si>
  <si>
    <t>Status Marker</t>
  </si>
  <si>
    <t>Earned Value (EV)</t>
  </si>
  <si>
    <t>Actual Cost (AC)</t>
  </si>
  <si>
    <t>EVM Metric</t>
  </si>
  <si>
    <t>Formula / Status</t>
  </si>
  <si>
    <t>EV @ Current Week</t>
  </si>
  <si>
    <t>AC @ Current Week</t>
  </si>
  <si>
    <t>CPI</t>
  </si>
  <si>
    <t>SPI</t>
  </si>
  <si>
    <t>EAC</t>
  </si>
  <si>
    <t>VAC</t>
  </si>
  <si>
    <t>Status</t>
  </si>
  <si>
    <t>Metric</t>
  </si>
  <si>
    <t>Definition</t>
  </si>
  <si>
    <t>Formula</t>
  </si>
  <si>
    <t>EV / AC</t>
  </si>
  <si>
    <t>EV / PV</t>
  </si>
  <si>
    <t>BAC / CPI</t>
  </si>
  <si>
    <t>BAC - EAC</t>
  </si>
  <si>
    <t>Positive = under budget</t>
  </si>
  <si>
    <t>Negative = over budget</t>
  </si>
  <si>
    <t>Budgeted value of work actually performed.</t>
  </si>
  <si>
    <t>Mocked as 92% of cumulative PV through status week</t>
  </si>
  <si>
    <t>Actual cost incurred for work performed.</t>
  </si>
  <si>
    <t>Mocked as EV × 1.08 through status week</t>
  </si>
  <si>
    <t>Authorized budget assigned to scheduled work.</t>
  </si>
  <si>
    <t>Cumulative planned value through status week</t>
  </si>
  <si>
    <t>Present time marker used in Gantt and S-curve.</t>
  </si>
  <si>
    <t>Favorable</t>
  </si>
  <si>
    <t>Unfavorable</t>
  </si>
  <si>
    <t>Cost Performance Index: cost efficiency of the project.</t>
  </si>
  <si>
    <t>&gt; 1 under budget</t>
  </si>
  <si>
    <t>&lt; 1 over budget</t>
  </si>
  <si>
    <t>Schedule Performance Index: schedule efficiency of the project.</t>
  </si>
  <si>
    <t>&gt; 1 ahead of schedule</t>
  </si>
  <si>
    <t>&lt; 1 behind schedule</t>
  </si>
  <si>
    <t>Estimate at Completion: forecast total cost at completion.</t>
  </si>
  <si>
    <t>Lower than BAC is favorable</t>
  </si>
  <si>
    <t>Higher than BAC is unfavorable</t>
  </si>
  <si>
    <t>Variance at Completion: original budget less forecast completion cost.</t>
  </si>
  <si>
    <t>Project Plan E22</t>
  </si>
  <si>
    <t>Note</t>
  </si>
  <si>
    <t>EV/AC are mock assumptions so CPI/SPI/EAC/VAC can be demonstrated.</t>
  </si>
  <si>
    <t>Edit EV/AC rows to reflect actuals.</t>
  </si>
  <si>
    <t>CPI / SPI</t>
  </si>
  <si>
    <t>EVM Performance Metrics</t>
  </si>
  <si>
    <t>Value</t>
  </si>
  <si>
    <t>Interpretation</t>
  </si>
  <si>
    <t>Formula / Meaning</t>
  </si>
  <si>
    <t>EV / AC: &gt;1 under budget, &lt;1 over budget</t>
  </si>
  <si>
    <t>EV / PV: &gt;1 ahead of schedule, &lt;1 behind schedule</t>
  </si>
  <si>
    <t>BAC / CPI forecast completion cost</t>
  </si>
  <si>
    <t>BAC - EAC: positive under budget, negative over budget</t>
  </si>
  <si>
    <t>Combined CPI/SPI interpretation</t>
  </si>
  <si>
    <t>Variance Note</t>
  </si>
  <si>
    <t>Status Timeline</t>
  </si>
  <si>
    <t>Data Label</t>
  </si>
  <si>
    <t>Forecast / Variance</t>
  </si>
  <si>
    <t>Value / Meaning</t>
  </si>
  <si>
    <t>RAG</t>
  </si>
  <si>
    <t>RAG Legend</t>
  </si>
  <si>
    <t>Rule of thumb</t>
  </si>
  <si>
    <t>🟢 Green</t>
  </si>
  <si>
    <t>On track / favorable</t>
  </si>
  <si>
    <t>🟠 Amber</t>
  </si>
  <si>
    <t>Watch: within tolerance</t>
  </si>
  <si>
    <t>🔴 Red</t>
  </si>
  <si>
    <t>Action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</si>
</sst>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%"/>
    <numFmt numFmtId="166" formatCode="&quot;$&quot;#,##0;\-&quot;$&quot;#,##0"/>
  </numFmts>
  <fonts count="19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"/>
    </font>
    <font>
      <sz val="11"/>
      <color theme="1"/>
      <name val="Aptos"/>
    </font>
    <font>
      <i/>
      <sz val="11"/>
      <color rgb="FF666666"/>
      <name val="Aptos"/>
    </font>
    <font>
      <b/>
      <sz val="11"/>
      <color rgb="FFFFFFFF"/>
      <name val="Aptos"/>
    </font>
    <font>
      <b/>
      <sz val="16"/>
      <color theme="1"/>
      <name val="Aptos"/>
    </font>
    <font>
      <sz val="11"/>
      <color rgb="FF333333"/>
      <name val="Aptos"/>
    </font>
    <font>
      <b/>
      <sz val="11"/>
      <color rgb="FFC00000"/>
      <name val="Aptos"/>
    </font>
    <font>
      <sz val="11"/>
      <color rgb="FF222222"/>
      <name val="Aptos"/>
    </font>
    <font>
      <sz val="16"/>
      <color rgb="FF5B9BD5"/>
      <name val="Aptos"/>
    </font>
    <font>
      <sz val="9"/>
      <color theme="1"/>
      <name val="Aptos"/>
    </font>
    <font>
      <sz val="11"/>
      <color rgb="FFC00000"/>
      <name val="Aptos"/>
    </font>
    <font>
      <b/>
      <sz val="11"/>
      <color rgb="FF9C0006"/>
      <name val="Aptos"/>
    </font>
    <font>
      <b/>
      <sz val="11"/>
      <color rgb="FF9C6500"/>
      <name val="Aptos"/>
    </font>
    <font>
      <b/>
      <sz val="11"/>
      <color rgb="FF9C0006"/>
      <name val="Aptos Narrow"/>
      <family val="2"/>
      <scheme val="minor"/>
    </font>
    <font>
      <b/>
      <sz val="11"/>
      <color rgb="FF9C6500"/>
      <name val="Aptos Narrow"/>
      <family val="2"/>
      <scheme val="minor"/>
    </font>
    <font>
      <b/>
      <sz val="16"/>
      <color rgb="FF9C0006"/>
      <name val="Aptos"/>
    </font>
    <font>
      <b/>
      <sz val="11"/>
      <color rgb="FF006100"/>
      <name val="Aptos"/>
    </font>
  </fonts>
  <fills count="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EAF2F8"/>
      </right>
      <top/>
      <bottom style="thin">
        <color rgb="FFD9EAF7"/>
      </bottom>
      <diagonal/>
    </border>
    <border>
      <left style="thin">
        <color rgb="FFEAF2F8"/>
      </left>
      <right style="thin">
        <color rgb="FFEAF2F8"/>
      </right>
      <top/>
      <bottom style="thin">
        <color rgb="FFD9EAF7"/>
      </bottom>
      <diagonal/>
    </border>
    <border>
      <left style="thin">
        <color rgb="FFEAF2F8"/>
      </left>
      <right/>
      <top/>
      <bottom style="thin">
        <color rgb="FFD9EAF7"/>
      </bottom>
      <diagonal/>
    </border>
    <border>
      <left/>
      <right style="thin">
        <color rgb="FFEAF2F8"/>
      </right>
      <top style="thin">
        <color rgb="FFD9EAF7"/>
      </top>
      <bottom style="thin">
        <color rgb="FFD9EAF7"/>
      </bottom>
      <diagonal/>
    </border>
    <border>
      <left style="thin">
        <color rgb="FFEAF2F8"/>
      </left>
      <right style="thin">
        <color rgb="FFEAF2F8"/>
      </right>
      <top style="thin">
        <color rgb="FFD9EAF7"/>
      </top>
      <bottom style="thin">
        <color rgb="FFD9EAF7"/>
      </bottom>
      <diagonal/>
    </border>
    <border>
      <left style="thin">
        <color rgb="FFEAF2F8"/>
      </left>
      <right/>
      <top style="thin">
        <color rgb="FFD9EAF7"/>
      </top>
      <bottom style="thin">
        <color rgb="FFD9EAF7"/>
      </bottom>
      <diagonal/>
    </border>
    <border>
      <left/>
      <right style="thin">
        <color rgb="FFEAF2F8"/>
      </right>
      <top style="thin">
        <color rgb="FFD9EAF7"/>
      </top>
      <bottom/>
      <diagonal/>
    </border>
    <border>
      <left style="thin">
        <color rgb="FFEAF2F8"/>
      </left>
      <right style="thin">
        <color rgb="FFEAF2F8"/>
      </right>
      <top style="thin">
        <color rgb="FFD9EAF7"/>
      </top>
      <bottom/>
      <diagonal/>
    </border>
    <border>
      <left style="thin">
        <color rgb="FFEAF2F8"/>
      </left>
      <right/>
      <top style="thin">
        <color rgb="FFD9EAF7"/>
      </top>
      <bottom/>
      <diagonal/>
    </border>
    <border>
      <left style="thick">
        <color rgb="FFC00000"/>
      </left>
      <right style="thick">
        <color rgb="FFC00000"/>
      </right>
      <top/>
      <bottom style="thin">
        <color rgb="FFD9EAF7"/>
      </bottom>
      <diagonal/>
    </border>
    <border>
      <left style="thick">
        <color rgb="FFC00000"/>
      </left>
      <right style="thick">
        <color rgb="FFC00000"/>
      </right>
      <top style="thin">
        <color rgb="FFD9EAF7"/>
      </top>
      <bottom style="thin">
        <color rgb="FFD9EAF7"/>
      </bottom>
      <diagonal/>
    </border>
    <border>
      <left style="thick">
        <color rgb="FFC00000"/>
      </left>
      <right style="thick">
        <color rgb="FFC00000"/>
      </right>
      <top style="thin">
        <color rgb="FFD9EAF7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wrapText="1"/>
    </xf>
    <xf numFmtId="0" fontId="2" fillId="2" borderId="0" xfId="0" applyFont="1" applyFill="1" applyAlignment="1">
      <alignment horizontal="left"/>
    </xf>
    <xf numFmtId="0" fontId="3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3" borderId="0" xfId="0" applyFont="1" applyFill="1"/>
    <xf numFmtId="0" fontId="3" fillId="0" borderId="0" xfId="0" applyFont="1"/>
    <xf numFmtId="0" fontId="5" fillId="4" borderId="0" xfId="0" applyFont="1" applyFill="1"/>
    <xf numFmtId="0" fontId="3" fillId="0" borderId="0" xfId="0" applyFont="1" applyAlignment="1">
      <alignment wrapText="1"/>
    </xf>
    <xf numFmtId="0" fontId="5" fillId="3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3" fillId="0" borderId="0" xfId="0" applyFont="1" applyAlignment="1">
      <alignment horizontal="left" wrapText="1"/>
    </xf>
    <xf numFmtId="0" fontId="5" fillId="3" borderId="0" xfId="0" applyFont="1" applyFill="1" applyAlignment="1">
      <alignment horizontal="right"/>
    </xf>
    <xf numFmtId="3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5" fillId="4" borderId="0" xfId="0" applyFont="1" applyFill="1" applyAlignment="1">
      <alignment horizontal="right"/>
    </xf>
    <xf numFmtId="1" fontId="3" fillId="0" borderId="0" xfId="0" applyNumberFormat="1" applyFont="1" applyAlignment="1">
      <alignment horizontal="right"/>
    </xf>
    <xf numFmtId="0" fontId="2" fillId="2" borderId="0" xfId="0" applyFont="1" applyFill="1"/>
    <xf numFmtId="0" fontId="5" fillId="4" borderId="0" xfId="0" applyFont="1" applyFill="1" applyAlignment="1">
      <alignment horizontal="center"/>
    </xf>
    <xf numFmtId="0" fontId="5" fillId="4" borderId="0" xfId="0" applyFont="1" applyFill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5" fillId="4" borderId="0" xfId="0" applyFont="1" applyFill="1"/>
    <xf numFmtId="0" fontId="7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5" fillId="3" borderId="1" xfId="0" applyFont="1" applyFill="1" applyBorder="1"/>
    <xf numFmtId="0" fontId="5" fillId="3" borderId="2" xfId="0" applyFont="1" applyFill="1" applyBorder="1"/>
    <xf numFmtId="0" fontId="5" fillId="3" borderId="3" xfId="0" applyFont="1" applyFill="1" applyBorder="1"/>
    <xf numFmtId="0" fontId="5" fillId="3" borderId="10" xfId="0" applyFont="1" applyFill="1" applyBorder="1"/>
    <xf numFmtId="0" fontId="9" fillId="0" borderId="5" xfId="0" applyFont="1" applyBorder="1"/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9" fillId="0" borderId="8" xfId="0" applyFont="1" applyBorder="1"/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4" xfId="0" applyFont="1" applyBorder="1" applyAlignment="1">
      <alignment wrapText="1"/>
    </xf>
    <xf numFmtId="0" fontId="9" fillId="0" borderId="7" xfId="0" applyFont="1" applyBorder="1" applyAlignment="1">
      <alignment wrapText="1"/>
    </xf>
    <xf numFmtId="164" fontId="3" fillId="0" borderId="0" xfId="0" applyNumberFormat="1" applyFont="1" applyAlignment="1">
      <alignment horizontal="left" wrapText="1"/>
    </xf>
    <xf numFmtId="164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3" borderId="0" xfId="0" applyFont="1" applyFill="1" applyAlignment="1">
      <alignment wrapText="1"/>
    </xf>
    <xf numFmtId="0" fontId="5" fillId="3" borderId="0" xfId="0" applyFont="1" applyFill="1" applyAlignment="1">
      <alignment horizontal="left" wrapText="1"/>
    </xf>
    <xf numFmtId="0" fontId="3" fillId="0" borderId="0" xfId="0" applyFont="1" applyAlignment="1">
      <alignment horizontal="right" wrapText="1"/>
    </xf>
    <xf numFmtId="0" fontId="1" fillId="3" borderId="0" xfId="0" applyFont="1" applyFill="1" applyAlignment="1">
      <alignment wrapText="1"/>
    </xf>
    <xf numFmtId="0" fontId="11" fillId="0" borderId="0" xfId="0" applyFont="1"/>
    <xf numFmtId="164" fontId="11" fillId="0" borderId="0" xfId="0" applyNumberFormat="1" applyFont="1"/>
    <xf numFmtId="1" fontId="11" fillId="0" borderId="0" xfId="0" applyNumberFormat="1" applyFont="1"/>
    <xf numFmtId="166" fontId="3" fillId="0" borderId="0" xfId="0" applyNumberFormat="1" applyFont="1" applyAlignment="1">
      <alignment horizontal="left"/>
    </xf>
    <xf numFmtId="166" fontId="3" fillId="0" borderId="0" xfId="0" applyNumberFormat="1" applyFont="1"/>
    <xf numFmtId="166" fontId="3" fillId="0" borderId="0" xfId="0" applyNumberFormat="1" applyFont="1" applyAlignment="1">
      <alignment wrapText="1"/>
    </xf>
    <xf numFmtId="166" fontId="12" fillId="0" borderId="0" xfId="0" applyNumberFormat="1" applyFont="1" applyAlignment="1">
      <alignment wrapText="1"/>
    </xf>
    <xf numFmtId="166" fontId="5" fillId="3" borderId="0" xfId="0" applyNumberFormat="1" applyFont="1" applyFill="1" applyAlignment="1">
      <alignment wrapText="1"/>
    </xf>
    <xf numFmtId="0" fontId="13" fillId="5" borderId="0" xfId="0" applyFont="1" applyFill="1" applyAlignment="1">
      <alignment horizontal="right"/>
    </xf>
    <xf numFmtId="0" fontId="14" fillId="6" borderId="0" xfId="0" applyFont="1" applyFill="1" applyAlignment="1">
      <alignment horizontal="right"/>
    </xf>
    <xf numFmtId="0" fontId="15" fillId="5" borderId="0" xfId="0" applyFont="1" applyFill="1"/>
    <xf numFmtId="0" fontId="15" fillId="5" borderId="0" xfId="0" applyFont="1" applyFill="1" applyAlignment="1">
      <alignment wrapText="1"/>
    </xf>
    <xf numFmtId="0" fontId="16" fillId="6" borderId="0" xfId="0" applyFont="1" applyFill="1" applyAlignment="1">
      <alignment wrapText="1"/>
    </xf>
    <xf numFmtId="0" fontId="17" fillId="5" borderId="0" xfId="0" applyFont="1" applyFill="1" applyAlignment="1">
      <alignment horizontal="center"/>
    </xf>
    <xf numFmtId="2" fontId="13" fillId="5" borderId="0" xfId="0" applyNumberFormat="1" applyFont="1" applyFill="1" applyAlignment="1">
      <alignment wrapText="1"/>
    </xf>
    <xf numFmtId="0" fontId="13" fillId="5" borderId="0" xfId="0" applyFont="1" applyFill="1" applyAlignment="1">
      <alignment wrapText="1"/>
    </xf>
    <xf numFmtId="164" fontId="13" fillId="5" borderId="0" xfId="0" applyNumberFormat="1" applyFont="1" applyFill="1" applyAlignment="1">
      <alignment wrapText="1"/>
    </xf>
    <xf numFmtId="0" fontId="1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18" fillId="7" borderId="0" xfId="0" applyFont="1" applyFill="1" applyAlignment="1">
      <alignment wrapText="1"/>
    </xf>
    <xf numFmtId="0" fontId="14" fillId="6" borderId="0" xfId="0" applyFont="1" applyFill="1" applyAlignment="1">
      <alignment wrapText="1"/>
    </xf>
  </cellXfs>
  <cellStyles count="1">
    <cellStyle name="Normal" xfId="0" builtinId="0"/>
  </cellStyles>
  <dxfs count="21">
    <dxf>
      <font>
        <name val="Aptos"/>
      </font>
    </dxf>
    <dxf>
      <font>
        <b/>
        <color rgb="FFFFFFFF"/>
        <name val="Aptos"/>
      </font>
      <fill>
        <patternFill patternType="solid">
          <fgColor indexed="64"/>
          <bgColor rgb="FF1F4E78"/>
        </patternFill>
      </fill>
    </dxf>
    <dxf>
      <font>
        <name val="Aptos"/>
      </font>
      <alignment horizontal="right"/>
    </dxf>
    <dxf>
      <font>
        <name val="Aptos"/>
      </font>
      <alignment horizontal="right"/>
    </dxf>
    <dxf>
      <font>
        <name val="Aptos"/>
      </font>
      <numFmt numFmtId="164" formatCode="&quot;$&quot;#,##0"/>
      <alignment horizontal="right"/>
    </dxf>
    <dxf>
      <font>
        <name val="Aptos"/>
      </font>
      <numFmt numFmtId="164" formatCode="&quot;$&quot;#,##0"/>
      <alignment horizontal="right"/>
    </dxf>
    <dxf>
      <font>
        <name val="Aptos"/>
      </font>
      <numFmt numFmtId="164" formatCode="&quot;$&quot;#,##0"/>
      <alignment horizontal="right"/>
    </dxf>
    <dxf>
      <font>
        <name val="Aptos"/>
      </font>
      <numFmt numFmtId="164" formatCode="&quot;$&quot;#,##0"/>
      <alignment horizontal="right"/>
    </dxf>
    <dxf>
      <font>
        <name val="Aptos"/>
      </font>
      <numFmt numFmtId="164" formatCode="&quot;$&quot;#,##0"/>
      <alignment horizontal="right"/>
    </dxf>
    <dxf>
      <font>
        <name val="Aptos"/>
      </font>
      <numFmt numFmtId="164" formatCode="&quot;$&quot;#,##0"/>
      <alignment horizontal="right"/>
    </dxf>
    <dxf>
      <font>
        <name val="Aptos"/>
      </font>
      <numFmt numFmtId="164" formatCode="&quot;$&quot;#,##0"/>
      <alignment horizontal="right"/>
    </dxf>
    <dxf>
      <font>
        <name val="Aptos"/>
      </font>
      <numFmt numFmtId="164" formatCode="&quot;$&quot;#,##0"/>
      <alignment horizontal="right"/>
    </dxf>
    <dxf>
      <font>
        <name val="Aptos"/>
      </font>
      <numFmt numFmtId="164" formatCode="&quot;$&quot;#,##0"/>
      <alignment horizontal="right"/>
    </dxf>
    <dxf>
      <font>
        <name val="Aptos"/>
      </font>
      <numFmt numFmtId="164" formatCode="&quot;$&quot;#,##0"/>
      <alignment horizontal="right"/>
    </dxf>
    <dxf>
      <font>
        <name val="Aptos"/>
      </font>
      <numFmt numFmtId="164" formatCode="&quot;$&quot;#,##0"/>
      <alignment horizontal="right"/>
    </dxf>
    <dxf>
      <font>
        <name val="Aptos"/>
      </font>
      <numFmt numFmtId="164" formatCode="&quot;$&quot;#,##0"/>
      <alignment horizontal="right"/>
    </dxf>
    <dxf>
      <font>
        <name val="Aptos"/>
      </font>
      <numFmt numFmtId="164" formatCode="&quot;$&quot;#,##0"/>
      <alignment horizontal="right"/>
    </dxf>
    <dxf>
      <font>
        <name val="Aptos"/>
      </font>
      <numFmt numFmtId="164" formatCode="&quot;$&quot;#,##0"/>
      <alignment horizontal="right"/>
    </dxf>
    <dxf>
      <font>
        <name val="Aptos"/>
      </font>
      <numFmt numFmtId="3" formatCode="#,##0"/>
      <alignment horizontal="right"/>
    </dxf>
    <dxf>
      <font>
        <name val="Aptos"/>
      </font>
      <alignment horizontal="left"/>
    </dxf>
    <dxf>
      <font>
        <name val="Aptos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EVM S-Curve: BAC, EAC, PV, EV, AC, VAC and Status Timeline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'EVM Dashboard'!$B$30</c:f>
              <c:strCache>
                <c:ptCount val="1"/>
                <c:pt idx="0">
                  <c:v>BAC</c:v>
                </c:pt>
              </c:strCache>
            </c:strRef>
          </c:tx>
          <c:spPr>
            <a:ln w="25400" cap="rnd">
              <a:solidFill>
                <a:srgbClr val="40404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'EVM Dashboard'!$A$31:$A$42</c:f>
              <c:strCache>
                <c:ptCount val="12"/>
                <c:pt idx="0">
                  <c:v>wk1</c:v>
                </c:pt>
                <c:pt idx="1">
                  <c:v>wk2</c:v>
                </c:pt>
                <c:pt idx="2">
                  <c:v>wk3</c:v>
                </c:pt>
                <c:pt idx="3">
                  <c:v>wk4</c:v>
                </c:pt>
                <c:pt idx="4">
                  <c:v>wk5</c:v>
                </c:pt>
                <c:pt idx="5">
                  <c:v>wk6</c:v>
                </c:pt>
                <c:pt idx="6">
                  <c:v>wk7</c:v>
                </c:pt>
                <c:pt idx="7">
                  <c:v>wk8</c:v>
                </c:pt>
                <c:pt idx="8">
                  <c:v>wk9</c:v>
                </c:pt>
                <c:pt idx="9">
                  <c:v>wk10</c:v>
                </c:pt>
                <c:pt idx="10">
                  <c:v>wk11</c:v>
                </c:pt>
                <c:pt idx="11">
                  <c:v>wk12</c:v>
                </c:pt>
              </c:strCache>
            </c:strRef>
          </c:cat>
          <c:val>
            <c:numRef>
              <c:f>'EVM Dashboard'!$B$31:$B$42</c:f>
              <c:numCache>
                <c:formatCode>"$"#,##0;\-"$"#,##0</c:formatCode>
                <c:ptCount val="12"/>
                <c:pt idx="0">
                  <c:v>268650</c:v>
                </c:pt>
                <c:pt idx="1">
                  <c:v>268650</c:v>
                </c:pt>
                <c:pt idx="2">
                  <c:v>268650</c:v>
                </c:pt>
                <c:pt idx="3">
                  <c:v>268650</c:v>
                </c:pt>
                <c:pt idx="4">
                  <c:v>268650</c:v>
                </c:pt>
                <c:pt idx="5">
                  <c:v>268650</c:v>
                </c:pt>
                <c:pt idx="6">
                  <c:v>268650</c:v>
                </c:pt>
                <c:pt idx="7">
                  <c:v>268650</c:v>
                </c:pt>
                <c:pt idx="8">
                  <c:v>268650</c:v>
                </c:pt>
                <c:pt idx="9">
                  <c:v>268650</c:v>
                </c:pt>
                <c:pt idx="10">
                  <c:v>268650</c:v>
                </c:pt>
                <c:pt idx="11">
                  <c:v>268650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37-46DF-A703-228E86D772FE}"/>
            </c:ext>
          </c:extLst>
        </c:ser>
        <c:ser>
          <c:idx val="1"/>
          <c:order val="1"/>
          <c:tx>
            <c:strRef>
              <c:f>'EVM Dashboard'!$C$30</c:f>
              <c:strCache>
                <c:ptCount val="1"/>
                <c:pt idx="0">
                  <c:v>EAC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'EVM Dashboard'!$A$31:$A$42</c:f>
              <c:strCache>
                <c:ptCount val="12"/>
                <c:pt idx="0">
                  <c:v>wk1</c:v>
                </c:pt>
                <c:pt idx="1">
                  <c:v>wk2</c:v>
                </c:pt>
                <c:pt idx="2">
                  <c:v>wk3</c:v>
                </c:pt>
                <c:pt idx="3">
                  <c:v>wk4</c:v>
                </c:pt>
                <c:pt idx="4">
                  <c:v>wk5</c:v>
                </c:pt>
                <c:pt idx="5">
                  <c:v>wk6</c:v>
                </c:pt>
                <c:pt idx="6">
                  <c:v>wk7</c:v>
                </c:pt>
                <c:pt idx="7">
                  <c:v>wk8</c:v>
                </c:pt>
                <c:pt idx="8">
                  <c:v>wk9</c:v>
                </c:pt>
                <c:pt idx="9">
                  <c:v>wk10</c:v>
                </c:pt>
                <c:pt idx="10">
                  <c:v>wk11</c:v>
                </c:pt>
                <c:pt idx="11">
                  <c:v>wk12</c:v>
                </c:pt>
              </c:strCache>
            </c:strRef>
          </c:cat>
          <c:val>
            <c:numRef>
              <c:f>'EVM Dashboard'!$C$31:$C$42</c:f>
              <c:numCache>
                <c:formatCode>"$"#,##0;\-"$"#,##0</c:formatCode>
                <c:ptCount val="12"/>
                <c:pt idx="0">
                  <c:v>290142</c:v>
                </c:pt>
                <c:pt idx="1">
                  <c:v>290142</c:v>
                </c:pt>
                <c:pt idx="2">
                  <c:v>290142</c:v>
                </c:pt>
                <c:pt idx="3">
                  <c:v>290142</c:v>
                </c:pt>
                <c:pt idx="4">
                  <c:v>290142</c:v>
                </c:pt>
                <c:pt idx="5">
                  <c:v>290142</c:v>
                </c:pt>
                <c:pt idx="6">
                  <c:v>290142</c:v>
                </c:pt>
                <c:pt idx="7">
                  <c:v>290142</c:v>
                </c:pt>
                <c:pt idx="8">
                  <c:v>290142</c:v>
                </c:pt>
                <c:pt idx="9">
                  <c:v>290142</c:v>
                </c:pt>
                <c:pt idx="10">
                  <c:v>290142</c:v>
                </c:pt>
                <c:pt idx="11">
                  <c:v>290142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37-46DF-A703-228E86D772FE}"/>
            </c:ext>
          </c:extLst>
        </c:ser>
        <c:ser>
          <c:idx val="2"/>
          <c:order val="2"/>
          <c:tx>
            <c:strRef>
              <c:f>'EVM Dashboard'!$D$30</c:f>
              <c:strCache>
                <c:ptCount val="1"/>
                <c:pt idx="0">
                  <c:v>PV</c:v>
                </c:pt>
              </c:strCache>
            </c:strRef>
          </c:tx>
          <c:spPr>
            <a:ln w="31750" cap="rnd">
              <a:solidFill>
                <a:srgbClr val="1F4E78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numFmt formatCode="&quot;$&quot;#,##0;\-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'EVM Dashboard'!$A$31:$A$42</c:f>
              <c:strCache>
                <c:ptCount val="12"/>
                <c:pt idx="0">
                  <c:v>wk1</c:v>
                </c:pt>
                <c:pt idx="1">
                  <c:v>wk2</c:v>
                </c:pt>
                <c:pt idx="2">
                  <c:v>wk3</c:v>
                </c:pt>
                <c:pt idx="3">
                  <c:v>wk4</c:v>
                </c:pt>
                <c:pt idx="4">
                  <c:v>wk5</c:v>
                </c:pt>
                <c:pt idx="5">
                  <c:v>wk6</c:v>
                </c:pt>
                <c:pt idx="6">
                  <c:v>wk7</c:v>
                </c:pt>
                <c:pt idx="7">
                  <c:v>wk8</c:v>
                </c:pt>
                <c:pt idx="8">
                  <c:v>wk9</c:v>
                </c:pt>
                <c:pt idx="9">
                  <c:v>wk10</c:v>
                </c:pt>
                <c:pt idx="10">
                  <c:v>wk11</c:v>
                </c:pt>
                <c:pt idx="11">
                  <c:v>wk12</c:v>
                </c:pt>
              </c:strCache>
            </c:strRef>
          </c:cat>
          <c:val>
            <c:numRef>
              <c:f>'EVM Dashboard'!$D$31:$D$42</c:f>
              <c:numCache>
                <c:formatCode>"$"#,##0;\-"$"#,##0</c:formatCode>
                <c:ptCount val="12"/>
                <c:pt idx="0">
                  <c:v>16400</c:v>
                </c:pt>
                <c:pt idx="1">
                  <c:v>39200</c:v>
                </c:pt>
                <c:pt idx="2">
                  <c:v>62000</c:v>
                </c:pt>
                <c:pt idx="3">
                  <c:v>87066.666666666657</c:v>
                </c:pt>
                <c:pt idx="4">
                  <c:v>116733.33333333331</c:v>
                </c:pt>
                <c:pt idx="5">
                  <c:v>142899.99999999997</c:v>
                </c:pt>
                <c:pt idx="6">
                  <c:v>160399.99999999997</c:v>
                </c:pt>
                <c:pt idx="7">
                  <c:v>189816.66666666663</c:v>
                </c:pt>
                <c:pt idx="8">
                  <c:v>220233.33333333328</c:v>
                </c:pt>
                <c:pt idx="9">
                  <c:v>243649.99999999994</c:v>
                </c:pt>
                <c:pt idx="10">
                  <c:v>259349.99999999994</c:v>
                </c:pt>
                <c:pt idx="11">
                  <c:v>268649.99999999994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37-46DF-A703-228E86D772FE}"/>
            </c:ext>
          </c:extLst>
        </c:ser>
        <c:ser>
          <c:idx val="3"/>
          <c:order val="3"/>
          <c:tx>
            <c:strRef>
              <c:f>'EVM Dashboard'!$E$30</c:f>
              <c:strCache>
                <c:ptCount val="1"/>
                <c:pt idx="0">
                  <c:v>EV</c:v>
                </c:pt>
              </c:strCache>
            </c:strRef>
          </c:tx>
          <c:spPr>
            <a:ln w="31750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numFmt formatCode="&quot;$&quot;#,##0;\-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'EVM Dashboard'!$A$31:$A$42</c:f>
              <c:strCache>
                <c:ptCount val="12"/>
                <c:pt idx="0">
                  <c:v>wk1</c:v>
                </c:pt>
                <c:pt idx="1">
                  <c:v>wk2</c:v>
                </c:pt>
                <c:pt idx="2">
                  <c:v>wk3</c:v>
                </c:pt>
                <c:pt idx="3">
                  <c:v>wk4</c:v>
                </c:pt>
                <c:pt idx="4">
                  <c:v>wk5</c:v>
                </c:pt>
                <c:pt idx="5">
                  <c:v>wk6</c:v>
                </c:pt>
                <c:pt idx="6">
                  <c:v>wk7</c:v>
                </c:pt>
                <c:pt idx="7">
                  <c:v>wk8</c:v>
                </c:pt>
                <c:pt idx="8">
                  <c:v>wk9</c:v>
                </c:pt>
                <c:pt idx="9">
                  <c:v>wk10</c:v>
                </c:pt>
                <c:pt idx="10">
                  <c:v>wk11</c:v>
                </c:pt>
                <c:pt idx="11">
                  <c:v>wk12</c:v>
                </c:pt>
              </c:strCache>
            </c:strRef>
          </c:cat>
          <c:val>
            <c:numRef>
              <c:f>'EVM Dashboard'!$E$31:$E$42</c:f>
              <c:numCache>
                <c:formatCode>"$"#,##0;\-"$"#,##0</c:formatCode>
                <c:ptCount val="12"/>
                <c:pt idx="0">
                  <c:v>15088</c:v>
                </c:pt>
                <c:pt idx="1">
                  <c:v>36064</c:v>
                </c:pt>
                <c:pt idx="2">
                  <c:v>57040</c:v>
                </c:pt>
                <c:pt idx="3">
                  <c:v>80101.333333333328</c:v>
                </c:pt>
                <c:pt idx="4">
                  <c:v>107394.66666666666</c:v>
                </c:pt>
                <c:pt idx="5">
                  <c:v>131467.99999999997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37-46DF-A703-228E86D772FE}"/>
            </c:ext>
          </c:extLst>
        </c:ser>
        <c:ser>
          <c:idx val="4"/>
          <c:order val="4"/>
          <c:tx>
            <c:strRef>
              <c:f>'EVM Dashboard'!$F$30</c:f>
              <c:strCache>
                <c:ptCount val="1"/>
                <c:pt idx="0">
                  <c:v>AC</c:v>
                </c:pt>
              </c:strCache>
            </c:strRef>
          </c:tx>
          <c:spPr>
            <a:ln w="3175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numFmt formatCode="&quot;$&quot;#,##0;\-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'EVM Dashboard'!$A$31:$A$42</c:f>
              <c:strCache>
                <c:ptCount val="12"/>
                <c:pt idx="0">
                  <c:v>wk1</c:v>
                </c:pt>
                <c:pt idx="1">
                  <c:v>wk2</c:v>
                </c:pt>
                <c:pt idx="2">
                  <c:v>wk3</c:v>
                </c:pt>
                <c:pt idx="3">
                  <c:v>wk4</c:v>
                </c:pt>
                <c:pt idx="4">
                  <c:v>wk5</c:v>
                </c:pt>
                <c:pt idx="5">
                  <c:v>wk6</c:v>
                </c:pt>
                <c:pt idx="6">
                  <c:v>wk7</c:v>
                </c:pt>
                <c:pt idx="7">
                  <c:v>wk8</c:v>
                </c:pt>
                <c:pt idx="8">
                  <c:v>wk9</c:v>
                </c:pt>
                <c:pt idx="9">
                  <c:v>wk10</c:v>
                </c:pt>
                <c:pt idx="10">
                  <c:v>wk11</c:v>
                </c:pt>
                <c:pt idx="11">
                  <c:v>wk12</c:v>
                </c:pt>
              </c:strCache>
            </c:strRef>
          </c:cat>
          <c:val>
            <c:numRef>
              <c:f>'EVM Dashboard'!$F$31:$F$42</c:f>
              <c:numCache>
                <c:formatCode>"$"#,##0;\-"$"#,##0</c:formatCode>
                <c:ptCount val="12"/>
                <c:pt idx="0">
                  <c:v>16295.04</c:v>
                </c:pt>
                <c:pt idx="1">
                  <c:v>38949.120000000003</c:v>
                </c:pt>
                <c:pt idx="2">
                  <c:v>61603.200000000004</c:v>
                </c:pt>
                <c:pt idx="3">
                  <c:v>86509.440000000002</c:v>
                </c:pt>
                <c:pt idx="4">
                  <c:v>115986.23999999999</c:v>
                </c:pt>
                <c:pt idx="5">
                  <c:v>141985.43999999997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37-46DF-A703-228E86D772FE}"/>
            </c:ext>
          </c:extLst>
        </c:ser>
        <c:ser>
          <c:idx val="5"/>
          <c:order val="5"/>
          <c:tx>
            <c:strRef>
              <c:f>'EVM Dashboard'!$G$30</c:f>
              <c:strCache>
                <c:ptCount val="1"/>
                <c:pt idx="0">
                  <c:v>VAC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'EVM Dashboard'!$A$31:$A$42</c:f>
              <c:strCache>
                <c:ptCount val="12"/>
                <c:pt idx="0">
                  <c:v>wk1</c:v>
                </c:pt>
                <c:pt idx="1">
                  <c:v>wk2</c:v>
                </c:pt>
                <c:pt idx="2">
                  <c:v>wk3</c:v>
                </c:pt>
                <c:pt idx="3">
                  <c:v>wk4</c:v>
                </c:pt>
                <c:pt idx="4">
                  <c:v>wk5</c:v>
                </c:pt>
                <c:pt idx="5">
                  <c:v>wk6</c:v>
                </c:pt>
                <c:pt idx="6">
                  <c:v>wk7</c:v>
                </c:pt>
                <c:pt idx="7">
                  <c:v>wk8</c:v>
                </c:pt>
                <c:pt idx="8">
                  <c:v>wk9</c:v>
                </c:pt>
                <c:pt idx="9">
                  <c:v>wk10</c:v>
                </c:pt>
                <c:pt idx="10">
                  <c:v>wk11</c:v>
                </c:pt>
                <c:pt idx="11">
                  <c:v>wk12</c:v>
                </c:pt>
              </c:strCache>
            </c:strRef>
          </c:cat>
          <c:val>
            <c:numRef>
              <c:f>'EVM Dashboard'!$G$31:$G$42</c:f>
              <c:numCache>
                <c:formatCode>"$"#,##0;\-"$"#,##0</c:formatCode>
                <c:ptCount val="12"/>
                <c:pt idx="0">
                  <c:v>-21492</c:v>
                </c:pt>
                <c:pt idx="1">
                  <c:v>-21492</c:v>
                </c:pt>
                <c:pt idx="2">
                  <c:v>-21492</c:v>
                </c:pt>
                <c:pt idx="3">
                  <c:v>-21492</c:v>
                </c:pt>
                <c:pt idx="4">
                  <c:v>-21492</c:v>
                </c:pt>
                <c:pt idx="5">
                  <c:v>-21492</c:v>
                </c:pt>
                <c:pt idx="6">
                  <c:v>-21492</c:v>
                </c:pt>
                <c:pt idx="7">
                  <c:v>-21492</c:v>
                </c:pt>
                <c:pt idx="8">
                  <c:v>-21492</c:v>
                </c:pt>
                <c:pt idx="9">
                  <c:v>-21492</c:v>
                </c:pt>
                <c:pt idx="10">
                  <c:v>-21492</c:v>
                </c:pt>
                <c:pt idx="11">
                  <c:v>-21492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37-46DF-A703-228E86D772FE}"/>
            </c:ext>
          </c:extLst>
        </c:ser>
        <c:ser>
          <c:idx val="6"/>
          <c:order val="6"/>
          <c:tx>
            <c:strRef>
              <c:f>'EVM Dashboard'!$H$30</c:f>
              <c:strCache>
                <c:ptCount val="1"/>
                <c:pt idx="0">
                  <c:v>Status Timeline</c:v>
                </c:pt>
              </c:strCache>
            </c:strRef>
          </c:tx>
          <c:spPr>
            <a:ln w="34925" cap="rnd">
              <a:solidFill>
                <a:srgbClr val="7030A0"/>
              </a:solidFill>
              <a:prstDash val="lgDashDot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'EVM Dashboard'!$A$31:$A$42</c:f>
              <c:strCache>
                <c:ptCount val="12"/>
                <c:pt idx="0">
                  <c:v>wk1</c:v>
                </c:pt>
                <c:pt idx="1">
                  <c:v>wk2</c:v>
                </c:pt>
                <c:pt idx="2">
                  <c:v>wk3</c:v>
                </c:pt>
                <c:pt idx="3">
                  <c:v>wk4</c:v>
                </c:pt>
                <c:pt idx="4">
                  <c:v>wk5</c:v>
                </c:pt>
                <c:pt idx="5">
                  <c:v>wk6</c:v>
                </c:pt>
                <c:pt idx="6">
                  <c:v>wk7</c:v>
                </c:pt>
                <c:pt idx="7">
                  <c:v>wk8</c:v>
                </c:pt>
                <c:pt idx="8">
                  <c:v>wk9</c:v>
                </c:pt>
                <c:pt idx="9">
                  <c:v>wk10</c:v>
                </c:pt>
                <c:pt idx="10">
                  <c:v>wk11</c:v>
                </c:pt>
                <c:pt idx="11">
                  <c:v>wk12</c:v>
                </c:pt>
              </c:strCache>
            </c:strRef>
          </c:cat>
          <c:val>
            <c:numRef>
              <c:f>'EVM Dashboard'!$H$31:$H$42</c:f>
              <c:numCache>
                <c:formatCode>"$"#,##0;\-"$"#,##0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#N/A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37-46DF-A703-228E86D77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7613167"/>
        <c:axId val="1042600464"/>
      </c:lineChart>
      <c:catAx>
        <c:axId val="1197613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42600464"/>
        <c:crosses val="autoZero"/>
        <c:auto val="1"/>
        <c:lblAlgn val="ctr"/>
        <c:lblOffset val="100"/>
        <c:noMultiLvlLbl val="0"/>
      </c:catAx>
      <c:valAx>
        <c:axId val="104260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Value / Forecast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&quot;$&quot;#,##0;\-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9761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51</xdr:row>
      <xdr:rowOff>0</xdr:rowOff>
    </xdr:from>
    <xdr:to>
      <xdr:col>14</xdr:col>
      <xdr:colOff>0</xdr:colOff>
      <xdr:row>76</xdr:row>
      <xdr:rowOff>0</xdr:rowOff>
    </xdr:to>
    <xdr:graphicFrame macro="">
      <xdr:nvGraphicFramePr>
        <xdr:cNvPr id="11" name="PV S-Curve">
          <a:extLst>
            <a:ext uri="{FF2B5EF4-FFF2-40B4-BE49-F238E27FC236}">
              <a16:creationId xmlns:a16="http://schemas.microsoft.com/office/drawing/2014/main" id="{AC49DD77-905C-C02D-8422-19BE4A0BA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48DEBD-EA88-44B1-B2FF-35BB21F5C778}" name="tblProjectPlan" displayName="tblProjectPlan" ref="A4:S16" totalsRowShown="0" headerRowDxfId="1" dataDxfId="0">
  <autoFilter ref="A4:S16" xr:uid="{7C48DEBD-EA88-44B1-B2FF-35BB21F5C778}"/>
  <tableColumns count="19">
    <tableColumn id="1" xr3:uid="{8ADDCBB2-64B0-47A6-AD82-F1DF700A6C30}" name="Activity" dataDxfId="20"/>
    <tableColumn id="2" xr3:uid="{84349E3D-B0AA-4DAC-B422-0F0C6969C6A6}" name="Type" dataDxfId="19"/>
    <tableColumn id="3" xr3:uid="{3BAA82CC-8A23-4AEF-97C1-06462FA38889}" name="Unit Quantity" dataDxfId="18"/>
    <tableColumn id="4" xr3:uid="{7BC6FDE7-64D8-4EAF-A291-261124FD3E4D}" name="Rate" dataDxfId="17"/>
    <tableColumn id="5" xr3:uid="{FD041F1C-8D52-4369-895B-5E117BD3B53E}" name="Total Budget" dataDxfId="16">
      <calculatedColumnFormula>C5*D5</calculatedColumnFormula>
    </tableColumn>
    <tableColumn id="6" xr3:uid="{4A6A6435-87AD-49B1-84E8-49E936CCA3E1}" name="wk1" dataDxfId="15">
      <calculatedColumnFormula>IF(AND(1&gt;=$R5,1&lt;=$S5),$E5/($S5-$R5+1),0)</calculatedColumnFormula>
    </tableColumn>
    <tableColumn id="7" xr3:uid="{44D999F8-6FB6-4DAD-9872-FD20ECCAB744}" name="wk2" dataDxfId="14">
      <calculatedColumnFormula>IF(AND(2&gt;=$R5,2&lt;=$S5),$E5/($S5-$R5+1),0)</calculatedColumnFormula>
    </tableColumn>
    <tableColumn id="8" xr3:uid="{230D41E5-59EE-40FD-9FB6-42439EF443D6}" name="wk3" dataDxfId="13">
      <calculatedColumnFormula>IF(AND(3&gt;=$R5,3&lt;=$S5),$E5/($S5-$R5+1),0)</calculatedColumnFormula>
    </tableColumn>
    <tableColumn id="9" xr3:uid="{FE667710-4C5B-4F12-9B2F-03EDF8D29A3D}" name="wk4" dataDxfId="12">
      <calculatedColumnFormula>IF(AND(4&gt;=$R5,4&lt;=$S5),$E5/($S5-$R5+1),0)</calculatedColumnFormula>
    </tableColumn>
    <tableColumn id="10" xr3:uid="{7979A8E3-1A65-40B2-9BF5-A7AB2590F0B2}" name="wk5" dataDxfId="11">
      <calculatedColumnFormula>IF(AND(5&gt;=$R5,5&lt;=$S5),$E5/($S5-$R5+1),0)</calculatedColumnFormula>
    </tableColumn>
    <tableColumn id="11" xr3:uid="{3EDF757F-0805-4CD3-81B7-04854A402D5C}" name="wk6" dataDxfId="10">
      <calculatedColumnFormula>IF(AND(6&gt;=$R5,6&lt;=$S5),$E5/($S5-$R5+1),0)</calculatedColumnFormula>
    </tableColumn>
    <tableColumn id="12" xr3:uid="{61B2A18A-00EF-4838-BA9F-EED61626C0A5}" name="wk7" dataDxfId="9">
      <calculatedColumnFormula>IF(AND(7&gt;=$R5,7&lt;=$S5),$E5/($S5-$R5+1),0)</calculatedColumnFormula>
    </tableColumn>
    <tableColumn id="13" xr3:uid="{FBD13C4A-460F-4D2F-9250-B2D553C84622}" name="wk8" dataDxfId="8">
      <calculatedColumnFormula>IF(AND(8&gt;=$R5,8&lt;=$S5),$E5/($S5-$R5+1),0)</calculatedColumnFormula>
    </tableColumn>
    <tableColumn id="14" xr3:uid="{C72E8835-69C1-42E5-BDCA-B4EADA89F340}" name="wk9" dataDxfId="7">
      <calculatedColumnFormula>IF(AND(9&gt;=$R5,9&lt;=$S5),$E5/($S5-$R5+1),0)</calculatedColumnFormula>
    </tableColumn>
    <tableColumn id="15" xr3:uid="{30B72BDC-B546-4CAC-9718-CDD7311C6611}" name="wk10" dataDxfId="6">
      <calculatedColumnFormula>IF(AND(10&gt;=$R5,10&lt;=$S5),$E5/($S5-$R5+1),0)</calculatedColumnFormula>
    </tableColumn>
    <tableColumn id="16" xr3:uid="{490EF32D-F014-4721-88FA-BA8C030DA9C7}" name="wk11" dataDxfId="5">
      <calculatedColumnFormula>IF(AND(11&gt;=$R5,11&lt;=$S5),$E5/($S5-$R5+1),0)</calculatedColumnFormula>
    </tableColumn>
    <tableColumn id="17" xr3:uid="{E354481D-5F9E-40A8-960A-C18DC0C72000}" name="wk12" dataDxfId="4">
      <calculatedColumnFormula>IF(AND(12&gt;=$R5,12&lt;=$S5),$E5/($S5-$R5+1),0)</calculatedColumnFormula>
    </tableColumn>
    <tableColumn id="18" xr3:uid="{B9B630B2-8C68-438E-964A-7D0404618C84}" name="Start Week" dataDxfId="3"/>
    <tableColumn id="19" xr3:uid="{7E9ADDD8-4C6C-4EAF-9BE5-625F7DFDB65A}" name="End Week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F85BE-A6DE-4A68-92A3-D2DB3E9AD45B}">
  <dimension ref="A1:S39"/>
  <sheetViews>
    <sheetView workbookViewId="0">
      <selection sqref="A1:S1"/>
    </sheetView>
  </sheetViews>
  <sheetFormatPr defaultRowHeight="14.5" x14ac:dyDescent="0.35"/>
  <cols>
    <col min="1" max="1" width="30.90625" style="7" customWidth="1"/>
    <col min="2" max="2" width="18.1796875" style="11" customWidth="1"/>
    <col min="3" max="3" width="16.36328125" style="17" customWidth="1"/>
    <col min="4" max="5" width="20.90625" style="17" customWidth="1"/>
    <col min="6" max="17" width="10.54296875" style="17" customWidth="1"/>
    <col min="18" max="19" width="12.7265625" style="17" customWidth="1"/>
  </cols>
  <sheetData>
    <row r="1" spans="1:19" ht="23.5" x14ac:dyDescent="0.5500000000000000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x14ac:dyDescent="0.3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4" spans="1:19" x14ac:dyDescent="0.35">
      <c r="A4" s="6" t="s">
        <v>2</v>
      </c>
      <c r="B4" s="10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8</v>
      </c>
      <c r="H4" s="14" t="s">
        <v>9</v>
      </c>
      <c r="I4" s="14" t="s">
        <v>10</v>
      </c>
      <c r="J4" s="14" t="s">
        <v>11</v>
      </c>
      <c r="K4" s="14" t="s">
        <v>12</v>
      </c>
      <c r="L4" s="14" t="s">
        <v>13</v>
      </c>
      <c r="M4" s="14" t="s">
        <v>14</v>
      </c>
      <c r="N4" s="14" t="s">
        <v>15</v>
      </c>
      <c r="O4" s="14" t="s">
        <v>16</v>
      </c>
      <c r="P4" s="14" t="s">
        <v>17</v>
      </c>
      <c r="Q4" s="14" t="s">
        <v>18</v>
      </c>
      <c r="R4" s="14" t="s">
        <v>19</v>
      </c>
      <c r="S4" s="14" t="s">
        <v>20</v>
      </c>
    </row>
    <row r="5" spans="1:19" x14ac:dyDescent="0.35">
      <c r="A5" s="7" t="s">
        <v>21</v>
      </c>
      <c r="B5" s="11" t="s">
        <v>22</v>
      </c>
      <c r="C5" s="15">
        <v>12</v>
      </c>
      <c r="D5" s="16">
        <v>1500</v>
      </c>
      <c r="E5" s="16">
        <f>C5*D5</f>
        <v>18000</v>
      </c>
      <c r="F5" s="16">
        <f>IF(AND(1&gt;=$R5,1&lt;=$S5),$E5/($S5-$R5+1),0)</f>
        <v>1500</v>
      </c>
      <c r="G5" s="16">
        <f>IF(AND(2&gt;=$R5,2&lt;=$S5),$E5/($S5-$R5+1),0)</f>
        <v>1500</v>
      </c>
      <c r="H5" s="16">
        <f>IF(AND(3&gt;=$R5,3&lt;=$S5),$E5/($S5-$R5+1),0)</f>
        <v>1500</v>
      </c>
      <c r="I5" s="16">
        <f>IF(AND(4&gt;=$R5,4&lt;=$S5),$E5/($S5-$R5+1),0)</f>
        <v>1500</v>
      </c>
      <c r="J5" s="16">
        <f>IF(AND(5&gt;=$R5,5&lt;=$S5),$E5/($S5-$R5+1),0)</f>
        <v>1500</v>
      </c>
      <c r="K5" s="16">
        <f>IF(AND(6&gt;=$R5,6&lt;=$S5),$E5/($S5-$R5+1),0)</f>
        <v>1500</v>
      </c>
      <c r="L5" s="16">
        <f>IF(AND(7&gt;=$R5,7&lt;=$S5),$E5/($S5-$R5+1),0)</f>
        <v>1500</v>
      </c>
      <c r="M5" s="16">
        <f>IF(AND(8&gt;=$R5,8&lt;=$S5),$E5/($S5-$R5+1),0)</f>
        <v>1500</v>
      </c>
      <c r="N5" s="16">
        <f>IF(AND(9&gt;=$R5,9&lt;=$S5),$E5/($S5-$R5+1),0)</f>
        <v>1500</v>
      </c>
      <c r="O5" s="16">
        <f>IF(AND(10&gt;=$R5,10&lt;=$S5),$E5/($S5-$R5+1),0)</f>
        <v>1500</v>
      </c>
      <c r="P5" s="16">
        <f>IF(AND(11&gt;=$R5,11&lt;=$S5),$E5/($S5-$R5+1),0)</f>
        <v>1500</v>
      </c>
      <c r="Q5" s="16">
        <f>IF(AND(12&gt;=$R5,12&lt;=$S5),$E5/($S5-$R5+1),0)</f>
        <v>1500</v>
      </c>
      <c r="R5" s="17">
        <v>1</v>
      </c>
      <c r="S5" s="17">
        <v>12</v>
      </c>
    </row>
    <row r="6" spans="1:19" x14ac:dyDescent="0.35">
      <c r="A6" s="7" t="s">
        <v>23</v>
      </c>
      <c r="B6" s="11" t="s">
        <v>22</v>
      </c>
      <c r="C6" s="15">
        <v>1</v>
      </c>
      <c r="D6" s="16">
        <v>8500</v>
      </c>
      <c r="E6" s="16">
        <f>C6*D6</f>
        <v>8500</v>
      </c>
      <c r="F6" s="16">
        <f>IF(AND(1&gt;=$R6,1&lt;=$S6),$E6/($S6-$R6+1),0)</f>
        <v>8500</v>
      </c>
      <c r="G6" s="16">
        <f>IF(AND(2&gt;=$R6,2&lt;=$S6),$E6/($S6-$R6+1),0)</f>
        <v>0</v>
      </c>
      <c r="H6" s="16">
        <f>IF(AND(3&gt;=$R6,3&lt;=$S6),$E6/($S6-$R6+1),0)</f>
        <v>0</v>
      </c>
      <c r="I6" s="16">
        <f>IF(AND(4&gt;=$R6,4&lt;=$S6),$E6/($S6-$R6+1),0)</f>
        <v>0</v>
      </c>
      <c r="J6" s="16">
        <f>IF(AND(5&gt;=$R6,5&lt;=$S6),$E6/($S6-$R6+1),0)</f>
        <v>0</v>
      </c>
      <c r="K6" s="16">
        <f>IF(AND(6&gt;=$R6,6&lt;=$S6),$E6/($S6-$R6+1),0)</f>
        <v>0</v>
      </c>
      <c r="L6" s="16">
        <f>IF(AND(7&gt;=$R6,7&lt;=$S6),$E6/($S6-$R6+1),0)</f>
        <v>0</v>
      </c>
      <c r="M6" s="16">
        <f>IF(AND(8&gt;=$R6,8&lt;=$S6),$E6/($S6-$R6+1),0)</f>
        <v>0</v>
      </c>
      <c r="N6" s="16">
        <f>IF(AND(9&gt;=$R6,9&lt;=$S6),$E6/($S6-$R6+1),0)</f>
        <v>0</v>
      </c>
      <c r="O6" s="16">
        <f>IF(AND(10&gt;=$R6,10&lt;=$S6),$E6/($S6-$R6+1),0)</f>
        <v>0</v>
      </c>
      <c r="P6" s="16">
        <f>IF(AND(11&gt;=$R6,11&lt;=$S6),$E6/($S6-$R6+1),0)</f>
        <v>0</v>
      </c>
      <c r="Q6" s="16">
        <f>IF(AND(12&gt;=$R6,12&lt;=$S6),$E6/($S6-$R6+1),0)</f>
        <v>0</v>
      </c>
      <c r="R6" s="17">
        <v>1</v>
      </c>
      <c r="S6" s="17">
        <v>1</v>
      </c>
    </row>
    <row r="7" spans="1:19" x14ac:dyDescent="0.35">
      <c r="A7" s="7" t="s">
        <v>24</v>
      </c>
      <c r="B7" s="11" t="s">
        <v>22</v>
      </c>
      <c r="C7" s="15">
        <v>8</v>
      </c>
      <c r="D7" s="16">
        <v>2400</v>
      </c>
      <c r="E7" s="16">
        <f>C7*D7</f>
        <v>19200</v>
      </c>
      <c r="F7" s="16">
        <f>IF(AND(1&gt;=$R7,1&lt;=$S7),$E7/($S7-$R7+1),0)</f>
        <v>6400</v>
      </c>
      <c r="G7" s="16">
        <f>IF(AND(2&gt;=$R7,2&lt;=$S7),$E7/($S7-$R7+1),0)</f>
        <v>6400</v>
      </c>
      <c r="H7" s="16">
        <f>IF(AND(3&gt;=$R7,3&lt;=$S7),$E7/($S7-$R7+1),0)</f>
        <v>6400</v>
      </c>
      <c r="I7" s="16">
        <f>IF(AND(4&gt;=$R7,4&lt;=$S7),$E7/($S7-$R7+1),0)</f>
        <v>0</v>
      </c>
      <c r="J7" s="16">
        <f>IF(AND(5&gt;=$R7,5&lt;=$S7),$E7/($S7-$R7+1),0)</f>
        <v>0</v>
      </c>
      <c r="K7" s="16">
        <f>IF(AND(6&gt;=$R7,6&lt;=$S7),$E7/($S7-$R7+1),0)</f>
        <v>0</v>
      </c>
      <c r="L7" s="16">
        <f>IF(AND(7&gt;=$R7,7&lt;=$S7),$E7/($S7-$R7+1),0)</f>
        <v>0</v>
      </c>
      <c r="M7" s="16">
        <f>IF(AND(8&gt;=$R7,8&lt;=$S7),$E7/($S7-$R7+1),0)</f>
        <v>0</v>
      </c>
      <c r="N7" s="16">
        <f>IF(AND(9&gt;=$R7,9&lt;=$S7),$E7/($S7-$R7+1),0)</f>
        <v>0</v>
      </c>
      <c r="O7" s="16">
        <f>IF(AND(10&gt;=$R7,10&lt;=$S7),$E7/($S7-$R7+1),0)</f>
        <v>0</v>
      </c>
      <c r="P7" s="16">
        <f>IF(AND(11&gt;=$R7,11&lt;=$S7),$E7/($S7-$R7+1),0)</f>
        <v>0</v>
      </c>
      <c r="Q7" s="16">
        <f>IF(AND(12&gt;=$R7,12&lt;=$S7),$E7/($S7-$R7+1),0)</f>
        <v>0</v>
      </c>
      <c r="R7" s="17">
        <v>1</v>
      </c>
      <c r="S7" s="17">
        <v>3</v>
      </c>
    </row>
    <row r="8" spans="1:19" x14ac:dyDescent="0.35">
      <c r="A8" s="7" t="s">
        <v>25</v>
      </c>
      <c r="B8" s="11" t="s">
        <v>26</v>
      </c>
      <c r="C8" s="15">
        <v>1</v>
      </c>
      <c r="D8" s="16">
        <v>42000</v>
      </c>
      <c r="E8" s="16">
        <f>C8*D8</f>
        <v>42000</v>
      </c>
      <c r="F8" s="16">
        <f>IF(AND(1&gt;=$R8,1&lt;=$S8),$E8/($S8-$R8+1),0)</f>
        <v>0</v>
      </c>
      <c r="G8" s="16">
        <f>IF(AND(2&gt;=$R8,2&lt;=$S8),$E8/($S8-$R8+1),0)</f>
        <v>10500</v>
      </c>
      <c r="H8" s="16">
        <f>IF(AND(3&gt;=$R8,3&lt;=$S8),$E8/($S8-$R8+1),0)</f>
        <v>10500</v>
      </c>
      <c r="I8" s="16">
        <f>IF(AND(4&gt;=$R8,4&lt;=$S8),$E8/($S8-$R8+1),0)</f>
        <v>10500</v>
      </c>
      <c r="J8" s="16">
        <f>IF(AND(5&gt;=$R8,5&lt;=$S8),$E8/($S8-$R8+1),0)</f>
        <v>10500</v>
      </c>
      <c r="K8" s="16">
        <f>IF(AND(6&gt;=$R8,6&lt;=$S8),$E8/($S8-$R8+1),0)</f>
        <v>0</v>
      </c>
      <c r="L8" s="16">
        <f>IF(AND(7&gt;=$R8,7&lt;=$S8),$E8/($S8-$R8+1),0)</f>
        <v>0</v>
      </c>
      <c r="M8" s="16">
        <f>IF(AND(8&gt;=$R8,8&lt;=$S8),$E8/($S8-$R8+1),0)</f>
        <v>0</v>
      </c>
      <c r="N8" s="16">
        <f>IF(AND(9&gt;=$R8,9&lt;=$S8),$E8/($S8-$R8+1),0)</f>
        <v>0</v>
      </c>
      <c r="O8" s="16">
        <f>IF(AND(10&gt;=$R8,10&lt;=$S8),$E8/($S8-$R8+1),0)</f>
        <v>0</v>
      </c>
      <c r="P8" s="16">
        <f>IF(AND(11&gt;=$R8,11&lt;=$S8),$E8/($S8-$R8+1),0)</f>
        <v>0</v>
      </c>
      <c r="Q8" s="16">
        <f>IF(AND(12&gt;=$R8,12&lt;=$S8),$E8/($S8-$R8+1),0)</f>
        <v>0</v>
      </c>
      <c r="R8" s="17">
        <v>2</v>
      </c>
      <c r="S8" s="17">
        <v>5</v>
      </c>
    </row>
    <row r="9" spans="1:19" x14ac:dyDescent="0.35">
      <c r="A9" s="7" t="s">
        <v>27</v>
      </c>
      <c r="B9" s="11" t="s">
        <v>22</v>
      </c>
      <c r="C9" s="15">
        <v>6</v>
      </c>
      <c r="D9" s="16">
        <v>2200</v>
      </c>
      <c r="E9" s="16">
        <f>C9*D9</f>
        <v>13200</v>
      </c>
      <c r="F9" s="16">
        <f>IF(AND(1&gt;=$R9,1&lt;=$S9),$E9/($S9-$R9+1),0)</f>
        <v>0</v>
      </c>
      <c r="G9" s="16">
        <f>IF(AND(2&gt;=$R9,2&lt;=$S9),$E9/($S9-$R9+1),0)</f>
        <v>4400</v>
      </c>
      <c r="H9" s="16">
        <f>IF(AND(3&gt;=$R9,3&lt;=$S9),$E9/($S9-$R9+1),0)</f>
        <v>4400</v>
      </c>
      <c r="I9" s="16">
        <f>IF(AND(4&gt;=$R9,4&lt;=$S9),$E9/($S9-$R9+1),0)</f>
        <v>4400</v>
      </c>
      <c r="J9" s="16">
        <f>IF(AND(5&gt;=$R9,5&lt;=$S9),$E9/($S9-$R9+1),0)</f>
        <v>0</v>
      </c>
      <c r="K9" s="16">
        <f>IF(AND(6&gt;=$R9,6&lt;=$S9),$E9/($S9-$R9+1),0)</f>
        <v>0</v>
      </c>
      <c r="L9" s="16">
        <f>IF(AND(7&gt;=$R9,7&lt;=$S9),$E9/($S9-$R9+1),0)</f>
        <v>0</v>
      </c>
      <c r="M9" s="16">
        <f>IF(AND(8&gt;=$R9,8&lt;=$S9),$E9/($S9-$R9+1),0)</f>
        <v>0</v>
      </c>
      <c r="N9" s="16">
        <f>IF(AND(9&gt;=$R9,9&lt;=$S9),$E9/($S9-$R9+1),0)</f>
        <v>0</v>
      </c>
      <c r="O9" s="16">
        <f>IF(AND(10&gt;=$R9,10&lt;=$S9),$E9/($S9-$R9+1),0)</f>
        <v>0</v>
      </c>
      <c r="P9" s="16">
        <f>IF(AND(11&gt;=$R9,11&lt;=$S9),$E9/($S9-$R9+1),0)</f>
        <v>0</v>
      </c>
      <c r="Q9" s="16">
        <f>IF(AND(12&gt;=$R9,12&lt;=$S9),$E9/($S9-$R9+1),0)</f>
        <v>0</v>
      </c>
      <c r="R9" s="17">
        <v>2</v>
      </c>
      <c r="S9" s="17">
        <v>4</v>
      </c>
    </row>
    <row r="10" spans="1:19" x14ac:dyDescent="0.35">
      <c r="A10" s="7" t="s">
        <v>28</v>
      </c>
      <c r="B10" s="11" t="s">
        <v>22</v>
      </c>
      <c r="C10" s="15">
        <v>10</v>
      </c>
      <c r="D10" s="16">
        <v>2600</v>
      </c>
      <c r="E10" s="16">
        <f>C10*D10</f>
        <v>26000</v>
      </c>
      <c r="F10" s="16">
        <f>IF(AND(1&gt;=$R10,1&lt;=$S10),$E10/($S10-$R10+1),0)</f>
        <v>0</v>
      </c>
      <c r="G10" s="16">
        <f>IF(AND(2&gt;=$R10,2&lt;=$S10),$E10/($S10-$R10+1),0)</f>
        <v>0</v>
      </c>
      <c r="H10" s="16">
        <f>IF(AND(3&gt;=$R10,3&lt;=$S10),$E10/($S10-$R10+1),0)</f>
        <v>0</v>
      </c>
      <c r="I10" s="16">
        <f>IF(AND(4&gt;=$R10,4&lt;=$S10),$E10/($S10-$R10+1),0)</f>
        <v>8666.6666666666661</v>
      </c>
      <c r="J10" s="16">
        <f>IF(AND(5&gt;=$R10,5&lt;=$S10),$E10/($S10-$R10+1),0)</f>
        <v>8666.6666666666661</v>
      </c>
      <c r="K10" s="16">
        <f>IF(AND(6&gt;=$R10,6&lt;=$S10),$E10/($S10-$R10+1),0)</f>
        <v>8666.6666666666661</v>
      </c>
      <c r="L10" s="16">
        <f>IF(AND(7&gt;=$R10,7&lt;=$S10),$E10/($S10-$R10+1),0)</f>
        <v>0</v>
      </c>
      <c r="M10" s="16">
        <f>IF(AND(8&gt;=$R10,8&lt;=$S10),$E10/($S10-$R10+1),0)</f>
        <v>0</v>
      </c>
      <c r="N10" s="16">
        <f>IF(AND(9&gt;=$R10,9&lt;=$S10),$E10/($S10-$R10+1),0)</f>
        <v>0</v>
      </c>
      <c r="O10" s="16">
        <f>IF(AND(10&gt;=$R10,10&lt;=$S10),$E10/($S10-$R10+1),0)</f>
        <v>0</v>
      </c>
      <c r="P10" s="16">
        <f>IF(AND(11&gt;=$R10,11&lt;=$S10),$E10/($S10-$R10+1),0)</f>
        <v>0</v>
      </c>
      <c r="Q10" s="16">
        <f>IF(AND(12&gt;=$R10,12&lt;=$S10),$E10/($S10-$R10+1),0)</f>
        <v>0</v>
      </c>
      <c r="R10" s="17">
        <v>4</v>
      </c>
      <c r="S10" s="17">
        <v>6</v>
      </c>
    </row>
    <row r="11" spans="1:19" x14ac:dyDescent="0.35">
      <c r="A11" s="7" t="s">
        <v>29</v>
      </c>
      <c r="B11" s="11" t="s">
        <v>30</v>
      </c>
      <c r="C11" s="15">
        <v>1</v>
      </c>
      <c r="D11" s="16">
        <v>36000</v>
      </c>
      <c r="E11" s="16">
        <f>C11*D11</f>
        <v>36000</v>
      </c>
      <c r="F11" s="16">
        <f>IF(AND(1&gt;=$R11,1&lt;=$S11),$E11/($S11-$R11+1),0)</f>
        <v>0</v>
      </c>
      <c r="G11" s="16">
        <f>IF(AND(2&gt;=$R11,2&lt;=$S11),$E11/($S11-$R11+1),0)</f>
        <v>0</v>
      </c>
      <c r="H11" s="16">
        <f>IF(AND(3&gt;=$R11,3&lt;=$S11),$E11/($S11-$R11+1),0)</f>
        <v>0</v>
      </c>
      <c r="I11" s="16">
        <f>IF(AND(4&gt;=$R11,4&lt;=$S11),$E11/($S11-$R11+1),0)</f>
        <v>0</v>
      </c>
      <c r="J11" s="16">
        <f>IF(AND(5&gt;=$R11,5&lt;=$S11),$E11/($S11-$R11+1),0)</f>
        <v>9000</v>
      </c>
      <c r="K11" s="16">
        <f>IF(AND(6&gt;=$R11,6&lt;=$S11),$E11/($S11-$R11+1),0)</f>
        <v>9000</v>
      </c>
      <c r="L11" s="16">
        <f>IF(AND(7&gt;=$R11,7&lt;=$S11),$E11/($S11-$R11+1),0)</f>
        <v>9000</v>
      </c>
      <c r="M11" s="16">
        <f>IF(AND(8&gt;=$R11,8&lt;=$S11),$E11/($S11-$R11+1),0)</f>
        <v>9000</v>
      </c>
      <c r="N11" s="16">
        <f>IF(AND(9&gt;=$R11,9&lt;=$S11),$E11/($S11-$R11+1),0)</f>
        <v>0</v>
      </c>
      <c r="O11" s="16">
        <f>IF(AND(10&gt;=$R11,10&lt;=$S11),$E11/($S11-$R11+1),0)</f>
        <v>0</v>
      </c>
      <c r="P11" s="16">
        <f>IF(AND(11&gt;=$R11,11&lt;=$S11),$E11/($S11-$R11+1),0)</f>
        <v>0</v>
      </c>
      <c r="Q11" s="16">
        <f>IF(AND(12&gt;=$R11,12&lt;=$S11),$E11/($S11-$R11+1),0)</f>
        <v>0</v>
      </c>
      <c r="R11" s="17">
        <v>5</v>
      </c>
      <c r="S11" s="17">
        <v>8</v>
      </c>
    </row>
    <row r="12" spans="1:19" x14ac:dyDescent="0.35">
      <c r="A12" s="7" t="s">
        <v>31</v>
      </c>
      <c r="B12" s="11" t="s">
        <v>30</v>
      </c>
      <c r="C12" s="15">
        <v>1</v>
      </c>
      <c r="D12" s="16">
        <v>28000</v>
      </c>
      <c r="E12" s="16">
        <f>C12*D12</f>
        <v>28000</v>
      </c>
      <c r="F12" s="16">
        <f>IF(AND(1&gt;=$R12,1&lt;=$S12),$E12/($S12-$R12+1),0)</f>
        <v>0</v>
      </c>
      <c r="G12" s="16">
        <f>IF(AND(2&gt;=$R12,2&lt;=$S12),$E12/($S12-$R12+1),0)</f>
        <v>0</v>
      </c>
      <c r="H12" s="16">
        <f>IF(AND(3&gt;=$R12,3&lt;=$S12),$E12/($S12-$R12+1),0)</f>
        <v>0</v>
      </c>
      <c r="I12" s="16">
        <f>IF(AND(4&gt;=$R12,4&lt;=$S12),$E12/($S12-$R12+1),0)</f>
        <v>0</v>
      </c>
      <c r="J12" s="16">
        <f>IF(AND(5&gt;=$R12,5&lt;=$S12),$E12/($S12-$R12+1),0)</f>
        <v>0</v>
      </c>
      <c r="K12" s="16">
        <f>IF(AND(6&gt;=$R12,6&lt;=$S12),$E12/($S12-$R12+1),0)</f>
        <v>7000</v>
      </c>
      <c r="L12" s="16">
        <f>IF(AND(7&gt;=$R12,7&lt;=$S12),$E12/($S12-$R12+1),0)</f>
        <v>7000</v>
      </c>
      <c r="M12" s="16">
        <f>IF(AND(8&gt;=$R12,8&lt;=$S12),$E12/($S12-$R12+1),0)</f>
        <v>7000</v>
      </c>
      <c r="N12" s="16">
        <f>IF(AND(9&gt;=$R12,9&lt;=$S12),$E12/($S12-$R12+1),0)</f>
        <v>7000</v>
      </c>
      <c r="O12" s="16">
        <f>IF(AND(10&gt;=$R12,10&lt;=$S12),$E12/($S12-$R12+1),0)</f>
        <v>0</v>
      </c>
      <c r="P12" s="16">
        <f>IF(AND(11&gt;=$R12,11&lt;=$S12),$E12/($S12-$R12+1),0)</f>
        <v>0</v>
      </c>
      <c r="Q12" s="16">
        <f>IF(AND(12&gt;=$R12,12&lt;=$S12),$E12/($S12-$R12+1),0)</f>
        <v>0</v>
      </c>
      <c r="R12" s="17">
        <v>6</v>
      </c>
      <c r="S12" s="17">
        <v>9</v>
      </c>
    </row>
    <row r="13" spans="1:19" x14ac:dyDescent="0.35">
      <c r="A13" s="7" t="s">
        <v>32</v>
      </c>
      <c r="B13" s="11" t="s">
        <v>26</v>
      </c>
      <c r="C13" s="15">
        <v>650</v>
      </c>
      <c r="D13" s="16">
        <v>55</v>
      </c>
      <c r="E13" s="16">
        <f>C13*D13</f>
        <v>35750</v>
      </c>
      <c r="F13" s="16">
        <f>IF(AND(1&gt;=$R13,1&lt;=$S13),$E13/($S13-$R13+1),0)</f>
        <v>0</v>
      </c>
      <c r="G13" s="16">
        <f>IF(AND(2&gt;=$R13,2&lt;=$S13),$E13/($S13-$R13+1),0)</f>
        <v>0</v>
      </c>
      <c r="H13" s="16">
        <f>IF(AND(3&gt;=$R13,3&lt;=$S13),$E13/($S13-$R13+1),0)</f>
        <v>0</v>
      </c>
      <c r="I13" s="16">
        <f>IF(AND(4&gt;=$R13,4&lt;=$S13),$E13/($S13-$R13+1),0)</f>
        <v>0</v>
      </c>
      <c r="J13" s="16">
        <f>IF(AND(5&gt;=$R13,5&lt;=$S13),$E13/($S13-$R13+1),0)</f>
        <v>0</v>
      </c>
      <c r="K13" s="16">
        <f>IF(AND(6&gt;=$R13,6&lt;=$S13),$E13/($S13-$R13+1),0)</f>
        <v>0</v>
      </c>
      <c r="L13" s="16">
        <f>IF(AND(7&gt;=$R13,7&lt;=$S13),$E13/($S13-$R13+1),0)</f>
        <v>0</v>
      </c>
      <c r="M13" s="16">
        <f>IF(AND(8&gt;=$R13,8&lt;=$S13),$E13/($S13-$R13+1),0)</f>
        <v>11916.666666666666</v>
      </c>
      <c r="N13" s="16">
        <f>IF(AND(9&gt;=$R13,9&lt;=$S13),$E13/($S13-$R13+1),0)</f>
        <v>11916.666666666666</v>
      </c>
      <c r="O13" s="16">
        <f>IF(AND(10&gt;=$R13,10&lt;=$S13),$E13/($S13-$R13+1),0)</f>
        <v>11916.666666666666</v>
      </c>
      <c r="P13" s="16">
        <f>IF(AND(11&gt;=$R13,11&lt;=$S13),$E13/($S13-$R13+1),0)</f>
        <v>0</v>
      </c>
      <c r="Q13" s="16">
        <f>IF(AND(12&gt;=$R13,12&lt;=$S13),$E13/($S13-$R13+1),0)</f>
        <v>0</v>
      </c>
      <c r="R13" s="17">
        <v>8</v>
      </c>
      <c r="S13" s="17">
        <v>10</v>
      </c>
    </row>
    <row r="14" spans="1:19" x14ac:dyDescent="0.35">
      <c r="A14" s="7" t="s">
        <v>33</v>
      </c>
      <c r="B14" s="11" t="s">
        <v>26</v>
      </c>
      <c r="C14" s="15">
        <v>1</v>
      </c>
      <c r="D14" s="16">
        <v>30000</v>
      </c>
      <c r="E14" s="16">
        <f>C14*D14</f>
        <v>30000</v>
      </c>
      <c r="F14" s="16">
        <f>IF(AND(1&gt;=$R14,1&lt;=$S14),$E14/($S14-$R14+1),0)</f>
        <v>0</v>
      </c>
      <c r="G14" s="16">
        <f>IF(AND(2&gt;=$R14,2&lt;=$S14),$E14/($S14-$R14+1),0)</f>
        <v>0</v>
      </c>
      <c r="H14" s="16">
        <f>IF(AND(3&gt;=$R14,3&lt;=$S14),$E14/($S14-$R14+1),0)</f>
        <v>0</v>
      </c>
      <c r="I14" s="16">
        <f>IF(AND(4&gt;=$R14,4&lt;=$S14),$E14/($S14-$R14+1),0)</f>
        <v>0</v>
      </c>
      <c r="J14" s="16">
        <f>IF(AND(5&gt;=$R14,5&lt;=$S14),$E14/($S14-$R14+1),0)</f>
        <v>0</v>
      </c>
      <c r="K14" s="16">
        <f>IF(AND(6&gt;=$R14,6&lt;=$S14),$E14/($S14-$R14+1),0)</f>
        <v>0</v>
      </c>
      <c r="L14" s="16">
        <f>IF(AND(7&gt;=$R14,7&lt;=$S14),$E14/($S14-$R14+1),0)</f>
        <v>0</v>
      </c>
      <c r="M14" s="16">
        <f>IF(AND(8&gt;=$R14,8&lt;=$S14),$E14/($S14-$R14+1),0)</f>
        <v>0</v>
      </c>
      <c r="N14" s="16">
        <f>IF(AND(9&gt;=$R14,9&lt;=$S14),$E14/($S14-$R14+1),0)</f>
        <v>10000</v>
      </c>
      <c r="O14" s="16">
        <f>IF(AND(10&gt;=$R14,10&lt;=$S14),$E14/($S14-$R14+1),0)</f>
        <v>10000</v>
      </c>
      <c r="P14" s="16">
        <f>IF(AND(11&gt;=$R14,11&lt;=$S14),$E14/($S14-$R14+1),0)</f>
        <v>10000</v>
      </c>
      <c r="Q14" s="16">
        <f>IF(AND(12&gt;=$R14,12&lt;=$S14),$E14/($S14-$R14+1),0)</f>
        <v>0</v>
      </c>
      <c r="R14" s="17">
        <v>9</v>
      </c>
      <c r="S14" s="17">
        <v>11</v>
      </c>
    </row>
    <row r="15" spans="1:19" x14ac:dyDescent="0.35">
      <c r="A15" s="7" t="s">
        <v>34</v>
      </c>
      <c r="B15" s="11" t="s">
        <v>22</v>
      </c>
      <c r="C15" s="15">
        <v>4</v>
      </c>
      <c r="D15" s="16">
        <v>2100</v>
      </c>
      <c r="E15" s="16">
        <f>C15*D15</f>
        <v>8400</v>
      </c>
      <c r="F15" s="16">
        <f>IF(AND(1&gt;=$R15,1&lt;=$S15),$E15/($S15-$R15+1),0)</f>
        <v>0</v>
      </c>
      <c r="G15" s="16">
        <f>IF(AND(2&gt;=$R15,2&lt;=$S15),$E15/($S15-$R15+1),0)</f>
        <v>0</v>
      </c>
      <c r="H15" s="16">
        <f>IF(AND(3&gt;=$R15,3&lt;=$S15),$E15/($S15-$R15+1),0)</f>
        <v>0</v>
      </c>
      <c r="I15" s="16">
        <f>IF(AND(4&gt;=$R15,4&lt;=$S15),$E15/($S15-$R15+1),0)</f>
        <v>0</v>
      </c>
      <c r="J15" s="16">
        <f>IF(AND(5&gt;=$R15,5&lt;=$S15),$E15/($S15-$R15+1),0)</f>
        <v>0</v>
      </c>
      <c r="K15" s="16">
        <f>IF(AND(6&gt;=$R15,6&lt;=$S15),$E15/($S15-$R15+1),0)</f>
        <v>0</v>
      </c>
      <c r="L15" s="16">
        <f>IF(AND(7&gt;=$R15,7&lt;=$S15),$E15/($S15-$R15+1),0)</f>
        <v>0</v>
      </c>
      <c r="M15" s="16">
        <f>IF(AND(8&gt;=$R15,8&lt;=$S15),$E15/($S15-$R15+1),0)</f>
        <v>0</v>
      </c>
      <c r="N15" s="16">
        <f>IF(AND(9&gt;=$R15,9&lt;=$S15),$E15/($S15-$R15+1),0)</f>
        <v>0</v>
      </c>
      <c r="O15" s="16">
        <f>IF(AND(10&gt;=$R15,10&lt;=$S15),$E15/($S15-$R15+1),0)</f>
        <v>0</v>
      </c>
      <c r="P15" s="16">
        <f>IF(AND(11&gt;=$R15,11&lt;=$S15),$E15/($S15-$R15+1),0)</f>
        <v>4200</v>
      </c>
      <c r="Q15" s="16">
        <f>IF(AND(12&gt;=$R15,12&lt;=$S15),$E15/($S15-$R15+1),0)</f>
        <v>4200</v>
      </c>
      <c r="R15" s="17">
        <v>11</v>
      </c>
      <c r="S15" s="17">
        <v>12</v>
      </c>
    </row>
    <row r="16" spans="1:19" x14ac:dyDescent="0.35">
      <c r="A16" s="7" t="s">
        <v>35</v>
      </c>
      <c r="B16" s="11" t="s">
        <v>22</v>
      </c>
      <c r="C16" s="15">
        <v>2</v>
      </c>
      <c r="D16" s="16">
        <v>1800</v>
      </c>
      <c r="E16" s="16">
        <f>C16*D16</f>
        <v>3600</v>
      </c>
      <c r="F16" s="16">
        <f>IF(AND(1&gt;=$R16,1&lt;=$S16),$E16/($S16-$R16+1),0)</f>
        <v>0</v>
      </c>
      <c r="G16" s="16">
        <f>IF(AND(2&gt;=$R16,2&lt;=$S16),$E16/($S16-$R16+1),0)</f>
        <v>0</v>
      </c>
      <c r="H16" s="16">
        <f>IF(AND(3&gt;=$R16,3&lt;=$S16),$E16/($S16-$R16+1),0)</f>
        <v>0</v>
      </c>
      <c r="I16" s="16">
        <f>IF(AND(4&gt;=$R16,4&lt;=$S16),$E16/($S16-$R16+1),0)</f>
        <v>0</v>
      </c>
      <c r="J16" s="16">
        <f>IF(AND(5&gt;=$R16,5&lt;=$S16),$E16/($S16-$R16+1),0)</f>
        <v>0</v>
      </c>
      <c r="K16" s="16">
        <f>IF(AND(6&gt;=$R16,6&lt;=$S16),$E16/($S16-$R16+1),0)</f>
        <v>0</v>
      </c>
      <c r="L16" s="16">
        <f>IF(AND(7&gt;=$R16,7&lt;=$S16),$E16/($S16-$R16+1),0)</f>
        <v>0</v>
      </c>
      <c r="M16" s="16">
        <f>IF(AND(8&gt;=$R16,8&lt;=$S16),$E16/($S16-$R16+1),0)</f>
        <v>0</v>
      </c>
      <c r="N16" s="16">
        <f>IF(AND(9&gt;=$R16,9&lt;=$S16),$E16/($S16-$R16+1),0)</f>
        <v>0</v>
      </c>
      <c r="O16" s="16">
        <f>IF(AND(10&gt;=$R16,10&lt;=$S16),$E16/($S16-$R16+1),0)</f>
        <v>0</v>
      </c>
      <c r="P16" s="16">
        <f>IF(AND(11&gt;=$R16,11&lt;=$S16),$E16/($S16-$R16+1),0)</f>
        <v>0</v>
      </c>
      <c r="Q16" s="16">
        <f>IF(AND(12&gt;=$R16,12&lt;=$S16),$E16/($S16-$R16+1),0)</f>
        <v>3600</v>
      </c>
      <c r="R16" s="17">
        <v>12</v>
      </c>
      <c r="S16" s="17">
        <v>12</v>
      </c>
    </row>
    <row r="18" spans="1:17" x14ac:dyDescent="0.35">
      <c r="A18" s="8" t="s">
        <v>36</v>
      </c>
      <c r="B18" s="12"/>
      <c r="C18" s="18"/>
      <c r="D18" s="18"/>
      <c r="E18" s="18"/>
      <c r="F18" s="18" t="s">
        <v>7</v>
      </c>
      <c r="G18" s="18" t="s">
        <v>8</v>
      </c>
      <c r="H18" s="18" t="s">
        <v>9</v>
      </c>
      <c r="I18" s="18" t="s">
        <v>10</v>
      </c>
      <c r="J18" s="18" t="s">
        <v>11</v>
      </c>
      <c r="K18" s="18" t="s">
        <v>12</v>
      </c>
      <c r="L18" s="18" t="s">
        <v>13</v>
      </c>
      <c r="M18" s="18" t="s">
        <v>14</v>
      </c>
      <c r="N18" s="18" t="s">
        <v>15</v>
      </c>
      <c r="O18" s="18" t="s">
        <v>16</v>
      </c>
      <c r="P18" s="18" t="s">
        <v>17</v>
      </c>
      <c r="Q18" s="18" t="s">
        <v>18</v>
      </c>
    </row>
    <row r="19" spans="1:17" x14ac:dyDescent="0.35">
      <c r="A19" s="7" t="s">
        <v>37</v>
      </c>
      <c r="E19" s="16">
        <f>SUM(tblProjectPlan[Total Budget])</f>
        <v>268650</v>
      </c>
    </row>
    <row r="20" spans="1:17" x14ac:dyDescent="0.35">
      <c r="A20" s="7" t="s">
        <v>38</v>
      </c>
      <c r="F20" s="16">
        <f>SUM(F5:F16)</f>
        <v>16400</v>
      </c>
      <c r="G20" s="16">
        <f>SUM(G5:G16)</f>
        <v>22800</v>
      </c>
      <c r="H20" s="16">
        <f>SUM(H5:H16)</f>
        <v>22800</v>
      </c>
      <c r="I20" s="16">
        <f>SUM(I5:I16)</f>
        <v>25066.666666666664</v>
      </c>
      <c r="J20" s="16">
        <f>SUM(J5:J16)</f>
        <v>29666.666666666664</v>
      </c>
      <c r="K20" s="16">
        <f>SUM(K5:K16)</f>
        <v>26166.666666666664</v>
      </c>
      <c r="L20" s="16">
        <f>SUM(L5:L16)</f>
        <v>17500</v>
      </c>
      <c r="M20" s="16">
        <f>SUM(M5:M16)</f>
        <v>29416.666666666664</v>
      </c>
      <c r="N20" s="16">
        <f>SUM(N5:N16)</f>
        <v>30416.666666666664</v>
      </c>
      <c r="O20" s="16">
        <f>SUM(O5:O16)</f>
        <v>23416.666666666664</v>
      </c>
      <c r="P20" s="16">
        <f>SUM(P5:P16)</f>
        <v>15700</v>
      </c>
      <c r="Q20" s="16">
        <f>SUM(Q5:Q16)</f>
        <v>9300</v>
      </c>
    </row>
    <row r="21" spans="1:17" x14ac:dyDescent="0.35">
      <c r="A21" s="7" t="s">
        <v>39</v>
      </c>
      <c r="F21" s="16">
        <f>SUM($F$20:F$20)</f>
        <v>16400</v>
      </c>
      <c r="G21" s="16">
        <f>SUM($F$20:G$20)</f>
        <v>39200</v>
      </c>
      <c r="H21" s="16">
        <f>SUM($F$20:H$20)</f>
        <v>62000</v>
      </c>
      <c r="I21" s="16">
        <f>SUM($F$20:I$20)</f>
        <v>87066.666666666657</v>
      </c>
      <c r="J21" s="16">
        <f>SUM($F$20:J$20)</f>
        <v>116733.33333333331</v>
      </c>
      <c r="K21" s="16">
        <f>SUM($F$20:K$20)</f>
        <v>142899.99999999997</v>
      </c>
      <c r="L21" s="16">
        <f>SUM($F$20:L$20)</f>
        <v>160399.99999999997</v>
      </c>
      <c r="M21" s="16">
        <f>SUM($F$20:M$20)</f>
        <v>189816.66666666663</v>
      </c>
      <c r="N21" s="16">
        <f>SUM($F$20:N$20)</f>
        <v>220233.33333333328</v>
      </c>
      <c r="O21" s="16">
        <f>SUM($F$20:O$20)</f>
        <v>243649.99999999994</v>
      </c>
      <c r="P21" s="16">
        <f>SUM($F$20:P$20)</f>
        <v>259349.99999999994</v>
      </c>
      <c r="Q21" s="16">
        <f>SUM($F$20:Q$20)</f>
        <v>268649.99999999994</v>
      </c>
    </row>
    <row r="22" spans="1:17" x14ac:dyDescent="0.35">
      <c r="A22" s="7" t="s">
        <v>40</v>
      </c>
      <c r="E22" s="19">
        <v>6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 spans="1:17" x14ac:dyDescent="0.35">
      <c r="A23" s="7" t="s">
        <v>58</v>
      </c>
      <c r="F23" s="16">
        <f>IF(COLUMN()-5&lt;=$E$22,F$21*0.92,NA())</f>
        <v>15088</v>
      </c>
      <c r="G23" s="16">
        <f>IF(COLUMN()-5&lt;=$E$22,G$21*0.92,NA())</f>
        <v>36064</v>
      </c>
      <c r="H23" s="16">
        <f>IF(COLUMN()-5&lt;=$E$22,H$21*0.92,NA())</f>
        <v>57040</v>
      </c>
      <c r="I23" s="16">
        <f>IF(COLUMN()-5&lt;=$E$22,I$21*0.92,NA())</f>
        <v>80101.333333333328</v>
      </c>
      <c r="J23" s="16">
        <f>IF(COLUMN()-5&lt;=$E$22,J$21*0.92,NA())</f>
        <v>107394.66666666666</v>
      </c>
      <c r="K23" s="16">
        <f>IF(COLUMN()-5&lt;=$E$22,K$21*0.92,NA())</f>
        <v>131467.99999999997</v>
      </c>
      <c r="L23" s="16" t="e">
        <f>IF(COLUMN()-5&lt;=$E$22,L$21*0.92,NA())</f>
        <v>#N/A</v>
      </c>
      <c r="M23" s="16" t="e">
        <f>IF(COLUMN()-5&lt;=$E$22,M$21*0.92,NA())</f>
        <v>#N/A</v>
      </c>
      <c r="N23" s="16" t="e">
        <f>IF(COLUMN()-5&lt;=$E$22,N$21*0.92,NA())</f>
        <v>#N/A</v>
      </c>
      <c r="O23" s="16" t="e">
        <f>IF(COLUMN()-5&lt;=$E$22,O$21*0.92,NA())</f>
        <v>#N/A</v>
      </c>
      <c r="P23" s="16" t="e">
        <f>IF(COLUMN()-5&lt;=$E$22,P$21*0.92,NA())</f>
        <v>#N/A</v>
      </c>
      <c r="Q23" s="16" t="e">
        <f>IF(COLUMN()-5&lt;=$E$22,Q$21*0.92,NA())</f>
        <v>#N/A</v>
      </c>
    </row>
    <row r="24" spans="1:17" x14ac:dyDescent="0.35">
      <c r="A24" s="8" t="s">
        <v>59</v>
      </c>
      <c r="B24" s="12"/>
      <c r="F24" s="16">
        <f>IF(COLUMN()-5&lt;=$E$22,F$23*1.08,NA())</f>
        <v>16295.04</v>
      </c>
      <c r="G24" s="16">
        <f>IF(COLUMN()-5&lt;=$E$22,G$23*1.08,NA())</f>
        <v>38949.120000000003</v>
      </c>
      <c r="H24" s="16">
        <f>IF(COLUMN()-5&lt;=$E$22,H$23*1.08,NA())</f>
        <v>61603.200000000004</v>
      </c>
      <c r="I24" s="16">
        <f>IF(COLUMN()-5&lt;=$E$22,I$23*1.08,NA())</f>
        <v>86509.440000000002</v>
      </c>
      <c r="J24" s="16">
        <f>IF(COLUMN()-5&lt;=$E$22,J$23*1.08,NA())</f>
        <v>115986.23999999999</v>
      </c>
      <c r="K24" s="16">
        <f>IF(COLUMN()-5&lt;=$E$22,K$23*1.08,NA())</f>
        <v>141985.43999999997</v>
      </c>
      <c r="L24" s="16" t="e">
        <f>IF(COLUMN()-5&lt;=$E$22,L$23*1.08,NA())</f>
        <v>#N/A</v>
      </c>
      <c r="M24" s="16" t="e">
        <f>IF(COLUMN()-5&lt;=$E$22,M$23*1.08,NA())</f>
        <v>#N/A</v>
      </c>
      <c r="N24" s="16" t="e">
        <f>IF(COLUMN()-5&lt;=$E$22,N$23*1.08,NA())</f>
        <v>#N/A</v>
      </c>
      <c r="O24" s="16" t="e">
        <f>IF(COLUMN()-5&lt;=$E$22,O$23*1.08,NA())</f>
        <v>#N/A</v>
      </c>
      <c r="P24" s="16" t="e">
        <f>IF(COLUMN()-5&lt;=$E$22,P$23*1.08,NA())</f>
        <v>#N/A</v>
      </c>
      <c r="Q24" s="16" t="e">
        <f>IF(COLUMN()-5&lt;=$E$22,Q$23*1.08,NA())</f>
        <v>#N/A</v>
      </c>
    </row>
    <row r="25" spans="1:17" x14ac:dyDescent="0.35">
      <c r="A25" s="9" t="s">
        <v>57</v>
      </c>
      <c r="B25" s="13"/>
      <c r="F25" s="16" t="e">
        <f>IF(COLUMN()-5=$E$22,MAX($F$21:$Q$21),NA())</f>
        <v>#N/A</v>
      </c>
      <c r="G25" s="16" t="e">
        <f>IF(COLUMN()-5=$E$22,MAX($F$21:$Q$21),NA())</f>
        <v>#N/A</v>
      </c>
      <c r="H25" s="16" t="e">
        <f>IF(COLUMN()-5=$E$22,MAX($F$21:$Q$21),NA())</f>
        <v>#N/A</v>
      </c>
      <c r="I25" s="16" t="e">
        <f>IF(COLUMN()-5=$E$22,MAX($F$21:$Q$21),NA())</f>
        <v>#N/A</v>
      </c>
      <c r="J25" s="16" t="e">
        <f>IF(COLUMN()-5=$E$22,MAX($F$21:$Q$21),NA())</f>
        <v>#N/A</v>
      </c>
      <c r="K25" s="16">
        <f>IF(COLUMN()-5=$E$22,MAX($F$21:$Q$21),NA())</f>
        <v>268649.99999999994</v>
      </c>
      <c r="L25" s="16" t="e">
        <f>IF(COLUMN()-5=$E$22,MAX($F$21:$Q$21),NA())</f>
        <v>#N/A</v>
      </c>
      <c r="M25" s="16" t="e">
        <f>IF(COLUMN()-5=$E$22,MAX($F$21:$Q$21),NA())</f>
        <v>#N/A</v>
      </c>
      <c r="N25" s="16" t="e">
        <f>IF(COLUMN()-5=$E$22,MAX($F$21:$Q$21),NA())</f>
        <v>#N/A</v>
      </c>
      <c r="O25" s="16" t="e">
        <f>IF(COLUMN()-5=$E$22,MAX($F$21:$Q$21),NA())</f>
        <v>#N/A</v>
      </c>
      <c r="P25" s="16" t="e">
        <f>IF(COLUMN()-5=$E$22,MAX($F$21:$Q$21),NA())</f>
        <v>#N/A</v>
      </c>
      <c r="Q25" s="16" t="e">
        <f>IF(COLUMN()-5=$E$22,MAX($F$21:$Q$21),NA())</f>
        <v>#N/A</v>
      </c>
    </row>
    <row r="26" spans="1:17" ht="29" x14ac:dyDescent="0.35">
      <c r="A26" s="9" t="s">
        <v>42</v>
      </c>
      <c r="B26" s="13" t="s">
        <v>43</v>
      </c>
    </row>
    <row r="27" spans="1:17" x14ac:dyDescent="0.35">
      <c r="A27" s="49" t="s">
        <v>60</v>
      </c>
      <c r="B27" s="50" t="s">
        <v>61</v>
      </c>
      <c r="C27" s="14" t="s">
        <v>116</v>
      </c>
      <c r="D27" s="14" t="s">
        <v>69</v>
      </c>
      <c r="E27" s="14" t="s">
        <v>70</v>
      </c>
      <c r="F27" s="14" t="s">
        <v>71</v>
      </c>
      <c r="G27" s="14" t="s">
        <v>85</v>
      </c>
      <c r="H27" s="14" t="s">
        <v>86</v>
      </c>
    </row>
    <row r="28" spans="1:17" ht="72.5" x14ac:dyDescent="0.35">
      <c r="A28" s="9" t="s">
        <v>41</v>
      </c>
      <c r="B28" s="46">
        <f>$E$19</f>
        <v>268650</v>
      </c>
      <c r="D28" s="51" t="s">
        <v>64</v>
      </c>
      <c r="E28" s="51" t="s">
        <v>87</v>
      </c>
      <c r="F28" s="51" t="s">
        <v>72</v>
      </c>
      <c r="G28" s="51" t="s">
        <v>88</v>
      </c>
      <c r="H28" s="51" t="s">
        <v>89</v>
      </c>
    </row>
    <row r="29" spans="1:17" ht="72.5" x14ac:dyDescent="0.35">
      <c r="A29" s="9" t="s">
        <v>50</v>
      </c>
      <c r="B29" s="46" cm="1">
        <f t="array" ref="B29">INDEX($F$21:$Q$21,1,$E$22)</f>
        <v>142899.99999999997</v>
      </c>
      <c r="D29" s="51" t="s">
        <v>65</v>
      </c>
      <c r="E29" s="51" t="s">
        <v>90</v>
      </c>
      <c r="F29" s="51" t="s">
        <v>73</v>
      </c>
      <c r="G29" s="51" t="s">
        <v>91</v>
      </c>
      <c r="H29" s="51" t="s">
        <v>92</v>
      </c>
    </row>
    <row r="30" spans="1:17" ht="72.5" x14ac:dyDescent="0.35">
      <c r="A30" s="9" t="s">
        <v>62</v>
      </c>
      <c r="B30" s="46" cm="1">
        <f t="array" ref="B30">INDEX($F$23:$Q$23,1,$E$22)</f>
        <v>131467.99999999997</v>
      </c>
      <c r="D30" s="51" t="s">
        <v>66</v>
      </c>
      <c r="E30" s="51" t="s">
        <v>93</v>
      </c>
      <c r="F30" s="51" t="s">
        <v>74</v>
      </c>
      <c r="G30" s="51" t="s">
        <v>94</v>
      </c>
      <c r="H30" s="51" t="s">
        <v>95</v>
      </c>
    </row>
    <row r="31" spans="1:17" ht="87" x14ac:dyDescent="0.35">
      <c r="A31" s="9" t="s">
        <v>63</v>
      </c>
      <c r="B31" s="46" cm="1">
        <f t="array" ref="B31">INDEX($F$24:$Q$24,1,$E$22)</f>
        <v>141985.43999999997</v>
      </c>
      <c r="D31" s="51" t="s">
        <v>67</v>
      </c>
      <c r="E31" s="51" t="s">
        <v>96</v>
      </c>
      <c r="F31" s="51" t="s">
        <v>75</v>
      </c>
      <c r="G31" s="51" t="s">
        <v>76</v>
      </c>
      <c r="H31" s="51" t="s">
        <v>77</v>
      </c>
    </row>
    <row r="32" spans="1:17" ht="87" x14ac:dyDescent="0.35">
      <c r="A32" s="7" t="s">
        <v>64</v>
      </c>
      <c r="B32" s="48">
        <f>B30/B31</f>
        <v>0.92592592592592593</v>
      </c>
      <c r="C32" s="61" t="str">
        <f>IF(B32&gt;=1,"🟢 Green",IF(B32&gt;=0.95,"🟠 Amber","🔴 Red"))</f>
        <v>🔴 Red</v>
      </c>
      <c r="D32" s="51" t="s">
        <v>44</v>
      </c>
      <c r="E32" s="51" t="s">
        <v>78</v>
      </c>
      <c r="F32" s="51" t="s">
        <v>79</v>
      </c>
      <c r="G32" s="51"/>
      <c r="H32" s="51"/>
    </row>
    <row r="33" spans="1:8" ht="72.5" x14ac:dyDescent="0.35">
      <c r="A33" s="7" t="s">
        <v>65</v>
      </c>
      <c r="B33" s="48">
        <f>B30/B29</f>
        <v>0.91999999999999993</v>
      </c>
      <c r="C33" s="61" t="str">
        <f>IF(B33&gt;=1,"🟢 Green",IF(B33&gt;=0.95,"🟠 Amber","🔴 Red"))</f>
        <v>🔴 Red</v>
      </c>
      <c r="D33" s="51" t="s">
        <v>45</v>
      </c>
      <c r="E33" s="51" t="s">
        <v>80</v>
      </c>
      <c r="F33" s="51" t="s">
        <v>81</v>
      </c>
      <c r="G33" s="51"/>
      <c r="H33" s="51"/>
    </row>
    <row r="34" spans="1:8" ht="87" x14ac:dyDescent="0.35">
      <c r="A34" s="7" t="s">
        <v>66</v>
      </c>
      <c r="B34" s="47">
        <f>B28/B32</f>
        <v>290142</v>
      </c>
      <c r="C34" s="61" t="str">
        <f>IF(B34&lt;=B28,"🟢 Green",IF(B34&lt;=B28*1.05,"🟠 Amber","🔴 Red"))</f>
        <v>🔴 Red</v>
      </c>
      <c r="D34" s="51" t="s">
        <v>42</v>
      </c>
      <c r="E34" s="51" t="s">
        <v>82</v>
      </c>
      <c r="F34" s="51" t="s">
        <v>83</v>
      </c>
      <c r="G34" s="51"/>
      <c r="H34" s="51"/>
    </row>
    <row r="35" spans="1:8" ht="43.5" x14ac:dyDescent="0.35">
      <c r="A35" s="7" t="s">
        <v>67</v>
      </c>
      <c r="B35" s="47">
        <f>B28-B34</f>
        <v>-21492</v>
      </c>
      <c r="C35" s="61" t="str">
        <f>IF(B35&gt;=0,"🟢 Green",IF(B35&gt;=-B28*5%,"🟠 Amber","🔴 Red"))</f>
        <v>🔴 Red</v>
      </c>
      <c r="D35" s="51" t="s">
        <v>52</v>
      </c>
      <c r="E35" s="51" t="s">
        <v>84</v>
      </c>
      <c r="F35" s="51" t="s">
        <v>97</v>
      </c>
      <c r="G35" s="51"/>
      <c r="H35" s="51"/>
    </row>
    <row r="36" spans="1:8" ht="58" x14ac:dyDescent="0.35">
      <c r="A36" s="7" t="s">
        <v>68</v>
      </c>
      <c r="B36" s="11" t="str">
        <f>IF(B32&gt;1,"Under budget",IF(B32&lt;1,"Over budget","On budget"))&amp;" / "&amp;IF(B33&gt;1,"Ahead of schedule",IF(B33&lt;1,"Behind schedule","On schedule"))</f>
        <v>Over budget / Behind schedule</v>
      </c>
      <c r="C36" s="61" t="str">
        <f>IF(OR(C32="🔴 Red",C33="🔴 Red",C35="🔴 Red",C37="🔴 Red",C38="🔴 Red"),"🔴 Red",IF(OR(C32="🟠 Amber",C33="🟠 Amber",C35="🟠 Amber",C37="🟠 Amber",C38="🟠 Amber"),"🟠 Amber","🟢 Green"))</f>
        <v>🔴 Red</v>
      </c>
      <c r="D36" s="51" t="s">
        <v>98</v>
      </c>
      <c r="E36" s="51" t="s">
        <v>99</v>
      </c>
      <c r="F36" s="51" t="s">
        <v>100</v>
      </c>
      <c r="G36" s="51"/>
      <c r="H36" s="51"/>
    </row>
    <row r="37" spans="1:8" x14ac:dyDescent="0.35">
      <c r="A37" s="7" t="s">
        <v>46</v>
      </c>
      <c r="B37" s="56">
        <f>B30-B29</f>
        <v>-11432</v>
      </c>
      <c r="C37" s="62" t="str">
        <f>IF(B37&gt;=0,"🟢 Green",IF(B37&gt;=-B28*5%,"🟠 Amber","🔴 Red"))</f>
        <v>🟠 Amber</v>
      </c>
    </row>
    <row r="38" spans="1:8" x14ac:dyDescent="0.35">
      <c r="A38" s="7" t="s">
        <v>47</v>
      </c>
      <c r="B38" s="56">
        <f>B30-B31</f>
        <v>-10517.440000000002</v>
      </c>
      <c r="C38" s="62" t="str">
        <f>IF(B38&gt;=0,"🟢 Green",IF(B38&gt;=-B28*5%,"🟠 Amber","🔴 Red"))</f>
        <v>🟠 Amber</v>
      </c>
    </row>
    <row r="39" spans="1:8" x14ac:dyDescent="0.35">
      <c r="A39" s="7" t="s">
        <v>111</v>
      </c>
      <c r="B39" s="11" t="str">
        <f>"SV "&amp;TEXT(B37,"$#,##0;-$#,##0")&amp;" / CV "&amp;TEXT(B38,"$#,##0;-$#,##0")</f>
        <v>SV -$11,432 / CV -$10,517</v>
      </c>
      <c r="C39" s="61" t="str">
        <f>C36</f>
        <v>🔴 Red</v>
      </c>
    </row>
  </sheetData>
  <mergeCells count="2">
    <mergeCell ref="A1:S1"/>
    <mergeCell ref="A2:S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59B33-7C43-4CBB-9858-0DE09F09CD77}">
  <dimension ref="A1:N62"/>
  <sheetViews>
    <sheetView tabSelected="1" topLeftCell="G1" workbookViewId="0">
      <selection activeCell="J6" sqref="J6"/>
    </sheetView>
  </sheetViews>
  <sheetFormatPr defaultRowHeight="14.5" x14ac:dyDescent="0.35"/>
  <cols>
    <col min="1" max="1" width="12.7265625" style="7" customWidth="1"/>
    <col min="2" max="4" width="13.6328125" style="7" customWidth="1"/>
    <col min="5" max="5" width="16.36328125" style="7" customWidth="1"/>
    <col min="6" max="9" width="13.6328125" style="7" customWidth="1"/>
    <col min="10" max="10" width="12.7265625" style="7" customWidth="1"/>
    <col min="11" max="11" width="15.453125" style="7" customWidth="1"/>
    <col min="12" max="12" width="20.90625" style="7" customWidth="1"/>
    <col min="13" max="13" width="14.54296875" style="7" customWidth="1"/>
    <col min="14" max="14" width="28.1796875" style="7" customWidth="1"/>
  </cols>
  <sheetData>
    <row r="1" spans="1:14" ht="23.5" x14ac:dyDescent="0.55000000000000004">
      <c r="A1" s="20" t="s">
        <v>48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5">
      <c r="A2" s="4" t="s">
        <v>49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spans="1:14" x14ac:dyDescent="0.35">
      <c r="A4" s="21" t="s">
        <v>41</v>
      </c>
      <c r="B4" s="21"/>
      <c r="C4" s="21"/>
      <c r="D4" s="21" t="s">
        <v>50</v>
      </c>
      <c r="E4" s="21"/>
      <c r="F4" s="21"/>
      <c r="G4" s="21" t="s">
        <v>51</v>
      </c>
      <c r="H4" s="21"/>
      <c r="I4" s="21"/>
      <c r="J4" s="22" t="s">
        <v>52</v>
      </c>
      <c r="K4" s="22"/>
      <c r="L4" s="22"/>
      <c r="M4" s="21" t="s">
        <v>101</v>
      </c>
      <c r="N4" s="21"/>
    </row>
    <row r="5" spans="1:14" ht="21" x14ac:dyDescent="0.5">
      <c r="A5" s="23">
        <f>'Project Plan'!E19</f>
        <v>268650</v>
      </c>
      <c r="B5" s="23"/>
      <c r="C5" s="23"/>
      <c r="D5" s="23" cm="1">
        <f t="array" ref="D5">INDEX('Project Plan'!F21:Q21,1,'Project Plan'!E22)</f>
        <v>142899.99999999997</v>
      </c>
      <c r="E5" s="24"/>
      <c r="F5" s="24"/>
      <c r="G5" s="25">
        <f>D5/A5</f>
        <v>0.53191885352689361</v>
      </c>
      <c r="H5" s="24"/>
      <c r="I5" s="24"/>
      <c r="J5" s="26">
        <f>'Project Plan'!E22</f>
        <v>6</v>
      </c>
      <c r="K5" s="24"/>
      <c r="L5" s="24"/>
      <c r="M5" s="66" t="str">
        <f>TEXT('Project Plan'!B32,"0.00")&amp;" / "&amp;TEXT('Project Plan'!B33,"0.00")</f>
        <v>0.93 / 0.92</v>
      </c>
      <c r="N5" s="66"/>
    </row>
    <row r="6" spans="1:14" x14ac:dyDescent="0.35">
      <c r="M6" s="63" t="str">
        <f>'Project Plan'!C36</f>
        <v>🔴 Red</v>
      </c>
      <c r="N6" s="63"/>
    </row>
    <row r="7" spans="1:14" x14ac:dyDescent="0.35">
      <c r="A7" s="27" t="s">
        <v>53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35">
      <c r="A8" s="28" t="str">
        <f>"At status week "&amp;'Project Plan'!E22&amp;", the baseline plan should have earned "&amp;TEXT(D5,"$#,##0")&amp;" of planned value, or "&amp;TEXT(G5,"0.0%")&amp;" of the BAC. The bars below show which activities are scheduled before and after the status date, while the S-curve converts those same weekly bars into cumulative planned value."</f>
        <v>At status week 6, the baseline plan should have earned $142,900 of planned value, or 53.2% of the BAC. The bars below show which activities are scheduled before and after the status date, while the S-curve converts those same weekly bars into cumulative planned value.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</row>
    <row r="9" spans="1:14" x14ac:dyDescent="0.3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</row>
    <row r="10" spans="1:14" x14ac:dyDescent="0.3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</row>
    <row r="12" spans="1:14" x14ac:dyDescent="0.35">
      <c r="A12" s="27" t="s">
        <v>54</v>
      </c>
      <c r="B12" s="3"/>
      <c r="C12" s="3"/>
      <c r="D12" s="3"/>
      <c r="E12" s="3"/>
      <c r="F12" s="3"/>
      <c r="G12" s="3"/>
      <c r="H12" s="29"/>
      <c r="I12" s="3"/>
      <c r="J12" s="3"/>
      <c r="K12" s="3"/>
      <c r="L12" s="3"/>
      <c r="M12" s="3"/>
      <c r="N12" s="3"/>
    </row>
    <row r="13" spans="1:14" x14ac:dyDescent="0.35">
      <c r="A13" s="30" t="s">
        <v>2</v>
      </c>
      <c r="B13" s="31" t="s">
        <v>3</v>
      </c>
      <c r="C13" s="31" t="s">
        <v>7</v>
      </c>
      <c r="D13" s="31" t="s">
        <v>8</v>
      </c>
      <c r="E13" s="31" t="s">
        <v>9</v>
      </c>
      <c r="F13" s="31" t="s">
        <v>10</v>
      </c>
      <c r="G13" s="32" t="s">
        <v>11</v>
      </c>
      <c r="H13" s="33" t="s">
        <v>12</v>
      </c>
      <c r="I13" s="30" t="s">
        <v>13</v>
      </c>
      <c r="J13" s="31" t="s">
        <v>14</v>
      </c>
      <c r="K13" s="31" t="s">
        <v>15</v>
      </c>
      <c r="L13" s="31" t="s">
        <v>16</v>
      </c>
      <c r="M13" s="31" t="s">
        <v>17</v>
      </c>
      <c r="N13" s="32" t="s">
        <v>18</v>
      </c>
    </row>
    <row r="14" spans="1:14" ht="30.5" x14ac:dyDescent="0.5">
      <c r="A14" s="44" t="str">
        <f>'Project Plan'!A5</f>
        <v>Project Management</v>
      </c>
      <c r="B14" s="34" t="str">
        <f>'Project Plan'!B5</f>
        <v>Labor</v>
      </c>
      <c r="C14" s="35" t="s">
        <v>55</v>
      </c>
      <c r="D14" s="35" t="s">
        <v>55</v>
      </c>
      <c r="E14" s="35" t="s">
        <v>55</v>
      </c>
      <c r="F14" s="35" t="s">
        <v>55</v>
      </c>
      <c r="G14" s="36" t="s">
        <v>55</v>
      </c>
      <c r="H14" s="37" t="s">
        <v>55</v>
      </c>
      <c r="I14" s="38" t="s">
        <v>55</v>
      </c>
      <c r="J14" s="35" t="s">
        <v>55</v>
      </c>
      <c r="K14" s="35" t="s">
        <v>55</v>
      </c>
      <c r="L14" s="35" t="s">
        <v>55</v>
      </c>
      <c r="M14" s="35" t="s">
        <v>55</v>
      </c>
      <c r="N14" s="36" t="s">
        <v>55</v>
      </c>
    </row>
    <row r="15" spans="1:14" ht="30.5" x14ac:dyDescent="0.5">
      <c r="A15" s="44" t="str">
        <f>'Project Plan'!A6</f>
        <v>Site Survey &amp; Mobilization</v>
      </c>
      <c r="B15" s="34" t="str">
        <f>'Project Plan'!B6</f>
        <v>Labor</v>
      </c>
      <c r="C15" s="35" t="s">
        <v>55</v>
      </c>
      <c r="D15" s="35"/>
      <c r="E15" s="35"/>
      <c r="F15" s="35"/>
      <c r="G15" s="36"/>
      <c r="H15" s="37"/>
      <c r="I15" s="38"/>
      <c r="J15" s="35"/>
      <c r="K15" s="35"/>
      <c r="L15" s="35"/>
      <c r="M15" s="35"/>
      <c r="N15" s="36"/>
    </row>
    <row r="16" spans="1:14" ht="30.5" x14ac:dyDescent="0.5">
      <c r="A16" s="44" t="str">
        <f>'Project Plan'!A7</f>
        <v>Design &amp; Engineering</v>
      </c>
      <c r="B16" s="34" t="str">
        <f>'Project Plan'!B7</f>
        <v>Labor</v>
      </c>
      <c r="C16" s="35" t="s">
        <v>55</v>
      </c>
      <c r="D16" s="35" t="s">
        <v>55</v>
      </c>
      <c r="E16" s="35" t="s">
        <v>55</v>
      </c>
      <c r="F16" s="35"/>
      <c r="G16" s="36"/>
      <c r="H16" s="37"/>
      <c r="I16" s="38"/>
      <c r="J16" s="35"/>
      <c r="K16" s="35"/>
      <c r="L16" s="35"/>
      <c r="M16" s="35"/>
      <c r="N16" s="36"/>
    </row>
    <row r="17" spans="1:14" ht="30.5" x14ac:dyDescent="0.5">
      <c r="A17" s="44" t="str">
        <f>'Project Plan'!A8</f>
        <v>Procurement - Materials</v>
      </c>
      <c r="B17" s="34" t="str">
        <f>'Project Plan'!B8</f>
        <v>Material</v>
      </c>
      <c r="C17" s="35"/>
      <c r="D17" s="35" t="s">
        <v>55</v>
      </c>
      <c r="E17" s="35" t="s">
        <v>55</v>
      </c>
      <c r="F17" s="35" t="s">
        <v>55</v>
      </c>
      <c r="G17" s="36" t="s">
        <v>55</v>
      </c>
      <c r="H17" s="37"/>
      <c r="I17" s="38"/>
      <c r="J17" s="35"/>
      <c r="K17" s="35"/>
      <c r="L17" s="35"/>
      <c r="M17" s="35"/>
      <c r="N17" s="36"/>
    </row>
    <row r="18" spans="1:14" ht="30.5" x14ac:dyDescent="0.5">
      <c r="A18" s="44" t="str">
        <f>'Project Plan'!A9</f>
        <v>Demolition &amp; Prep</v>
      </c>
      <c r="B18" s="34" t="str">
        <f>'Project Plan'!B9</f>
        <v>Labor</v>
      </c>
      <c r="C18" s="35"/>
      <c r="D18" s="35" t="s">
        <v>55</v>
      </c>
      <c r="E18" s="35" t="s">
        <v>55</v>
      </c>
      <c r="F18" s="35" t="s">
        <v>55</v>
      </c>
      <c r="G18" s="36"/>
      <c r="H18" s="37"/>
      <c r="I18" s="38"/>
      <c r="J18" s="35"/>
      <c r="K18" s="35"/>
      <c r="L18" s="35"/>
      <c r="M18" s="35"/>
      <c r="N18" s="36"/>
    </row>
    <row r="19" spans="1:14" ht="30.5" x14ac:dyDescent="0.5">
      <c r="A19" s="44" t="str">
        <f>'Project Plan'!A10</f>
        <v>Electrical Rough-In</v>
      </c>
      <c r="B19" s="34" t="str">
        <f>'Project Plan'!B10</f>
        <v>Labor</v>
      </c>
      <c r="C19" s="35"/>
      <c r="D19" s="35"/>
      <c r="E19" s="35"/>
      <c r="F19" s="35" t="s">
        <v>55</v>
      </c>
      <c r="G19" s="36" t="s">
        <v>55</v>
      </c>
      <c r="H19" s="37" t="s">
        <v>55</v>
      </c>
      <c r="I19" s="38"/>
      <c r="J19" s="35"/>
      <c r="K19" s="35"/>
      <c r="L19" s="35"/>
      <c r="M19" s="35"/>
      <c r="N19" s="36"/>
    </row>
    <row r="20" spans="1:14" ht="30.5" x14ac:dyDescent="0.5">
      <c r="A20" s="44" t="str">
        <f>'Project Plan'!A11</f>
        <v>HVAC Installation</v>
      </c>
      <c r="B20" s="34" t="str">
        <f>'Project Plan'!B11</f>
        <v>Subcontractor</v>
      </c>
      <c r="C20" s="35"/>
      <c r="D20" s="35"/>
      <c r="E20" s="35"/>
      <c r="F20" s="35"/>
      <c r="G20" s="36" t="s">
        <v>55</v>
      </c>
      <c r="H20" s="37" t="s">
        <v>55</v>
      </c>
      <c r="I20" s="38" t="s">
        <v>55</v>
      </c>
      <c r="J20" s="35" t="s">
        <v>55</v>
      </c>
      <c r="K20" s="35"/>
      <c r="L20" s="35"/>
      <c r="M20" s="35"/>
      <c r="N20" s="36"/>
    </row>
    <row r="21" spans="1:14" ht="30.5" x14ac:dyDescent="0.5">
      <c r="A21" s="44" t="str">
        <f>'Project Plan'!A12</f>
        <v>Partitions &amp; Drywall</v>
      </c>
      <c r="B21" s="34" t="str">
        <f>'Project Plan'!B12</f>
        <v>Subcontractor</v>
      </c>
      <c r="C21" s="35"/>
      <c r="D21" s="35"/>
      <c r="E21" s="35"/>
      <c r="F21" s="35"/>
      <c r="G21" s="36"/>
      <c r="H21" s="37" t="s">
        <v>55</v>
      </c>
      <c r="I21" s="38" t="s">
        <v>55</v>
      </c>
      <c r="J21" s="35" t="s">
        <v>55</v>
      </c>
      <c r="K21" s="35" t="s">
        <v>55</v>
      </c>
      <c r="L21" s="35"/>
      <c r="M21" s="35"/>
      <c r="N21" s="36"/>
    </row>
    <row r="22" spans="1:14" ht="21" x14ac:dyDescent="0.5">
      <c r="A22" s="44" t="str">
        <f>'Project Plan'!A13</f>
        <v>Flooring</v>
      </c>
      <c r="B22" s="34" t="str">
        <f>'Project Plan'!B13</f>
        <v>Material</v>
      </c>
      <c r="C22" s="35"/>
      <c r="D22" s="35"/>
      <c r="E22" s="35"/>
      <c r="F22" s="35"/>
      <c r="G22" s="36"/>
      <c r="H22" s="37"/>
      <c r="I22" s="38"/>
      <c r="J22" s="35" t="s">
        <v>55</v>
      </c>
      <c r="K22" s="35" t="s">
        <v>55</v>
      </c>
      <c r="L22" s="35" t="s">
        <v>55</v>
      </c>
      <c r="M22" s="35"/>
      <c r="N22" s="36"/>
    </row>
    <row r="23" spans="1:14" ht="30.5" x14ac:dyDescent="0.5">
      <c r="A23" s="44" t="str">
        <f>'Project Plan'!A14</f>
        <v>Fixtures &amp; Furniture</v>
      </c>
      <c r="B23" s="34" t="str">
        <f>'Project Plan'!B14</f>
        <v>Material</v>
      </c>
      <c r="C23" s="35"/>
      <c r="D23" s="35"/>
      <c r="E23" s="35"/>
      <c r="F23" s="35"/>
      <c r="G23" s="36"/>
      <c r="H23" s="37"/>
      <c r="I23" s="38"/>
      <c r="J23" s="35"/>
      <c r="K23" s="35" t="s">
        <v>55</v>
      </c>
      <c r="L23" s="35" t="s">
        <v>55</v>
      </c>
      <c r="M23" s="35" t="s">
        <v>55</v>
      </c>
      <c r="N23" s="36"/>
    </row>
    <row r="24" spans="1:14" ht="45" x14ac:dyDescent="0.5">
      <c r="A24" s="44" t="str">
        <f>'Project Plan'!A15</f>
        <v>Testing / Commissioning</v>
      </c>
      <c r="B24" s="34" t="str">
        <f>'Project Plan'!B15</f>
        <v>Labor</v>
      </c>
      <c r="C24" s="35"/>
      <c r="D24" s="35"/>
      <c r="E24" s="35"/>
      <c r="F24" s="35"/>
      <c r="G24" s="36"/>
      <c r="H24" s="37"/>
      <c r="I24" s="38"/>
      <c r="J24" s="35"/>
      <c r="K24" s="35"/>
      <c r="L24" s="35"/>
      <c r="M24" s="35" t="s">
        <v>55</v>
      </c>
      <c r="N24" s="36" t="s">
        <v>55</v>
      </c>
    </row>
    <row r="25" spans="1:14" ht="30.5" x14ac:dyDescent="0.5">
      <c r="A25" s="45" t="str">
        <f>'Project Plan'!A16</f>
        <v>Handover &amp; Closeout</v>
      </c>
      <c r="B25" s="39" t="str">
        <f>'Project Plan'!B16</f>
        <v>Labor</v>
      </c>
      <c r="C25" s="40"/>
      <c r="D25" s="40"/>
      <c r="E25" s="40"/>
      <c r="F25" s="40"/>
      <c r="G25" s="41"/>
      <c r="H25" s="42"/>
      <c r="I25" s="43"/>
      <c r="J25" s="40"/>
      <c r="K25" s="40"/>
      <c r="L25" s="40"/>
      <c r="M25" s="40"/>
      <c r="N25" s="41" t="s">
        <v>55</v>
      </c>
    </row>
    <row r="30" spans="1:14" ht="29" x14ac:dyDescent="0.35">
      <c r="A30" s="6" t="s">
        <v>56</v>
      </c>
      <c r="B30" s="6" t="s">
        <v>41</v>
      </c>
      <c r="C30" s="6" t="s">
        <v>66</v>
      </c>
      <c r="D30" s="6" t="s">
        <v>42</v>
      </c>
      <c r="E30" s="6" t="s">
        <v>44</v>
      </c>
      <c r="F30" s="6" t="s">
        <v>45</v>
      </c>
      <c r="G30" s="6" t="s">
        <v>67</v>
      </c>
      <c r="H30" s="6" t="s">
        <v>112</v>
      </c>
      <c r="I30" s="6" t="s">
        <v>113</v>
      </c>
      <c r="J30" s="6" t="s">
        <v>46</v>
      </c>
      <c r="K30" s="6" t="s">
        <v>47</v>
      </c>
      <c r="L30" s="8"/>
      <c r="M30" s="70" t="s">
        <v>114</v>
      </c>
      <c r="N30" s="70"/>
    </row>
    <row r="31" spans="1:14" x14ac:dyDescent="0.35">
      <c r="A31" s="7" t="s">
        <v>7</v>
      </c>
      <c r="B31" s="57">
        <f>'Project Plan'!$E$19</f>
        <v>268650</v>
      </c>
      <c r="C31" s="57">
        <f>'Project Plan'!$B$34</f>
        <v>290142</v>
      </c>
      <c r="D31" s="57">
        <f>'Project Plan'!F21</f>
        <v>16400</v>
      </c>
      <c r="E31" s="57">
        <f>'Project Plan'!F23</f>
        <v>15088</v>
      </c>
      <c r="F31" s="57">
        <f>'Project Plan'!F24</f>
        <v>16295.04</v>
      </c>
      <c r="G31" s="57">
        <f>'Project Plan'!$B$35</f>
        <v>-21492</v>
      </c>
      <c r="H31" s="57">
        <f>IF(ROW()-30='Project Plan'!$E$22,MAX($B$31:$F$42)*1.08,0)</f>
        <v>0</v>
      </c>
      <c r="I31" s="57" t="str">
        <f>IF(ROW()-30='Project Plan'!$E$22,"Status wk"&amp;'Project Plan'!$E$22,"")</f>
        <v/>
      </c>
      <c r="J31" s="60" t="e">
        <f>IF(ROW()-30='Project Plan'!$E$22,'Project Plan'!$B$37,NA())</f>
        <v>#N/A</v>
      </c>
      <c r="K31" s="60" t="e">
        <f>IF(ROW()-30='Project Plan'!$E$22,'Project Plan'!$B$38,NA())</f>
        <v>#N/A</v>
      </c>
      <c r="L31" s="49"/>
      <c r="M31" s="52" t="s">
        <v>69</v>
      </c>
      <c r="N31" s="52" t="s">
        <v>115</v>
      </c>
    </row>
    <row r="32" spans="1:14" ht="29" x14ac:dyDescent="0.35">
      <c r="A32" s="7" t="s">
        <v>8</v>
      </c>
      <c r="B32" s="57">
        <f>'Project Plan'!$E$19</f>
        <v>268650</v>
      </c>
      <c r="C32" s="57">
        <f>'Project Plan'!$B$34</f>
        <v>290142</v>
      </c>
      <c r="D32" s="57">
        <f>'Project Plan'!G21</f>
        <v>39200</v>
      </c>
      <c r="E32" s="57">
        <f>'Project Plan'!G23</f>
        <v>36064</v>
      </c>
      <c r="F32" s="57">
        <f>'Project Plan'!G24</f>
        <v>38949.120000000003</v>
      </c>
      <c r="G32" s="57">
        <f>'Project Plan'!$B$35</f>
        <v>-21492</v>
      </c>
      <c r="H32" s="57">
        <f>IF(ROW()-30='Project Plan'!$E$22,MAX($B$31:$F$42)*1.08,0)</f>
        <v>0</v>
      </c>
      <c r="I32" s="57" t="str">
        <f>IF(ROW()-30='Project Plan'!$E$22,"Status wk"&amp;'Project Plan'!$E$22,"")</f>
        <v/>
      </c>
      <c r="J32" s="58" t="e">
        <f>IF(ROW()-30='Project Plan'!$E$22,'Project Plan'!$B$37,NA())</f>
        <v>#N/A</v>
      </c>
      <c r="K32" s="59" t="e">
        <f>IF(ROW()-30='Project Plan'!$E$22,'Project Plan'!$B$38,NA())</f>
        <v>#N/A</v>
      </c>
      <c r="L32" s="9"/>
      <c r="M32" s="1" t="s">
        <v>66</v>
      </c>
      <c r="N32" s="64" t="str">
        <f>'Project Plan'!C34&amp;"  "&amp;TEXT('Project Plan'!B34,"$#,##0")&amp;" forecast total cost"</f>
        <v>🔴 Red  $290,142 forecast total cost</v>
      </c>
    </row>
    <row r="33" spans="1:14" x14ac:dyDescent="0.35">
      <c r="A33" s="7" t="s">
        <v>9</v>
      </c>
      <c r="B33" s="57">
        <f>'Project Plan'!$E$19</f>
        <v>268650</v>
      </c>
      <c r="C33" s="57">
        <f>'Project Plan'!$B$34</f>
        <v>290142</v>
      </c>
      <c r="D33" s="57">
        <f>'Project Plan'!H21</f>
        <v>62000</v>
      </c>
      <c r="E33" s="57">
        <f>'Project Plan'!H23</f>
        <v>57040</v>
      </c>
      <c r="F33" s="57">
        <f>'Project Plan'!H24</f>
        <v>61603.200000000004</v>
      </c>
      <c r="G33" s="57">
        <f>'Project Plan'!$B$35</f>
        <v>-21492</v>
      </c>
      <c r="H33" s="57">
        <f>IF(ROW()-30='Project Plan'!$E$22,MAX($B$31:$F$42)*1.08,0)</f>
        <v>0</v>
      </c>
      <c r="I33" s="57" t="str">
        <f>IF(ROW()-30='Project Plan'!$E$22,"Status wk"&amp;'Project Plan'!$E$22,"")</f>
        <v/>
      </c>
      <c r="J33" s="58" t="e">
        <f>IF(ROW()-30='Project Plan'!$E$22,'Project Plan'!$B$37,NA())</f>
        <v>#N/A</v>
      </c>
      <c r="K33" s="59" t="e">
        <f>IF(ROW()-30='Project Plan'!$E$22,'Project Plan'!$B$38,NA())</f>
        <v>#N/A</v>
      </c>
      <c r="L33" s="9"/>
      <c r="M33" s="1" t="s">
        <v>67</v>
      </c>
      <c r="N33" s="64" t="str">
        <f>'Project Plan'!C35&amp;"  "&amp;TEXT('Project Plan'!B35,"$#,##0;-$#,##0")&amp;" BAC - EAC"</f>
        <v>🔴 Red  -$21,492 BAC - EAC</v>
      </c>
    </row>
    <row r="34" spans="1:14" x14ac:dyDescent="0.35">
      <c r="A34" s="7" t="s">
        <v>10</v>
      </c>
      <c r="B34" s="57">
        <f>'Project Plan'!$E$19</f>
        <v>268650</v>
      </c>
      <c r="C34" s="57">
        <f>'Project Plan'!$B$34</f>
        <v>290142</v>
      </c>
      <c r="D34" s="57">
        <f>'Project Plan'!I21</f>
        <v>87066.666666666657</v>
      </c>
      <c r="E34" s="57">
        <f>'Project Plan'!I23</f>
        <v>80101.333333333328</v>
      </c>
      <c r="F34" s="57">
        <f>'Project Plan'!I24</f>
        <v>86509.440000000002</v>
      </c>
      <c r="G34" s="57">
        <f>'Project Plan'!$B$35</f>
        <v>-21492</v>
      </c>
      <c r="H34" s="57">
        <f>IF(ROW()-30='Project Plan'!$E$22,MAX($B$31:$F$42)*1.08,0)</f>
        <v>0</v>
      </c>
      <c r="I34" s="57" t="str">
        <f>IF(ROW()-30='Project Plan'!$E$22,"Status wk"&amp;'Project Plan'!$E$22,"")</f>
        <v/>
      </c>
      <c r="J34" s="58" t="e">
        <f>IF(ROW()-30='Project Plan'!$E$22,'Project Plan'!$B$37,NA())</f>
        <v>#N/A</v>
      </c>
      <c r="K34" s="58" t="e">
        <f>IF(ROW()-30='Project Plan'!$E$22,'Project Plan'!$B$38,NA())</f>
        <v>#N/A</v>
      </c>
      <c r="L34" s="9"/>
      <c r="M34" s="1" t="s">
        <v>46</v>
      </c>
      <c r="N34" s="65" t="str">
        <f>'Project Plan'!C37&amp;"  "&amp;TEXT('Project Plan'!B37,"$#,##0;-$#,##0")&amp;" EV - PV"</f>
        <v>🟠 Amber  -$11,432 EV - PV</v>
      </c>
    </row>
    <row r="35" spans="1:14" x14ac:dyDescent="0.35">
      <c r="A35" s="7" t="s">
        <v>11</v>
      </c>
      <c r="B35" s="57">
        <f>'Project Plan'!$E$19</f>
        <v>268650</v>
      </c>
      <c r="C35" s="57">
        <f>'Project Plan'!$B$34</f>
        <v>290142</v>
      </c>
      <c r="D35" s="57">
        <f>'Project Plan'!J21</f>
        <v>116733.33333333331</v>
      </c>
      <c r="E35" s="57">
        <f>'Project Plan'!J23</f>
        <v>107394.66666666666</v>
      </c>
      <c r="F35" s="57">
        <f>'Project Plan'!J24</f>
        <v>115986.23999999999</v>
      </c>
      <c r="G35" s="57">
        <f>'Project Plan'!$B$35</f>
        <v>-21492</v>
      </c>
      <c r="H35" s="57">
        <f>IF(ROW()-30='Project Plan'!$E$22,MAX($B$31:$F$42)*1.08,0)</f>
        <v>0</v>
      </c>
      <c r="I35" s="57" t="str">
        <f>IF(ROW()-30='Project Plan'!$E$22,"Status wk"&amp;'Project Plan'!$E$22,"")</f>
        <v/>
      </c>
      <c r="J35" s="58" t="e">
        <f>IF(ROW()-30='Project Plan'!$E$22,'Project Plan'!$B$37,NA())</f>
        <v>#N/A</v>
      </c>
      <c r="K35" s="58" t="e">
        <f>IF(ROW()-30='Project Plan'!$E$22,'Project Plan'!$B$38,NA())</f>
        <v>#N/A</v>
      </c>
      <c r="L35" s="9"/>
      <c r="M35" s="1" t="s">
        <v>47</v>
      </c>
      <c r="N35" s="65" t="str">
        <f>'Project Plan'!C38&amp;"  "&amp;TEXT('Project Plan'!B38,"$#,##0;-$#,##0")&amp;" EV - AC"</f>
        <v>🟠 Amber  -$10,517 EV - AC</v>
      </c>
    </row>
    <row r="36" spans="1:14" x14ac:dyDescent="0.35">
      <c r="A36" s="7" t="s">
        <v>12</v>
      </c>
      <c r="B36" s="57">
        <f>'Project Plan'!$E$19</f>
        <v>268650</v>
      </c>
      <c r="C36" s="57">
        <f>'Project Plan'!$B$34</f>
        <v>290142</v>
      </c>
      <c r="D36" s="57">
        <f>'Project Plan'!K21</f>
        <v>142899.99999999997</v>
      </c>
      <c r="E36" s="57">
        <f>'Project Plan'!K23</f>
        <v>131467.99999999997</v>
      </c>
      <c r="F36" s="57">
        <f>'Project Plan'!K24</f>
        <v>141985.43999999997</v>
      </c>
      <c r="G36" s="57">
        <f>'Project Plan'!$B$35</f>
        <v>-21492</v>
      </c>
      <c r="H36" s="57" t="e">
        <f>IF(ROW()-30='Project Plan'!$E$22,MAX($B$31:$F$42)*1.08,0)</f>
        <v>#N/A</v>
      </c>
      <c r="I36" s="57" t="str">
        <f>IF(ROW()-30='Project Plan'!$E$22,"Status wk"&amp;'Project Plan'!$E$22,"")</f>
        <v>Status wk6</v>
      </c>
      <c r="J36" s="58">
        <f>IF(ROW()-30='Project Plan'!$E$22,'Project Plan'!$B$37,NA())</f>
        <v>-11432</v>
      </c>
      <c r="K36" s="58">
        <f>IF(ROW()-30='Project Plan'!$E$22,'Project Plan'!$B$38,NA())</f>
        <v>-10517.440000000002</v>
      </c>
      <c r="L36" s="9"/>
      <c r="M36" s="1" t="s">
        <v>64</v>
      </c>
      <c r="N36" s="64" t="str">
        <f>'Project Plan'!C32&amp;"  "&amp;TEXT('Project Plan'!B32,"0.00")&amp;" cost efficiency"</f>
        <v>🔴 Red  0.93 cost efficiency</v>
      </c>
    </row>
    <row r="37" spans="1:14" ht="29" x14ac:dyDescent="0.35">
      <c r="A37" s="7" t="s">
        <v>13</v>
      </c>
      <c r="B37" s="57">
        <f>'Project Plan'!$E$19</f>
        <v>268650</v>
      </c>
      <c r="C37" s="57">
        <f>'Project Plan'!$B$34</f>
        <v>290142</v>
      </c>
      <c r="D37" s="57">
        <f>'Project Plan'!L21</f>
        <v>160399.99999999997</v>
      </c>
      <c r="E37" s="57" t="e">
        <f>'Project Plan'!L23</f>
        <v>#N/A</v>
      </c>
      <c r="F37" s="57" t="e">
        <f>'Project Plan'!L24</f>
        <v>#N/A</v>
      </c>
      <c r="G37" s="57">
        <f>'Project Plan'!$B$35</f>
        <v>-21492</v>
      </c>
      <c r="H37" s="57">
        <f>IF(ROW()-30='Project Plan'!$E$22,MAX($B$31:$F$42)*1.08,0)</f>
        <v>0</v>
      </c>
      <c r="I37" s="57" t="str">
        <f>IF(ROW()-30='Project Plan'!$E$22,"Status wk"&amp;'Project Plan'!$E$22,"")</f>
        <v/>
      </c>
      <c r="J37" s="58" t="e">
        <f>IF(ROW()-30='Project Plan'!$E$22,'Project Plan'!$B$37,NA())</f>
        <v>#N/A</v>
      </c>
      <c r="K37" s="58" t="e">
        <f>IF(ROW()-30='Project Plan'!$E$22,'Project Plan'!$B$38,NA())</f>
        <v>#N/A</v>
      </c>
      <c r="L37" s="9"/>
      <c r="M37" s="1" t="s">
        <v>65</v>
      </c>
      <c r="N37" s="64" t="str">
        <f>'Project Plan'!C33&amp;"  "&amp;TEXT('Project Plan'!B33,"0.00")&amp;" schedule efficiency"</f>
        <v>🔴 Red  0.92 schedule efficiency</v>
      </c>
    </row>
    <row r="38" spans="1:14" ht="29" x14ac:dyDescent="0.35">
      <c r="A38" s="7" t="s">
        <v>14</v>
      </c>
      <c r="B38" s="57">
        <f>'Project Plan'!$E$19</f>
        <v>268650</v>
      </c>
      <c r="C38" s="57">
        <f>'Project Plan'!$B$34</f>
        <v>290142</v>
      </c>
      <c r="D38" s="57">
        <f>'Project Plan'!M21</f>
        <v>189816.66666666663</v>
      </c>
      <c r="E38" s="57" t="e">
        <f>'Project Plan'!M23</f>
        <v>#N/A</v>
      </c>
      <c r="F38" s="57" t="e">
        <f>'Project Plan'!M24</f>
        <v>#N/A</v>
      </c>
      <c r="G38" s="57">
        <f>'Project Plan'!$B$35</f>
        <v>-21492</v>
      </c>
      <c r="H38" s="57">
        <f>IF(ROW()-30='Project Plan'!$E$22,MAX($B$31:$F$42)*1.08,0)</f>
        <v>0</v>
      </c>
      <c r="I38" s="57" t="str">
        <f>IF(ROW()-30='Project Plan'!$E$22,"Status wk"&amp;'Project Plan'!$E$22,"")</f>
        <v/>
      </c>
      <c r="J38" s="58" t="e">
        <f>IF(ROW()-30='Project Plan'!$E$22,'Project Plan'!$B$37,NA())</f>
        <v>#N/A</v>
      </c>
      <c r="K38" s="58" t="e">
        <f>IF(ROW()-30='Project Plan'!$E$22,'Project Plan'!$B$38,NA())</f>
        <v>#N/A</v>
      </c>
      <c r="L38" s="9"/>
      <c r="M38" s="1" t="s">
        <v>68</v>
      </c>
      <c r="N38" s="64" t="str">
        <f>'Project Plan'!C36&amp;"  "&amp;'Project Plan'!B36</f>
        <v>🔴 Red  Over budget / Behind schedule</v>
      </c>
    </row>
    <row r="39" spans="1:14" x14ac:dyDescent="0.35">
      <c r="A39" s="7" t="s">
        <v>15</v>
      </c>
      <c r="B39" s="57">
        <f>'Project Plan'!$E$19</f>
        <v>268650</v>
      </c>
      <c r="C39" s="57">
        <f>'Project Plan'!$B$34</f>
        <v>290142</v>
      </c>
      <c r="D39" s="57">
        <f>'Project Plan'!N21</f>
        <v>220233.33333333328</v>
      </c>
      <c r="E39" s="57" t="e">
        <f>'Project Plan'!N23</f>
        <v>#N/A</v>
      </c>
      <c r="F39" s="57" t="e">
        <f>'Project Plan'!N24</f>
        <v>#N/A</v>
      </c>
      <c r="G39" s="57">
        <f>'Project Plan'!$B$35</f>
        <v>-21492</v>
      </c>
      <c r="H39" s="57">
        <f>IF(ROW()-30='Project Plan'!$E$22,MAX($B$31:$F$42)*1.08,0)</f>
        <v>0</v>
      </c>
      <c r="I39" s="57" t="str">
        <f>IF(ROW()-30='Project Plan'!$E$22,"Status wk"&amp;'Project Plan'!$E$22,"")</f>
        <v/>
      </c>
      <c r="J39" s="57" t="e">
        <f>IF(ROW()-30='Project Plan'!$E$22,'Project Plan'!$B$37,NA())</f>
        <v>#N/A</v>
      </c>
      <c r="K39" s="57" t="e">
        <f>IF(ROW()-30='Project Plan'!$E$22,'Project Plan'!$B$38,NA())</f>
        <v>#N/A</v>
      </c>
      <c r="M39" s="9"/>
      <c r="N39" s="9"/>
    </row>
    <row r="40" spans="1:14" x14ac:dyDescent="0.35">
      <c r="A40" s="7" t="s">
        <v>16</v>
      </c>
      <c r="B40" s="57">
        <f>'Project Plan'!$E$19</f>
        <v>268650</v>
      </c>
      <c r="C40" s="57">
        <f>'Project Plan'!$B$34</f>
        <v>290142</v>
      </c>
      <c r="D40" s="57">
        <f>'Project Plan'!O21</f>
        <v>243649.99999999994</v>
      </c>
      <c r="E40" s="57" t="e">
        <f>'Project Plan'!O23</f>
        <v>#N/A</v>
      </c>
      <c r="F40" s="57" t="e">
        <f>'Project Plan'!O24</f>
        <v>#N/A</v>
      </c>
      <c r="G40" s="57">
        <f>'Project Plan'!$B$35</f>
        <v>-21492</v>
      </c>
      <c r="H40" s="57">
        <f>IF(ROW()-30='Project Plan'!$E$22,MAX($B$31:$F$42)*1.08,0)</f>
        <v>0</v>
      </c>
      <c r="I40" s="57" t="str">
        <f>IF(ROW()-30='Project Plan'!$E$22,"Status wk"&amp;'Project Plan'!$E$22,"")</f>
        <v/>
      </c>
      <c r="J40" s="57" t="e">
        <f>IF(ROW()-30='Project Plan'!$E$22,'Project Plan'!$B$37,NA())</f>
        <v>#N/A</v>
      </c>
      <c r="K40" s="57" t="e">
        <f>IF(ROW()-30='Project Plan'!$E$22,'Project Plan'!$B$38,NA())</f>
        <v>#N/A</v>
      </c>
      <c r="M40" s="71" t="s">
        <v>117</v>
      </c>
      <c r="N40" s="71" t="s">
        <v>118</v>
      </c>
    </row>
    <row r="41" spans="1:14" x14ac:dyDescent="0.35">
      <c r="A41" s="7" t="s">
        <v>17</v>
      </c>
      <c r="B41" s="57">
        <f>'Project Plan'!$E$19</f>
        <v>268650</v>
      </c>
      <c r="C41" s="57">
        <f>'Project Plan'!$B$34</f>
        <v>290142</v>
      </c>
      <c r="D41" s="57">
        <f>'Project Plan'!P21</f>
        <v>259349.99999999994</v>
      </c>
      <c r="E41" s="57" t="e">
        <f>'Project Plan'!P23</f>
        <v>#N/A</v>
      </c>
      <c r="F41" s="57" t="e">
        <f>'Project Plan'!P24</f>
        <v>#N/A</v>
      </c>
      <c r="G41" s="57">
        <f>'Project Plan'!$B$35</f>
        <v>-21492</v>
      </c>
      <c r="H41" s="57">
        <f>IF(ROW()-30='Project Plan'!$E$22,MAX($B$31:$F$42)*1.08,0)</f>
        <v>0</v>
      </c>
      <c r="I41" s="57" t="str">
        <f>IF(ROW()-30='Project Plan'!$E$22,"Status wk"&amp;'Project Plan'!$E$22,"")</f>
        <v/>
      </c>
      <c r="J41" s="57" t="e">
        <f>IF(ROW()-30='Project Plan'!$E$22,'Project Plan'!$B$37,NA())</f>
        <v>#N/A</v>
      </c>
      <c r="K41" s="57" t="e">
        <f>IF(ROW()-30='Project Plan'!$E$22,'Project Plan'!$B$38,NA())</f>
        <v>#N/A</v>
      </c>
      <c r="M41" s="72" t="s">
        <v>119</v>
      </c>
      <c r="N41" s="72" t="s">
        <v>120</v>
      </c>
    </row>
    <row r="42" spans="1:14" x14ac:dyDescent="0.35">
      <c r="A42" s="7" t="s">
        <v>18</v>
      </c>
      <c r="B42" s="57">
        <f>'Project Plan'!$E$19</f>
        <v>268650</v>
      </c>
      <c r="C42" s="57">
        <f>'Project Plan'!$B$34</f>
        <v>290142</v>
      </c>
      <c r="D42" s="57">
        <f>'Project Plan'!Q21</f>
        <v>268649.99999999994</v>
      </c>
      <c r="E42" s="57" t="e">
        <f>'Project Plan'!Q23</f>
        <v>#N/A</v>
      </c>
      <c r="F42" s="57" t="e">
        <f>'Project Plan'!Q24</f>
        <v>#N/A</v>
      </c>
      <c r="G42" s="57">
        <f>'Project Plan'!$B$35</f>
        <v>-21492</v>
      </c>
      <c r="H42" s="57">
        <f>IF(ROW()-30='Project Plan'!$E$22,MAX($B$31:$F$42)*1.08,0)</f>
        <v>0</v>
      </c>
      <c r="I42" s="57" t="str">
        <f>IF(ROW()-30='Project Plan'!$E$22,"Status wk"&amp;'Project Plan'!$E$22,"")</f>
        <v/>
      </c>
      <c r="J42" s="57" t="e">
        <f>IF(ROW()-30='Project Plan'!$E$22,'Project Plan'!$B$37,NA())</f>
        <v>#N/A</v>
      </c>
      <c r="K42" s="57" t="e">
        <f>IF(ROW()-30='Project Plan'!$E$22,'Project Plan'!$B$38,NA())</f>
        <v>#N/A</v>
      </c>
      <c r="M42" s="73" t="s">
        <v>121</v>
      </c>
      <c r="N42" s="73" t="s">
        <v>122</v>
      </c>
    </row>
    <row r="43" spans="1:14" x14ac:dyDescent="0.35">
      <c r="M43" s="68" t="s">
        <v>123</v>
      </c>
      <c r="N43" s="68" t="s">
        <v>124</v>
      </c>
    </row>
    <row r="44" spans="1:14" x14ac:dyDescent="0.35">
      <c r="A44" s="27" t="s">
        <v>102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</row>
    <row r="45" spans="1:14" ht="29" x14ac:dyDescent="0.35">
      <c r="A45" s="49" t="s">
        <v>69</v>
      </c>
      <c r="B45" s="49" t="s">
        <v>103</v>
      </c>
      <c r="C45" s="49" t="s">
        <v>104</v>
      </c>
      <c r="D45" s="49" t="s">
        <v>105</v>
      </c>
      <c r="E45" s="49" t="s">
        <v>116</v>
      </c>
    </row>
    <row r="46" spans="1:14" ht="43.5" x14ac:dyDescent="0.35">
      <c r="A46" s="9" t="s">
        <v>64</v>
      </c>
      <c r="B46" s="67">
        <f>'Project Plan'!B32</f>
        <v>0.92592592592592593</v>
      </c>
      <c r="C46" s="68" t="str">
        <f>IF(B46&gt;1,"Under budget",IF(B46&lt;1,"Over budget","On budget"))</f>
        <v>Over budget</v>
      </c>
      <c r="D46" s="9" t="s">
        <v>106</v>
      </c>
      <c r="E46" s="68" t="str">
        <f>IF(B46&gt;=1,"🟢 Green",IF(B46&gt;=0.95,"🟠 Amber","🔴 Red"))</f>
        <v>🔴 Red</v>
      </c>
    </row>
    <row r="47" spans="1:14" ht="72.5" x14ac:dyDescent="0.35">
      <c r="A47" s="9" t="s">
        <v>65</v>
      </c>
      <c r="B47" s="67">
        <f>'Project Plan'!B33</f>
        <v>0.91999999999999993</v>
      </c>
      <c r="C47" s="68" t="str">
        <f>IF(B47&gt;1,"Ahead of schedule",IF(B47&lt;1,"Behind schedule","On schedule"))</f>
        <v>Behind schedule</v>
      </c>
      <c r="D47" s="9" t="s">
        <v>107</v>
      </c>
      <c r="E47" s="68" t="str">
        <f>IF(B47&gt;=1,"🟢 Green",IF(B47&gt;=0.95,"🟠 Amber","🔴 Red"))</f>
        <v>🔴 Red</v>
      </c>
    </row>
    <row r="48" spans="1:14" ht="58" x14ac:dyDescent="0.35">
      <c r="A48" s="9" t="s">
        <v>66</v>
      </c>
      <c r="B48" s="69">
        <f>'Project Plan'!B34</f>
        <v>290142</v>
      </c>
      <c r="C48" s="68" t="str">
        <f>IF(B48&lt;'Project Plan'!B28,"Forecast under BAC","Forecast over BAC")</f>
        <v>Forecast over BAC</v>
      </c>
      <c r="D48" s="9" t="s">
        <v>108</v>
      </c>
      <c r="E48" s="68" t="str">
        <f>IF(B48&lt;='Project Plan'!B28,"🟢 Green",IF(B48&lt;='Project Plan'!B28*1.05,"🟠 Amber","🔴 Red"))</f>
        <v>🔴 Red</v>
      </c>
    </row>
    <row r="49" spans="1:7" ht="72.5" x14ac:dyDescent="0.35">
      <c r="A49" s="9" t="s">
        <v>67</v>
      </c>
      <c r="B49" s="69">
        <f>'Project Plan'!B35</f>
        <v>-21492</v>
      </c>
      <c r="C49" s="68" t="str">
        <f>IF(B49&gt;0,"Positive variance",IF(B49&lt;0,"Negative variance","No variance"))</f>
        <v>Negative variance</v>
      </c>
      <c r="D49" s="9" t="s">
        <v>109</v>
      </c>
      <c r="E49" s="68" t="str">
        <f>IF(B49&gt;=0,"🟢 Green",IF(B49&gt;=-'Project Plan'!B28*5%,"🟠 Amber","🔴 Red"))</f>
        <v>🔴 Red</v>
      </c>
    </row>
    <row r="50" spans="1:7" ht="43.5" x14ac:dyDescent="0.35">
      <c r="A50" s="9" t="s">
        <v>68</v>
      </c>
      <c r="B50" s="68" t="str">
        <f>'Project Plan'!B36</f>
        <v>Over budget / Behind schedule</v>
      </c>
      <c r="C50" s="68" t="str">
        <f>B50</f>
        <v>Over budget / Behind schedule</v>
      </c>
      <c r="D50" s="9" t="s">
        <v>110</v>
      </c>
      <c r="E50" s="68" t="str">
        <f>'Project Plan'!C36</f>
        <v>🔴 Red</v>
      </c>
    </row>
    <row r="51" spans="1:7" x14ac:dyDescent="0.35">
      <c r="A51" s="53">
        <v>1</v>
      </c>
      <c r="B51" s="53" t="s">
        <v>7</v>
      </c>
      <c r="C51" s="54">
        <f>'Project Plan'!F20</f>
        <v>16400</v>
      </c>
      <c r="D51" s="54">
        <f>'Project Plan'!F21</f>
        <v>16400</v>
      </c>
      <c r="E51" s="53"/>
      <c r="F51" s="55">
        <f>'Project Plan'!$E$22</f>
        <v>6</v>
      </c>
      <c r="G51" s="54">
        <v>0</v>
      </c>
    </row>
    <row r="52" spans="1:7" x14ac:dyDescent="0.35">
      <c r="A52" s="53">
        <v>2</v>
      </c>
      <c r="B52" s="53" t="s">
        <v>8</v>
      </c>
      <c r="C52" s="54">
        <f>'Project Plan'!G20</f>
        <v>22800</v>
      </c>
      <c r="D52" s="54">
        <f>'Project Plan'!G21</f>
        <v>39200</v>
      </c>
      <c r="E52" s="53"/>
      <c r="F52" s="55">
        <f>'Project Plan'!$E$22</f>
        <v>6</v>
      </c>
      <c r="G52" s="54">
        <f>'Project Plan'!$E$19</f>
        <v>268650</v>
      </c>
    </row>
    <row r="53" spans="1:7" x14ac:dyDescent="0.35">
      <c r="A53" s="53">
        <v>3</v>
      </c>
      <c r="B53" s="53" t="s">
        <v>9</v>
      </c>
      <c r="C53" s="54">
        <f>'Project Plan'!H20</f>
        <v>22800</v>
      </c>
      <c r="D53" s="54">
        <f>'Project Plan'!H21</f>
        <v>62000</v>
      </c>
      <c r="E53" s="53"/>
      <c r="F53" s="53"/>
      <c r="G53" s="53"/>
    </row>
    <row r="54" spans="1:7" x14ac:dyDescent="0.35">
      <c r="A54" s="53">
        <v>4</v>
      </c>
      <c r="B54" s="53" t="s">
        <v>10</v>
      </c>
      <c r="C54" s="54">
        <f>'Project Plan'!I20</f>
        <v>25066.666666666664</v>
      </c>
      <c r="D54" s="54">
        <f>'Project Plan'!I21</f>
        <v>87066.666666666657</v>
      </c>
      <c r="E54" s="53"/>
      <c r="F54" s="53"/>
      <c r="G54" s="53"/>
    </row>
    <row r="55" spans="1:7" x14ac:dyDescent="0.35">
      <c r="A55" s="53">
        <v>5</v>
      </c>
      <c r="B55" s="53" t="s">
        <v>11</v>
      </c>
      <c r="C55" s="54">
        <f>'Project Plan'!J20</f>
        <v>29666.666666666664</v>
      </c>
      <c r="D55" s="54">
        <f>'Project Plan'!J21</f>
        <v>116733.33333333331</v>
      </c>
      <c r="E55" s="53"/>
      <c r="F55" s="53"/>
      <c r="G55" s="53"/>
    </row>
    <row r="56" spans="1:7" x14ac:dyDescent="0.35">
      <c r="A56" s="53">
        <v>6</v>
      </c>
      <c r="B56" s="53" t="s">
        <v>12</v>
      </c>
      <c r="C56" s="54">
        <f>'Project Plan'!K20</f>
        <v>26166.666666666664</v>
      </c>
      <c r="D56" s="54">
        <f>'Project Plan'!K21</f>
        <v>142899.99999999997</v>
      </c>
      <c r="E56" s="53"/>
      <c r="F56" s="53"/>
      <c r="G56" s="53"/>
    </row>
    <row r="57" spans="1:7" x14ac:dyDescent="0.35">
      <c r="A57" s="53">
        <v>7</v>
      </c>
      <c r="B57" s="53" t="s">
        <v>13</v>
      </c>
      <c r="C57" s="54">
        <f>'Project Plan'!L20</f>
        <v>17500</v>
      </c>
      <c r="D57" s="54">
        <f>'Project Plan'!L21</f>
        <v>160399.99999999997</v>
      </c>
      <c r="E57" s="53"/>
      <c r="F57" s="53"/>
      <c r="G57" s="53"/>
    </row>
    <row r="58" spans="1:7" x14ac:dyDescent="0.35">
      <c r="A58" s="53">
        <v>8</v>
      </c>
      <c r="B58" s="53" t="s">
        <v>14</v>
      </c>
      <c r="C58" s="54">
        <f>'Project Plan'!M20</f>
        <v>29416.666666666664</v>
      </c>
      <c r="D58" s="54">
        <f>'Project Plan'!M21</f>
        <v>189816.66666666663</v>
      </c>
      <c r="E58" s="53"/>
      <c r="F58" s="53"/>
      <c r="G58" s="53"/>
    </row>
    <row r="59" spans="1:7" x14ac:dyDescent="0.35">
      <c r="A59" s="53">
        <v>9</v>
      </c>
      <c r="B59" s="53" t="s">
        <v>15</v>
      </c>
      <c r="C59" s="54">
        <f>'Project Plan'!N20</f>
        <v>30416.666666666664</v>
      </c>
      <c r="D59" s="54">
        <f>'Project Plan'!N21</f>
        <v>220233.33333333328</v>
      </c>
      <c r="E59" s="53"/>
      <c r="F59" s="53"/>
      <c r="G59" s="53"/>
    </row>
    <row r="60" spans="1:7" x14ac:dyDescent="0.35">
      <c r="A60" s="53">
        <v>10</v>
      </c>
      <c r="B60" s="53" t="s">
        <v>16</v>
      </c>
      <c r="C60" s="54">
        <f>'Project Plan'!O20</f>
        <v>23416.666666666664</v>
      </c>
      <c r="D60" s="54">
        <f>'Project Plan'!O21</f>
        <v>243649.99999999994</v>
      </c>
      <c r="E60" s="53"/>
      <c r="F60" s="53"/>
      <c r="G60" s="53"/>
    </row>
    <row r="61" spans="1:7" x14ac:dyDescent="0.35">
      <c r="A61" s="53">
        <v>11</v>
      </c>
      <c r="B61" s="53" t="s">
        <v>17</v>
      </c>
      <c r="C61" s="54">
        <f>'Project Plan'!P20</f>
        <v>15700</v>
      </c>
      <c r="D61" s="54">
        <f>'Project Plan'!P21</f>
        <v>259349.99999999994</v>
      </c>
      <c r="E61" s="53"/>
      <c r="F61" s="53"/>
      <c r="G61" s="53"/>
    </row>
    <row r="62" spans="1:7" x14ac:dyDescent="0.35">
      <c r="A62" s="53">
        <v>12</v>
      </c>
      <c r="B62" s="53" t="s">
        <v>18</v>
      </c>
      <c r="C62" s="54">
        <f>'Project Plan'!Q20</f>
        <v>9300</v>
      </c>
      <c r="D62" s="54">
        <f>'Project Plan'!Q21</f>
        <v>268649.99999999994</v>
      </c>
      <c r="E62" s="53"/>
      <c r="F62" s="53"/>
      <c r="G62" s="53"/>
    </row>
  </sheetData>
  <mergeCells count="17">
    <mergeCell ref="A12:N12"/>
    <mergeCell ref="M4:N4"/>
    <mergeCell ref="M5:N5"/>
    <mergeCell ref="A44:N44"/>
    <mergeCell ref="M6:N6"/>
    <mergeCell ref="A5:C5"/>
    <mergeCell ref="D5:F5"/>
    <mergeCell ref="G5:I5"/>
    <mergeCell ref="J5:L5"/>
    <mergeCell ref="A7:N7"/>
    <mergeCell ref="A8:N10"/>
    <mergeCell ref="A1:N1"/>
    <mergeCell ref="A2:N2"/>
    <mergeCell ref="A4:C4"/>
    <mergeCell ref="D4:F4"/>
    <mergeCell ref="G4:I4"/>
    <mergeCell ref="J4:L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Plan</vt:lpstr>
      <vt:lpstr>EVM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Ellingsen</dc:creator>
  <cp:lastModifiedBy>Frank Ellingsen</cp:lastModifiedBy>
  <dcterms:created xsi:type="dcterms:W3CDTF">2026-08-03T20:27:04Z</dcterms:created>
  <dcterms:modified xsi:type="dcterms:W3CDTF">2026-08-03T21:20:48Z</dcterms:modified>
</cp:coreProperties>
</file>