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 Dashboard" sheetId="1" state="visible" r:id="rId1"/>
    <sheet xmlns:r="http://schemas.openxmlformats.org/officeDocument/2006/relationships" name="Dim_Project" sheetId="2" state="visible" r:id="rId2"/>
    <sheet xmlns:r="http://schemas.openxmlformats.org/officeDocument/2006/relationships" name="Dim_WBS" sheetId="3" state="visible" r:id="rId3"/>
    <sheet xmlns:r="http://schemas.openxmlformats.org/officeDocument/2006/relationships" name="Dim_Resource" sheetId="4" state="visible" r:id="rId4"/>
    <sheet xmlns:r="http://schemas.openxmlformats.org/officeDocument/2006/relationships" name="Dim_Calendar" sheetId="5" state="visible" r:id="rId5"/>
    <sheet xmlns:r="http://schemas.openxmlformats.org/officeDocument/2006/relationships" name="Fact_Baseline_PV" sheetId="6" state="visible" r:id="rId6"/>
    <sheet xmlns:r="http://schemas.openxmlformats.org/officeDocument/2006/relationships" name="Fact_Actual_Costs" sheetId="7" state="visible" r:id="rId7"/>
    <sheet xmlns:r="http://schemas.openxmlformats.org/officeDocument/2006/relationships" name="Fact_Physical_Progr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&quot; NOK&quot;"/>
    <numFmt numFmtId="166" formatCode="0.0%"/>
  </numFmts>
  <fonts count="8">
    <font>
      <name val="Calibri"/>
      <family val="2"/>
      <color theme="1"/>
      <sz val="11"/>
      <scheme val="minor"/>
    </font>
    <font>
      <name val="Segoe UI"/>
      <color rgb="00000000"/>
      <sz val="10"/>
    </font>
    <font>
      <name val="Segoe UI"/>
      <b val="1"/>
      <color rgb="00333333"/>
      <sz val="10"/>
    </font>
    <font>
      <name val="Segoe UI"/>
      <b val="1"/>
      <color rgb="002C3E50"/>
      <sz val="16"/>
    </font>
    <font>
      <name val="Segoe UI"/>
      <i val="1"/>
      <color rgb="007F8C8D"/>
      <sz val="10"/>
    </font>
    <font>
      <name val="Segoe UI"/>
      <b val="1"/>
      <color rgb="00000000"/>
      <sz val="10"/>
    </font>
    <font>
      <name val="Segoe UI"/>
      <b val="1"/>
      <color rgb="002C3E50"/>
      <sz val="12"/>
    </font>
    <font>
      <name val="Segoe UI"/>
      <b val="1"/>
      <color rgb="007F8C8D"/>
      <sz val="9"/>
    </font>
  </fonts>
  <fills count="4">
    <fill>
      <patternFill/>
    </fill>
    <fill>
      <patternFill patternType="gray125"/>
    </fill>
    <fill>
      <patternFill patternType="solid">
        <fgColor rgb="00F2F4F4"/>
        <bgColor rgb="00F2F4F4"/>
      </patternFill>
    </fill>
    <fill>
      <patternFill patternType="solid">
        <fgColor rgb="00FBFCFC"/>
        <bgColor rgb="00FBFCFC"/>
      </patternFill>
    </fill>
  </fills>
  <borders count="5">
    <border>
      <left/>
      <right/>
      <top/>
      <bottom/>
      <diagonal/>
    </border>
    <border>
      <top style="thin">
        <color rgb="00E5E7E9"/>
      </top>
      <bottom style="thin">
        <color rgb="00BDC3C7"/>
      </bottom>
    </border>
    <border>
      <bottom style="thin">
        <color rgb="00E5E7E9"/>
      </bottom>
    </border>
    <border>
      <left/>
      <right/>
      <top/>
      <bottom style="thin">
        <color rgb="00E5E7E9"/>
      </bottom>
      <diagonal/>
    </border>
    <border>
      <top style="thin">
        <color rgb="00BDC3C7"/>
      </top>
      <bottom style="double">
        <color rgb="002C3E5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7" fillId="0" borderId="0" pivotButton="0" quotePrefix="0" xfId="0"/>
    <xf numFmtId="165" fontId="6" fillId="3" borderId="2" applyAlignment="1" pivotButton="0" quotePrefix="0" xfId="0">
      <alignment horizontal="left" vertical="center"/>
    </xf>
    <xf numFmtId="0" fontId="0" fillId="0" borderId="3" pivotButton="0" quotePrefix="0" xfId="0"/>
    <xf numFmtId="2" fontId="6" fillId="3" borderId="2" applyAlignment="1" pivotButton="0" quotePrefix="0" xfId="0">
      <alignment horizontal="left" vertical="center"/>
    </xf>
    <xf numFmtId="166" fontId="6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4" fontId="1" fillId="0" borderId="2" applyAlignment="1" pivotButton="0" quotePrefix="0" xfId="0">
      <alignment horizontal="right"/>
    </xf>
    <xf numFmtId="166" fontId="1" fillId="0" borderId="2" applyAlignment="1" pivotButton="0" quotePrefix="0" xfId="0">
      <alignment horizontal="right"/>
    </xf>
    <xf numFmtId="2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3" borderId="4" applyAlignment="1" pivotButton="0" quotePrefix="0" xfId="0">
      <alignment horizontal="left"/>
    </xf>
    <xf numFmtId="0" fontId="5" fillId="3" borderId="4" pivotButton="0" quotePrefix="0" xfId="0"/>
    <xf numFmtId="4" fontId="5" fillId="3" borderId="4" applyAlignment="1" pivotButton="0" quotePrefix="0" xfId="0">
      <alignment horizontal="right"/>
    </xf>
    <xf numFmtId="166" fontId="5" fillId="3" borderId="4" applyAlignment="1" pivotButton="0" quotePrefix="0" xfId="0">
      <alignment horizontal="right"/>
    </xf>
    <xf numFmtId="2" fontId="5" fillId="3" borderId="4" applyAlignment="1" pivotButton="0" quotePrefix="0" xfId="0">
      <alignment horizontal="right"/>
    </xf>
    <xf numFmtId="0" fontId="5" fillId="3" borderId="4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164" fontId="1" fillId="0" borderId="2" applyAlignment="1" pivotButton="0" quotePrefix="0" xfId="0">
      <alignment horizontal="left"/>
    </xf>
    <xf numFmtId="4" fontId="1" fillId="0" borderId="2" pivotButton="0" quotePrefix="0" xfId="0"/>
    <xf numFmtId="2" fontId="1" fillId="0" borderId="2" pivotButton="0" quotePrefix="0" xfId="0"/>
    <xf numFmtId="0" fontId="2" fillId="2" borderId="1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6" customWidth="1" min="4" max="4"/>
    <col width="20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0" customWidth="1" min="11" max="11"/>
    <col width="10" customWidth="1" min="12" max="12"/>
    <col width="16" customWidth="1" min="13" max="13"/>
    <col width="16" customWidth="1" min="14" max="14"/>
    <col width="16" customWidth="1" min="15" max="15"/>
    <col width="14" customWidth="1" min="16" max="16"/>
  </cols>
  <sheetData>
    <row r="1" ht="24" customHeight="1">
      <c r="A1" s="1" t="inlineStr">
        <is>
          <t>OFFICE FIT-OUT - PROJECT CONTROLLING DASHBOARD</t>
        </is>
      </c>
    </row>
    <row r="2" ht="18" customHeight="1">
      <c r="A2" s="2" t="inlineStr">
        <is>
          <t>EVM Performance Status | Tufte-Compliant Design | Data-Ink Maximized</t>
        </is>
      </c>
    </row>
    <row r="4">
      <c r="A4" s="3" t="inlineStr">
        <is>
          <t>Status Date:</t>
        </is>
      </c>
      <c r="B4" s="4" t="n">
        <v>46185</v>
      </c>
      <c r="D4" s="3" t="inlineStr">
        <is>
          <t>Status Week:</t>
        </is>
      </c>
      <c r="E4" s="5" t="n">
        <v>6</v>
      </c>
      <c r="G4" s="3" t="inlineStr">
        <is>
          <t>Sector:</t>
        </is>
      </c>
      <c r="H4" s="6" t="inlineStr">
        <is>
          <t>Corporate Real Estate</t>
        </is>
      </c>
    </row>
    <row r="6">
      <c r="A6" s="7" t="inlineStr">
        <is>
          <t>BUDGET AT COMPLETION (BAC)</t>
        </is>
      </c>
      <c r="D6" s="7" t="inlineStr">
        <is>
          <t>PLANNED VALUE (PV)</t>
        </is>
      </c>
      <c r="G6" s="7" t="inlineStr">
        <is>
          <t>ACTUAL COST (AC)</t>
        </is>
      </c>
      <c r="J6" s="7" t="inlineStr">
        <is>
          <t>EARNED VALUE (EV)</t>
        </is>
      </c>
    </row>
    <row r="7" ht="24" customHeight="1">
      <c r="A7" s="8">
        <f>D30</f>
        <v/>
      </c>
      <c r="B7" s="9" t="n"/>
      <c r="C7" s="9" t="n"/>
      <c r="D7" s="8">
        <f>E30</f>
        <v/>
      </c>
      <c r="E7" s="9" t="n"/>
      <c r="F7" s="9" t="n"/>
      <c r="G7" s="8">
        <f>F30</f>
        <v/>
      </c>
      <c r="H7" s="9" t="n"/>
      <c r="I7" s="9" t="n"/>
      <c r="J7" s="8">
        <f>H30</f>
        <v/>
      </c>
      <c r="K7" s="9" t="n"/>
      <c r="L7" s="9" t="n"/>
    </row>
    <row r="9">
      <c r="A9" s="7" t="inlineStr">
        <is>
          <t>COST VARIANCE (CV)</t>
        </is>
      </c>
      <c r="D9" s="7" t="inlineStr">
        <is>
          <t>SCHEDULE VARIANCE (SV)</t>
        </is>
      </c>
      <c r="G9" s="7" t="inlineStr">
        <is>
          <t>CPI (COST INDEX)</t>
        </is>
      </c>
      <c r="J9" s="7" t="inlineStr">
        <is>
          <t>SPI (SCHEDULE INDEX)</t>
        </is>
      </c>
    </row>
    <row r="10" ht="24" customHeight="1">
      <c r="A10" s="8">
        <f>I30</f>
        <v/>
      </c>
      <c r="B10" s="9" t="n"/>
      <c r="C10" s="9" t="n"/>
      <c r="D10" s="8">
        <f>J30</f>
        <v/>
      </c>
      <c r="E10" s="9" t="n"/>
      <c r="F10" s="9" t="n"/>
      <c r="G10" s="10">
        <f>K30</f>
        <v/>
      </c>
      <c r="H10" s="9" t="n"/>
      <c r="I10" s="9" t="n"/>
      <c r="J10" s="10">
        <f>L30</f>
        <v/>
      </c>
      <c r="K10" s="9" t="n"/>
      <c r="L10" s="9" t="n"/>
    </row>
    <row r="12">
      <c r="A12" s="7" t="inlineStr">
        <is>
          <t>ESTIMATE AT COMPLETION (EAC)</t>
        </is>
      </c>
      <c r="D12" s="7" t="inlineStr">
        <is>
          <t>ESTIMATE TO COMPLETE (ETC)</t>
        </is>
      </c>
      <c r="G12" s="7" t="inlineStr">
        <is>
          <t>VARIANCE AT COMPLETION (VAC)</t>
        </is>
      </c>
      <c r="J12" s="7" t="inlineStr">
        <is>
          <t>PROJECT PROGRESS %</t>
        </is>
      </c>
    </row>
    <row r="13" ht="24" customHeight="1">
      <c r="A13" s="8">
        <f>M30</f>
        <v/>
      </c>
      <c r="B13" s="9" t="n"/>
      <c r="C13" s="9" t="n"/>
      <c r="D13" s="8">
        <f>N30</f>
        <v/>
      </c>
      <c r="E13" s="9" t="n"/>
      <c r="F13" s="9" t="n"/>
      <c r="G13" s="8">
        <f>O30</f>
        <v/>
      </c>
      <c r="H13" s="9" t="n"/>
      <c r="I13" s="9" t="n"/>
      <c r="J13" s="11">
        <f>G30</f>
        <v/>
      </c>
      <c r="K13" s="9" t="n"/>
      <c r="L13" s="9" t="n"/>
    </row>
    <row r="15">
      <c r="A15" s="12" t="inlineStr">
        <is>
          <t>WBS Element Performance Breakdown</t>
        </is>
      </c>
    </row>
    <row r="17">
      <c r="A17" s="13" t="inlineStr">
        <is>
          <t>WBS ID</t>
        </is>
      </c>
      <c r="B17" s="13" t="inlineStr">
        <is>
          <t>Activity Name</t>
        </is>
      </c>
      <c r="C17" s="13" t="inlineStr">
        <is>
          <t>Type</t>
        </is>
      </c>
      <c r="D17" s="14" t="inlineStr">
        <is>
          <t>Budget (BAC)</t>
        </is>
      </c>
      <c r="E17" s="14" t="inlineStr">
        <is>
          <t>Planned Value (PV)</t>
        </is>
      </c>
      <c r="F17" s="14" t="inlineStr">
        <is>
          <t>Actual Cost (AC)</t>
        </is>
      </c>
      <c r="G17" s="14" t="inlineStr">
        <is>
          <t>Progress %</t>
        </is>
      </c>
      <c r="H17" s="14" t="inlineStr">
        <is>
          <t>Earned Value (EV)</t>
        </is>
      </c>
      <c r="I17" s="14" t="inlineStr">
        <is>
          <t>CV</t>
        </is>
      </c>
      <c r="J17" s="14" t="inlineStr">
        <is>
          <t>SV</t>
        </is>
      </c>
      <c r="K17" s="14" t="inlineStr">
        <is>
          <t>CPI</t>
        </is>
      </c>
      <c r="L17" s="14" t="inlineStr">
        <is>
          <t>SPI</t>
        </is>
      </c>
      <c r="M17" s="14" t="inlineStr">
        <is>
          <t>EAC</t>
        </is>
      </c>
      <c r="N17" s="14" t="inlineStr">
        <is>
          <t>ETC</t>
        </is>
      </c>
      <c r="O17" s="14" t="inlineStr">
        <is>
          <t>VAC</t>
        </is>
      </c>
      <c r="P17" s="15" t="inlineStr">
        <is>
          <t>Status</t>
        </is>
      </c>
    </row>
    <row r="18">
      <c r="A18" s="16" t="inlineStr">
        <is>
          <t>WBS-01</t>
        </is>
      </c>
      <c r="B18" s="16" t="inlineStr">
        <is>
          <t>Project Management</t>
        </is>
      </c>
      <c r="C18" s="16" t="inlineStr">
        <is>
          <t>Labor</t>
        </is>
      </c>
      <c r="D18" s="17">
        <f>VLOOKUP(A18, Dim_WBS!A:E, 5, FALSE)</f>
        <v/>
      </c>
      <c r="E18" s="17">
        <f>SUMIFS(Fact_Baseline_PV!C:C, Fact_Baseline_PV!B:B, A18, Fact_Baseline_PV!A:A, "&lt;="&amp;B$4)</f>
        <v/>
      </c>
      <c r="F18" s="17">
        <f>SUMIFS(Fact_Actual_Costs!D:D, Fact_Actual_Costs!B:B, A18)</f>
        <v/>
      </c>
      <c r="G18" s="18">
        <f>IFERROR(_xlfn.MAXIFS(Fact_Physical_Progress!C:C, Fact_Physical_Progress!B:B, A18, Fact_Physical_Progress!A:A, "&lt;="&amp;B$4), 0)</f>
        <v/>
      </c>
      <c r="H18" s="17">
        <f>D18*G18</f>
        <v/>
      </c>
      <c r="I18" s="17">
        <f>H18-F18</f>
        <v/>
      </c>
      <c r="J18" s="17">
        <f>H18-E18</f>
        <v/>
      </c>
      <c r="K18" s="19">
        <f>IF(F18&gt;0, H18/F18, 1.00)</f>
        <v/>
      </c>
      <c r="L18" s="19">
        <f>IF(E18&gt;0, H18/E18, 1.00)</f>
        <v/>
      </c>
      <c r="M18" s="17">
        <f>IF(K18&gt;0, D18/K18, D18)</f>
        <v/>
      </c>
      <c r="N18" s="17">
        <f>M18-F18</f>
        <v/>
      </c>
      <c r="O18" s="17">
        <f>D18-M18</f>
        <v/>
      </c>
      <c r="P18" s="20">
        <f>IF(K18&lt;0.95, "🔴 Overrun", IF(K18&lt;1.0, "🟡 Warning", "On Track"))</f>
        <v/>
      </c>
    </row>
    <row r="19">
      <c r="A19" s="16" t="inlineStr">
        <is>
          <t>WBS-02</t>
        </is>
      </c>
      <c r="B19" s="16" t="inlineStr">
        <is>
          <t>Site Survey &amp; Mobilization</t>
        </is>
      </c>
      <c r="C19" s="16" t="inlineStr">
        <is>
          <t>Labor</t>
        </is>
      </c>
      <c r="D19" s="17">
        <f>VLOOKUP(A19, Dim_WBS!A:E, 5, FALSE)</f>
        <v/>
      </c>
      <c r="E19" s="17">
        <f>SUMIFS(Fact_Baseline_PV!C:C, Fact_Baseline_PV!B:B, A19, Fact_Baseline_PV!A:A, "&lt;="&amp;B$4)</f>
        <v/>
      </c>
      <c r="F19" s="17">
        <f>SUMIFS(Fact_Actual_Costs!D:D, Fact_Actual_Costs!B:B, A19)</f>
        <v/>
      </c>
      <c r="G19" s="18">
        <f>IFERROR(_xlfn.MAXIFS(Fact_Physical_Progress!C:C, Fact_Physical_Progress!B:B, A19, Fact_Physical_Progress!A:A, "&lt;="&amp;B$4), 0)</f>
        <v/>
      </c>
      <c r="H19" s="17">
        <f>D19*G19</f>
        <v/>
      </c>
      <c r="I19" s="17">
        <f>H19-F19</f>
        <v/>
      </c>
      <c r="J19" s="17">
        <f>H19-E19</f>
        <v/>
      </c>
      <c r="K19" s="19">
        <f>IF(F19&gt;0, H19/F19, 1.00)</f>
        <v/>
      </c>
      <c r="L19" s="19">
        <f>IF(E19&gt;0, H19/E19, 1.00)</f>
        <v/>
      </c>
      <c r="M19" s="17">
        <f>IF(K19&gt;0, D19/K19, D19)</f>
        <v/>
      </c>
      <c r="N19" s="17">
        <f>M19-F19</f>
        <v/>
      </c>
      <c r="O19" s="17">
        <f>D19-M19</f>
        <v/>
      </c>
      <c r="P19" s="20">
        <f>IF(K19&lt;0.95, "🔴 Overrun", IF(K19&lt;1.0, "🟡 Warning", "On Track"))</f>
        <v/>
      </c>
    </row>
    <row r="20">
      <c r="A20" s="16" t="inlineStr">
        <is>
          <t>WBS-03</t>
        </is>
      </c>
      <c r="B20" s="16" t="inlineStr">
        <is>
          <t>Design &amp; Engineering</t>
        </is>
      </c>
      <c r="C20" s="16" t="inlineStr">
        <is>
          <t>Labor</t>
        </is>
      </c>
      <c r="D20" s="17">
        <f>VLOOKUP(A20, Dim_WBS!A:E, 5, FALSE)</f>
        <v/>
      </c>
      <c r="E20" s="17">
        <f>SUMIFS(Fact_Baseline_PV!C:C, Fact_Baseline_PV!B:B, A20, Fact_Baseline_PV!A:A, "&lt;="&amp;B$4)</f>
        <v/>
      </c>
      <c r="F20" s="17">
        <f>SUMIFS(Fact_Actual_Costs!D:D, Fact_Actual_Costs!B:B, A20)</f>
        <v/>
      </c>
      <c r="G20" s="18">
        <f>IFERROR(_xlfn.MAXIFS(Fact_Physical_Progress!C:C, Fact_Physical_Progress!B:B, A20, Fact_Physical_Progress!A:A, "&lt;="&amp;B$4), 0)</f>
        <v/>
      </c>
      <c r="H20" s="17">
        <f>D20*G20</f>
        <v/>
      </c>
      <c r="I20" s="17">
        <f>H20-F20</f>
        <v/>
      </c>
      <c r="J20" s="17">
        <f>H20-E20</f>
        <v/>
      </c>
      <c r="K20" s="19">
        <f>IF(F20&gt;0, H20/F20, 1.00)</f>
        <v/>
      </c>
      <c r="L20" s="19">
        <f>IF(E20&gt;0, H20/E20, 1.00)</f>
        <v/>
      </c>
      <c r="M20" s="17">
        <f>IF(K20&gt;0, D20/K20, D20)</f>
        <v/>
      </c>
      <c r="N20" s="17">
        <f>M20-F20</f>
        <v/>
      </c>
      <c r="O20" s="17">
        <f>D20-M20</f>
        <v/>
      </c>
      <c r="P20" s="20">
        <f>IF(K20&lt;0.95, "🔴 Overrun", IF(K20&lt;1.0, "🟡 Warning", "On Track"))</f>
        <v/>
      </c>
    </row>
    <row r="21">
      <c r="A21" s="16" t="inlineStr">
        <is>
          <t>WBS-04</t>
        </is>
      </c>
      <c r="B21" s="16" t="inlineStr">
        <is>
          <t>Procurement - Materials</t>
        </is>
      </c>
      <c r="C21" s="16" t="inlineStr">
        <is>
          <t>Material</t>
        </is>
      </c>
      <c r="D21" s="17">
        <f>VLOOKUP(A21, Dim_WBS!A:E, 5, FALSE)</f>
        <v/>
      </c>
      <c r="E21" s="17">
        <f>SUMIFS(Fact_Baseline_PV!C:C, Fact_Baseline_PV!B:B, A21, Fact_Baseline_PV!A:A, "&lt;="&amp;B$4)</f>
        <v/>
      </c>
      <c r="F21" s="17">
        <f>SUMIFS(Fact_Actual_Costs!D:D, Fact_Actual_Costs!B:B, A21)</f>
        <v/>
      </c>
      <c r="G21" s="18">
        <f>IFERROR(_xlfn.MAXIFS(Fact_Physical_Progress!C:C, Fact_Physical_Progress!B:B, A21, Fact_Physical_Progress!A:A, "&lt;="&amp;B$4), 0)</f>
        <v/>
      </c>
      <c r="H21" s="17">
        <f>D21*G21</f>
        <v/>
      </c>
      <c r="I21" s="17">
        <f>H21-F21</f>
        <v/>
      </c>
      <c r="J21" s="17">
        <f>H21-E21</f>
        <v/>
      </c>
      <c r="K21" s="19">
        <f>IF(F21&gt;0, H21/F21, 1.00)</f>
        <v/>
      </c>
      <c r="L21" s="19">
        <f>IF(E21&gt;0, H21/E21, 1.00)</f>
        <v/>
      </c>
      <c r="M21" s="17">
        <f>IF(K21&gt;0, D21/K21, D21)</f>
        <v/>
      </c>
      <c r="N21" s="17">
        <f>M21-F21</f>
        <v/>
      </c>
      <c r="O21" s="17">
        <f>D21-M21</f>
        <v/>
      </c>
      <c r="P21" s="20">
        <f>IF(K21&lt;0.95, "🔴 Overrun", IF(K21&lt;1.0, "🟡 Warning", "On Track"))</f>
        <v/>
      </c>
    </row>
    <row r="22">
      <c r="A22" s="16" t="inlineStr">
        <is>
          <t>WBS-05</t>
        </is>
      </c>
      <c r="B22" s="16" t="inlineStr">
        <is>
          <t>Demolition &amp; Prep</t>
        </is>
      </c>
      <c r="C22" s="16" t="inlineStr">
        <is>
          <t>Labor</t>
        </is>
      </c>
      <c r="D22" s="17">
        <f>VLOOKUP(A22, Dim_WBS!A:E, 5, FALSE)</f>
        <v/>
      </c>
      <c r="E22" s="17">
        <f>SUMIFS(Fact_Baseline_PV!C:C, Fact_Baseline_PV!B:B, A22, Fact_Baseline_PV!A:A, "&lt;="&amp;B$4)</f>
        <v/>
      </c>
      <c r="F22" s="17">
        <f>SUMIFS(Fact_Actual_Costs!D:D, Fact_Actual_Costs!B:B, A22)</f>
        <v/>
      </c>
      <c r="G22" s="18">
        <f>IFERROR(_xlfn.MAXIFS(Fact_Physical_Progress!C:C, Fact_Physical_Progress!B:B, A22, Fact_Physical_Progress!A:A, "&lt;="&amp;B$4), 0)</f>
        <v/>
      </c>
      <c r="H22" s="17">
        <f>D22*G22</f>
        <v/>
      </c>
      <c r="I22" s="17">
        <f>H22-F22</f>
        <v/>
      </c>
      <c r="J22" s="17">
        <f>H22-E22</f>
        <v/>
      </c>
      <c r="K22" s="19">
        <f>IF(F22&gt;0, H22/F22, 1.00)</f>
        <v/>
      </c>
      <c r="L22" s="19">
        <f>IF(E22&gt;0, H22/E22, 1.00)</f>
        <v/>
      </c>
      <c r="M22" s="17">
        <f>IF(K22&gt;0, D22/K22, D22)</f>
        <v/>
      </c>
      <c r="N22" s="17">
        <f>M22-F22</f>
        <v/>
      </c>
      <c r="O22" s="17">
        <f>D22-M22</f>
        <v/>
      </c>
      <c r="P22" s="20">
        <f>IF(K22&lt;0.95, "🔴 Overrun", IF(K22&lt;1.0, "🟡 Warning", "On Track"))</f>
        <v/>
      </c>
    </row>
    <row r="23">
      <c r="A23" s="16" t="inlineStr">
        <is>
          <t>WBS-06</t>
        </is>
      </c>
      <c r="B23" s="16" t="inlineStr">
        <is>
          <t>Electrical Rough-In</t>
        </is>
      </c>
      <c r="C23" s="16" t="inlineStr">
        <is>
          <t>Labor</t>
        </is>
      </c>
      <c r="D23" s="17">
        <f>VLOOKUP(A23, Dim_WBS!A:E, 5, FALSE)</f>
        <v/>
      </c>
      <c r="E23" s="17">
        <f>SUMIFS(Fact_Baseline_PV!C:C, Fact_Baseline_PV!B:B, A23, Fact_Baseline_PV!A:A, "&lt;="&amp;B$4)</f>
        <v/>
      </c>
      <c r="F23" s="17">
        <f>SUMIFS(Fact_Actual_Costs!D:D, Fact_Actual_Costs!B:B, A23)</f>
        <v/>
      </c>
      <c r="G23" s="18">
        <f>IFERROR(_xlfn.MAXIFS(Fact_Physical_Progress!C:C, Fact_Physical_Progress!B:B, A23, Fact_Physical_Progress!A:A, "&lt;="&amp;B$4), 0)</f>
        <v/>
      </c>
      <c r="H23" s="17">
        <f>D23*G23</f>
        <v/>
      </c>
      <c r="I23" s="17">
        <f>H23-F23</f>
        <v/>
      </c>
      <c r="J23" s="17">
        <f>H23-E23</f>
        <v/>
      </c>
      <c r="K23" s="19">
        <f>IF(F23&gt;0, H23/F23, 1.00)</f>
        <v/>
      </c>
      <c r="L23" s="19">
        <f>IF(E23&gt;0, H23/E23, 1.00)</f>
        <v/>
      </c>
      <c r="M23" s="17">
        <f>IF(K23&gt;0, D23/K23, D23)</f>
        <v/>
      </c>
      <c r="N23" s="17">
        <f>M23-F23</f>
        <v/>
      </c>
      <c r="O23" s="17">
        <f>D23-M23</f>
        <v/>
      </c>
      <c r="P23" s="20">
        <f>IF(K23&lt;0.95, "🔴 Overrun", IF(K23&lt;1.0, "🟡 Warning", "On Track"))</f>
        <v/>
      </c>
    </row>
    <row r="24">
      <c r="A24" s="16" t="inlineStr">
        <is>
          <t>WBS-07</t>
        </is>
      </c>
      <c r="B24" s="16" t="inlineStr">
        <is>
          <t>HVAC Installation</t>
        </is>
      </c>
      <c r="C24" s="16" t="inlineStr">
        <is>
          <t>Subcontractor</t>
        </is>
      </c>
      <c r="D24" s="17">
        <f>VLOOKUP(A24, Dim_WBS!A:E, 5, FALSE)</f>
        <v/>
      </c>
      <c r="E24" s="17">
        <f>SUMIFS(Fact_Baseline_PV!C:C, Fact_Baseline_PV!B:B, A24, Fact_Baseline_PV!A:A, "&lt;="&amp;B$4)</f>
        <v/>
      </c>
      <c r="F24" s="17">
        <f>SUMIFS(Fact_Actual_Costs!D:D, Fact_Actual_Costs!B:B, A24)</f>
        <v/>
      </c>
      <c r="G24" s="18">
        <f>IFERROR(_xlfn.MAXIFS(Fact_Physical_Progress!C:C, Fact_Physical_Progress!B:B, A24, Fact_Physical_Progress!A:A, "&lt;="&amp;B$4), 0)</f>
        <v/>
      </c>
      <c r="H24" s="17">
        <f>D24*G24</f>
        <v/>
      </c>
      <c r="I24" s="17">
        <f>H24-F24</f>
        <v/>
      </c>
      <c r="J24" s="17">
        <f>H24-E24</f>
        <v/>
      </c>
      <c r="K24" s="19">
        <f>IF(F24&gt;0, H24/F24, 1.00)</f>
        <v/>
      </c>
      <c r="L24" s="19">
        <f>IF(E24&gt;0, H24/E24, 1.00)</f>
        <v/>
      </c>
      <c r="M24" s="17">
        <f>IF(K24&gt;0, D24/K24, D24)</f>
        <v/>
      </c>
      <c r="N24" s="17">
        <f>M24-F24</f>
        <v/>
      </c>
      <c r="O24" s="17">
        <f>D24-M24</f>
        <v/>
      </c>
      <c r="P24" s="20">
        <f>IF(K24&lt;0.95, "🔴 Overrun", IF(K24&lt;1.0, "🟡 Warning", "On Track"))</f>
        <v/>
      </c>
    </row>
    <row r="25">
      <c r="A25" s="16" t="inlineStr">
        <is>
          <t>WBS-08</t>
        </is>
      </c>
      <c r="B25" s="16" t="inlineStr">
        <is>
          <t>Partitions &amp; Drywall</t>
        </is>
      </c>
      <c r="C25" s="16" t="inlineStr">
        <is>
          <t>Subcontractor</t>
        </is>
      </c>
      <c r="D25" s="17">
        <f>VLOOKUP(A25, Dim_WBS!A:E, 5, FALSE)</f>
        <v/>
      </c>
      <c r="E25" s="17">
        <f>SUMIFS(Fact_Baseline_PV!C:C, Fact_Baseline_PV!B:B, A25, Fact_Baseline_PV!A:A, "&lt;="&amp;B$4)</f>
        <v/>
      </c>
      <c r="F25" s="17">
        <f>SUMIFS(Fact_Actual_Costs!D:D, Fact_Actual_Costs!B:B, A25)</f>
        <v/>
      </c>
      <c r="G25" s="18">
        <f>IFERROR(_xlfn.MAXIFS(Fact_Physical_Progress!C:C, Fact_Physical_Progress!B:B, A25, Fact_Physical_Progress!A:A, "&lt;="&amp;B$4), 0)</f>
        <v/>
      </c>
      <c r="H25" s="17">
        <f>D25*G25</f>
        <v/>
      </c>
      <c r="I25" s="17">
        <f>H25-F25</f>
        <v/>
      </c>
      <c r="J25" s="17">
        <f>H25-E25</f>
        <v/>
      </c>
      <c r="K25" s="19">
        <f>IF(F25&gt;0, H25/F25, 1.00)</f>
        <v/>
      </c>
      <c r="L25" s="19">
        <f>IF(E25&gt;0, H25/E25, 1.00)</f>
        <v/>
      </c>
      <c r="M25" s="17">
        <f>IF(K25&gt;0, D25/K25, D25)</f>
        <v/>
      </c>
      <c r="N25" s="17">
        <f>M25-F25</f>
        <v/>
      </c>
      <c r="O25" s="17">
        <f>D25-M25</f>
        <v/>
      </c>
      <c r="P25" s="20">
        <f>IF(K25&lt;0.95, "🔴 Overrun", IF(K25&lt;1.0, "🟡 Warning", "On Track"))</f>
        <v/>
      </c>
    </row>
    <row r="26">
      <c r="A26" s="16" t="inlineStr">
        <is>
          <t>WBS-09</t>
        </is>
      </c>
      <c r="B26" s="16" t="inlineStr">
        <is>
          <t>Flooring</t>
        </is>
      </c>
      <c r="C26" s="16" t="inlineStr">
        <is>
          <t>Material</t>
        </is>
      </c>
      <c r="D26" s="17">
        <f>VLOOKUP(A26, Dim_WBS!A:E, 5, FALSE)</f>
        <v/>
      </c>
      <c r="E26" s="17">
        <f>SUMIFS(Fact_Baseline_PV!C:C, Fact_Baseline_PV!B:B, A26, Fact_Baseline_PV!A:A, "&lt;="&amp;B$4)</f>
        <v/>
      </c>
      <c r="F26" s="17">
        <f>SUMIFS(Fact_Actual_Costs!D:D, Fact_Actual_Costs!B:B, A26)</f>
        <v/>
      </c>
      <c r="G26" s="18">
        <f>IFERROR(_xlfn.MAXIFS(Fact_Physical_Progress!C:C, Fact_Physical_Progress!B:B, A26, Fact_Physical_Progress!A:A, "&lt;="&amp;B$4), 0)</f>
        <v/>
      </c>
      <c r="H26" s="17">
        <f>D26*G26</f>
        <v/>
      </c>
      <c r="I26" s="17">
        <f>H26-F26</f>
        <v/>
      </c>
      <c r="J26" s="17">
        <f>H26-E26</f>
        <v/>
      </c>
      <c r="K26" s="19">
        <f>IF(F26&gt;0, H26/F26, 1.00)</f>
        <v/>
      </c>
      <c r="L26" s="19">
        <f>IF(E26&gt;0, H26/E26, 1.00)</f>
        <v/>
      </c>
      <c r="M26" s="17">
        <f>IF(K26&gt;0, D26/K26, D26)</f>
        <v/>
      </c>
      <c r="N26" s="17">
        <f>M26-F26</f>
        <v/>
      </c>
      <c r="O26" s="17">
        <f>D26-M26</f>
        <v/>
      </c>
      <c r="P26" s="20">
        <f>IF(K26&lt;0.95, "🔴 Overrun", IF(K26&lt;1.0, "🟡 Warning", "On Track"))</f>
        <v/>
      </c>
    </row>
    <row r="27">
      <c r="A27" s="16" t="inlineStr">
        <is>
          <t>WBS-10</t>
        </is>
      </c>
      <c r="B27" s="16" t="inlineStr">
        <is>
          <t>Fixtures &amp; Furniture</t>
        </is>
      </c>
      <c r="C27" s="16" t="inlineStr">
        <is>
          <t>Material</t>
        </is>
      </c>
      <c r="D27" s="17">
        <f>VLOOKUP(A27, Dim_WBS!A:E, 5, FALSE)</f>
        <v/>
      </c>
      <c r="E27" s="17">
        <f>SUMIFS(Fact_Baseline_PV!C:C, Fact_Baseline_PV!B:B, A27, Fact_Baseline_PV!A:A, "&lt;="&amp;B$4)</f>
        <v/>
      </c>
      <c r="F27" s="17">
        <f>SUMIFS(Fact_Actual_Costs!D:D, Fact_Actual_Costs!B:B, A27)</f>
        <v/>
      </c>
      <c r="G27" s="18">
        <f>IFERROR(_xlfn.MAXIFS(Fact_Physical_Progress!C:C, Fact_Physical_Progress!B:B, A27, Fact_Physical_Progress!A:A, "&lt;="&amp;B$4), 0)</f>
        <v/>
      </c>
      <c r="H27" s="17">
        <f>D27*G27</f>
        <v/>
      </c>
      <c r="I27" s="17">
        <f>H27-F27</f>
        <v/>
      </c>
      <c r="J27" s="17">
        <f>H27-E27</f>
        <v/>
      </c>
      <c r="K27" s="19">
        <f>IF(F27&gt;0, H27/F27, 1.00)</f>
        <v/>
      </c>
      <c r="L27" s="19">
        <f>IF(E27&gt;0, H27/E27, 1.00)</f>
        <v/>
      </c>
      <c r="M27" s="17">
        <f>IF(K27&gt;0, D27/K27, D27)</f>
        <v/>
      </c>
      <c r="N27" s="17">
        <f>M27-F27</f>
        <v/>
      </c>
      <c r="O27" s="17">
        <f>D27-M27</f>
        <v/>
      </c>
      <c r="P27" s="20">
        <f>IF(K27&lt;0.95, "🔴 Overrun", IF(K27&lt;1.0, "🟡 Warning", "On Track"))</f>
        <v/>
      </c>
    </row>
    <row r="28">
      <c r="A28" s="16" t="inlineStr">
        <is>
          <t>WBS-11</t>
        </is>
      </c>
      <c r="B28" s="16" t="inlineStr">
        <is>
          <t>Testing / Commissioning</t>
        </is>
      </c>
      <c r="C28" s="16" t="inlineStr">
        <is>
          <t>Labor</t>
        </is>
      </c>
      <c r="D28" s="17">
        <f>VLOOKUP(A28, Dim_WBS!A:E, 5, FALSE)</f>
        <v/>
      </c>
      <c r="E28" s="17">
        <f>SUMIFS(Fact_Baseline_PV!C:C, Fact_Baseline_PV!B:B, A28, Fact_Baseline_PV!A:A, "&lt;="&amp;B$4)</f>
        <v/>
      </c>
      <c r="F28" s="17">
        <f>SUMIFS(Fact_Actual_Costs!D:D, Fact_Actual_Costs!B:B, A28)</f>
        <v/>
      </c>
      <c r="G28" s="18">
        <f>IFERROR(_xlfn.MAXIFS(Fact_Physical_Progress!C:C, Fact_Physical_Progress!B:B, A28, Fact_Physical_Progress!A:A, "&lt;="&amp;B$4), 0)</f>
        <v/>
      </c>
      <c r="H28" s="17">
        <f>D28*G28</f>
        <v/>
      </c>
      <c r="I28" s="17">
        <f>H28-F28</f>
        <v/>
      </c>
      <c r="J28" s="17">
        <f>H28-E28</f>
        <v/>
      </c>
      <c r="K28" s="19">
        <f>IF(F28&gt;0, H28/F28, 1.00)</f>
        <v/>
      </c>
      <c r="L28" s="19">
        <f>IF(E28&gt;0, H28/E28, 1.00)</f>
        <v/>
      </c>
      <c r="M28" s="17">
        <f>IF(K28&gt;0, D28/K28, D28)</f>
        <v/>
      </c>
      <c r="N28" s="17">
        <f>M28-F28</f>
        <v/>
      </c>
      <c r="O28" s="17">
        <f>D28-M28</f>
        <v/>
      </c>
      <c r="P28" s="20">
        <f>IF(K28&lt;0.95, "🔴 Overrun", IF(K28&lt;1.0, "🟡 Warning", "On Track"))</f>
        <v/>
      </c>
    </row>
    <row r="29">
      <c r="A29" s="16" t="inlineStr">
        <is>
          <t>WBS-12</t>
        </is>
      </c>
      <c r="B29" s="16" t="inlineStr">
        <is>
          <t>Handover &amp; Closeout</t>
        </is>
      </c>
      <c r="C29" s="16" t="inlineStr">
        <is>
          <t>Labor</t>
        </is>
      </c>
      <c r="D29" s="17">
        <f>VLOOKUP(A29, Dim_WBS!A:E, 5, FALSE)</f>
        <v/>
      </c>
      <c r="E29" s="17">
        <f>SUMIFS(Fact_Baseline_PV!C:C, Fact_Baseline_PV!B:B, A29, Fact_Baseline_PV!A:A, "&lt;="&amp;B$4)</f>
        <v/>
      </c>
      <c r="F29" s="17">
        <f>SUMIFS(Fact_Actual_Costs!D:D, Fact_Actual_Costs!B:B, A29)</f>
        <v/>
      </c>
      <c r="G29" s="18">
        <f>IFERROR(_xlfn.MAXIFS(Fact_Physical_Progress!C:C, Fact_Physical_Progress!B:B, A29, Fact_Physical_Progress!A:A, "&lt;="&amp;B$4), 0)</f>
        <v/>
      </c>
      <c r="H29" s="17">
        <f>D29*G29</f>
        <v/>
      </c>
      <c r="I29" s="17">
        <f>H29-F29</f>
        <v/>
      </c>
      <c r="J29" s="17">
        <f>H29-E29</f>
        <v/>
      </c>
      <c r="K29" s="19">
        <f>IF(F29&gt;0, H29/F29, 1.00)</f>
        <v/>
      </c>
      <c r="L29" s="19">
        <f>IF(E29&gt;0, H29/E29, 1.00)</f>
        <v/>
      </c>
      <c r="M29" s="17">
        <f>IF(K29&gt;0, D29/K29, D29)</f>
        <v/>
      </c>
      <c r="N29" s="17">
        <f>M29-F29</f>
        <v/>
      </c>
      <c r="O29" s="17">
        <f>D29-M29</f>
        <v/>
      </c>
      <c r="P29" s="20">
        <f>IF(K29&lt;0.95, "🔴 Overrun", IF(K29&lt;1.0, "🟡 Warning", "On Track"))</f>
        <v/>
      </c>
    </row>
    <row r="30">
      <c r="A30" s="21" t="inlineStr">
        <is>
          <t>Total / Project Portfolio</t>
        </is>
      </c>
      <c r="B30" s="22" t="n"/>
      <c r="C30" s="22" t="n"/>
      <c r="D30" s="23">
        <f>SUM(D18:D29)</f>
        <v/>
      </c>
      <c r="E30" s="23">
        <f>SUM(E18:E29)</f>
        <v/>
      </c>
      <c r="F30" s="23">
        <f>SUM(F18:F29)</f>
        <v/>
      </c>
      <c r="G30" s="24">
        <f>H30/D30</f>
        <v/>
      </c>
      <c r="H30" s="23">
        <f>SUM(H18:H29)</f>
        <v/>
      </c>
      <c r="I30" s="23">
        <f>H30-F30</f>
        <v/>
      </c>
      <c r="J30" s="23">
        <f>H30-E30</f>
        <v/>
      </c>
      <c r="K30" s="25">
        <f>IF(F30&gt;0, H30/F30, 1.00)</f>
        <v/>
      </c>
      <c r="L30" s="25">
        <f>IF(E30&gt;0, H30/E30, 1.00)</f>
        <v/>
      </c>
      <c r="M30" s="23">
        <f>IF(K30&gt;0, D30/K30, D30)</f>
        <v/>
      </c>
      <c r="N30" s="23">
        <f>M30-F30</f>
        <v/>
      </c>
      <c r="O30" s="23">
        <f>D30-M30</f>
        <v/>
      </c>
      <c r="P30" s="26">
        <f>IF(K30&lt;0.95, "🔴 Overrun", IF(K30&lt;1.0, "Warning", "On Track"))</f>
        <v/>
      </c>
    </row>
    <row r="33">
      <c r="A33" s="12" t="inlineStr">
        <is>
          <t>Weekly Cumulative Performance Trends</t>
        </is>
      </c>
    </row>
    <row r="35">
      <c r="A35" s="14" t="inlineStr">
        <is>
          <t>Week</t>
        </is>
      </c>
      <c r="B35" s="13" t="inlineStr">
        <is>
          <t>Week Date</t>
        </is>
      </c>
      <c r="C35" s="14" t="inlineStr">
        <is>
          <t>Weekly PV</t>
        </is>
      </c>
      <c r="D35" s="14" t="inlineStr">
        <is>
          <t>Cum PV</t>
        </is>
      </c>
      <c r="E35" s="14" t="inlineStr">
        <is>
          <t>Weekly AC</t>
        </is>
      </c>
      <c r="F35" s="14" t="inlineStr">
        <is>
          <t>Cum AC</t>
        </is>
      </c>
      <c r="G35" s="14" t="inlineStr">
        <is>
          <t>Cum EV</t>
        </is>
      </c>
      <c r="H35" s="14" t="inlineStr">
        <is>
          <t>CV</t>
        </is>
      </c>
      <c r="I35" s="14" t="inlineStr">
        <is>
          <t>SV</t>
        </is>
      </c>
      <c r="J35" s="14" t="inlineStr">
        <is>
          <t>CPI</t>
        </is>
      </c>
      <c r="K35" s="14" t="inlineStr">
        <is>
          <t>SPI</t>
        </is>
      </c>
    </row>
    <row r="36">
      <c r="A36" s="27" t="n">
        <v>1</v>
      </c>
      <c r="B36" s="28" t="n">
        <v>46146</v>
      </c>
      <c r="C36" s="29">
        <f>SUMIFS(Fact_Baseline_PV!C:C, Fact_Baseline_PV!A:A, B36)</f>
        <v/>
      </c>
      <c r="D36" s="29">
        <f>SUM(C$36:C36)</f>
        <v/>
      </c>
      <c r="E36" s="29">
        <f>SUMIFS(Fact_Actual_Costs!D:D, Fact_Actual_Costs!A:A, "&gt;="&amp;B36, Fact_Actual_Costs!A:A, "&lt;="&amp;B36+6)</f>
        <v/>
      </c>
      <c r="F36" s="29">
        <f>SUM(E$36:E36)</f>
        <v/>
      </c>
      <c r="G36" s="29">
        <f>SUMPRODUCT(Dim_WBS!$E$2:$E$13, SUMIFS(Fact_Physical_Progress!$C$2:$C$100, Fact_Physical_Progress!$B$2:$B$100, Dim_WBS!$A$2:$A$13, Fact_Physical_Progress!$A$2:$A$100, "&lt;="&amp;B36+4))</f>
        <v/>
      </c>
      <c r="H36" s="29">
        <f>G36-F36</f>
        <v/>
      </c>
      <c r="I36" s="29">
        <f>G36-D36</f>
        <v/>
      </c>
      <c r="J36" s="30">
        <f>IF(F36&gt;0, G36/F36, 1.00)</f>
        <v/>
      </c>
      <c r="K36" s="30">
        <f>IF(D36&gt;0, G36/D36, 1.00)</f>
        <v/>
      </c>
    </row>
    <row r="37">
      <c r="A37" s="27" t="n">
        <v>2</v>
      </c>
      <c r="B37" s="28" t="n">
        <v>46153</v>
      </c>
      <c r="C37" s="29">
        <f>SUMIFS(Fact_Baseline_PV!C:C, Fact_Baseline_PV!A:A, B37)</f>
        <v/>
      </c>
      <c r="D37" s="29">
        <f>SUM(C$36:C37)</f>
        <v/>
      </c>
      <c r="E37" s="29">
        <f>SUMIFS(Fact_Actual_Costs!D:D, Fact_Actual_Costs!A:A, "&gt;="&amp;B37, Fact_Actual_Costs!A:A, "&lt;="&amp;B37+6)</f>
        <v/>
      </c>
      <c r="F37" s="29">
        <f>SUM(E$36:E37)</f>
        <v/>
      </c>
      <c r="G37" s="29">
        <f>SUMPRODUCT(Dim_WBS!$E$2:$E$13, SUMIFS(Fact_Physical_Progress!$C$2:$C$100, Fact_Physical_Progress!$B$2:$B$100, Dim_WBS!$A$2:$A$13, Fact_Physical_Progress!$A$2:$A$100, "&lt;="&amp;B37+4))</f>
        <v/>
      </c>
      <c r="H37" s="29">
        <f>G37-F37</f>
        <v/>
      </c>
      <c r="I37" s="29">
        <f>G37-D37</f>
        <v/>
      </c>
      <c r="J37" s="30">
        <f>IF(F37&gt;0, G37/F37, 1.00)</f>
        <v/>
      </c>
      <c r="K37" s="30">
        <f>IF(D37&gt;0, G37/D37, 1.00)</f>
        <v/>
      </c>
    </row>
    <row r="38">
      <c r="A38" s="27" t="n">
        <v>3</v>
      </c>
      <c r="B38" s="28" t="n">
        <v>46160</v>
      </c>
      <c r="C38" s="29">
        <f>SUMIFS(Fact_Baseline_PV!C:C, Fact_Baseline_PV!A:A, B38)</f>
        <v/>
      </c>
      <c r="D38" s="29">
        <f>SUM(C$36:C38)</f>
        <v/>
      </c>
      <c r="E38" s="29">
        <f>SUMIFS(Fact_Actual_Costs!D:D, Fact_Actual_Costs!A:A, "&gt;="&amp;B38, Fact_Actual_Costs!A:A, "&lt;="&amp;B38+6)</f>
        <v/>
      </c>
      <c r="F38" s="29">
        <f>SUM(E$36:E38)</f>
        <v/>
      </c>
      <c r="G38" s="29">
        <f>SUMPRODUCT(Dim_WBS!$E$2:$E$13, SUMIFS(Fact_Physical_Progress!$C$2:$C$100, Fact_Physical_Progress!$B$2:$B$100, Dim_WBS!$A$2:$A$13, Fact_Physical_Progress!$A$2:$A$100, "&lt;="&amp;B38+4))</f>
        <v/>
      </c>
      <c r="H38" s="29">
        <f>G38-F38</f>
        <v/>
      </c>
      <c r="I38" s="29">
        <f>G38-D38</f>
        <v/>
      </c>
      <c r="J38" s="30">
        <f>IF(F38&gt;0, G38/F38, 1.00)</f>
        <v/>
      </c>
      <c r="K38" s="30">
        <f>IF(D38&gt;0, G38/D38, 1.00)</f>
        <v/>
      </c>
    </row>
    <row r="39">
      <c r="A39" s="27" t="n">
        <v>4</v>
      </c>
      <c r="B39" s="28" t="n">
        <v>46167</v>
      </c>
      <c r="C39" s="29">
        <f>SUMIFS(Fact_Baseline_PV!C:C, Fact_Baseline_PV!A:A, B39)</f>
        <v/>
      </c>
      <c r="D39" s="29">
        <f>SUM(C$36:C39)</f>
        <v/>
      </c>
      <c r="E39" s="29">
        <f>SUMIFS(Fact_Actual_Costs!D:D, Fact_Actual_Costs!A:A, "&gt;="&amp;B39, Fact_Actual_Costs!A:A, "&lt;="&amp;B39+6)</f>
        <v/>
      </c>
      <c r="F39" s="29">
        <f>SUM(E$36:E39)</f>
        <v/>
      </c>
      <c r="G39" s="29">
        <f>SUMPRODUCT(Dim_WBS!$E$2:$E$13, SUMIFS(Fact_Physical_Progress!$C$2:$C$100, Fact_Physical_Progress!$B$2:$B$100, Dim_WBS!$A$2:$A$13, Fact_Physical_Progress!$A$2:$A$100, "&lt;="&amp;B39+4))</f>
        <v/>
      </c>
      <c r="H39" s="29">
        <f>G39-F39</f>
        <v/>
      </c>
      <c r="I39" s="29">
        <f>G39-D39</f>
        <v/>
      </c>
      <c r="J39" s="30">
        <f>IF(F39&gt;0, G39/F39, 1.00)</f>
        <v/>
      </c>
      <c r="K39" s="30">
        <f>IF(D39&gt;0, G39/D39, 1.00)</f>
        <v/>
      </c>
    </row>
    <row r="40">
      <c r="A40" s="27" t="n">
        <v>5</v>
      </c>
      <c r="B40" s="28" t="n">
        <v>46174</v>
      </c>
      <c r="C40" s="29">
        <f>SUMIFS(Fact_Baseline_PV!C:C, Fact_Baseline_PV!A:A, B40)</f>
        <v/>
      </c>
      <c r="D40" s="29">
        <f>SUM(C$36:C40)</f>
        <v/>
      </c>
      <c r="E40" s="29">
        <f>SUMIFS(Fact_Actual_Costs!D:D, Fact_Actual_Costs!A:A, "&gt;="&amp;B40, Fact_Actual_Costs!A:A, "&lt;="&amp;B40+6)</f>
        <v/>
      </c>
      <c r="F40" s="29">
        <f>SUM(E$36:E40)</f>
        <v/>
      </c>
      <c r="G40" s="29">
        <f>SUMPRODUCT(Dim_WBS!$E$2:$E$13, SUMIFS(Fact_Physical_Progress!$C$2:$C$100, Fact_Physical_Progress!$B$2:$B$100, Dim_WBS!$A$2:$A$13, Fact_Physical_Progress!$A$2:$A$100, "&lt;="&amp;B40+4))</f>
        <v/>
      </c>
      <c r="H40" s="29">
        <f>G40-F40</f>
        <v/>
      </c>
      <c r="I40" s="29">
        <f>G40-D40</f>
        <v/>
      </c>
      <c r="J40" s="30">
        <f>IF(F40&gt;0, G40/F40, 1.00)</f>
        <v/>
      </c>
      <c r="K40" s="30">
        <f>IF(D40&gt;0, G40/D40, 1.00)</f>
        <v/>
      </c>
    </row>
    <row r="41">
      <c r="A41" s="27" t="n">
        <v>6</v>
      </c>
      <c r="B41" s="28" t="n">
        <v>46181</v>
      </c>
      <c r="C41" s="29">
        <f>SUMIFS(Fact_Baseline_PV!C:C, Fact_Baseline_PV!A:A, B41)</f>
        <v/>
      </c>
      <c r="D41" s="29">
        <f>SUM(C$36:C41)</f>
        <v/>
      </c>
      <c r="E41" s="29">
        <f>SUMIFS(Fact_Actual_Costs!D:D, Fact_Actual_Costs!A:A, "&gt;="&amp;B41, Fact_Actual_Costs!A:A, "&lt;="&amp;B41+6)</f>
        <v/>
      </c>
      <c r="F41" s="29">
        <f>SUM(E$36:E41)</f>
        <v/>
      </c>
      <c r="G41" s="29">
        <f>SUMPRODUCT(Dim_WBS!$E$2:$E$13, SUMIFS(Fact_Physical_Progress!$C$2:$C$100, Fact_Physical_Progress!$B$2:$B$100, Dim_WBS!$A$2:$A$13, Fact_Physical_Progress!$A$2:$A$100, "&lt;="&amp;B41+4))</f>
        <v/>
      </c>
      <c r="H41" s="29">
        <f>G41-F41</f>
        <v/>
      </c>
      <c r="I41" s="29">
        <f>G41-D41</f>
        <v/>
      </c>
      <c r="J41" s="30">
        <f>IF(F41&gt;0, G41/F41, 1.00)</f>
        <v/>
      </c>
      <c r="K41" s="30">
        <f>IF(D41&gt;0, G41/D41, 1.00)</f>
        <v/>
      </c>
    </row>
    <row r="42">
      <c r="A42" s="27" t="n">
        <v>7</v>
      </c>
      <c r="B42" s="28" t="n">
        <v>46188</v>
      </c>
      <c r="C42" s="29">
        <f>SUMIFS(Fact_Baseline_PV!C:C, Fact_Baseline_PV!A:A, B42)</f>
        <v/>
      </c>
      <c r="D42" s="29">
        <f>SUM(C$36:C42)</f>
        <v/>
      </c>
      <c r="E42" s="29">
        <f>SUMIFS(Fact_Actual_Costs!D:D, Fact_Actual_Costs!A:A, "&gt;="&amp;B42, Fact_Actual_Costs!A:A, "&lt;="&amp;B42+6)</f>
        <v/>
      </c>
      <c r="F42" s="29">
        <f>SUM(E$36:E42)</f>
        <v/>
      </c>
      <c r="G42" s="29">
        <f>SUMPRODUCT(Dim_WBS!$E$2:$E$13, SUMIFS(Fact_Physical_Progress!$C$2:$C$100, Fact_Physical_Progress!$B$2:$B$100, Dim_WBS!$A$2:$A$13, Fact_Physical_Progress!$A$2:$A$100, "&lt;="&amp;B42+4))</f>
        <v/>
      </c>
      <c r="H42" s="29">
        <f>G42-F42</f>
        <v/>
      </c>
      <c r="I42" s="29">
        <f>G42-D42</f>
        <v/>
      </c>
      <c r="J42" s="30">
        <f>IF(F42&gt;0, G42/F42, 1.00)</f>
        <v/>
      </c>
      <c r="K42" s="30">
        <f>IF(D42&gt;0, G42/D42, 1.00)</f>
        <v/>
      </c>
    </row>
    <row r="43">
      <c r="A43" s="27" t="n">
        <v>8</v>
      </c>
      <c r="B43" s="28" t="n">
        <v>46195</v>
      </c>
      <c r="C43" s="29">
        <f>SUMIFS(Fact_Baseline_PV!C:C, Fact_Baseline_PV!A:A, B43)</f>
        <v/>
      </c>
      <c r="D43" s="29">
        <f>SUM(C$36:C43)</f>
        <v/>
      </c>
      <c r="E43" s="29">
        <f>SUMIFS(Fact_Actual_Costs!D:D, Fact_Actual_Costs!A:A, "&gt;="&amp;B43, Fact_Actual_Costs!A:A, "&lt;="&amp;B43+6)</f>
        <v/>
      </c>
      <c r="F43" s="29">
        <f>SUM(E$36:E43)</f>
        <v/>
      </c>
      <c r="G43" s="29">
        <f>SUMPRODUCT(Dim_WBS!$E$2:$E$13, SUMIFS(Fact_Physical_Progress!$C$2:$C$100, Fact_Physical_Progress!$B$2:$B$100, Dim_WBS!$A$2:$A$13, Fact_Physical_Progress!$A$2:$A$100, "&lt;="&amp;B43+4))</f>
        <v/>
      </c>
      <c r="H43" s="29">
        <f>G43-F43</f>
        <v/>
      </c>
      <c r="I43" s="29">
        <f>G43-D43</f>
        <v/>
      </c>
      <c r="J43" s="30">
        <f>IF(F43&gt;0, G43/F43, 1.00)</f>
        <v/>
      </c>
      <c r="K43" s="30">
        <f>IF(D43&gt;0, G43/D43, 1.00)</f>
        <v/>
      </c>
    </row>
    <row r="44">
      <c r="A44" s="27" t="n">
        <v>9</v>
      </c>
      <c r="B44" s="28" t="n">
        <v>46202</v>
      </c>
      <c r="C44" s="29">
        <f>SUMIFS(Fact_Baseline_PV!C:C, Fact_Baseline_PV!A:A, B44)</f>
        <v/>
      </c>
      <c r="D44" s="29">
        <f>SUM(C$36:C44)</f>
        <v/>
      </c>
      <c r="E44" s="29">
        <f>SUMIFS(Fact_Actual_Costs!D:D, Fact_Actual_Costs!A:A, "&gt;="&amp;B44, Fact_Actual_Costs!A:A, "&lt;="&amp;B44+6)</f>
        <v/>
      </c>
      <c r="F44" s="29">
        <f>SUM(E$36:E44)</f>
        <v/>
      </c>
      <c r="G44" s="29">
        <f>SUMPRODUCT(Dim_WBS!$E$2:$E$13, SUMIFS(Fact_Physical_Progress!$C$2:$C$100, Fact_Physical_Progress!$B$2:$B$100, Dim_WBS!$A$2:$A$13, Fact_Physical_Progress!$A$2:$A$100, "&lt;="&amp;B44+4))</f>
        <v/>
      </c>
      <c r="H44" s="29">
        <f>G44-F44</f>
        <v/>
      </c>
      <c r="I44" s="29">
        <f>G44-D44</f>
        <v/>
      </c>
      <c r="J44" s="30">
        <f>IF(F44&gt;0, G44/F44, 1.00)</f>
        <v/>
      </c>
      <c r="K44" s="30">
        <f>IF(D44&gt;0, G44/D44, 1.00)</f>
        <v/>
      </c>
    </row>
    <row r="45">
      <c r="A45" s="27" t="n">
        <v>10</v>
      </c>
      <c r="B45" s="28" t="n">
        <v>46209</v>
      </c>
      <c r="C45" s="29">
        <f>SUMIFS(Fact_Baseline_PV!C:C, Fact_Baseline_PV!A:A, B45)</f>
        <v/>
      </c>
      <c r="D45" s="29">
        <f>SUM(C$36:C45)</f>
        <v/>
      </c>
      <c r="E45" s="29">
        <f>SUMIFS(Fact_Actual_Costs!D:D, Fact_Actual_Costs!A:A, "&gt;="&amp;B45, Fact_Actual_Costs!A:A, "&lt;="&amp;B45+6)</f>
        <v/>
      </c>
      <c r="F45" s="29">
        <f>SUM(E$36:E45)</f>
        <v/>
      </c>
      <c r="G45" s="29">
        <f>SUMPRODUCT(Dim_WBS!$E$2:$E$13, SUMIFS(Fact_Physical_Progress!$C$2:$C$100, Fact_Physical_Progress!$B$2:$B$100, Dim_WBS!$A$2:$A$13, Fact_Physical_Progress!$A$2:$A$100, "&lt;="&amp;B45+4))</f>
        <v/>
      </c>
      <c r="H45" s="29">
        <f>G45-F45</f>
        <v/>
      </c>
      <c r="I45" s="29">
        <f>G45-D45</f>
        <v/>
      </c>
      <c r="J45" s="30">
        <f>IF(F45&gt;0, G45/F45, 1.00)</f>
        <v/>
      </c>
      <c r="K45" s="30">
        <f>IF(D45&gt;0, G45/D45, 1.00)</f>
        <v/>
      </c>
    </row>
    <row r="46">
      <c r="A46" s="27" t="n">
        <v>11</v>
      </c>
      <c r="B46" s="28" t="n">
        <v>46216</v>
      </c>
      <c r="C46" s="29">
        <f>SUMIFS(Fact_Baseline_PV!C:C, Fact_Baseline_PV!A:A, B46)</f>
        <v/>
      </c>
      <c r="D46" s="29">
        <f>SUM(C$36:C46)</f>
        <v/>
      </c>
      <c r="E46" s="29">
        <f>SUMIFS(Fact_Actual_Costs!D:D, Fact_Actual_Costs!A:A, "&gt;="&amp;B46, Fact_Actual_Costs!A:A, "&lt;="&amp;B46+6)</f>
        <v/>
      </c>
      <c r="F46" s="29">
        <f>SUM(E$36:E46)</f>
        <v/>
      </c>
      <c r="G46" s="29">
        <f>SUMPRODUCT(Dim_WBS!$E$2:$E$13, SUMIFS(Fact_Physical_Progress!$C$2:$C$100, Fact_Physical_Progress!$B$2:$B$100, Dim_WBS!$A$2:$A$13, Fact_Physical_Progress!$A$2:$A$100, "&lt;="&amp;B46+4))</f>
        <v/>
      </c>
      <c r="H46" s="29">
        <f>G46-F46</f>
        <v/>
      </c>
      <c r="I46" s="29">
        <f>G46-D46</f>
        <v/>
      </c>
      <c r="J46" s="30">
        <f>IF(F46&gt;0, G46/F46, 1.00)</f>
        <v/>
      </c>
      <c r="K46" s="30">
        <f>IF(D46&gt;0, G46/D46, 1.00)</f>
        <v/>
      </c>
    </row>
    <row r="47">
      <c r="A47" s="27" t="n">
        <v>12</v>
      </c>
      <c r="B47" s="28" t="n">
        <v>46223</v>
      </c>
      <c r="C47" s="29">
        <f>SUMIFS(Fact_Baseline_PV!C:C, Fact_Baseline_PV!A:A, B47)</f>
        <v/>
      </c>
      <c r="D47" s="29">
        <f>SUM(C$36:C47)</f>
        <v/>
      </c>
      <c r="E47" s="29">
        <f>SUMIFS(Fact_Actual_Costs!D:D, Fact_Actual_Costs!A:A, "&gt;="&amp;B47, Fact_Actual_Costs!A:A, "&lt;="&amp;B47+6)</f>
        <v/>
      </c>
      <c r="F47" s="29">
        <f>SUM(E$36:E47)</f>
        <v/>
      </c>
      <c r="G47" s="29">
        <f>SUMPRODUCT(Dim_WBS!$E$2:$E$13, SUMIFS(Fact_Physical_Progress!$C$2:$C$100, Fact_Physical_Progress!$B$2:$B$100, Dim_WBS!$A$2:$A$13, Fact_Physical_Progress!$A$2:$A$100, "&lt;="&amp;B47+4))</f>
        <v/>
      </c>
      <c r="H47" s="29">
        <f>G47-F47</f>
        <v/>
      </c>
      <c r="I47" s="29">
        <f>G47-D47</f>
        <v/>
      </c>
      <c r="J47" s="30">
        <f>IF(F47&gt;0, G47/F47, 1.00)</f>
        <v/>
      </c>
      <c r="K47" s="30">
        <f>IF(D47&gt;0, G47/D47, 1.00)</f>
        <v/>
      </c>
    </row>
  </sheetData>
  <mergeCells count="12">
    <mergeCell ref="J7:L7"/>
    <mergeCell ref="A10:C10"/>
    <mergeCell ref="A13:C13"/>
    <mergeCell ref="G10:I10"/>
    <mergeCell ref="D13:F13"/>
    <mergeCell ref="J10:L10"/>
    <mergeCell ref="G13:I13"/>
    <mergeCell ref="J13:L13"/>
    <mergeCell ref="D7:F7"/>
    <mergeCell ref="A7:C7"/>
    <mergeCell ref="G7:I7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1" customWidth="1" min="5" max="5"/>
    <col width="24" customWidth="1" min="6" max="6"/>
  </cols>
  <sheetData>
    <row r="1">
      <c r="A1" s="31" t="inlineStr">
        <is>
          <t>Project_ID</t>
        </is>
      </c>
      <c r="B1" s="31" t="inlineStr">
        <is>
          <t>Project_Name</t>
        </is>
      </c>
      <c r="C1" s="31" t="inlineStr">
        <is>
          <t>Start_Date</t>
        </is>
      </c>
      <c r="D1" s="31" t="inlineStr">
        <is>
          <t>End_Date</t>
        </is>
      </c>
      <c r="E1" s="31" t="inlineStr">
        <is>
          <t>BAC</t>
        </is>
      </c>
      <c r="F1" s="31" t="inlineStr">
        <is>
          <t>Sector</t>
        </is>
      </c>
    </row>
    <row r="2">
      <c r="A2" s="6" t="inlineStr">
        <is>
          <t>P101</t>
        </is>
      </c>
      <c r="B2" s="6" t="inlineStr">
        <is>
          <t>Office Fit-Out</t>
        </is>
      </c>
      <c r="C2" s="32" t="n">
        <v>46146</v>
      </c>
      <c r="D2" s="32" t="n">
        <v>46229</v>
      </c>
      <c r="E2" s="6" t="n">
        <v>268650</v>
      </c>
      <c r="F2" s="6" t="inlineStr">
        <is>
          <t>Corporate Real Estate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6" customWidth="1" min="4" max="4"/>
    <col width="15" customWidth="1" min="5" max="5"/>
  </cols>
  <sheetData>
    <row r="1">
      <c r="A1" s="31" t="inlineStr">
        <is>
          <t>WBS_ID</t>
        </is>
      </c>
      <c r="B1" s="31" t="inlineStr">
        <is>
          <t>WBS_Code</t>
        </is>
      </c>
      <c r="C1" s="31" t="inlineStr">
        <is>
          <t>Activity_Name</t>
        </is>
      </c>
      <c r="D1" s="31" t="inlineStr">
        <is>
          <t>Type</t>
        </is>
      </c>
      <c r="E1" s="31" t="inlineStr">
        <is>
          <t>Total_Budget</t>
        </is>
      </c>
    </row>
    <row r="2">
      <c r="A2" s="6" t="inlineStr">
        <is>
          <t>WBS-01</t>
        </is>
      </c>
      <c r="B2" s="6" t="n">
        <v>1</v>
      </c>
      <c r="C2" s="6" t="inlineStr">
        <is>
          <t>Project Management</t>
        </is>
      </c>
      <c r="D2" s="6" t="inlineStr">
        <is>
          <t>Labor</t>
        </is>
      </c>
      <c r="E2" s="6" t="n">
        <v>18000</v>
      </c>
    </row>
    <row r="3">
      <c r="A3" s="6" t="inlineStr">
        <is>
          <t>WBS-02</t>
        </is>
      </c>
      <c r="B3" s="6" t="n">
        <v>2</v>
      </c>
      <c r="C3" s="6" t="inlineStr">
        <is>
          <t>Site Survey &amp; Mobilization</t>
        </is>
      </c>
      <c r="D3" s="6" t="inlineStr">
        <is>
          <t>Labor</t>
        </is>
      </c>
      <c r="E3" s="6" t="n">
        <v>8500</v>
      </c>
    </row>
    <row r="4">
      <c r="A4" s="6" t="inlineStr">
        <is>
          <t>WBS-03</t>
        </is>
      </c>
      <c r="B4" s="6" t="n">
        <v>3</v>
      </c>
      <c r="C4" s="6" t="inlineStr">
        <is>
          <t>Design &amp; Engineering</t>
        </is>
      </c>
      <c r="D4" s="6" t="inlineStr">
        <is>
          <t>Labor</t>
        </is>
      </c>
      <c r="E4" s="6" t="n">
        <v>19200</v>
      </c>
    </row>
    <row r="5">
      <c r="A5" s="6" t="inlineStr">
        <is>
          <t>WBS-04</t>
        </is>
      </c>
      <c r="B5" s="6" t="n">
        <v>4</v>
      </c>
      <c r="C5" s="6" t="inlineStr">
        <is>
          <t>Procurement - Materials</t>
        </is>
      </c>
      <c r="D5" s="6" t="inlineStr">
        <is>
          <t>Material</t>
        </is>
      </c>
      <c r="E5" s="6" t="n">
        <v>42000</v>
      </c>
    </row>
    <row r="6">
      <c r="A6" s="6" t="inlineStr">
        <is>
          <t>WBS-05</t>
        </is>
      </c>
      <c r="B6" s="6" t="n">
        <v>5</v>
      </c>
      <c r="C6" s="6" t="inlineStr">
        <is>
          <t>Demolition &amp; Prep</t>
        </is>
      </c>
      <c r="D6" s="6" t="inlineStr">
        <is>
          <t>Labor</t>
        </is>
      </c>
      <c r="E6" s="6" t="n">
        <v>13200</v>
      </c>
    </row>
    <row r="7">
      <c r="A7" s="6" t="inlineStr">
        <is>
          <t>WBS-06</t>
        </is>
      </c>
      <c r="B7" s="6" t="n">
        <v>6</v>
      </c>
      <c r="C7" s="6" t="inlineStr">
        <is>
          <t>Electrical Rough-In</t>
        </is>
      </c>
      <c r="D7" s="6" t="inlineStr">
        <is>
          <t>Labor</t>
        </is>
      </c>
      <c r="E7" s="6" t="n">
        <v>26000</v>
      </c>
    </row>
    <row r="8">
      <c r="A8" s="6" t="inlineStr">
        <is>
          <t>WBS-07</t>
        </is>
      </c>
      <c r="B8" s="6" t="n">
        <v>7</v>
      </c>
      <c r="C8" s="6" t="inlineStr">
        <is>
          <t>HVAC Installation</t>
        </is>
      </c>
      <c r="D8" s="6" t="inlineStr">
        <is>
          <t>Subcontractor</t>
        </is>
      </c>
      <c r="E8" s="6" t="n">
        <v>36000</v>
      </c>
    </row>
    <row r="9">
      <c r="A9" s="6" t="inlineStr">
        <is>
          <t>WBS-08</t>
        </is>
      </c>
      <c r="B9" s="6" t="n">
        <v>8</v>
      </c>
      <c r="C9" s="6" t="inlineStr">
        <is>
          <t>Partitions &amp; Drywall</t>
        </is>
      </c>
      <c r="D9" s="6" t="inlineStr">
        <is>
          <t>Subcontractor</t>
        </is>
      </c>
      <c r="E9" s="6" t="n">
        <v>28000</v>
      </c>
    </row>
    <row r="10">
      <c r="A10" s="6" t="inlineStr">
        <is>
          <t>WBS-09</t>
        </is>
      </c>
      <c r="B10" s="6" t="n">
        <v>9</v>
      </c>
      <c r="C10" s="6" t="inlineStr">
        <is>
          <t>Flooring</t>
        </is>
      </c>
      <c r="D10" s="6" t="inlineStr">
        <is>
          <t>Material</t>
        </is>
      </c>
      <c r="E10" s="6" t="n">
        <v>35750</v>
      </c>
    </row>
    <row r="11">
      <c r="A11" s="6" t="inlineStr">
        <is>
          <t>WBS-10</t>
        </is>
      </c>
      <c r="B11" s="6" t="n">
        <v>10</v>
      </c>
      <c r="C11" s="6" t="inlineStr">
        <is>
          <t>Fixtures &amp; Furniture</t>
        </is>
      </c>
      <c r="D11" s="6" t="inlineStr">
        <is>
          <t>Material</t>
        </is>
      </c>
      <c r="E11" s="6" t="n">
        <v>30000</v>
      </c>
    </row>
    <row r="12">
      <c r="A12" s="6" t="inlineStr">
        <is>
          <t>WBS-11</t>
        </is>
      </c>
      <c r="B12" s="6" t="n">
        <v>11</v>
      </c>
      <c r="C12" s="6" t="inlineStr">
        <is>
          <t>Testing / Commissioning</t>
        </is>
      </c>
      <c r="D12" s="6" t="inlineStr">
        <is>
          <t>Labor</t>
        </is>
      </c>
      <c r="E12" s="6" t="n">
        <v>8400</v>
      </c>
    </row>
    <row r="13">
      <c r="A13" s="6" t="inlineStr">
        <is>
          <t>WBS-12</t>
        </is>
      </c>
      <c r="B13" s="6" t="n">
        <v>12</v>
      </c>
      <c r="C13" s="6" t="inlineStr">
        <is>
          <t>Handover &amp; Closeout</t>
        </is>
      </c>
      <c r="D13" s="6" t="inlineStr">
        <is>
          <t>Labor</t>
        </is>
      </c>
      <c r="E13" s="6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>
      <c r="A1" s="31" t="inlineStr">
        <is>
          <t>Resource_ID</t>
        </is>
      </c>
      <c r="B1" s="31" t="inlineStr">
        <is>
          <t>Resource_Name</t>
        </is>
      </c>
      <c r="C1" s="31" t="inlineStr">
        <is>
          <t>Role</t>
        </is>
      </c>
      <c r="D1" s="31" t="inlineStr">
        <is>
          <t>Hourly_Rate</t>
        </is>
      </c>
    </row>
    <row r="2">
      <c r="A2" s="6" t="inlineStr">
        <is>
          <t>R01</t>
        </is>
      </c>
      <c r="B2" s="6" t="inlineStr">
        <is>
          <t>Project Manager</t>
        </is>
      </c>
      <c r="C2" s="6" t="inlineStr">
        <is>
          <t>Management</t>
        </is>
      </c>
      <c r="D2" s="6" t="n">
        <v>1500</v>
      </c>
    </row>
    <row r="3">
      <c r="A3" s="6" t="inlineStr">
        <is>
          <t>R02</t>
        </is>
      </c>
      <c r="B3" s="6" t="inlineStr">
        <is>
          <t>Lead Engineer</t>
        </is>
      </c>
      <c r="C3" s="6" t="inlineStr">
        <is>
          <t>Engineering</t>
        </is>
      </c>
      <c r="D3" s="6" t="n">
        <v>2400</v>
      </c>
    </row>
    <row r="4">
      <c r="A4" s="6" t="inlineStr">
        <is>
          <t>R03</t>
        </is>
      </c>
      <c r="B4" s="6" t="inlineStr">
        <is>
          <t>Electrician</t>
        </is>
      </c>
      <c r="C4" s="6" t="inlineStr">
        <is>
          <t>Trades</t>
        </is>
      </c>
      <c r="D4" s="6" t="n">
        <v>2600</v>
      </c>
    </row>
    <row r="5">
      <c r="A5" s="6" t="inlineStr">
        <is>
          <t>R04</t>
        </is>
      </c>
      <c r="B5" s="6" t="inlineStr">
        <is>
          <t>Demolition Crew</t>
        </is>
      </c>
      <c r="C5" s="6" t="inlineStr">
        <is>
          <t>Labor</t>
        </is>
      </c>
      <c r="D5" s="6" t="n">
        <v>2200</v>
      </c>
    </row>
    <row r="6">
      <c r="A6" s="6" t="inlineStr">
        <is>
          <t>R05</t>
        </is>
      </c>
      <c r="B6" s="6" t="inlineStr">
        <is>
          <t>Testing Engineer</t>
        </is>
      </c>
      <c r="C6" s="6" t="inlineStr">
        <is>
          <t>QA</t>
        </is>
      </c>
      <c r="D6" s="6" t="n">
        <v>2100</v>
      </c>
    </row>
    <row r="7">
      <c r="A7" s="6" t="inlineStr">
        <is>
          <t>R06</t>
        </is>
      </c>
      <c r="B7" s="6" t="inlineStr">
        <is>
          <t>Closeout Specialist</t>
        </is>
      </c>
      <c r="C7" s="6" t="inlineStr">
        <is>
          <t>QA</t>
        </is>
      </c>
      <c r="D7" s="6" t="n">
        <v>1800</v>
      </c>
    </row>
    <row r="8">
      <c r="A8" s="6" t="inlineStr">
        <is>
          <t>R07</t>
        </is>
      </c>
      <c r="B8" s="6" t="inlineStr">
        <is>
          <t>Materials Vendor</t>
        </is>
      </c>
      <c r="C8" s="6" t="inlineStr">
        <is>
          <t>Vendor</t>
        </is>
      </c>
      <c r="D8" s="6" t="n">
        <v>0</v>
      </c>
    </row>
    <row r="9">
      <c r="A9" s="6" t="inlineStr">
        <is>
          <t>R08</t>
        </is>
      </c>
      <c r="B9" s="6" t="inlineStr">
        <is>
          <t>HVAC Contractor</t>
        </is>
      </c>
      <c r="C9" s="6" t="inlineStr">
        <is>
          <t>Contractor</t>
        </is>
      </c>
      <c r="D9" s="6" t="n">
        <v>0</v>
      </c>
    </row>
    <row r="10">
      <c r="A10" s="6" t="inlineStr">
        <is>
          <t>R09</t>
        </is>
      </c>
      <c r="B10" s="6" t="inlineStr">
        <is>
          <t>Drywall Contractor</t>
        </is>
      </c>
      <c r="C10" s="6" t="inlineStr">
        <is>
          <t>Contractor</t>
        </is>
      </c>
      <c r="D10" s="6" t="n">
        <v>0</v>
      </c>
    </row>
    <row r="11">
      <c r="A11" s="6" t="inlineStr">
        <is>
          <t>R10</t>
        </is>
      </c>
      <c r="B11" s="6" t="inlineStr">
        <is>
          <t>Flooring Supplier</t>
        </is>
      </c>
      <c r="C11" s="6" t="inlineStr">
        <is>
          <t>Vendor</t>
        </is>
      </c>
      <c r="D11" s="6" t="n">
        <v>0</v>
      </c>
    </row>
    <row r="12">
      <c r="A12" s="6" t="inlineStr">
        <is>
          <t>R11</t>
        </is>
      </c>
      <c r="B12" s="6" t="inlineStr">
        <is>
          <t>Furniture Supplier</t>
        </is>
      </c>
      <c r="C12" s="6" t="inlineStr">
        <is>
          <t>Vendor</t>
        </is>
      </c>
      <c r="D12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0" customWidth="1" min="5" max="5"/>
    <col width="14" customWidth="1" min="6" max="6"/>
    <col width="13" customWidth="1" min="7" max="7"/>
  </cols>
  <sheetData>
    <row r="1">
      <c r="A1" s="31" t="inlineStr">
        <is>
          <t>Date</t>
        </is>
      </c>
      <c r="B1" s="31" t="inlineStr">
        <is>
          <t>Year</t>
        </is>
      </c>
      <c r="C1" s="31" t="inlineStr">
        <is>
          <t>Month</t>
        </is>
      </c>
      <c r="D1" s="31" t="inlineStr">
        <is>
          <t>Month_Name</t>
        </is>
      </c>
      <c r="E1" s="31" t="inlineStr">
        <is>
          <t>Quarter</t>
        </is>
      </c>
      <c r="F1" s="31" t="inlineStr">
        <is>
          <t>Week_Number</t>
        </is>
      </c>
      <c r="G1" s="31" t="inlineStr">
        <is>
          <t>Is_Weekday</t>
        </is>
      </c>
    </row>
    <row r="2">
      <c r="A2" s="32" t="n">
        <v>46146</v>
      </c>
      <c r="B2" s="6" t="n">
        <v>2026</v>
      </c>
      <c r="C2" s="6" t="n">
        <v>5</v>
      </c>
      <c r="D2" s="6" t="inlineStr">
        <is>
          <t>May</t>
        </is>
      </c>
      <c r="E2" s="6" t="n">
        <v>2</v>
      </c>
      <c r="F2" s="6" t="n">
        <v>1</v>
      </c>
      <c r="G2" s="6" t="n">
        <v>1</v>
      </c>
    </row>
    <row r="3">
      <c r="A3" s="32" t="n">
        <v>46147</v>
      </c>
      <c r="B3" s="6" t="n">
        <v>2026</v>
      </c>
      <c r="C3" s="6" t="n">
        <v>5</v>
      </c>
      <c r="D3" s="6" t="inlineStr">
        <is>
          <t>May</t>
        </is>
      </c>
      <c r="E3" s="6" t="n">
        <v>2</v>
      </c>
      <c r="F3" s="6" t="n">
        <v>1</v>
      </c>
      <c r="G3" s="6" t="n">
        <v>1</v>
      </c>
    </row>
    <row r="4">
      <c r="A4" s="32" t="n">
        <v>46148</v>
      </c>
      <c r="B4" s="6" t="n">
        <v>2026</v>
      </c>
      <c r="C4" s="6" t="n">
        <v>5</v>
      </c>
      <c r="D4" s="6" t="inlineStr">
        <is>
          <t>May</t>
        </is>
      </c>
      <c r="E4" s="6" t="n">
        <v>2</v>
      </c>
      <c r="F4" s="6" t="n">
        <v>1</v>
      </c>
      <c r="G4" s="6" t="n">
        <v>1</v>
      </c>
    </row>
    <row r="5">
      <c r="A5" s="32" t="n">
        <v>46149</v>
      </c>
      <c r="B5" s="6" t="n">
        <v>2026</v>
      </c>
      <c r="C5" s="6" t="n">
        <v>5</v>
      </c>
      <c r="D5" s="6" t="inlineStr">
        <is>
          <t>May</t>
        </is>
      </c>
      <c r="E5" s="6" t="n">
        <v>2</v>
      </c>
      <c r="F5" s="6" t="n">
        <v>1</v>
      </c>
      <c r="G5" s="6" t="n">
        <v>1</v>
      </c>
    </row>
    <row r="6">
      <c r="A6" s="32" t="n">
        <v>46150</v>
      </c>
      <c r="B6" s="6" t="n">
        <v>2026</v>
      </c>
      <c r="C6" s="6" t="n">
        <v>5</v>
      </c>
      <c r="D6" s="6" t="inlineStr">
        <is>
          <t>May</t>
        </is>
      </c>
      <c r="E6" s="6" t="n">
        <v>2</v>
      </c>
      <c r="F6" s="6" t="n">
        <v>1</v>
      </c>
      <c r="G6" s="6" t="n">
        <v>1</v>
      </c>
    </row>
    <row r="7">
      <c r="A7" s="32" t="n">
        <v>46151</v>
      </c>
      <c r="B7" s="6" t="n">
        <v>2026</v>
      </c>
      <c r="C7" s="6" t="n">
        <v>5</v>
      </c>
      <c r="D7" s="6" t="inlineStr">
        <is>
          <t>May</t>
        </is>
      </c>
      <c r="E7" s="6" t="n">
        <v>2</v>
      </c>
      <c r="F7" s="6" t="n">
        <v>1</v>
      </c>
      <c r="G7" s="6" t="n">
        <v>0</v>
      </c>
    </row>
    <row r="8">
      <c r="A8" s="32" t="n">
        <v>46152</v>
      </c>
      <c r="B8" s="6" t="n">
        <v>2026</v>
      </c>
      <c r="C8" s="6" t="n">
        <v>5</v>
      </c>
      <c r="D8" s="6" t="inlineStr">
        <is>
          <t>May</t>
        </is>
      </c>
      <c r="E8" s="6" t="n">
        <v>2</v>
      </c>
      <c r="F8" s="6" t="n">
        <v>1</v>
      </c>
      <c r="G8" s="6" t="n">
        <v>0</v>
      </c>
    </row>
    <row r="9">
      <c r="A9" s="32" t="n">
        <v>46153</v>
      </c>
      <c r="B9" s="6" t="n">
        <v>2026</v>
      </c>
      <c r="C9" s="6" t="n">
        <v>5</v>
      </c>
      <c r="D9" s="6" t="inlineStr">
        <is>
          <t>May</t>
        </is>
      </c>
      <c r="E9" s="6" t="n">
        <v>2</v>
      </c>
      <c r="F9" s="6" t="n">
        <v>2</v>
      </c>
      <c r="G9" s="6" t="n">
        <v>1</v>
      </c>
    </row>
    <row r="10">
      <c r="A10" s="32" t="n">
        <v>46154</v>
      </c>
      <c r="B10" s="6" t="n">
        <v>2026</v>
      </c>
      <c r="C10" s="6" t="n">
        <v>5</v>
      </c>
      <c r="D10" s="6" t="inlineStr">
        <is>
          <t>May</t>
        </is>
      </c>
      <c r="E10" s="6" t="n">
        <v>2</v>
      </c>
      <c r="F10" s="6" t="n">
        <v>2</v>
      </c>
      <c r="G10" s="6" t="n">
        <v>1</v>
      </c>
    </row>
    <row r="11">
      <c r="A11" s="32" t="n">
        <v>46155</v>
      </c>
      <c r="B11" s="6" t="n">
        <v>2026</v>
      </c>
      <c r="C11" s="6" t="n">
        <v>5</v>
      </c>
      <c r="D11" s="6" t="inlineStr">
        <is>
          <t>May</t>
        </is>
      </c>
      <c r="E11" s="6" t="n">
        <v>2</v>
      </c>
      <c r="F11" s="6" t="n">
        <v>2</v>
      </c>
      <c r="G11" s="6" t="n">
        <v>1</v>
      </c>
    </row>
    <row r="12">
      <c r="A12" s="32" t="n">
        <v>46156</v>
      </c>
      <c r="B12" s="6" t="n">
        <v>2026</v>
      </c>
      <c r="C12" s="6" t="n">
        <v>5</v>
      </c>
      <c r="D12" s="6" t="inlineStr">
        <is>
          <t>May</t>
        </is>
      </c>
      <c r="E12" s="6" t="n">
        <v>2</v>
      </c>
      <c r="F12" s="6" t="n">
        <v>2</v>
      </c>
      <c r="G12" s="6" t="n">
        <v>1</v>
      </c>
    </row>
    <row r="13">
      <c r="A13" s="32" t="n">
        <v>46157</v>
      </c>
      <c r="B13" s="6" t="n">
        <v>2026</v>
      </c>
      <c r="C13" s="6" t="n">
        <v>5</v>
      </c>
      <c r="D13" s="6" t="inlineStr">
        <is>
          <t>May</t>
        </is>
      </c>
      <c r="E13" s="6" t="n">
        <v>2</v>
      </c>
      <c r="F13" s="6" t="n">
        <v>2</v>
      </c>
      <c r="G13" s="6" t="n">
        <v>1</v>
      </c>
    </row>
    <row r="14">
      <c r="A14" s="32" t="n">
        <v>46158</v>
      </c>
      <c r="B14" s="6" t="n">
        <v>2026</v>
      </c>
      <c r="C14" s="6" t="n">
        <v>5</v>
      </c>
      <c r="D14" s="6" t="inlineStr">
        <is>
          <t>May</t>
        </is>
      </c>
      <c r="E14" s="6" t="n">
        <v>2</v>
      </c>
      <c r="F14" s="6" t="n">
        <v>2</v>
      </c>
      <c r="G14" s="6" t="n">
        <v>0</v>
      </c>
    </row>
    <row r="15">
      <c r="A15" s="32" t="n">
        <v>46159</v>
      </c>
      <c r="B15" s="6" t="n">
        <v>2026</v>
      </c>
      <c r="C15" s="6" t="n">
        <v>5</v>
      </c>
      <c r="D15" s="6" t="inlineStr">
        <is>
          <t>May</t>
        </is>
      </c>
      <c r="E15" s="6" t="n">
        <v>2</v>
      </c>
      <c r="F15" s="6" t="n">
        <v>2</v>
      </c>
      <c r="G15" s="6" t="n">
        <v>0</v>
      </c>
    </row>
    <row r="16">
      <c r="A16" s="32" t="n">
        <v>46160</v>
      </c>
      <c r="B16" s="6" t="n">
        <v>2026</v>
      </c>
      <c r="C16" s="6" t="n">
        <v>5</v>
      </c>
      <c r="D16" s="6" t="inlineStr">
        <is>
          <t>May</t>
        </is>
      </c>
      <c r="E16" s="6" t="n">
        <v>2</v>
      </c>
      <c r="F16" s="6" t="n">
        <v>3</v>
      </c>
      <c r="G16" s="6" t="n">
        <v>1</v>
      </c>
    </row>
    <row r="17">
      <c r="A17" s="32" t="n">
        <v>46161</v>
      </c>
      <c r="B17" s="6" t="n">
        <v>2026</v>
      </c>
      <c r="C17" s="6" t="n">
        <v>5</v>
      </c>
      <c r="D17" s="6" t="inlineStr">
        <is>
          <t>May</t>
        </is>
      </c>
      <c r="E17" s="6" t="n">
        <v>2</v>
      </c>
      <c r="F17" s="6" t="n">
        <v>3</v>
      </c>
      <c r="G17" s="6" t="n">
        <v>1</v>
      </c>
    </row>
    <row r="18">
      <c r="A18" s="32" t="n">
        <v>46162</v>
      </c>
      <c r="B18" s="6" t="n">
        <v>2026</v>
      </c>
      <c r="C18" s="6" t="n">
        <v>5</v>
      </c>
      <c r="D18" s="6" t="inlineStr">
        <is>
          <t>May</t>
        </is>
      </c>
      <c r="E18" s="6" t="n">
        <v>2</v>
      </c>
      <c r="F18" s="6" t="n">
        <v>3</v>
      </c>
      <c r="G18" s="6" t="n">
        <v>1</v>
      </c>
    </row>
    <row r="19">
      <c r="A19" s="32" t="n">
        <v>46163</v>
      </c>
      <c r="B19" s="6" t="n">
        <v>2026</v>
      </c>
      <c r="C19" s="6" t="n">
        <v>5</v>
      </c>
      <c r="D19" s="6" t="inlineStr">
        <is>
          <t>May</t>
        </is>
      </c>
      <c r="E19" s="6" t="n">
        <v>2</v>
      </c>
      <c r="F19" s="6" t="n">
        <v>3</v>
      </c>
      <c r="G19" s="6" t="n">
        <v>1</v>
      </c>
    </row>
    <row r="20">
      <c r="A20" s="32" t="n">
        <v>46164</v>
      </c>
      <c r="B20" s="6" t="n">
        <v>2026</v>
      </c>
      <c r="C20" s="6" t="n">
        <v>5</v>
      </c>
      <c r="D20" s="6" t="inlineStr">
        <is>
          <t>May</t>
        </is>
      </c>
      <c r="E20" s="6" t="n">
        <v>2</v>
      </c>
      <c r="F20" s="6" t="n">
        <v>3</v>
      </c>
      <c r="G20" s="6" t="n">
        <v>1</v>
      </c>
    </row>
    <row r="21">
      <c r="A21" s="32" t="n">
        <v>46165</v>
      </c>
      <c r="B21" s="6" t="n">
        <v>2026</v>
      </c>
      <c r="C21" s="6" t="n">
        <v>5</v>
      </c>
      <c r="D21" s="6" t="inlineStr">
        <is>
          <t>May</t>
        </is>
      </c>
      <c r="E21" s="6" t="n">
        <v>2</v>
      </c>
      <c r="F21" s="6" t="n">
        <v>3</v>
      </c>
      <c r="G21" s="6" t="n">
        <v>0</v>
      </c>
    </row>
    <row r="22">
      <c r="A22" s="32" t="n">
        <v>46166</v>
      </c>
      <c r="B22" s="6" t="n">
        <v>2026</v>
      </c>
      <c r="C22" s="6" t="n">
        <v>5</v>
      </c>
      <c r="D22" s="6" t="inlineStr">
        <is>
          <t>May</t>
        </is>
      </c>
      <c r="E22" s="6" t="n">
        <v>2</v>
      </c>
      <c r="F22" s="6" t="n">
        <v>3</v>
      </c>
      <c r="G22" s="6" t="n">
        <v>0</v>
      </c>
    </row>
    <row r="23">
      <c r="A23" s="32" t="n">
        <v>46167</v>
      </c>
      <c r="B23" s="6" t="n">
        <v>2026</v>
      </c>
      <c r="C23" s="6" t="n">
        <v>5</v>
      </c>
      <c r="D23" s="6" t="inlineStr">
        <is>
          <t>May</t>
        </is>
      </c>
      <c r="E23" s="6" t="n">
        <v>2</v>
      </c>
      <c r="F23" s="6" t="n">
        <v>4</v>
      </c>
      <c r="G23" s="6" t="n">
        <v>1</v>
      </c>
    </row>
    <row r="24">
      <c r="A24" s="32" t="n">
        <v>46168</v>
      </c>
      <c r="B24" s="6" t="n">
        <v>2026</v>
      </c>
      <c r="C24" s="6" t="n">
        <v>5</v>
      </c>
      <c r="D24" s="6" t="inlineStr">
        <is>
          <t>May</t>
        </is>
      </c>
      <c r="E24" s="6" t="n">
        <v>2</v>
      </c>
      <c r="F24" s="6" t="n">
        <v>4</v>
      </c>
      <c r="G24" s="6" t="n">
        <v>1</v>
      </c>
    </row>
    <row r="25">
      <c r="A25" s="32" t="n">
        <v>46169</v>
      </c>
      <c r="B25" s="6" t="n">
        <v>2026</v>
      </c>
      <c r="C25" s="6" t="n">
        <v>5</v>
      </c>
      <c r="D25" s="6" t="inlineStr">
        <is>
          <t>May</t>
        </is>
      </c>
      <c r="E25" s="6" t="n">
        <v>2</v>
      </c>
      <c r="F25" s="6" t="n">
        <v>4</v>
      </c>
      <c r="G25" s="6" t="n">
        <v>1</v>
      </c>
    </row>
    <row r="26">
      <c r="A26" s="32" t="n">
        <v>46170</v>
      </c>
      <c r="B26" s="6" t="n">
        <v>2026</v>
      </c>
      <c r="C26" s="6" t="n">
        <v>5</v>
      </c>
      <c r="D26" s="6" t="inlineStr">
        <is>
          <t>May</t>
        </is>
      </c>
      <c r="E26" s="6" t="n">
        <v>2</v>
      </c>
      <c r="F26" s="6" t="n">
        <v>4</v>
      </c>
      <c r="G26" s="6" t="n">
        <v>1</v>
      </c>
    </row>
    <row r="27">
      <c r="A27" s="32" t="n">
        <v>46171</v>
      </c>
      <c r="B27" s="6" t="n">
        <v>2026</v>
      </c>
      <c r="C27" s="6" t="n">
        <v>5</v>
      </c>
      <c r="D27" s="6" t="inlineStr">
        <is>
          <t>May</t>
        </is>
      </c>
      <c r="E27" s="6" t="n">
        <v>2</v>
      </c>
      <c r="F27" s="6" t="n">
        <v>4</v>
      </c>
      <c r="G27" s="6" t="n">
        <v>1</v>
      </c>
    </row>
    <row r="28">
      <c r="A28" s="32" t="n">
        <v>46172</v>
      </c>
      <c r="B28" s="6" t="n">
        <v>2026</v>
      </c>
      <c r="C28" s="6" t="n">
        <v>5</v>
      </c>
      <c r="D28" s="6" t="inlineStr">
        <is>
          <t>May</t>
        </is>
      </c>
      <c r="E28" s="6" t="n">
        <v>2</v>
      </c>
      <c r="F28" s="6" t="n">
        <v>4</v>
      </c>
      <c r="G28" s="6" t="n">
        <v>0</v>
      </c>
    </row>
    <row r="29">
      <c r="A29" s="32" t="n">
        <v>46173</v>
      </c>
      <c r="B29" s="6" t="n">
        <v>2026</v>
      </c>
      <c r="C29" s="6" t="n">
        <v>5</v>
      </c>
      <c r="D29" s="6" t="inlineStr">
        <is>
          <t>May</t>
        </is>
      </c>
      <c r="E29" s="6" t="n">
        <v>2</v>
      </c>
      <c r="F29" s="6" t="n">
        <v>4</v>
      </c>
      <c r="G29" s="6" t="n">
        <v>0</v>
      </c>
    </row>
    <row r="30">
      <c r="A30" s="32" t="n">
        <v>46174</v>
      </c>
      <c r="B30" s="6" t="n">
        <v>2026</v>
      </c>
      <c r="C30" s="6" t="n">
        <v>6</v>
      </c>
      <c r="D30" s="6" t="inlineStr">
        <is>
          <t>June</t>
        </is>
      </c>
      <c r="E30" s="6" t="n">
        <v>2</v>
      </c>
      <c r="F30" s="6" t="n">
        <v>5</v>
      </c>
      <c r="G30" s="6" t="n">
        <v>1</v>
      </c>
    </row>
    <row r="31">
      <c r="A31" s="32" t="n">
        <v>46175</v>
      </c>
      <c r="B31" s="6" t="n">
        <v>2026</v>
      </c>
      <c r="C31" s="6" t="n">
        <v>6</v>
      </c>
      <c r="D31" s="6" t="inlineStr">
        <is>
          <t>June</t>
        </is>
      </c>
      <c r="E31" s="6" t="n">
        <v>2</v>
      </c>
      <c r="F31" s="6" t="n">
        <v>5</v>
      </c>
      <c r="G31" s="6" t="n">
        <v>1</v>
      </c>
    </row>
    <row r="32">
      <c r="A32" s="32" t="n">
        <v>46176</v>
      </c>
      <c r="B32" s="6" t="n">
        <v>2026</v>
      </c>
      <c r="C32" s="6" t="n">
        <v>6</v>
      </c>
      <c r="D32" s="6" t="inlineStr">
        <is>
          <t>June</t>
        </is>
      </c>
      <c r="E32" s="6" t="n">
        <v>2</v>
      </c>
      <c r="F32" s="6" t="n">
        <v>5</v>
      </c>
      <c r="G32" s="6" t="n">
        <v>1</v>
      </c>
    </row>
    <row r="33">
      <c r="A33" s="32" t="n">
        <v>46177</v>
      </c>
      <c r="B33" s="6" t="n">
        <v>2026</v>
      </c>
      <c r="C33" s="6" t="n">
        <v>6</v>
      </c>
      <c r="D33" s="6" t="inlineStr">
        <is>
          <t>June</t>
        </is>
      </c>
      <c r="E33" s="6" t="n">
        <v>2</v>
      </c>
      <c r="F33" s="6" t="n">
        <v>5</v>
      </c>
      <c r="G33" s="6" t="n">
        <v>1</v>
      </c>
    </row>
    <row r="34">
      <c r="A34" s="32" t="n">
        <v>46178</v>
      </c>
      <c r="B34" s="6" t="n">
        <v>2026</v>
      </c>
      <c r="C34" s="6" t="n">
        <v>6</v>
      </c>
      <c r="D34" s="6" t="inlineStr">
        <is>
          <t>June</t>
        </is>
      </c>
      <c r="E34" s="6" t="n">
        <v>2</v>
      </c>
      <c r="F34" s="6" t="n">
        <v>5</v>
      </c>
      <c r="G34" s="6" t="n">
        <v>1</v>
      </c>
    </row>
    <row r="35">
      <c r="A35" s="32" t="n">
        <v>46179</v>
      </c>
      <c r="B35" s="6" t="n">
        <v>2026</v>
      </c>
      <c r="C35" s="6" t="n">
        <v>6</v>
      </c>
      <c r="D35" s="6" t="inlineStr">
        <is>
          <t>June</t>
        </is>
      </c>
      <c r="E35" s="6" t="n">
        <v>2</v>
      </c>
      <c r="F35" s="6" t="n">
        <v>5</v>
      </c>
      <c r="G35" s="6" t="n">
        <v>0</v>
      </c>
    </row>
    <row r="36">
      <c r="A36" s="32" t="n">
        <v>46180</v>
      </c>
      <c r="B36" s="6" t="n">
        <v>2026</v>
      </c>
      <c r="C36" s="6" t="n">
        <v>6</v>
      </c>
      <c r="D36" s="6" t="inlineStr">
        <is>
          <t>June</t>
        </is>
      </c>
      <c r="E36" s="6" t="n">
        <v>2</v>
      </c>
      <c r="F36" s="6" t="n">
        <v>5</v>
      </c>
      <c r="G36" s="6" t="n">
        <v>0</v>
      </c>
    </row>
    <row r="37">
      <c r="A37" s="32" t="n">
        <v>46181</v>
      </c>
      <c r="B37" s="6" t="n">
        <v>2026</v>
      </c>
      <c r="C37" s="6" t="n">
        <v>6</v>
      </c>
      <c r="D37" s="6" t="inlineStr">
        <is>
          <t>June</t>
        </is>
      </c>
      <c r="E37" s="6" t="n">
        <v>2</v>
      </c>
      <c r="F37" s="6" t="n">
        <v>6</v>
      </c>
      <c r="G37" s="6" t="n">
        <v>1</v>
      </c>
    </row>
    <row r="38">
      <c r="A38" s="32" t="n">
        <v>46182</v>
      </c>
      <c r="B38" s="6" t="n">
        <v>2026</v>
      </c>
      <c r="C38" s="6" t="n">
        <v>6</v>
      </c>
      <c r="D38" s="6" t="inlineStr">
        <is>
          <t>June</t>
        </is>
      </c>
      <c r="E38" s="6" t="n">
        <v>2</v>
      </c>
      <c r="F38" s="6" t="n">
        <v>6</v>
      </c>
      <c r="G38" s="6" t="n">
        <v>1</v>
      </c>
    </row>
    <row r="39">
      <c r="A39" s="32" t="n">
        <v>46183</v>
      </c>
      <c r="B39" s="6" t="n">
        <v>2026</v>
      </c>
      <c r="C39" s="6" t="n">
        <v>6</v>
      </c>
      <c r="D39" s="6" t="inlineStr">
        <is>
          <t>June</t>
        </is>
      </c>
      <c r="E39" s="6" t="n">
        <v>2</v>
      </c>
      <c r="F39" s="6" t="n">
        <v>6</v>
      </c>
      <c r="G39" s="6" t="n">
        <v>1</v>
      </c>
    </row>
    <row r="40">
      <c r="A40" s="32" t="n">
        <v>46184</v>
      </c>
      <c r="B40" s="6" t="n">
        <v>2026</v>
      </c>
      <c r="C40" s="6" t="n">
        <v>6</v>
      </c>
      <c r="D40" s="6" t="inlineStr">
        <is>
          <t>June</t>
        </is>
      </c>
      <c r="E40" s="6" t="n">
        <v>2</v>
      </c>
      <c r="F40" s="6" t="n">
        <v>6</v>
      </c>
      <c r="G40" s="6" t="n">
        <v>1</v>
      </c>
    </row>
    <row r="41">
      <c r="A41" s="32" t="n">
        <v>46185</v>
      </c>
      <c r="B41" s="6" t="n">
        <v>2026</v>
      </c>
      <c r="C41" s="6" t="n">
        <v>6</v>
      </c>
      <c r="D41" s="6" t="inlineStr">
        <is>
          <t>June</t>
        </is>
      </c>
      <c r="E41" s="6" t="n">
        <v>2</v>
      </c>
      <c r="F41" s="6" t="n">
        <v>6</v>
      </c>
      <c r="G41" s="6" t="n">
        <v>1</v>
      </c>
    </row>
    <row r="42">
      <c r="A42" s="32" t="n">
        <v>46186</v>
      </c>
      <c r="B42" s="6" t="n">
        <v>2026</v>
      </c>
      <c r="C42" s="6" t="n">
        <v>6</v>
      </c>
      <c r="D42" s="6" t="inlineStr">
        <is>
          <t>June</t>
        </is>
      </c>
      <c r="E42" s="6" t="n">
        <v>2</v>
      </c>
      <c r="F42" s="6" t="n">
        <v>6</v>
      </c>
      <c r="G42" s="6" t="n">
        <v>0</v>
      </c>
    </row>
    <row r="43">
      <c r="A43" s="32" t="n">
        <v>46187</v>
      </c>
      <c r="B43" s="6" t="n">
        <v>2026</v>
      </c>
      <c r="C43" s="6" t="n">
        <v>6</v>
      </c>
      <c r="D43" s="6" t="inlineStr">
        <is>
          <t>June</t>
        </is>
      </c>
      <c r="E43" s="6" t="n">
        <v>2</v>
      </c>
      <c r="F43" s="6" t="n">
        <v>6</v>
      </c>
      <c r="G43" s="6" t="n">
        <v>0</v>
      </c>
    </row>
    <row r="44">
      <c r="A44" s="32" t="n">
        <v>46188</v>
      </c>
      <c r="B44" s="6" t="n">
        <v>2026</v>
      </c>
      <c r="C44" s="6" t="n">
        <v>6</v>
      </c>
      <c r="D44" s="6" t="inlineStr">
        <is>
          <t>June</t>
        </is>
      </c>
      <c r="E44" s="6" t="n">
        <v>2</v>
      </c>
      <c r="F44" s="6" t="n">
        <v>7</v>
      </c>
      <c r="G44" s="6" t="n">
        <v>1</v>
      </c>
    </row>
    <row r="45">
      <c r="A45" s="32" t="n">
        <v>46189</v>
      </c>
      <c r="B45" s="6" t="n">
        <v>2026</v>
      </c>
      <c r="C45" s="6" t="n">
        <v>6</v>
      </c>
      <c r="D45" s="6" t="inlineStr">
        <is>
          <t>June</t>
        </is>
      </c>
      <c r="E45" s="6" t="n">
        <v>2</v>
      </c>
      <c r="F45" s="6" t="n">
        <v>7</v>
      </c>
      <c r="G45" s="6" t="n">
        <v>1</v>
      </c>
    </row>
    <row r="46">
      <c r="A46" s="32" t="n">
        <v>46190</v>
      </c>
      <c r="B46" s="6" t="n">
        <v>2026</v>
      </c>
      <c r="C46" s="6" t="n">
        <v>6</v>
      </c>
      <c r="D46" s="6" t="inlineStr">
        <is>
          <t>June</t>
        </is>
      </c>
      <c r="E46" s="6" t="n">
        <v>2</v>
      </c>
      <c r="F46" s="6" t="n">
        <v>7</v>
      </c>
      <c r="G46" s="6" t="n">
        <v>1</v>
      </c>
    </row>
    <row r="47">
      <c r="A47" s="32" t="n">
        <v>46191</v>
      </c>
      <c r="B47" s="6" t="n">
        <v>2026</v>
      </c>
      <c r="C47" s="6" t="n">
        <v>6</v>
      </c>
      <c r="D47" s="6" t="inlineStr">
        <is>
          <t>June</t>
        </is>
      </c>
      <c r="E47" s="6" t="n">
        <v>2</v>
      </c>
      <c r="F47" s="6" t="n">
        <v>7</v>
      </c>
      <c r="G47" s="6" t="n">
        <v>1</v>
      </c>
    </row>
    <row r="48">
      <c r="A48" s="32" t="n">
        <v>46192</v>
      </c>
      <c r="B48" s="6" t="n">
        <v>2026</v>
      </c>
      <c r="C48" s="6" t="n">
        <v>6</v>
      </c>
      <c r="D48" s="6" t="inlineStr">
        <is>
          <t>June</t>
        </is>
      </c>
      <c r="E48" s="6" t="n">
        <v>2</v>
      </c>
      <c r="F48" s="6" t="n">
        <v>7</v>
      </c>
      <c r="G48" s="6" t="n">
        <v>1</v>
      </c>
    </row>
    <row r="49">
      <c r="A49" s="32" t="n">
        <v>46193</v>
      </c>
      <c r="B49" s="6" t="n">
        <v>2026</v>
      </c>
      <c r="C49" s="6" t="n">
        <v>6</v>
      </c>
      <c r="D49" s="6" t="inlineStr">
        <is>
          <t>June</t>
        </is>
      </c>
      <c r="E49" s="6" t="n">
        <v>2</v>
      </c>
      <c r="F49" s="6" t="n">
        <v>7</v>
      </c>
      <c r="G49" s="6" t="n">
        <v>0</v>
      </c>
    </row>
    <row r="50">
      <c r="A50" s="32" t="n">
        <v>46194</v>
      </c>
      <c r="B50" s="6" t="n">
        <v>2026</v>
      </c>
      <c r="C50" s="6" t="n">
        <v>6</v>
      </c>
      <c r="D50" s="6" t="inlineStr">
        <is>
          <t>June</t>
        </is>
      </c>
      <c r="E50" s="6" t="n">
        <v>2</v>
      </c>
      <c r="F50" s="6" t="n">
        <v>7</v>
      </c>
      <c r="G50" s="6" t="n">
        <v>0</v>
      </c>
    </row>
    <row r="51">
      <c r="A51" s="32" t="n">
        <v>46195</v>
      </c>
      <c r="B51" s="6" t="n">
        <v>2026</v>
      </c>
      <c r="C51" s="6" t="n">
        <v>6</v>
      </c>
      <c r="D51" s="6" t="inlineStr">
        <is>
          <t>June</t>
        </is>
      </c>
      <c r="E51" s="6" t="n">
        <v>2</v>
      </c>
      <c r="F51" s="6" t="n">
        <v>8</v>
      </c>
      <c r="G51" s="6" t="n">
        <v>1</v>
      </c>
    </row>
    <row r="52">
      <c r="A52" s="32" t="n">
        <v>46196</v>
      </c>
      <c r="B52" s="6" t="n">
        <v>2026</v>
      </c>
      <c r="C52" s="6" t="n">
        <v>6</v>
      </c>
      <c r="D52" s="6" t="inlineStr">
        <is>
          <t>June</t>
        </is>
      </c>
      <c r="E52" s="6" t="n">
        <v>2</v>
      </c>
      <c r="F52" s="6" t="n">
        <v>8</v>
      </c>
      <c r="G52" s="6" t="n">
        <v>1</v>
      </c>
    </row>
    <row r="53">
      <c r="A53" s="32" t="n">
        <v>46197</v>
      </c>
      <c r="B53" s="6" t="n">
        <v>2026</v>
      </c>
      <c r="C53" s="6" t="n">
        <v>6</v>
      </c>
      <c r="D53" s="6" t="inlineStr">
        <is>
          <t>June</t>
        </is>
      </c>
      <c r="E53" s="6" t="n">
        <v>2</v>
      </c>
      <c r="F53" s="6" t="n">
        <v>8</v>
      </c>
      <c r="G53" s="6" t="n">
        <v>1</v>
      </c>
    </row>
    <row r="54">
      <c r="A54" s="32" t="n">
        <v>46198</v>
      </c>
      <c r="B54" s="6" t="n">
        <v>2026</v>
      </c>
      <c r="C54" s="6" t="n">
        <v>6</v>
      </c>
      <c r="D54" s="6" t="inlineStr">
        <is>
          <t>June</t>
        </is>
      </c>
      <c r="E54" s="6" t="n">
        <v>2</v>
      </c>
      <c r="F54" s="6" t="n">
        <v>8</v>
      </c>
      <c r="G54" s="6" t="n">
        <v>1</v>
      </c>
    </row>
    <row r="55">
      <c r="A55" s="32" t="n">
        <v>46199</v>
      </c>
      <c r="B55" s="6" t="n">
        <v>2026</v>
      </c>
      <c r="C55" s="6" t="n">
        <v>6</v>
      </c>
      <c r="D55" s="6" t="inlineStr">
        <is>
          <t>June</t>
        </is>
      </c>
      <c r="E55" s="6" t="n">
        <v>2</v>
      </c>
      <c r="F55" s="6" t="n">
        <v>8</v>
      </c>
      <c r="G55" s="6" t="n">
        <v>1</v>
      </c>
    </row>
    <row r="56">
      <c r="A56" s="32" t="n">
        <v>46200</v>
      </c>
      <c r="B56" s="6" t="n">
        <v>2026</v>
      </c>
      <c r="C56" s="6" t="n">
        <v>6</v>
      </c>
      <c r="D56" s="6" t="inlineStr">
        <is>
          <t>June</t>
        </is>
      </c>
      <c r="E56" s="6" t="n">
        <v>2</v>
      </c>
      <c r="F56" s="6" t="n">
        <v>8</v>
      </c>
      <c r="G56" s="6" t="n">
        <v>0</v>
      </c>
    </row>
    <row r="57">
      <c r="A57" s="32" t="n">
        <v>46201</v>
      </c>
      <c r="B57" s="6" t="n">
        <v>2026</v>
      </c>
      <c r="C57" s="6" t="n">
        <v>6</v>
      </c>
      <c r="D57" s="6" t="inlineStr">
        <is>
          <t>June</t>
        </is>
      </c>
      <c r="E57" s="6" t="n">
        <v>2</v>
      </c>
      <c r="F57" s="6" t="n">
        <v>8</v>
      </c>
      <c r="G57" s="6" t="n">
        <v>0</v>
      </c>
    </row>
    <row r="58">
      <c r="A58" s="32" t="n">
        <v>46202</v>
      </c>
      <c r="B58" s="6" t="n">
        <v>2026</v>
      </c>
      <c r="C58" s="6" t="n">
        <v>6</v>
      </c>
      <c r="D58" s="6" t="inlineStr">
        <is>
          <t>June</t>
        </is>
      </c>
      <c r="E58" s="6" t="n">
        <v>2</v>
      </c>
      <c r="F58" s="6" t="n">
        <v>9</v>
      </c>
      <c r="G58" s="6" t="n">
        <v>1</v>
      </c>
    </row>
    <row r="59">
      <c r="A59" s="32" t="n">
        <v>46203</v>
      </c>
      <c r="B59" s="6" t="n">
        <v>2026</v>
      </c>
      <c r="C59" s="6" t="n">
        <v>6</v>
      </c>
      <c r="D59" s="6" t="inlineStr">
        <is>
          <t>June</t>
        </is>
      </c>
      <c r="E59" s="6" t="n">
        <v>2</v>
      </c>
      <c r="F59" s="6" t="n">
        <v>9</v>
      </c>
      <c r="G59" s="6" t="n">
        <v>1</v>
      </c>
    </row>
    <row r="60">
      <c r="A60" s="32" t="n">
        <v>46204</v>
      </c>
      <c r="B60" s="6" t="n">
        <v>2026</v>
      </c>
      <c r="C60" s="6" t="n">
        <v>7</v>
      </c>
      <c r="D60" s="6" t="inlineStr">
        <is>
          <t>July</t>
        </is>
      </c>
      <c r="E60" s="6" t="n">
        <v>3</v>
      </c>
      <c r="F60" s="6" t="n">
        <v>9</v>
      </c>
      <c r="G60" s="6" t="n">
        <v>1</v>
      </c>
    </row>
    <row r="61">
      <c r="A61" s="32" t="n">
        <v>46205</v>
      </c>
      <c r="B61" s="6" t="n">
        <v>2026</v>
      </c>
      <c r="C61" s="6" t="n">
        <v>7</v>
      </c>
      <c r="D61" s="6" t="inlineStr">
        <is>
          <t>July</t>
        </is>
      </c>
      <c r="E61" s="6" t="n">
        <v>3</v>
      </c>
      <c r="F61" s="6" t="n">
        <v>9</v>
      </c>
      <c r="G61" s="6" t="n">
        <v>1</v>
      </c>
    </row>
    <row r="62">
      <c r="A62" s="32" t="n">
        <v>46206</v>
      </c>
      <c r="B62" s="6" t="n">
        <v>2026</v>
      </c>
      <c r="C62" s="6" t="n">
        <v>7</v>
      </c>
      <c r="D62" s="6" t="inlineStr">
        <is>
          <t>July</t>
        </is>
      </c>
      <c r="E62" s="6" t="n">
        <v>3</v>
      </c>
      <c r="F62" s="6" t="n">
        <v>9</v>
      </c>
      <c r="G62" s="6" t="n">
        <v>1</v>
      </c>
    </row>
    <row r="63">
      <c r="A63" s="32" t="n">
        <v>46207</v>
      </c>
      <c r="B63" s="6" t="n">
        <v>2026</v>
      </c>
      <c r="C63" s="6" t="n">
        <v>7</v>
      </c>
      <c r="D63" s="6" t="inlineStr">
        <is>
          <t>July</t>
        </is>
      </c>
      <c r="E63" s="6" t="n">
        <v>3</v>
      </c>
      <c r="F63" s="6" t="n">
        <v>9</v>
      </c>
      <c r="G63" s="6" t="n">
        <v>0</v>
      </c>
    </row>
    <row r="64">
      <c r="A64" s="32" t="n">
        <v>46208</v>
      </c>
      <c r="B64" s="6" t="n">
        <v>2026</v>
      </c>
      <c r="C64" s="6" t="n">
        <v>7</v>
      </c>
      <c r="D64" s="6" t="inlineStr">
        <is>
          <t>July</t>
        </is>
      </c>
      <c r="E64" s="6" t="n">
        <v>3</v>
      </c>
      <c r="F64" s="6" t="n">
        <v>9</v>
      </c>
      <c r="G64" s="6" t="n">
        <v>0</v>
      </c>
    </row>
    <row r="65">
      <c r="A65" s="32" t="n">
        <v>46209</v>
      </c>
      <c r="B65" s="6" t="n">
        <v>2026</v>
      </c>
      <c r="C65" s="6" t="n">
        <v>7</v>
      </c>
      <c r="D65" s="6" t="inlineStr">
        <is>
          <t>July</t>
        </is>
      </c>
      <c r="E65" s="6" t="n">
        <v>3</v>
      </c>
      <c r="F65" s="6" t="n">
        <v>10</v>
      </c>
      <c r="G65" s="6" t="n">
        <v>1</v>
      </c>
    </row>
    <row r="66">
      <c r="A66" s="32" t="n">
        <v>46210</v>
      </c>
      <c r="B66" s="6" t="n">
        <v>2026</v>
      </c>
      <c r="C66" s="6" t="n">
        <v>7</v>
      </c>
      <c r="D66" s="6" t="inlineStr">
        <is>
          <t>July</t>
        </is>
      </c>
      <c r="E66" s="6" t="n">
        <v>3</v>
      </c>
      <c r="F66" s="6" t="n">
        <v>10</v>
      </c>
      <c r="G66" s="6" t="n">
        <v>1</v>
      </c>
    </row>
    <row r="67">
      <c r="A67" s="32" t="n">
        <v>46211</v>
      </c>
      <c r="B67" s="6" t="n">
        <v>2026</v>
      </c>
      <c r="C67" s="6" t="n">
        <v>7</v>
      </c>
      <c r="D67" s="6" t="inlineStr">
        <is>
          <t>July</t>
        </is>
      </c>
      <c r="E67" s="6" t="n">
        <v>3</v>
      </c>
      <c r="F67" s="6" t="n">
        <v>10</v>
      </c>
      <c r="G67" s="6" t="n">
        <v>1</v>
      </c>
    </row>
    <row r="68">
      <c r="A68" s="32" t="n">
        <v>46212</v>
      </c>
      <c r="B68" s="6" t="n">
        <v>2026</v>
      </c>
      <c r="C68" s="6" t="n">
        <v>7</v>
      </c>
      <c r="D68" s="6" t="inlineStr">
        <is>
          <t>July</t>
        </is>
      </c>
      <c r="E68" s="6" t="n">
        <v>3</v>
      </c>
      <c r="F68" s="6" t="n">
        <v>10</v>
      </c>
      <c r="G68" s="6" t="n">
        <v>1</v>
      </c>
    </row>
    <row r="69">
      <c r="A69" s="32" t="n">
        <v>46213</v>
      </c>
      <c r="B69" s="6" t="n">
        <v>2026</v>
      </c>
      <c r="C69" s="6" t="n">
        <v>7</v>
      </c>
      <c r="D69" s="6" t="inlineStr">
        <is>
          <t>July</t>
        </is>
      </c>
      <c r="E69" s="6" t="n">
        <v>3</v>
      </c>
      <c r="F69" s="6" t="n">
        <v>10</v>
      </c>
      <c r="G69" s="6" t="n">
        <v>1</v>
      </c>
    </row>
    <row r="70">
      <c r="A70" s="32" t="n">
        <v>46214</v>
      </c>
      <c r="B70" s="6" t="n">
        <v>2026</v>
      </c>
      <c r="C70" s="6" t="n">
        <v>7</v>
      </c>
      <c r="D70" s="6" t="inlineStr">
        <is>
          <t>July</t>
        </is>
      </c>
      <c r="E70" s="6" t="n">
        <v>3</v>
      </c>
      <c r="F70" s="6" t="n">
        <v>10</v>
      </c>
      <c r="G70" s="6" t="n">
        <v>0</v>
      </c>
    </row>
    <row r="71">
      <c r="A71" s="32" t="n">
        <v>46215</v>
      </c>
      <c r="B71" s="6" t="n">
        <v>2026</v>
      </c>
      <c r="C71" s="6" t="n">
        <v>7</v>
      </c>
      <c r="D71" s="6" t="inlineStr">
        <is>
          <t>July</t>
        </is>
      </c>
      <c r="E71" s="6" t="n">
        <v>3</v>
      </c>
      <c r="F71" s="6" t="n">
        <v>10</v>
      </c>
      <c r="G71" s="6" t="n">
        <v>0</v>
      </c>
    </row>
    <row r="72">
      <c r="A72" s="32" t="n">
        <v>46216</v>
      </c>
      <c r="B72" s="6" t="n">
        <v>2026</v>
      </c>
      <c r="C72" s="6" t="n">
        <v>7</v>
      </c>
      <c r="D72" s="6" t="inlineStr">
        <is>
          <t>July</t>
        </is>
      </c>
      <c r="E72" s="6" t="n">
        <v>3</v>
      </c>
      <c r="F72" s="6" t="n">
        <v>11</v>
      </c>
      <c r="G72" s="6" t="n">
        <v>1</v>
      </c>
    </row>
    <row r="73">
      <c r="A73" s="32" t="n">
        <v>46217</v>
      </c>
      <c r="B73" s="6" t="n">
        <v>2026</v>
      </c>
      <c r="C73" s="6" t="n">
        <v>7</v>
      </c>
      <c r="D73" s="6" t="inlineStr">
        <is>
          <t>July</t>
        </is>
      </c>
      <c r="E73" s="6" t="n">
        <v>3</v>
      </c>
      <c r="F73" s="6" t="n">
        <v>11</v>
      </c>
      <c r="G73" s="6" t="n">
        <v>1</v>
      </c>
    </row>
    <row r="74">
      <c r="A74" s="32" t="n">
        <v>46218</v>
      </c>
      <c r="B74" s="6" t="n">
        <v>2026</v>
      </c>
      <c r="C74" s="6" t="n">
        <v>7</v>
      </c>
      <c r="D74" s="6" t="inlineStr">
        <is>
          <t>July</t>
        </is>
      </c>
      <c r="E74" s="6" t="n">
        <v>3</v>
      </c>
      <c r="F74" s="6" t="n">
        <v>11</v>
      </c>
      <c r="G74" s="6" t="n">
        <v>1</v>
      </c>
    </row>
    <row r="75">
      <c r="A75" s="32" t="n">
        <v>46219</v>
      </c>
      <c r="B75" s="6" t="n">
        <v>2026</v>
      </c>
      <c r="C75" s="6" t="n">
        <v>7</v>
      </c>
      <c r="D75" s="6" t="inlineStr">
        <is>
          <t>July</t>
        </is>
      </c>
      <c r="E75" s="6" t="n">
        <v>3</v>
      </c>
      <c r="F75" s="6" t="n">
        <v>11</v>
      </c>
      <c r="G75" s="6" t="n">
        <v>1</v>
      </c>
    </row>
    <row r="76">
      <c r="A76" s="32" t="n">
        <v>46220</v>
      </c>
      <c r="B76" s="6" t="n">
        <v>2026</v>
      </c>
      <c r="C76" s="6" t="n">
        <v>7</v>
      </c>
      <c r="D76" s="6" t="inlineStr">
        <is>
          <t>July</t>
        </is>
      </c>
      <c r="E76" s="6" t="n">
        <v>3</v>
      </c>
      <c r="F76" s="6" t="n">
        <v>11</v>
      </c>
      <c r="G76" s="6" t="n">
        <v>1</v>
      </c>
    </row>
    <row r="77">
      <c r="A77" s="32" t="n">
        <v>46221</v>
      </c>
      <c r="B77" s="6" t="n">
        <v>2026</v>
      </c>
      <c r="C77" s="6" t="n">
        <v>7</v>
      </c>
      <c r="D77" s="6" t="inlineStr">
        <is>
          <t>July</t>
        </is>
      </c>
      <c r="E77" s="6" t="n">
        <v>3</v>
      </c>
      <c r="F77" s="6" t="n">
        <v>11</v>
      </c>
      <c r="G77" s="6" t="n">
        <v>0</v>
      </c>
    </row>
    <row r="78">
      <c r="A78" s="32" t="n">
        <v>46222</v>
      </c>
      <c r="B78" s="6" t="n">
        <v>2026</v>
      </c>
      <c r="C78" s="6" t="n">
        <v>7</v>
      </c>
      <c r="D78" s="6" t="inlineStr">
        <is>
          <t>July</t>
        </is>
      </c>
      <c r="E78" s="6" t="n">
        <v>3</v>
      </c>
      <c r="F78" s="6" t="n">
        <v>11</v>
      </c>
      <c r="G78" s="6" t="n">
        <v>0</v>
      </c>
    </row>
    <row r="79">
      <c r="A79" s="32" t="n">
        <v>46223</v>
      </c>
      <c r="B79" s="6" t="n">
        <v>2026</v>
      </c>
      <c r="C79" s="6" t="n">
        <v>7</v>
      </c>
      <c r="D79" s="6" t="inlineStr">
        <is>
          <t>July</t>
        </is>
      </c>
      <c r="E79" s="6" t="n">
        <v>3</v>
      </c>
      <c r="F79" s="6" t="n">
        <v>12</v>
      </c>
      <c r="G79" s="6" t="n">
        <v>1</v>
      </c>
    </row>
    <row r="80">
      <c r="A80" s="32" t="n">
        <v>46224</v>
      </c>
      <c r="B80" s="6" t="n">
        <v>2026</v>
      </c>
      <c r="C80" s="6" t="n">
        <v>7</v>
      </c>
      <c r="D80" s="6" t="inlineStr">
        <is>
          <t>July</t>
        </is>
      </c>
      <c r="E80" s="6" t="n">
        <v>3</v>
      </c>
      <c r="F80" s="6" t="n">
        <v>12</v>
      </c>
      <c r="G80" s="6" t="n">
        <v>1</v>
      </c>
    </row>
    <row r="81">
      <c r="A81" s="32" t="n">
        <v>46225</v>
      </c>
      <c r="B81" s="6" t="n">
        <v>2026</v>
      </c>
      <c r="C81" s="6" t="n">
        <v>7</v>
      </c>
      <c r="D81" s="6" t="inlineStr">
        <is>
          <t>July</t>
        </is>
      </c>
      <c r="E81" s="6" t="n">
        <v>3</v>
      </c>
      <c r="F81" s="6" t="n">
        <v>12</v>
      </c>
      <c r="G81" s="6" t="n">
        <v>1</v>
      </c>
    </row>
    <row r="82">
      <c r="A82" s="32" t="n">
        <v>46226</v>
      </c>
      <c r="B82" s="6" t="n">
        <v>2026</v>
      </c>
      <c r="C82" s="6" t="n">
        <v>7</v>
      </c>
      <c r="D82" s="6" t="inlineStr">
        <is>
          <t>July</t>
        </is>
      </c>
      <c r="E82" s="6" t="n">
        <v>3</v>
      </c>
      <c r="F82" s="6" t="n">
        <v>12</v>
      </c>
      <c r="G82" s="6" t="n">
        <v>1</v>
      </c>
    </row>
    <row r="83">
      <c r="A83" s="32" t="n">
        <v>46227</v>
      </c>
      <c r="B83" s="6" t="n">
        <v>2026</v>
      </c>
      <c r="C83" s="6" t="n">
        <v>7</v>
      </c>
      <c r="D83" s="6" t="inlineStr">
        <is>
          <t>July</t>
        </is>
      </c>
      <c r="E83" s="6" t="n">
        <v>3</v>
      </c>
      <c r="F83" s="6" t="n">
        <v>12</v>
      </c>
      <c r="G83" s="6" t="n">
        <v>1</v>
      </c>
    </row>
    <row r="84">
      <c r="A84" s="32" t="n">
        <v>46228</v>
      </c>
      <c r="B84" s="6" t="n">
        <v>2026</v>
      </c>
      <c r="C84" s="6" t="n">
        <v>7</v>
      </c>
      <c r="D84" s="6" t="inlineStr">
        <is>
          <t>July</t>
        </is>
      </c>
      <c r="E84" s="6" t="n">
        <v>3</v>
      </c>
      <c r="F84" s="6" t="n">
        <v>12</v>
      </c>
      <c r="G84" s="6" t="n">
        <v>0</v>
      </c>
    </row>
    <row r="85">
      <c r="A85" s="32" t="n">
        <v>46229</v>
      </c>
      <c r="B85" s="6" t="n">
        <v>2026</v>
      </c>
      <c r="C85" s="6" t="n">
        <v>7</v>
      </c>
      <c r="D85" s="6" t="inlineStr">
        <is>
          <t>July</t>
        </is>
      </c>
      <c r="E85" s="6" t="n">
        <v>3</v>
      </c>
      <c r="F85" s="6" t="n">
        <v>12</v>
      </c>
      <c r="G85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6" customWidth="1" min="3" max="3"/>
  </cols>
  <sheetData>
    <row r="1">
      <c r="A1" s="31" t="inlineStr">
        <is>
          <t>Date</t>
        </is>
      </c>
      <c r="B1" s="31" t="inlineStr">
        <is>
          <t>WBS_ID</t>
        </is>
      </c>
      <c r="C1" s="31" t="inlineStr">
        <is>
          <t>Planned_Value</t>
        </is>
      </c>
    </row>
    <row r="2">
      <c r="A2" s="32" t="n">
        <v>46146</v>
      </c>
      <c r="B2" s="6" t="inlineStr">
        <is>
          <t>WBS-01</t>
        </is>
      </c>
      <c r="C2" s="6" t="n">
        <v>1500</v>
      </c>
    </row>
    <row r="3">
      <c r="A3" s="32" t="n">
        <v>46153</v>
      </c>
      <c r="B3" s="6" t="inlineStr">
        <is>
          <t>WBS-01</t>
        </is>
      </c>
      <c r="C3" s="6" t="n">
        <v>1500</v>
      </c>
    </row>
    <row r="4">
      <c r="A4" s="32" t="n">
        <v>46160</v>
      </c>
      <c r="B4" s="6" t="inlineStr">
        <is>
          <t>WBS-01</t>
        </is>
      </c>
      <c r="C4" s="6" t="n">
        <v>1500</v>
      </c>
    </row>
    <row r="5">
      <c r="A5" s="32" t="n">
        <v>46167</v>
      </c>
      <c r="B5" s="6" t="inlineStr">
        <is>
          <t>WBS-01</t>
        </is>
      </c>
      <c r="C5" s="6" t="n">
        <v>1500</v>
      </c>
    </row>
    <row r="6">
      <c r="A6" s="32" t="n">
        <v>46174</v>
      </c>
      <c r="B6" s="6" t="inlineStr">
        <is>
          <t>WBS-01</t>
        </is>
      </c>
      <c r="C6" s="6" t="n">
        <v>1500</v>
      </c>
    </row>
    <row r="7">
      <c r="A7" s="32" t="n">
        <v>46181</v>
      </c>
      <c r="B7" s="6" t="inlineStr">
        <is>
          <t>WBS-01</t>
        </is>
      </c>
      <c r="C7" s="6" t="n">
        <v>1500</v>
      </c>
    </row>
    <row r="8">
      <c r="A8" s="32" t="n">
        <v>46188</v>
      </c>
      <c r="B8" s="6" t="inlineStr">
        <is>
          <t>WBS-01</t>
        </is>
      </c>
      <c r="C8" s="6" t="n">
        <v>1500</v>
      </c>
    </row>
    <row r="9">
      <c r="A9" s="32" t="n">
        <v>46195</v>
      </c>
      <c r="B9" s="6" t="inlineStr">
        <is>
          <t>WBS-01</t>
        </is>
      </c>
      <c r="C9" s="6" t="n">
        <v>1500</v>
      </c>
    </row>
    <row r="10">
      <c r="A10" s="32" t="n">
        <v>46202</v>
      </c>
      <c r="B10" s="6" t="inlineStr">
        <is>
          <t>WBS-01</t>
        </is>
      </c>
      <c r="C10" s="6" t="n">
        <v>1500</v>
      </c>
    </row>
    <row r="11">
      <c r="A11" s="32" t="n">
        <v>46209</v>
      </c>
      <c r="B11" s="6" t="inlineStr">
        <is>
          <t>WBS-01</t>
        </is>
      </c>
      <c r="C11" s="6" t="n">
        <v>1500</v>
      </c>
    </row>
    <row r="12">
      <c r="A12" s="32" t="n">
        <v>46216</v>
      </c>
      <c r="B12" s="6" t="inlineStr">
        <is>
          <t>WBS-01</t>
        </is>
      </c>
      <c r="C12" s="6" t="n">
        <v>1500</v>
      </c>
    </row>
    <row r="13">
      <c r="A13" s="32" t="n">
        <v>46223</v>
      </c>
      <c r="B13" s="6" t="inlineStr">
        <is>
          <t>WBS-01</t>
        </is>
      </c>
      <c r="C13" s="6" t="n">
        <v>1500</v>
      </c>
    </row>
    <row r="14">
      <c r="A14" s="32" t="n">
        <v>46146</v>
      </c>
      <c r="B14" s="6" t="inlineStr">
        <is>
          <t>WBS-02</t>
        </is>
      </c>
      <c r="C14" s="6" t="n">
        <v>8500</v>
      </c>
    </row>
    <row r="15">
      <c r="A15" s="32" t="n">
        <v>46146</v>
      </c>
      <c r="B15" s="6" t="inlineStr">
        <is>
          <t>WBS-03</t>
        </is>
      </c>
      <c r="C15" s="6" t="n">
        <v>6400</v>
      </c>
    </row>
    <row r="16">
      <c r="A16" s="32" t="n">
        <v>46153</v>
      </c>
      <c r="B16" s="6" t="inlineStr">
        <is>
          <t>WBS-03</t>
        </is>
      </c>
      <c r="C16" s="6" t="n">
        <v>6400</v>
      </c>
    </row>
    <row r="17">
      <c r="A17" s="32" t="n">
        <v>46160</v>
      </c>
      <c r="B17" s="6" t="inlineStr">
        <is>
          <t>WBS-03</t>
        </is>
      </c>
      <c r="C17" s="6" t="n">
        <v>6400</v>
      </c>
    </row>
    <row r="18">
      <c r="A18" s="32" t="n">
        <v>46153</v>
      </c>
      <c r="B18" s="6" t="inlineStr">
        <is>
          <t>WBS-04</t>
        </is>
      </c>
      <c r="C18" s="6" t="n">
        <v>10500</v>
      </c>
    </row>
    <row r="19">
      <c r="A19" s="32" t="n">
        <v>46160</v>
      </c>
      <c r="B19" s="6" t="inlineStr">
        <is>
          <t>WBS-04</t>
        </is>
      </c>
      <c r="C19" s="6" t="n">
        <v>10500</v>
      </c>
    </row>
    <row r="20">
      <c r="A20" s="32" t="n">
        <v>46167</v>
      </c>
      <c r="B20" s="6" t="inlineStr">
        <is>
          <t>WBS-04</t>
        </is>
      </c>
      <c r="C20" s="6" t="n">
        <v>10500</v>
      </c>
    </row>
    <row r="21">
      <c r="A21" s="32" t="n">
        <v>46174</v>
      </c>
      <c r="B21" s="6" t="inlineStr">
        <is>
          <t>WBS-04</t>
        </is>
      </c>
      <c r="C21" s="6" t="n">
        <v>10500</v>
      </c>
    </row>
    <row r="22">
      <c r="A22" s="32" t="n">
        <v>46153</v>
      </c>
      <c r="B22" s="6" t="inlineStr">
        <is>
          <t>WBS-05</t>
        </is>
      </c>
      <c r="C22" s="6" t="n">
        <v>4400</v>
      </c>
    </row>
    <row r="23">
      <c r="A23" s="32" t="n">
        <v>46160</v>
      </c>
      <c r="B23" s="6" t="inlineStr">
        <is>
          <t>WBS-05</t>
        </is>
      </c>
      <c r="C23" s="6" t="n">
        <v>4400</v>
      </c>
    </row>
    <row r="24">
      <c r="A24" s="32" t="n">
        <v>46167</v>
      </c>
      <c r="B24" s="6" t="inlineStr">
        <is>
          <t>WBS-05</t>
        </is>
      </c>
      <c r="C24" s="6" t="n">
        <v>4400</v>
      </c>
    </row>
    <row r="25">
      <c r="A25" s="32" t="n">
        <v>46167</v>
      </c>
      <c r="B25" s="6" t="inlineStr">
        <is>
          <t>WBS-06</t>
        </is>
      </c>
      <c r="C25" s="6" t="n">
        <v>8666.67</v>
      </c>
    </row>
    <row r="26">
      <c r="A26" s="32" t="n">
        <v>46174</v>
      </c>
      <c r="B26" s="6" t="inlineStr">
        <is>
          <t>WBS-06</t>
        </is>
      </c>
      <c r="C26" s="6" t="n">
        <v>8666.67</v>
      </c>
    </row>
    <row r="27">
      <c r="A27" s="32" t="n">
        <v>46181</v>
      </c>
      <c r="B27" s="6" t="inlineStr">
        <is>
          <t>WBS-06</t>
        </is>
      </c>
      <c r="C27" s="6" t="n">
        <v>8666.66</v>
      </c>
    </row>
    <row r="28">
      <c r="A28" s="32" t="n">
        <v>46174</v>
      </c>
      <c r="B28" s="6" t="inlineStr">
        <is>
          <t>WBS-07</t>
        </is>
      </c>
      <c r="C28" s="6" t="n">
        <v>9000</v>
      </c>
    </row>
    <row r="29">
      <c r="A29" s="32" t="n">
        <v>46181</v>
      </c>
      <c r="B29" s="6" t="inlineStr">
        <is>
          <t>WBS-07</t>
        </is>
      </c>
      <c r="C29" s="6" t="n">
        <v>9000</v>
      </c>
    </row>
    <row r="30">
      <c r="A30" s="32" t="n">
        <v>46188</v>
      </c>
      <c r="B30" s="6" t="inlineStr">
        <is>
          <t>WBS-07</t>
        </is>
      </c>
      <c r="C30" s="6" t="n">
        <v>9000</v>
      </c>
    </row>
    <row r="31">
      <c r="A31" s="32" t="n">
        <v>46195</v>
      </c>
      <c r="B31" s="6" t="inlineStr">
        <is>
          <t>WBS-07</t>
        </is>
      </c>
      <c r="C31" s="6" t="n">
        <v>9000</v>
      </c>
    </row>
    <row r="32">
      <c r="A32" s="32" t="n">
        <v>46181</v>
      </c>
      <c r="B32" s="6" t="inlineStr">
        <is>
          <t>WBS-08</t>
        </is>
      </c>
      <c r="C32" s="6" t="n">
        <v>7000</v>
      </c>
    </row>
    <row r="33">
      <c r="A33" s="32" t="n">
        <v>46188</v>
      </c>
      <c r="B33" s="6" t="inlineStr">
        <is>
          <t>WBS-08</t>
        </is>
      </c>
      <c r="C33" s="6" t="n">
        <v>7000</v>
      </c>
    </row>
    <row r="34">
      <c r="A34" s="32" t="n">
        <v>46195</v>
      </c>
      <c r="B34" s="6" t="inlineStr">
        <is>
          <t>WBS-08</t>
        </is>
      </c>
      <c r="C34" s="6" t="n">
        <v>7000</v>
      </c>
    </row>
    <row r="35">
      <c r="A35" s="32" t="n">
        <v>46202</v>
      </c>
      <c r="B35" s="6" t="inlineStr">
        <is>
          <t>WBS-08</t>
        </is>
      </c>
      <c r="C35" s="6" t="n">
        <v>7000</v>
      </c>
    </row>
    <row r="36">
      <c r="A36" s="32" t="n">
        <v>46195</v>
      </c>
      <c r="B36" s="6" t="inlineStr">
        <is>
          <t>WBS-09</t>
        </is>
      </c>
      <c r="C36" s="6" t="n">
        <v>11916.67</v>
      </c>
    </row>
    <row r="37">
      <c r="A37" s="32" t="n">
        <v>46202</v>
      </c>
      <c r="B37" s="6" t="inlineStr">
        <is>
          <t>WBS-09</t>
        </is>
      </c>
      <c r="C37" s="6" t="n">
        <v>11916.67</v>
      </c>
    </row>
    <row r="38">
      <c r="A38" s="32" t="n">
        <v>46209</v>
      </c>
      <c r="B38" s="6" t="inlineStr">
        <is>
          <t>WBS-09</t>
        </is>
      </c>
      <c r="C38" s="6" t="n">
        <v>11916.66</v>
      </c>
    </row>
    <row r="39">
      <c r="A39" s="32" t="n">
        <v>46202</v>
      </c>
      <c r="B39" s="6" t="inlineStr">
        <is>
          <t>WBS-10</t>
        </is>
      </c>
      <c r="C39" s="6" t="n">
        <v>10000</v>
      </c>
    </row>
    <row r="40">
      <c r="A40" s="32" t="n">
        <v>46209</v>
      </c>
      <c r="B40" s="6" t="inlineStr">
        <is>
          <t>WBS-10</t>
        </is>
      </c>
      <c r="C40" s="6" t="n">
        <v>10000</v>
      </c>
    </row>
    <row r="41">
      <c r="A41" s="32" t="n">
        <v>46216</v>
      </c>
      <c r="B41" s="6" t="inlineStr">
        <is>
          <t>WBS-10</t>
        </is>
      </c>
      <c r="C41" s="6" t="n">
        <v>10000</v>
      </c>
    </row>
    <row r="42">
      <c r="A42" s="32" t="n">
        <v>46216</v>
      </c>
      <c r="B42" s="6" t="inlineStr">
        <is>
          <t>WBS-11</t>
        </is>
      </c>
      <c r="C42" s="6" t="n">
        <v>4200</v>
      </c>
    </row>
    <row r="43">
      <c r="A43" s="32" t="n">
        <v>46223</v>
      </c>
      <c r="B43" s="6" t="inlineStr">
        <is>
          <t>WBS-11</t>
        </is>
      </c>
      <c r="C43" s="6" t="n">
        <v>4200</v>
      </c>
    </row>
    <row r="44">
      <c r="A44" s="32" t="n">
        <v>46223</v>
      </c>
      <c r="B44" s="6" t="inlineStr">
        <is>
          <t>WBS-12</t>
        </is>
      </c>
      <c r="C44" s="6" t="n">
        <v>3600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4" customWidth="1" min="4" max="4"/>
    <col width="15" customWidth="1" min="5" max="5"/>
  </cols>
  <sheetData>
    <row r="1">
      <c r="A1" s="31" t="inlineStr">
        <is>
          <t>Date</t>
        </is>
      </c>
      <c r="B1" s="31" t="inlineStr">
        <is>
          <t>WBS_ID</t>
        </is>
      </c>
      <c r="C1" s="31" t="inlineStr">
        <is>
          <t>Resource_ID</t>
        </is>
      </c>
      <c r="D1" s="31" t="inlineStr">
        <is>
          <t>Actual_Cost</t>
        </is>
      </c>
      <c r="E1" s="31" t="inlineStr">
        <is>
          <t>Hours_Worked</t>
        </is>
      </c>
    </row>
    <row r="2">
      <c r="A2" s="32" t="n">
        <v>46146</v>
      </c>
      <c r="B2" s="6" t="inlineStr">
        <is>
          <t>WBS-01</t>
        </is>
      </c>
      <c r="C2" s="6" t="inlineStr">
        <is>
          <t>R01</t>
        </is>
      </c>
      <c r="D2" s="6" t="n">
        <v>320</v>
      </c>
      <c r="E2" s="6" t="n">
        <v>0.21</v>
      </c>
    </row>
    <row r="3">
      <c r="A3" s="32" t="n">
        <v>46147</v>
      </c>
      <c r="B3" s="6" t="inlineStr">
        <is>
          <t>WBS-01</t>
        </is>
      </c>
      <c r="C3" s="6" t="inlineStr">
        <is>
          <t>R01</t>
        </is>
      </c>
      <c r="D3" s="6" t="n">
        <v>320</v>
      </c>
      <c r="E3" s="6" t="n">
        <v>0.21</v>
      </c>
    </row>
    <row r="4">
      <c r="A4" s="32" t="n">
        <v>46148</v>
      </c>
      <c r="B4" s="6" t="inlineStr">
        <is>
          <t>WBS-01</t>
        </is>
      </c>
      <c r="C4" s="6" t="inlineStr">
        <is>
          <t>R01</t>
        </is>
      </c>
      <c r="D4" s="6" t="n">
        <v>320</v>
      </c>
      <c r="E4" s="6" t="n">
        <v>0.21</v>
      </c>
    </row>
    <row r="5">
      <c r="A5" s="32" t="n">
        <v>46149</v>
      </c>
      <c r="B5" s="6" t="inlineStr">
        <is>
          <t>WBS-01</t>
        </is>
      </c>
      <c r="C5" s="6" t="inlineStr">
        <is>
          <t>R01</t>
        </is>
      </c>
      <c r="D5" s="6" t="n">
        <v>320</v>
      </c>
      <c r="E5" s="6" t="n">
        <v>0.21</v>
      </c>
    </row>
    <row r="6">
      <c r="A6" s="32" t="n">
        <v>46150</v>
      </c>
      <c r="B6" s="6" t="inlineStr">
        <is>
          <t>WBS-01</t>
        </is>
      </c>
      <c r="C6" s="6" t="inlineStr">
        <is>
          <t>R01</t>
        </is>
      </c>
      <c r="D6" s="6" t="n">
        <v>320</v>
      </c>
      <c r="E6" s="6" t="n">
        <v>0.21</v>
      </c>
    </row>
    <row r="7">
      <c r="A7" s="32" t="n">
        <v>46146</v>
      </c>
      <c r="B7" s="6" t="inlineStr">
        <is>
          <t>WBS-02</t>
        </is>
      </c>
      <c r="C7" s="6" t="inlineStr">
        <is>
          <t>R04</t>
        </is>
      </c>
      <c r="D7" s="6" t="n">
        <v>1740</v>
      </c>
      <c r="E7" s="6" t="n">
        <v>0.79</v>
      </c>
    </row>
    <row r="8">
      <c r="A8" s="32" t="n">
        <v>46147</v>
      </c>
      <c r="B8" s="6" t="inlineStr">
        <is>
          <t>WBS-02</t>
        </is>
      </c>
      <c r="C8" s="6" t="inlineStr">
        <is>
          <t>R04</t>
        </is>
      </c>
      <c r="D8" s="6" t="n">
        <v>1740</v>
      </c>
      <c r="E8" s="6" t="n">
        <v>0.79</v>
      </c>
    </row>
    <row r="9">
      <c r="A9" s="32" t="n">
        <v>46148</v>
      </c>
      <c r="B9" s="6" t="inlineStr">
        <is>
          <t>WBS-02</t>
        </is>
      </c>
      <c r="C9" s="6" t="inlineStr">
        <is>
          <t>R04</t>
        </is>
      </c>
      <c r="D9" s="6" t="n">
        <v>1740</v>
      </c>
      <c r="E9" s="6" t="n">
        <v>0.79</v>
      </c>
    </row>
    <row r="10">
      <c r="A10" s="32" t="n">
        <v>46149</v>
      </c>
      <c r="B10" s="6" t="inlineStr">
        <is>
          <t>WBS-02</t>
        </is>
      </c>
      <c r="C10" s="6" t="inlineStr">
        <is>
          <t>R04</t>
        </is>
      </c>
      <c r="D10" s="6" t="n">
        <v>1740</v>
      </c>
      <c r="E10" s="6" t="n">
        <v>0.79</v>
      </c>
    </row>
    <row r="11">
      <c r="A11" s="32" t="n">
        <v>46150</v>
      </c>
      <c r="B11" s="6" t="inlineStr">
        <is>
          <t>WBS-02</t>
        </is>
      </c>
      <c r="C11" s="6" t="inlineStr">
        <is>
          <t>R04</t>
        </is>
      </c>
      <c r="D11" s="6" t="n">
        <v>1740</v>
      </c>
      <c r="E11" s="6" t="n">
        <v>0.79</v>
      </c>
    </row>
    <row r="12">
      <c r="A12" s="32" t="n">
        <v>46146</v>
      </c>
      <c r="B12" s="6" t="inlineStr">
        <is>
          <t>WBS-03</t>
        </is>
      </c>
      <c r="C12" s="6" t="inlineStr">
        <is>
          <t>R02</t>
        </is>
      </c>
      <c r="D12" s="6" t="n">
        <v>1199.01</v>
      </c>
      <c r="E12" s="6" t="n">
        <v>0.5</v>
      </c>
    </row>
    <row r="13">
      <c r="A13" s="32" t="n">
        <v>46147</v>
      </c>
      <c r="B13" s="6" t="inlineStr">
        <is>
          <t>WBS-03</t>
        </is>
      </c>
      <c r="C13" s="6" t="inlineStr">
        <is>
          <t>R02</t>
        </is>
      </c>
      <c r="D13" s="6" t="n">
        <v>1199.01</v>
      </c>
      <c r="E13" s="6" t="n">
        <v>0.5</v>
      </c>
    </row>
    <row r="14">
      <c r="A14" s="32" t="n">
        <v>46148</v>
      </c>
      <c r="B14" s="6" t="inlineStr">
        <is>
          <t>WBS-03</t>
        </is>
      </c>
      <c r="C14" s="6" t="inlineStr">
        <is>
          <t>R02</t>
        </is>
      </c>
      <c r="D14" s="6" t="n">
        <v>1199.01</v>
      </c>
      <c r="E14" s="6" t="n">
        <v>0.5</v>
      </c>
    </row>
    <row r="15">
      <c r="A15" s="32" t="n">
        <v>46149</v>
      </c>
      <c r="B15" s="6" t="inlineStr">
        <is>
          <t>WBS-03</t>
        </is>
      </c>
      <c r="C15" s="6" t="inlineStr">
        <is>
          <t>R02</t>
        </is>
      </c>
      <c r="D15" s="6" t="n">
        <v>1199.01</v>
      </c>
      <c r="E15" s="6" t="n">
        <v>0.5</v>
      </c>
    </row>
    <row r="16">
      <c r="A16" s="32" t="n">
        <v>46150</v>
      </c>
      <c r="B16" s="6" t="inlineStr">
        <is>
          <t>WBS-03</t>
        </is>
      </c>
      <c r="C16" s="6" t="inlineStr">
        <is>
          <t>R02</t>
        </is>
      </c>
      <c r="D16" s="6" t="n">
        <v>1199</v>
      </c>
      <c r="E16" s="6" t="n">
        <v>0.5</v>
      </c>
    </row>
    <row r="17">
      <c r="A17" s="32" t="n">
        <v>46153</v>
      </c>
      <c r="B17" s="6" t="inlineStr">
        <is>
          <t>WBS-01</t>
        </is>
      </c>
      <c r="C17" s="6" t="inlineStr">
        <is>
          <t>R01</t>
        </is>
      </c>
      <c r="D17" s="6" t="n">
        <v>320</v>
      </c>
      <c r="E17" s="6" t="n">
        <v>0.21</v>
      </c>
    </row>
    <row r="18">
      <c r="A18" s="32" t="n">
        <v>46154</v>
      </c>
      <c r="B18" s="6" t="inlineStr">
        <is>
          <t>WBS-01</t>
        </is>
      </c>
      <c r="C18" s="6" t="inlineStr">
        <is>
          <t>R01</t>
        </is>
      </c>
      <c r="D18" s="6" t="n">
        <v>320</v>
      </c>
      <c r="E18" s="6" t="n">
        <v>0.21</v>
      </c>
    </row>
    <row r="19">
      <c r="A19" s="32" t="n">
        <v>46155</v>
      </c>
      <c r="B19" s="6" t="inlineStr">
        <is>
          <t>WBS-01</t>
        </is>
      </c>
      <c r="C19" s="6" t="inlineStr">
        <is>
          <t>R01</t>
        </is>
      </c>
      <c r="D19" s="6" t="n">
        <v>320</v>
      </c>
      <c r="E19" s="6" t="n">
        <v>0.21</v>
      </c>
    </row>
    <row r="20">
      <c r="A20" s="32" t="n">
        <v>46156</v>
      </c>
      <c r="B20" s="6" t="inlineStr">
        <is>
          <t>WBS-01</t>
        </is>
      </c>
      <c r="C20" s="6" t="inlineStr">
        <is>
          <t>R01</t>
        </is>
      </c>
      <c r="D20" s="6" t="n">
        <v>320</v>
      </c>
      <c r="E20" s="6" t="n">
        <v>0.21</v>
      </c>
    </row>
    <row r="21">
      <c r="A21" s="32" t="n">
        <v>46157</v>
      </c>
      <c r="B21" s="6" t="inlineStr">
        <is>
          <t>WBS-01</t>
        </is>
      </c>
      <c r="C21" s="6" t="inlineStr">
        <is>
          <t>R01</t>
        </is>
      </c>
      <c r="D21" s="6" t="n">
        <v>320</v>
      </c>
      <c r="E21" s="6" t="n">
        <v>0.21</v>
      </c>
    </row>
    <row r="22">
      <c r="A22" s="32" t="n">
        <v>46153</v>
      </c>
      <c r="B22" s="6" t="inlineStr">
        <is>
          <t>WBS-03</t>
        </is>
      </c>
      <c r="C22" s="6" t="inlineStr">
        <is>
          <t>R02</t>
        </is>
      </c>
      <c r="D22" s="6" t="n">
        <v>1200</v>
      </c>
      <c r="E22" s="6" t="n">
        <v>0.5</v>
      </c>
    </row>
    <row r="23">
      <c r="A23" s="32" t="n">
        <v>46154</v>
      </c>
      <c r="B23" s="6" t="inlineStr">
        <is>
          <t>WBS-03</t>
        </is>
      </c>
      <c r="C23" s="6" t="inlineStr">
        <is>
          <t>R02</t>
        </is>
      </c>
      <c r="D23" s="6" t="n">
        <v>1200</v>
      </c>
      <c r="E23" s="6" t="n">
        <v>0.5</v>
      </c>
    </row>
    <row r="24">
      <c r="A24" s="32" t="n">
        <v>46155</v>
      </c>
      <c r="B24" s="6" t="inlineStr">
        <is>
          <t>WBS-03</t>
        </is>
      </c>
      <c r="C24" s="6" t="inlineStr">
        <is>
          <t>R02</t>
        </is>
      </c>
      <c r="D24" s="6" t="n">
        <v>1200</v>
      </c>
      <c r="E24" s="6" t="n">
        <v>0.5</v>
      </c>
    </row>
    <row r="25">
      <c r="A25" s="32" t="n">
        <v>46156</v>
      </c>
      <c r="B25" s="6" t="inlineStr">
        <is>
          <t>WBS-03</t>
        </is>
      </c>
      <c r="C25" s="6" t="inlineStr">
        <is>
          <t>R02</t>
        </is>
      </c>
      <c r="D25" s="6" t="n">
        <v>1200</v>
      </c>
      <c r="E25" s="6" t="n">
        <v>0.5</v>
      </c>
    </row>
    <row r="26">
      <c r="A26" s="32" t="n">
        <v>46157</v>
      </c>
      <c r="B26" s="6" t="inlineStr">
        <is>
          <t>WBS-03</t>
        </is>
      </c>
      <c r="C26" s="6" t="inlineStr">
        <is>
          <t>R02</t>
        </is>
      </c>
      <c r="D26" s="6" t="n">
        <v>1200</v>
      </c>
      <c r="E26" s="6" t="n">
        <v>0.5</v>
      </c>
    </row>
    <row r="27">
      <c r="A27" s="32" t="n">
        <v>46155</v>
      </c>
      <c r="B27" s="6" t="inlineStr">
        <is>
          <t>WBS-04</t>
        </is>
      </c>
      <c r="C27" s="6" t="inlineStr">
        <is>
          <t>R07</t>
        </is>
      </c>
      <c r="D27" s="6" t="n">
        <v>10500</v>
      </c>
      <c r="E27" s="6" t="n">
        <v>0</v>
      </c>
    </row>
    <row r="28">
      <c r="A28" s="32" t="n">
        <v>46153</v>
      </c>
      <c r="B28" s="6" t="inlineStr">
        <is>
          <t>WBS-05</t>
        </is>
      </c>
      <c r="C28" s="6" t="inlineStr">
        <is>
          <t>R04</t>
        </is>
      </c>
      <c r="D28" s="6" t="n">
        <v>910.8200000000001</v>
      </c>
      <c r="E28" s="6" t="n">
        <v>0.41</v>
      </c>
    </row>
    <row r="29">
      <c r="A29" s="32" t="n">
        <v>46154</v>
      </c>
      <c r="B29" s="6" t="inlineStr">
        <is>
          <t>WBS-05</t>
        </is>
      </c>
      <c r="C29" s="6" t="inlineStr">
        <is>
          <t>R04</t>
        </is>
      </c>
      <c r="D29" s="6" t="n">
        <v>910.8200000000001</v>
      </c>
      <c r="E29" s="6" t="n">
        <v>0.41</v>
      </c>
    </row>
    <row r="30">
      <c r="A30" s="32" t="n">
        <v>46155</v>
      </c>
      <c r="B30" s="6" t="inlineStr">
        <is>
          <t>WBS-05</t>
        </is>
      </c>
      <c r="C30" s="6" t="inlineStr">
        <is>
          <t>R04</t>
        </is>
      </c>
      <c r="D30" s="6" t="n">
        <v>910.8200000000001</v>
      </c>
      <c r="E30" s="6" t="n">
        <v>0.41</v>
      </c>
    </row>
    <row r="31">
      <c r="A31" s="32" t="n">
        <v>46156</v>
      </c>
      <c r="B31" s="6" t="inlineStr">
        <is>
          <t>WBS-05</t>
        </is>
      </c>
      <c r="C31" s="6" t="inlineStr">
        <is>
          <t>R04</t>
        </is>
      </c>
      <c r="D31" s="6" t="n">
        <v>910.8200000000001</v>
      </c>
      <c r="E31" s="6" t="n">
        <v>0.41</v>
      </c>
    </row>
    <row r="32">
      <c r="A32" s="32" t="n">
        <v>46157</v>
      </c>
      <c r="B32" s="6" t="inlineStr">
        <is>
          <t>WBS-05</t>
        </is>
      </c>
      <c r="C32" s="6" t="inlineStr">
        <is>
          <t>R04</t>
        </is>
      </c>
      <c r="D32" s="6" t="n">
        <v>910.8</v>
      </c>
      <c r="E32" s="6" t="n">
        <v>0.41</v>
      </c>
    </row>
    <row r="33">
      <c r="A33" s="32" t="n">
        <v>46160</v>
      </c>
      <c r="B33" s="6" t="inlineStr">
        <is>
          <t>WBS-01</t>
        </is>
      </c>
      <c r="C33" s="6" t="inlineStr">
        <is>
          <t>R01</t>
        </is>
      </c>
      <c r="D33" s="6" t="n">
        <v>320</v>
      </c>
      <c r="E33" s="6" t="n">
        <v>0.21</v>
      </c>
    </row>
    <row r="34">
      <c r="A34" s="32" t="n">
        <v>46161</v>
      </c>
      <c r="B34" s="6" t="inlineStr">
        <is>
          <t>WBS-01</t>
        </is>
      </c>
      <c r="C34" s="6" t="inlineStr">
        <is>
          <t>R01</t>
        </is>
      </c>
      <c r="D34" s="6" t="n">
        <v>320</v>
      </c>
      <c r="E34" s="6" t="n">
        <v>0.21</v>
      </c>
    </row>
    <row r="35">
      <c r="A35" s="32" t="n">
        <v>46162</v>
      </c>
      <c r="B35" s="6" t="inlineStr">
        <is>
          <t>WBS-01</t>
        </is>
      </c>
      <c r="C35" s="6" t="inlineStr">
        <is>
          <t>R01</t>
        </is>
      </c>
      <c r="D35" s="6" t="n">
        <v>320</v>
      </c>
      <c r="E35" s="6" t="n">
        <v>0.21</v>
      </c>
    </row>
    <row r="36">
      <c r="A36" s="32" t="n">
        <v>46163</v>
      </c>
      <c r="B36" s="6" t="inlineStr">
        <is>
          <t>WBS-01</t>
        </is>
      </c>
      <c r="C36" s="6" t="inlineStr">
        <is>
          <t>R01</t>
        </is>
      </c>
      <c r="D36" s="6" t="n">
        <v>320</v>
      </c>
      <c r="E36" s="6" t="n">
        <v>0.21</v>
      </c>
    </row>
    <row r="37">
      <c r="A37" s="32" t="n">
        <v>46164</v>
      </c>
      <c r="B37" s="6" t="inlineStr">
        <is>
          <t>WBS-01</t>
        </is>
      </c>
      <c r="C37" s="6" t="inlineStr">
        <is>
          <t>R01</t>
        </is>
      </c>
      <c r="D37" s="6" t="n">
        <v>320</v>
      </c>
      <c r="E37" s="6" t="n">
        <v>0.21</v>
      </c>
    </row>
    <row r="38">
      <c r="A38" s="32" t="n">
        <v>46160</v>
      </c>
      <c r="B38" s="6" t="inlineStr">
        <is>
          <t>WBS-03</t>
        </is>
      </c>
      <c r="C38" s="6" t="inlineStr">
        <is>
          <t>R02</t>
        </is>
      </c>
      <c r="D38" s="6" t="n">
        <v>1240</v>
      </c>
      <c r="E38" s="6" t="n">
        <v>0.52</v>
      </c>
    </row>
    <row r="39">
      <c r="A39" s="32" t="n">
        <v>46161</v>
      </c>
      <c r="B39" s="6" t="inlineStr">
        <is>
          <t>WBS-03</t>
        </is>
      </c>
      <c r="C39" s="6" t="inlineStr">
        <is>
          <t>R02</t>
        </is>
      </c>
      <c r="D39" s="6" t="n">
        <v>1240</v>
      </c>
      <c r="E39" s="6" t="n">
        <v>0.52</v>
      </c>
    </row>
    <row r="40">
      <c r="A40" s="32" t="n">
        <v>46162</v>
      </c>
      <c r="B40" s="6" t="inlineStr">
        <is>
          <t>WBS-03</t>
        </is>
      </c>
      <c r="C40" s="6" t="inlineStr">
        <is>
          <t>R02</t>
        </is>
      </c>
      <c r="D40" s="6" t="n">
        <v>1240</v>
      </c>
      <c r="E40" s="6" t="n">
        <v>0.52</v>
      </c>
    </row>
    <row r="41">
      <c r="A41" s="32" t="n">
        <v>46163</v>
      </c>
      <c r="B41" s="6" t="inlineStr">
        <is>
          <t>WBS-03</t>
        </is>
      </c>
      <c r="C41" s="6" t="inlineStr">
        <is>
          <t>R02</t>
        </is>
      </c>
      <c r="D41" s="6" t="n">
        <v>1240</v>
      </c>
      <c r="E41" s="6" t="n">
        <v>0.52</v>
      </c>
    </row>
    <row r="42">
      <c r="A42" s="32" t="n">
        <v>46164</v>
      </c>
      <c r="B42" s="6" t="inlineStr">
        <is>
          <t>WBS-03</t>
        </is>
      </c>
      <c r="C42" s="6" t="inlineStr">
        <is>
          <t>R02</t>
        </is>
      </c>
      <c r="D42" s="6" t="n">
        <v>1240</v>
      </c>
      <c r="E42" s="6" t="n">
        <v>0.52</v>
      </c>
    </row>
    <row r="43">
      <c r="A43" s="32" t="n">
        <v>46162</v>
      </c>
      <c r="B43" s="6" t="inlineStr">
        <is>
          <t>WBS-04</t>
        </is>
      </c>
      <c r="C43" s="6" t="inlineStr">
        <is>
          <t>R07</t>
        </is>
      </c>
      <c r="D43" s="6" t="n">
        <v>10200</v>
      </c>
      <c r="E43" s="6" t="n">
        <v>0</v>
      </c>
    </row>
    <row r="44">
      <c r="A44" s="32" t="n">
        <v>46160</v>
      </c>
      <c r="B44" s="6" t="inlineStr">
        <is>
          <t>WBS-05</t>
        </is>
      </c>
      <c r="C44" s="6" t="inlineStr">
        <is>
          <t>R04</t>
        </is>
      </c>
      <c r="D44" s="6" t="n">
        <v>930.8200000000001</v>
      </c>
      <c r="E44" s="6" t="n">
        <v>0.42</v>
      </c>
    </row>
    <row r="45">
      <c r="A45" s="32" t="n">
        <v>46161</v>
      </c>
      <c r="B45" s="6" t="inlineStr">
        <is>
          <t>WBS-05</t>
        </is>
      </c>
      <c r="C45" s="6" t="inlineStr">
        <is>
          <t>R04</t>
        </is>
      </c>
      <c r="D45" s="6" t="n">
        <v>930.8200000000001</v>
      </c>
      <c r="E45" s="6" t="n">
        <v>0.42</v>
      </c>
    </row>
    <row r="46">
      <c r="A46" s="32" t="n">
        <v>46162</v>
      </c>
      <c r="B46" s="6" t="inlineStr">
        <is>
          <t>WBS-05</t>
        </is>
      </c>
      <c r="C46" s="6" t="inlineStr">
        <is>
          <t>R04</t>
        </is>
      </c>
      <c r="D46" s="6" t="n">
        <v>930.8200000000001</v>
      </c>
      <c r="E46" s="6" t="n">
        <v>0.42</v>
      </c>
    </row>
    <row r="47">
      <c r="A47" s="32" t="n">
        <v>46163</v>
      </c>
      <c r="B47" s="6" t="inlineStr">
        <is>
          <t>WBS-05</t>
        </is>
      </c>
      <c r="C47" s="6" t="inlineStr">
        <is>
          <t>R04</t>
        </is>
      </c>
      <c r="D47" s="6" t="n">
        <v>930.8200000000001</v>
      </c>
      <c r="E47" s="6" t="n">
        <v>0.42</v>
      </c>
    </row>
    <row r="48">
      <c r="A48" s="32" t="n">
        <v>46164</v>
      </c>
      <c r="B48" s="6" t="inlineStr">
        <is>
          <t>WBS-05</t>
        </is>
      </c>
      <c r="C48" s="6" t="inlineStr">
        <is>
          <t>R04</t>
        </is>
      </c>
      <c r="D48" s="6" t="n">
        <v>930.8</v>
      </c>
      <c r="E48" s="6" t="n">
        <v>0.42</v>
      </c>
    </row>
    <row r="49">
      <c r="A49" s="32" t="n">
        <v>46167</v>
      </c>
      <c r="B49" s="6" t="inlineStr">
        <is>
          <t>WBS-01</t>
        </is>
      </c>
      <c r="C49" s="6" t="inlineStr">
        <is>
          <t>R01</t>
        </is>
      </c>
      <c r="D49" s="6" t="n">
        <v>320</v>
      </c>
      <c r="E49" s="6" t="n">
        <v>0.21</v>
      </c>
    </row>
    <row r="50">
      <c r="A50" s="32" t="n">
        <v>46168</v>
      </c>
      <c r="B50" s="6" t="inlineStr">
        <is>
          <t>WBS-01</t>
        </is>
      </c>
      <c r="C50" s="6" t="inlineStr">
        <is>
          <t>R01</t>
        </is>
      </c>
      <c r="D50" s="6" t="n">
        <v>320</v>
      </c>
      <c r="E50" s="6" t="n">
        <v>0.21</v>
      </c>
    </row>
    <row r="51">
      <c r="A51" s="32" t="n">
        <v>46169</v>
      </c>
      <c r="B51" s="6" t="inlineStr">
        <is>
          <t>WBS-01</t>
        </is>
      </c>
      <c r="C51" s="6" t="inlineStr">
        <is>
          <t>R01</t>
        </is>
      </c>
      <c r="D51" s="6" t="n">
        <v>320</v>
      </c>
      <c r="E51" s="6" t="n">
        <v>0.21</v>
      </c>
    </row>
    <row r="52">
      <c r="A52" s="32" t="n">
        <v>46170</v>
      </c>
      <c r="B52" s="6" t="inlineStr">
        <is>
          <t>WBS-01</t>
        </is>
      </c>
      <c r="C52" s="6" t="inlineStr">
        <is>
          <t>R01</t>
        </is>
      </c>
      <c r="D52" s="6" t="n">
        <v>320</v>
      </c>
      <c r="E52" s="6" t="n">
        <v>0.21</v>
      </c>
    </row>
    <row r="53">
      <c r="A53" s="32" t="n">
        <v>46171</v>
      </c>
      <c r="B53" s="6" t="inlineStr">
        <is>
          <t>WBS-01</t>
        </is>
      </c>
      <c r="C53" s="6" t="inlineStr">
        <is>
          <t>R01</t>
        </is>
      </c>
      <c r="D53" s="6" t="n">
        <v>320</v>
      </c>
      <c r="E53" s="6" t="n">
        <v>0.21</v>
      </c>
    </row>
    <row r="54">
      <c r="A54" s="32" t="n">
        <v>46169</v>
      </c>
      <c r="B54" s="6" t="inlineStr">
        <is>
          <t>WBS-04</t>
        </is>
      </c>
      <c r="C54" s="6" t="inlineStr">
        <is>
          <t>R07</t>
        </is>
      </c>
      <c r="D54" s="6" t="n">
        <v>10200</v>
      </c>
      <c r="E54" s="6" t="n">
        <v>0</v>
      </c>
    </row>
    <row r="55">
      <c r="A55" s="32" t="n">
        <v>46167</v>
      </c>
      <c r="B55" s="6" t="inlineStr">
        <is>
          <t>WBS-05</t>
        </is>
      </c>
      <c r="C55" s="6" t="inlineStr">
        <is>
          <t>R04</t>
        </is>
      </c>
      <c r="D55" s="6" t="n">
        <v>840</v>
      </c>
      <c r="E55" s="6" t="n">
        <v>0.38</v>
      </c>
    </row>
    <row r="56">
      <c r="A56" s="32" t="n">
        <v>46168</v>
      </c>
      <c r="B56" s="6" t="inlineStr">
        <is>
          <t>WBS-05</t>
        </is>
      </c>
      <c r="C56" s="6" t="inlineStr">
        <is>
          <t>R04</t>
        </is>
      </c>
      <c r="D56" s="6" t="n">
        <v>840</v>
      </c>
      <c r="E56" s="6" t="n">
        <v>0.38</v>
      </c>
    </row>
    <row r="57">
      <c r="A57" s="32" t="n">
        <v>46169</v>
      </c>
      <c r="B57" s="6" t="inlineStr">
        <is>
          <t>WBS-05</t>
        </is>
      </c>
      <c r="C57" s="6" t="inlineStr">
        <is>
          <t>R04</t>
        </is>
      </c>
      <c r="D57" s="6" t="n">
        <v>840</v>
      </c>
      <c r="E57" s="6" t="n">
        <v>0.38</v>
      </c>
    </row>
    <row r="58">
      <c r="A58" s="32" t="n">
        <v>46170</v>
      </c>
      <c r="B58" s="6" t="inlineStr">
        <is>
          <t>WBS-05</t>
        </is>
      </c>
      <c r="C58" s="6" t="inlineStr">
        <is>
          <t>R04</t>
        </is>
      </c>
      <c r="D58" s="6" t="n">
        <v>840</v>
      </c>
      <c r="E58" s="6" t="n">
        <v>0.38</v>
      </c>
    </row>
    <row r="59">
      <c r="A59" s="32" t="n">
        <v>46171</v>
      </c>
      <c r="B59" s="6" t="inlineStr">
        <is>
          <t>WBS-05</t>
        </is>
      </c>
      <c r="C59" s="6" t="inlineStr">
        <is>
          <t>R04</t>
        </is>
      </c>
      <c r="D59" s="6" t="n">
        <v>840</v>
      </c>
      <c r="E59" s="6" t="n">
        <v>0.38</v>
      </c>
    </row>
    <row r="60">
      <c r="A60" s="32" t="n">
        <v>46167</v>
      </c>
      <c r="B60" s="6" t="inlineStr">
        <is>
          <t>WBS-06</t>
        </is>
      </c>
      <c r="C60" s="6" t="inlineStr">
        <is>
          <t>R03</t>
        </is>
      </c>
      <c r="D60" s="6" t="n">
        <v>1781.25</v>
      </c>
      <c r="E60" s="6" t="n">
        <v>0.6899999999999999</v>
      </c>
    </row>
    <row r="61">
      <c r="A61" s="32" t="n">
        <v>46168</v>
      </c>
      <c r="B61" s="6" t="inlineStr">
        <is>
          <t>WBS-06</t>
        </is>
      </c>
      <c r="C61" s="6" t="inlineStr">
        <is>
          <t>R03</t>
        </is>
      </c>
      <c r="D61" s="6" t="n">
        <v>1781.25</v>
      </c>
      <c r="E61" s="6" t="n">
        <v>0.6899999999999999</v>
      </c>
    </row>
    <row r="62">
      <c r="A62" s="32" t="n">
        <v>46169</v>
      </c>
      <c r="B62" s="6" t="inlineStr">
        <is>
          <t>WBS-06</t>
        </is>
      </c>
      <c r="C62" s="6" t="inlineStr">
        <is>
          <t>R03</t>
        </is>
      </c>
      <c r="D62" s="6" t="n">
        <v>1781.25</v>
      </c>
      <c r="E62" s="6" t="n">
        <v>0.6899999999999999</v>
      </c>
    </row>
    <row r="63">
      <c r="A63" s="32" t="n">
        <v>46170</v>
      </c>
      <c r="B63" s="6" t="inlineStr">
        <is>
          <t>WBS-06</t>
        </is>
      </c>
      <c r="C63" s="6" t="inlineStr">
        <is>
          <t>R03</t>
        </is>
      </c>
      <c r="D63" s="6" t="n">
        <v>1781.25</v>
      </c>
      <c r="E63" s="6" t="n">
        <v>0.6899999999999999</v>
      </c>
    </row>
    <row r="64">
      <c r="A64" s="32" t="n">
        <v>46171</v>
      </c>
      <c r="B64" s="6" t="inlineStr">
        <is>
          <t>WBS-06</t>
        </is>
      </c>
      <c r="C64" s="6" t="inlineStr">
        <is>
          <t>R03</t>
        </is>
      </c>
      <c r="D64" s="6" t="n">
        <v>1781.24</v>
      </c>
      <c r="E64" s="6" t="n">
        <v>0.6899999999999999</v>
      </c>
    </row>
    <row r="65">
      <c r="A65" s="32" t="n">
        <v>46174</v>
      </c>
      <c r="B65" s="6" t="inlineStr">
        <is>
          <t>WBS-01</t>
        </is>
      </c>
      <c r="C65" s="6" t="inlineStr">
        <is>
          <t>R01</t>
        </is>
      </c>
      <c r="D65" s="6" t="n">
        <v>320</v>
      </c>
      <c r="E65" s="6" t="n">
        <v>0.21</v>
      </c>
    </row>
    <row r="66">
      <c r="A66" s="32" t="n">
        <v>46175</v>
      </c>
      <c r="B66" s="6" t="inlineStr">
        <is>
          <t>WBS-01</t>
        </is>
      </c>
      <c r="C66" s="6" t="inlineStr">
        <is>
          <t>R01</t>
        </is>
      </c>
      <c r="D66" s="6" t="n">
        <v>320</v>
      </c>
      <c r="E66" s="6" t="n">
        <v>0.21</v>
      </c>
    </row>
    <row r="67">
      <c r="A67" s="32" t="n">
        <v>46176</v>
      </c>
      <c r="B67" s="6" t="inlineStr">
        <is>
          <t>WBS-01</t>
        </is>
      </c>
      <c r="C67" s="6" t="inlineStr">
        <is>
          <t>R01</t>
        </is>
      </c>
      <c r="D67" s="6" t="n">
        <v>320</v>
      </c>
      <c r="E67" s="6" t="n">
        <v>0.21</v>
      </c>
    </row>
    <row r="68">
      <c r="A68" s="32" t="n">
        <v>46177</v>
      </c>
      <c r="B68" s="6" t="inlineStr">
        <is>
          <t>WBS-01</t>
        </is>
      </c>
      <c r="C68" s="6" t="inlineStr">
        <is>
          <t>R01</t>
        </is>
      </c>
      <c r="D68" s="6" t="n">
        <v>320</v>
      </c>
      <c r="E68" s="6" t="n">
        <v>0.21</v>
      </c>
    </row>
    <row r="69">
      <c r="A69" s="32" t="n">
        <v>46178</v>
      </c>
      <c r="B69" s="6" t="inlineStr">
        <is>
          <t>WBS-01</t>
        </is>
      </c>
      <c r="C69" s="6" t="inlineStr">
        <is>
          <t>R01</t>
        </is>
      </c>
      <c r="D69" s="6" t="n">
        <v>320</v>
      </c>
      <c r="E69" s="6" t="n">
        <v>0.21</v>
      </c>
    </row>
    <row r="70">
      <c r="A70" s="32" t="n">
        <v>46176</v>
      </c>
      <c r="B70" s="6" t="inlineStr">
        <is>
          <t>WBS-04</t>
        </is>
      </c>
      <c r="C70" s="6" t="inlineStr">
        <is>
          <t>R07</t>
        </is>
      </c>
      <c r="D70" s="6" t="n">
        <v>10400</v>
      </c>
      <c r="E70" s="6" t="n">
        <v>0</v>
      </c>
    </row>
    <row r="71">
      <c r="A71" s="32" t="n">
        <v>46174</v>
      </c>
      <c r="B71" s="6" t="inlineStr">
        <is>
          <t>WBS-06</t>
        </is>
      </c>
      <c r="C71" s="6" t="inlineStr">
        <is>
          <t>R03</t>
        </is>
      </c>
      <c r="D71" s="6" t="n">
        <v>1760</v>
      </c>
      <c r="E71" s="6" t="n">
        <v>0.68</v>
      </c>
    </row>
    <row r="72">
      <c r="A72" s="32" t="n">
        <v>46175</v>
      </c>
      <c r="B72" s="6" t="inlineStr">
        <is>
          <t>WBS-06</t>
        </is>
      </c>
      <c r="C72" s="6" t="inlineStr">
        <is>
          <t>R03</t>
        </is>
      </c>
      <c r="D72" s="6" t="n">
        <v>1760</v>
      </c>
      <c r="E72" s="6" t="n">
        <v>0.68</v>
      </c>
    </row>
    <row r="73">
      <c r="A73" s="32" t="n">
        <v>46176</v>
      </c>
      <c r="B73" s="6" t="inlineStr">
        <is>
          <t>WBS-06</t>
        </is>
      </c>
      <c r="C73" s="6" t="inlineStr">
        <is>
          <t>R03</t>
        </is>
      </c>
      <c r="D73" s="6" t="n">
        <v>1760</v>
      </c>
      <c r="E73" s="6" t="n">
        <v>0.68</v>
      </c>
    </row>
    <row r="74">
      <c r="A74" s="32" t="n">
        <v>46177</v>
      </c>
      <c r="B74" s="6" t="inlineStr">
        <is>
          <t>WBS-06</t>
        </is>
      </c>
      <c r="C74" s="6" t="inlineStr">
        <is>
          <t>R03</t>
        </is>
      </c>
      <c r="D74" s="6" t="n">
        <v>1760</v>
      </c>
      <c r="E74" s="6" t="n">
        <v>0.68</v>
      </c>
    </row>
    <row r="75">
      <c r="A75" s="32" t="n">
        <v>46178</v>
      </c>
      <c r="B75" s="6" t="inlineStr">
        <is>
          <t>WBS-06</t>
        </is>
      </c>
      <c r="C75" s="6" t="inlineStr">
        <is>
          <t>R03</t>
        </is>
      </c>
      <c r="D75" s="6" t="n">
        <v>1760</v>
      </c>
      <c r="E75" s="6" t="n">
        <v>0.68</v>
      </c>
    </row>
    <row r="76">
      <c r="A76" s="32" t="n">
        <v>46174</v>
      </c>
      <c r="B76" s="6" t="inlineStr">
        <is>
          <t>WBS-07</t>
        </is>
      </c>
      <c r="C76" s="6" t="inlineStr">
        <is>
          <t>R08</t>
        </is>
      </c>
      <c r="D76" s="6" t="n">
        <v>1735.36</v>
      </c>
      <c r="E76" s="6" t="n">
        <v>0</v>
      </c>
    </row>
    <row r="77">
      <c r="A77" s="32" t="n">
        <v>46175</v>
      </c>
      <c r="B77" s="6" t="inlineStr">
        <is>
          <t>WBS-07</t>
        </is>
      </c>
      <c r="C77" s="6" t="inlineStr">
        <is>
          <t>R08</t>
        </is>
      </c>
      <c r="D77" s="6" t="n">
        <v>1735.36</v>
      </c>
      <c r="E77" s="6" t="n">
        <v>0</v>
      </c>
    </row>
    <row r="78">
      <c r="A78" s="32" t="n">
        <v>46176</v>
      </c>
      <c r="B78" s="6" t="inlineStr">
        <is>
          <t>WBS-07</t>
        </is>
      </c>
      <c r="C78" s="6" t="inlineStr">
        <is>
          <t>R08</t>
        </is>
      </c>
      <c r="D78" s="6" t="n">
        <v>1735.36</v>
      </c>
      <c r="E78" s="6" t="n">
        <v>0</v>
      </c>
    </row>
    <row r="79">
      <c r="A79" s="32" t="n">
        <v>46177</v>
      </c>
      <c r="B79" s="6" t="inlineStr">
        <is>
          <t>WBS-07</t>
        </is>
      </c>
      <c r="C79" s="6" t="inlineStr">
        <is>
          <t>R08</t>
        </is>
      </c>
      <c r="D79" s="6" t="n">
        <v>1735.36</v>
      </c>
      <c r="E79" s="6" t="n">
        <v>0</v>
      </c>
    </row>
    <row r="80">
      <c r="A80" s="32" t="n">
        <v>46178</v>
      </c>
      <c r="B80" s="6" t="inlineStr">
        <is>
          <t>WBS-07</t>
        </is>
      </c>
      <c r="C80" s="6" t="inlineStr">
        <is>
          <t>R08</t>
        </is>
      </c>
      <c r="D80" s="6" t="n">
        <v>1735.36</v>
      </c>
      <c r="E80" s="6" t="n">
        <v>0</v>
      </c>
    </row>
    <row r="81">
      <c r="A81" s="32" t="n">
        <v>46181</v>
      </c>
      <c r="B81" s="6" t="inlineStr">
        <is>
          <t>WBS-01</t>
        </is>
      </c>
      <c r="C81" s="6" t="inlineStr">
        <is>
          <t>R01</t>
        </is>
      </c>
      <c r="D81" s="6" t="n">
        <v>320</v>
      </c>
      <c r="E81" s="6" t="n">
        <v>0.21</v>
      </c>
    </row>
    <row r="82">
      <c r="A82" s="32" t="n">
        <v>46182</v>
      </c>
      <c r="B82" s="6" t="inlineStr">
        <is>
          <t>WBS-01</t>
        </is>
      </c>
      <c r="C82" s="6" t="inlineStr">
        <is>
          <t>R01</t>
        </is>
      </c>
      <c r="D82" s="6" t="n">
        <v>320</v>
      </c>
      <c r="E82" s="6" t="n">
        <v>0.21</v>
      </c>
    </row>
    <row r="83">
      <c r="A83" s="32" t="n">
        <v>46183</v>
      </c>
      <c r="B83" s="6" t="inlineStr">
        <is>
          <t>WBS-01</t>
        </is>
      </c>
      <c r="C83" s="6" t="inlineStr">
        <is>
          <t>R01</t>
        </is>
      </c>
      <c r="D83" s="6" t="n">
        <v>320</v>
      </c>
      <c r="E83" s="6" t="n">
        <v>0.21</v>
      </c>
    </row>
    <row r="84">
      <c r="A84" s="32" t="n">
        <v>46184</v>
      </c>
      <c r="B84" s="6" t="inlineStr">
        <is>
          <t>WBS-01</t>
        </is>
      </c>
      <c r="C84" s="6" t="inlineStr">
        <is>
          <t>R01</t>
        </is>
      </c>
      <c r="D84" s="6" t="n">
        <v>320</v>
      </c>
      <c r="E84" s="6" t="n">
        <v>0.21</v>
      </c>
    </row>
    <row r="85">
      <c r="A85" s="32" t="n">
        <v>46185</v>
      </c>
      <c r="B85" s="6" t="inlineStr">
        <is>
          <t>WBS-01</t>
        </is>
      </c>
      <c r="C85" s="6" t="inlineStr">
        <is>
          <t>R01</t>
        </is>
      </c>
      <c r="D85" s="6" t="n">
        <v>320</v>
      </c>
      <c r="E85" s="6" t="n">
        <v>0.21</v>
      </c>
    </row>
    <row r="86">
      <c r="A86" s="32" t="n">
        <v>46181</v>
      </c>
      <c r="B86" s="6" t="inlineStr">
        <is>
          <t>WBS-06</t>
        </is>
      </c>
      <c r="C86" s="6" t="inlineStr">
        <is>
          <t>R03</t>
        </is>
      </c>
      <c r="D86" s="6" t="n">
        <v>1700</v>
      </c>
      <c r="E86" s="6" t="n">
        <v>0.65</v>
      </c>
    </row>
    <row r="87">
      <c r="A87" s="32" t="n">
        <v>46182</v>
      </c>
      <c r="B87" s="6" t="inlineStr">
        <is>
          <t>WBS-06</t>
        </is>
      </c>
      <c r="C87" s="6" t="inlineStr">
        <is>
          <t>R03</t>
        </is>
      </c>
      <c r="D87" s="6" t="n">
        <v>1700</v>
      </c>
      <c r="E87" s="6" t="n">
        <v>0.65</v>
      </c>
    </row>
    <row r="88">
      <c r="A88" s="32" t="n">
        <v>46183</v>
      </c>
      <c r="B88" s="6" t="inlineStr">
        <is>
          <t>WBS-06</t>
        </is>
      </c>
      <c r="C88" s="6" t="inlineStr">
        <is>
          <t>R03</t>
        </is>
      </c>
      <c r="D88" s="6" t="n">
        <v>1700</v>
      </c>
      <c r="E88" s="6" t="n">
        <v>0.65</v>
      </c>
    </row>
    <row r="89">
      <c r="A89" s="32" t="n">
        <v>46184</v>
      </c>
      <c r="B89" s="6" t="inlineStr">
        <is>
          <t>WBS-06</t>
        </is>
      </c>
      <c r="C89" s="6" t="inlineStr">
        <is>
          <t>R03</t>
        </is>
      </c>
      <c r="D89" s="6" t="n">
        <v>1700</v>
      </c>
      <c r="E89" s="6" t="n">
        <v>0.65</v>
      </c>
    </row>
    <row r="90">
      <c r="A90" s="32" t="n">
        <v>46185</v>
      </c>
      <c r="B90" s="6" t="inlineStr">
        <is>
          <t>WBS-06</t>
        </is>
      </c>
      <c r="C90" s="6" t="inlineStr">
        <is>
          <t>R03</t>
        </is>
      </c>
      <c r="D90" s="6" t="n">
        <v>1700</v>
      </c>
      <c r="E90" s="6" t="n">
        <v>0.65</v>
      </c>
    </row>
    <row r="91">
      <c r="A91" s="32" t="n">
        <v>46181</v>
      </c>
      <c r="B91" s="6" t="inlineStr">
        <is>
          <t>WBS-07</t>
        </is>
      </c>
      <c r="C91" s="6" t="inlineStr">
        <is>
          <t>R08</t>
        </is>
      </c>
      <c r="D91" s="6" t="n">
        <v>1760</v>
      </c>
      <c r="E91" s="6" t="n">
        <v>0</v>
      </c>
    </row>
    <row r="92">
      <c r="A92" s="32" t="n">
        <v>46182</v>
      </c>
      <c r="B92" s="6" t="inlineStr">
        <is>
          <t>WBS-07</t>
        </is>
      </c>
      <c r="C92" s="6" t="inlineStr">
        <is>
          <t>R08</t>
        </is>
      </c>
      <c r="D92" s="6" t="n">
        <v>1760</v>
      </c>
      <c r="E92" s="6" t="n">
        <v>0</v>
      </c>
    </row>
    <row r="93">
      <c r="A93" s="32" t="n">
        <v>46183</v>
      </c>
      <c r="B93" s="6" t="inlineStr">
        <is>
          <t>WBS-07</t>
        </is>
      </c>
      <c r="C93" s="6" t="inlineStr">
        <is>
          <t>R08</t>
        </is>
      </c>
      <c r="D93" s="6" t="n">
        <v>1760</v>
      </c>
      <c r="E93" s="6" t="n">
        <v>0</v>
      </c>
    </row>
    <row r="94">
      <c r="A94" s="32" t="n">
        <v>46184</v>
      </c>
      <c r="B94" s="6" t="inlineStr">
        <is>
          <t>WBS-07</t>
        </is>
      </c>
      <c r="C94" s="6" t="inlineStr">
        <is>
          <t>R08</t>
        </is>
      </c>
      <c r="D94" s="6" t="n">
        <v>1760</v>
      </c>
      <c r="E94" s="6" t="n">
        <v>0</v>
      </c>
    </row>
    <row r="95">
      <c r="A95" s="32" t="n">
        <v>46185</v>
      </c>
      <c r="B95" s="6" t="inlineStr">
        <is>
          <t>WBS-07</t>
        </is>
      </c>
      <c r="C95" s="6" t="inlineStr">
        <is>
          <t>R08</t>
        </is>
      </c>
      <c r="D95" s="6" t="n">
        <v>1760</v>
      </c>
      <c r="E95" s="6" t="n">
        <v>0</v>
      </c>
    </row>
    <row r="96">
      <c r="A96" s="32" t="n">
        <v>46181</v>
      </c>
      <c r="B96" s="6" t="inlineStr">
        <is>
          <t>WBS-08</t>
        </is>
      </c>
      <c r="C96" s="6" t="inlineStr">
        <is>
          <t>R09</t>
        </is>
      </c>
      <c r="D96" s="6" t="n">
        <v>1419.84</v>
      </c>
      <c r="E96" s="6" t="n">
        <v>0</v>
      </c>
    </row>
    <row r="97">
      <c r="A97" s="32" t="n">
        <v>46182</v>
      </c>
      <c r="B97" s="6" t="inlineStr">
        <is>
          <t>WBS-08</t>
        </is>
      </c>
      <c r="C97" s="6" t="inlineStr">
        <is>
          <t>R09</t>
        </is>
      </c>
      <c r="D97" s="6" t="n">
        <v>1419.84</v>
      </c>
      <c r="E97" s="6" t="n">
        <v>0</v>
      </c>
    </row>
    <row r="98">
      <c r="A98" s="32" t="n">
        <v>46183</v>
      </c>
      <c r="B98" s="6" t="inlineStr">
        <is>
          <t>WBS-08</t>
        </is>
      </c>
      <c r="C98" s="6" t="inlineStr">
        <is>
          <t>R09</t>
        </is>
      </c>
      <c r="D98" s="6" t="n">
        <v>1419.84</v>
      </c>
      <c r="E98" s="6" t="n">
        <v>0</v>
      </c>
    </row>
    <row r="99">
      <c r="A99" s="32" t="n">
        <v>46184</v>
      </c>
      <c r="B99" s="6" t="inlineStr">
        <is>
          <t>WBS-08</t>
        </is>
      </c>
      <c r="C99" s="6" t="inlineStr">
        <is>
          <t>R09</t>
        </is>
      </c>
      <c r="D99" s="6" t="n">
        <v>1419.84</v>
      </c>
      <c r="E99" s="6" t="n">
        <v>0</v>
      </c>
    </row>
    <row r="100">
      <c r="A100" s="32" t="n">
        <v>46185</v>
      </c>
      <c r="B100" s="6" t="inlineStr">
        <is>
          <t>WBS-08</t>
        </is>
      </c>
      <c r="C100" s="6" t="inlineStr">
        <is>
          <t>R09</t>
        </is>
      </c>
      <c r="D100" s="6" t="n">
        <v>1419.84</v>
      </c>
      <c r="E100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</cols>
  <sheetData>
    <row r="1">
      <c r="A1" s="31" t="inlineStr">
        <is>
          <t>Date</t>
        </is>
      </c>
      <c r="B1" s="31" t="inlineStr">
        <is>
          <t>WBS_ID</t>
        </is>
      </c>
      <c r="C1" s="31" t="inlineStr">
        <is>
          <t>Physical_Progress_Pct</t>
        </is>
      </c>
    </row>
    <row r="2">
      <c r="A2" s="32" t="n">
        <v>46150</v>
      </c>
      <c r="B2" s="6" t="inlineStr">
        <is>
          <t>WBS-01</t>
        </is>
      </c>
      <c r="C2" s="6" t="n">
        <v>0.083333</v>
      </c>
    </row>
    <row r="3">
      <c r="A3" s="32" t="n">
        <v>46150</v>
      </c>
      <c r="B3" s="6" t="inlineStr">
        <is>
          <t>WBS-02</t>
        </is>
      </c>
      <c r="C3" s="6" t="n">
        <v>1</v>
      </c>
    </row>
    <row r="4">
      <c r="A4" s="32" t="n">
        <v>46150</v>
      </c>
      <c r="B4" s="6" t="inlineStr">
        <is>
          <t>WBS-03</t>
        </is>
      </c>
      <c r="C4" s="6" t="n">
        <v>0.265</v>
      </c>
    </row>
    <row r="5">
      <c r="A5" s="32" t="n">
        <v>46157</v>
      </c>
      <c r="B5" s="6" t="inlineStr">
        <is>
          <t>WBS-01</t>
        </is>
      </c>
      <c r="C5" s="6" t="n">
        <v>0.166667</v>
      </c>
    </row>
    <row r="6">
      <c r="A6" s="32" t="n">
        <v>46157</v>
      </c>
      <c r="B6" s="6" t="inlineStr">
        <is>
          <t>WBS-02</t>
        </is>
      </c>
      <c r="C6" s="6" t="n">
        <v>1</v>
      </c>
    </row>
    <row r="7">
      <c r="A7" s="32" t="n">
        <v>46157</v>
      </c>
      <c r="B7" s="6" t="inlineStr">
        <is>
          <t>WBS-03</t>
        </is>
      </c>
      <c r="C7" s="6" t="n">
        <v>0.6</v>
      </c>
    </row>
    <row r="8">
      <c r="A8" s="32" t="n">
        <v>46157</v>
      </c>
      <c r="B8" s="6" t="inlineStr">
        <is>
          <t>WBS-04</t>
        </is>
      </c>
      <c r="C8" s="6" t="n">
        <v>0.2</v>
      </c>
    </row>
    <row r="9">
      <c r="A9" s="32" t="n">
        <v>46157</v>
      </c>
      <c r="B9" s="6" t="inlineStr">
        <is>
          <t>WBS-05</t>
        </is>
      </c>
      <c r="C9" s="6" t="n">
        <v>0.351818</v>
      </c>
    </row>
    <row r="10">
      <c r="A10" s="32" t="n">
        <v>46164</v>
      </c>
      <c r="B10" s="6" t="inlineStr">
        <is>
          <t>WBS-01</t>
        </is>
      </c>
      <c r="C10" s="6" t="n">
        <v>0.25</v>
      </c>
    </row>
    <row r="11">
      <c r="A11" s="32" t="n">
        <v>46164</v>
      </c>
      <c r="B11" s="6" t="inlineStr">
        <is>
          <t>WBS-02</t>
        </is>
      </c>
      <c r="C11" s="6" t="n">
        <v>1</v>
      </c>
    </row>
    <row r="12">
      <c r="A12" s="32" t="n">
        <v>46164</v>
      </c>
      <c r="B12" s="6" t="inlineStr">
        <is>
          <t>WBS-03</t>
        </is>
      </c>
      <c r="C12" s="6" t="n">
        <v>1</v>
      </c>
    </row>
    <row r="13">
      <c r="A13" s="32" t="n">
        <v>46164</v>
      </c>
      <c r="B13" s="6" t="inlineStr">
        <is>
          <t>WBS-04</t>
        </is>
      </c>
      <c r="C13" s="6" t="n">
        <v>0.45</v>
      </c>
    </row>
    <row r="14">
      <c r="A14" s="32" t="n">
        <v>46164</v>
      </c>
      <c r="B14" s="6" t="inlineStr">
        <is>
          <t>WBS-05</t>
        </is>
      </c>
      <c r="C14" s="6" t="n">
        <v>0.45</v>
      </c>
    </row>
    <row r="15">
      <c r="A15" s="32" t="n">
        <v>46171</v>
      </c>
      <c r="B15" s="6" t="inlineStr">
        <is>
          <t>WBS-01</t>
        </is>
      </c>
      <c r="C15" s="6" t="n">
        <v>0.333333</v>
      </c>
    </row>
    <row r="16">
      <c r="A16" s="32" t="n">
        <v>46171</v>
      </c>
      <c r="B16" s="6" t="inlineStr">
        <is>
          <t>WBS-02</t>
        </is>
      </c>
      <c r="C16" s="6" t="n">
        <v>1</v>
      </c>
    </row>
    <row r="17">
      <c r="A17" s="32" t="n">
        <v>46171</v>
      </c>
      <c r="B17" s="6" t="inlineStr">
        <is>
          <t>WBS-03</t>
        </is>
      </c>
      <c r="C17" s="6" t="n">
        <v>1</v>
      </c>
    </row>
    <row r="18">
      <c r="A18" s="32" t="n">
        <v>46171</v>
      </c>
      <c r="B18" s="6" t="inlineStr">
        <is>
          <t>WBS-04</t>
        </is>
      </c>
      <c r="C18" s="6" t="n">
        <v>0.7</v>
      </c>
    </row>
    <row r="19">
      <c r="A19" s="32" t="n">
        <v>46171</v>
      </c>
      <c r="B19" s="6" t="inlineStr">
        <is>
          <t>WBS-05</t>
        </is>
      </c>
      <c r="C19" s="6" t="n">
        <v>0.85</v>
      </c>
    </row>
    <row r="20">
      <c r="A20" s="32" t="n">
        <v>46171</v>
      </c>
      <c r="B20" s="6" t="inlineStr">
        <is>
          <t>WBS-06</t>
        </is>
      </c>
      <c r="C20" s="6" t="n">
        <v>0.222359</v>
      </c>
    </row>
    <row r="21">
      <c r="A21" s="32" t="n">
        <v>46178</v>
      </c>
      <c r="B21" s="6" t="inlineStr">
        <is>
          <t>WBS-01</t>
        </is>
      </c>
      <c r="C21" s="6" t="n">
        <v>0.416667</v>
      </c>
    </row>
    <row r="22">
      <c r="A22" s="32" t="n">
        <v>46178</v>
      </c>
      <c r="B22" s="6" t="inlineStr">
        <is>
          <t>WBS-02</t>
        </is>
      </c>
      <c r="C22" s="6" t="n">
        <v>1</v>
      </c>
    </row>
    <row r="23">
      <c r="A23" s="32" t="n">
        <v>46178</v>
      </c>
      <c r="B23" s="6" t="inlineStr">
        <is>
          <t>WBS-03</t>
        </is>
      </c>
      <c r="C23" s="6" t="n">
        <v>1</v>
      </c>
    </row>
    <row r="24">
      <c r="A24" s="32" t="n">
        <v>46178</v>
      </c>
      <c r="B24" s="6" t="inlineStr">
        <is>
          <t>WBS-04</t>
        </is>
      </c>
      <c r="C24" s="6" t="n">
        <v>1</v>
      </c>
    </row>
    <row r="25">
      <c r="A25" s="32" t="n">
        <v>46178</v>
      </c>
      <c r="B25" s="6" t="inlineStr">
        <is>
          <t>WBS-05</t>
        </is>
      </c>
      <c r="C25" s="6" t="n">
        <v>1</v>
      </c>
    </row>
    <row r="26">
      <c r="A26" s="32" t="n">
        <v>46178</v>
      </c>
      <c r="B26" s="6" t="inlineStr">
        <is>
          <t>WBS-06</t>
        </is>
      </c>
      <c r="C26" s="6" t="n">
        <v>0.5</v>
      </c>
    </row>
    <row r="27">
      <c r="A27" s="32" t="n">
        <v>46178</v>
      </c>
      <c r="B27" s="6" t="inlineStr">
        <is>
          <t>WBS-07</t>
        </is>
      </c>
      <c r="C27" s="6" t="n">
        <v>0.110963</v>
      </c>
    </row>
    <row r="28">
      <c r="A28" s="32" t="n">
        <v>46185</v>
      </c>
      <c r="B28" s="6" t="inlineStr">
        <is>
          <t>WBS-01</t>
        </is>
      </c>
      <c r="C28" s="6" t="n">
        <v>0.5</v>
      </c>
    </row>
    <row r="29">
      <c r="A29" s="32" t="n">
        <v>46185</v>
      </c>
      <c r="B29" s="6" t="inlineStr">
        <is>
          <t>WBS-02</t>
        </is>
      </c>
      <c r="C29" s="6" t="n">
        <v>1</v>
      </c>
    </row>
    <row r="30">
      <c r="A30" s="32" t="n">
        <v>46185</v>
      </c>
      <c r="B30" s="6" t="inlineStr">
        <is>
          <t>WBS-03</t>
        </is>
      </c>
      <c r="C30" s="6" t="n">
        <v>1</v>
      </c>
    </row>
    <row r="31">
      <c r="A31" s="32" t="n">
        <v>46185</v>
      </c>
      <c r="B31" s="6" t="inlineStr">
        <is>
          <t>WBS-04</t>
        </is>
      </c>
      <c r="C31" s="6" t="n">
        <v>1</v>
      </c>
    </row>
    <row r="32">
      <c r="A32" s="32" t="n">
        <v>46185</v>
      </c>
      <c r="B32" s="6" t="inlineStr">
        <is>
          <t>WBS-05</t>
        </is>
      </c>
      <c r="C32" s="6" t="n">
        <v>1</v>
      </c>
    </row>
    <row r="33">
      <c r="A33" s="32" t="n">
        <v>46185</v>
      </c>
      <c r="B33" s="6" t="inlineStr">
        <is>
          <t>WBS-06</t>
        </is>
      </c>
      <c r="C33" s="6" t="n">
        <v>0.7</v>
      </c>
    </row>
    <row r="34">
      <c r="A34" s="32" t="n">
        <v>46185</v>
      </c>
      <c r="B34" s="6" t="inlineStr">
        <is>
          <t>WBS-07</t>
        </is>
      </c>
      <c r="C34" s="6" t="n">
        <v>0.4</v>
      </c>
    </row>
    <row r="35">
      <c r="A35" s="32" t="n">
        <v>46185</v>
      </c>
      <c r="B35" s="6" t="inlineStr">
        <is>
          <t>WBS-08</t>
        </is>
      </c>
      <c r="C35" s="6" t="n">
        <v>0.248857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2026-08-04T11:57:05Z</dcterms:created>
  <dcterms:modified xmlns:dcterms="http://purl.org/dc/terms/" xmlns:xsi="http://www.w3.org/2001/XMLSchema-instance" xsi:type="dcterms:W3CDTF">2026-08-04T11:57:05Z</dcterms:modified>
</cp:coreProperties>
</file>