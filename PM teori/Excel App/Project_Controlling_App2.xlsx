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rank\Desktop\Project Mng\PM teori\Excel App\"/>
    </mc:Choice>
  </mc:AlternateContent>
  <xr:revisionPtr revIDLastSave="0" documentId="8_{79585DD1-DFF2-4518-94D5-2E7F0F21119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over" sheetId="10" r:id="rId1"/>
    <sheet name="Glossary" sheetId="15" r:id="rId2"/>
    <sheet name="Review" sheetId="20" r:id="rId3"/>
    <sheet name="PID" sheetId="17" r:id="rId4"/>
    <sheet name="Method Roadmap" sheetId="16" r:id="rId5"/>
    <sheet name="PM-EVM Compliance" sheetId="14" r:id="rId6"/>
    <sheet name="Setup" sheetId="11" r:id="rId7"/>
    <sheet name="Task Plan" sheetId="12" r:id="rId8"/>
    <sheet name="Task Capture" sheetId="18" r:id="rId9"/>
    <sheet name="EVM Dashboard" sheetId="1" r:id="rId10"/>
    <sheet name="Resource Grid" sheetId="19" r:id="rId11"/>
    <sheet name="Dim_Project" sheetId="2" r:id="rId12"/>
    <sheet name="Dim_WBS" sheetId="3" r:id="rId13"/>
    <sheet name="Dim_Resource" sheetId="4" r:id="rId14"/>
    <sheet name="Dim_Calendar" sheetId="5" r:id="rId15"/>
    <sheet name="Fact_Baseline_PV" sheetId="6" r:id="rId16"/>
    <sheet name="Fact_Actual_Costs" sheetId="7" r:id="rId17"/>
    <sheet name="Fact_Physical_Progress" sheetId="8" r:id="rId18"/>
    <sheet name="EVM" sheetId="13" r:id="rId19"/>
    <sheet name="EVM Charts" sheetId="9" r:id="rId20"/>
    <sheet name="Simple Gantt Model" sheetId="21" r:id="rId21"/>
    <sheet name="PERT Diagram" sheetId="22" r:id="rId2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7" l="1"/>
  <c r="F75" i="17" s="1"/>
  <c r="C75" i="17"/>
  <c r="F76" i="17"/>
  <c r="F77" i="17"/>
  <c r="F78" i="17"/>
  <c r="F79" i="17"/>
  <c r="B32" i="19"/>
  <c r="C32" i="19"/>
  <c r="C34" i="19" s="1"/>
  <c r="D32" i="19"/>
  <c r="D34" i="19" s="1"/>
  <c r="B33" i="19"/>
  <c r="C33" i="19"/>
  <c r="D33" i="19"/>
  <c r="A5" i="19"/>
  <c r="F5" i="19" s="1"/>
  <c r="B5" i="19"/>
  <c r="C5" i="19"/>
  <c r="M5" i="19"/>
  <c r="O5" i="19"/>
  <c r="P5" i="19"/>
  <c r="R5" i="19"/>
  <c r="A6" i="19"/>
  <c r="I6" i="19" s="1"/>
  <c r="B6" i="19"/>
  <c r="C6" i="19"/>
  <c r="H6" i="19"/>
  <c r="J6" i="19"/>
  <c r="K6" i="19"/>
  <c r="N6" i="19"/>
  <c r="P6" i="19"/>
  <c r="A7" i="19"/>
  <c r="G7" i="19" s="1"/>
  <c r="B7" i="19"/>
  <c r="C7" i="19"/>
  <c r="F7" i="19"/>
  <c r="H7" i="19"/>
  <c r="I7" i="19"/>
  <c r="J7" i="19"/>
  <c r="K7" i="19"/>
  <c r="P7" i="19"/>
  <c r="R7" i="19"/>
  <c r="A8" i="19"/>
  <c r="I8" i="19" s="1"/>
  <c r="B8" i="19"/>
  <c r="C8" i="19"/>
  <c r="N8" i="19"/>
  <c r="O8" i="19"/>
  <c r="P8" i="19"/>
  <c r="A9" i="19"/>
  <c r="E9" i="19" s="1"/>
  <c r="B9" i="19"/>
  <c r="C9" i="19"/>
  <c r="A10" i="19"/>
  <c r="E10" i="19" s="1"/>
  <c r="B10" i="19"/>
  <c r="C10" i="19"/>
  <c r="A11" i="19"/>
  <c r="H11" i="19" s="1"/>
  <c r="B11" i="19"/>
  <c r="C11" i="19"/>
  <c r="E11" i="19"/>
  <c r="G11" i="19"/>
  <c r="I11" i="19"/>
  <c r="J11" i="19"/>
  <c r="M11" i="19"/>
  <c r="O11" i="19"/>
  <c r="A12" i="19"/>
  <c r="K12" i="19" s="1"/>
  <c r="B12" i="19"/>
  <c r="C12" i="19"/>
  <c r="H12" i="19"/>
  <c r="J12" i="19"/>
  <c r="P12" i="19"/>
  <c r="R12" i="19"/>
  <c r="A13" i="19"/>
  <c r="F13" i="19" s="1"/>
  <c r="B13" i="19"/>
  <c r="C13" i="19"/>
  <c r="E13" i="19"/>
  <c r="G13" i="19"/>
  <c r="H13" i="19"/>
  <c r="J13" i="19"/>
  <c r="K13" i="19"/>
  <c r="M13" i="19"/>
  <c r="P13" i="19"/>
  <c r="A14" i="19"/>
  <c r="I14" i="19" s="1"/>
  <c r="B14" i="19"/>
  <c r="C14" i="19"/>
  <c r="N14" i="19"/>
  <c r="A15" i="19"/>
  <c r="L15" i="19" s="1"/>
  <c r="B15" i="19"/>
  <c r="C15" i="19"/>
  <c r="I15" i="19"/>
  <c r="J15" i="19"/>
  <c r="N15" i="19"/>
  <c r="A16" i="19"/>
  <c r="L16" i="19" s="1"/>
  <c r="B16" i="19"/>
  <c r="C16" i="19"/>
  <c r="K16" i="19"/>
  <c r="A17" i="19"/>
  <c r="E17" i="19" s="1"/>
  <c r="B17" i="19"/>
  <c r="C17" i="19"/>
  <c r="A18" i="19"/>
  <c r="E18" i="19" s="1"/>
  <c r="B18" i="19"/>
  <c r="C18" i="19"/>
  <c r="J18" i="19"/>
  <c r="A19" i="19"/>
  <c r="H19" i="19" s="1"/>
  <c r="B19" i="19"/>
  <c r="C19" i="19"/>
  <c r="I19" i="19"/>
  <c r="J19" i="19"/>
  <c r="A20" i="19"/>
  <c r="K20" i="19" s="1"/>
  <c r="B20" i="19"/>
  <c r="C20" i="19"/>
  <c r="J20" i="19"/>
  <c r="R20" i="19"/>
  <c r="A21" i="19"/>
  <c r="F21" i="19" s="1"/>
  <c r="B21" i="19"/>
  <c r="C21" i="19"/>
  <c r="A22" i="19"/>
  <c r="I22" i="19" s="1"/>
  <c r="B22" i="19"/>
  <c r="C22" i="19"/>
  <c r="R22" i="19"/>
  <c r="A23" i="19"/>
  <c r="L23" i="19" s="1"/>
  <c r="B23" i="19"/>
  <c r="C23" i="19"/>
  <c r="A24" i="19"/>
  <c r="K24" i="19" s="1"/>
  <c r="B24" i="19"/>
  <c r="C24" i="19"/>
  <c r="E24" i="19"/>
  <c r="H24" i="19"/>
  <c r="J24" i="19"/>
  <c r="M24" i="19"/>
  <c r="N24" i="19"/>
  <c r="R24" i="19"/>
  <c r="A25" i="19"/>
  <c r="E25" i="19" s="1"/>
  <c r="B25" i="19"/>
  <c r="C25" i="19"/>
  <c r="F25" i="19"/>
  <c r="G25" i="19"/>
  <c r="H25" i="19"/>
  <c r="I25" i="19"/>
  <c r="J25" i="19"/>
  <c r="K25" i="19"/>
  <c r="N25" i="19"/>
  <c r="O25" i="19"/>
  <c r="P25" i="19"/>
  <c r="R25" i="19"/>
  <c r="A26" i="19"/>
  <c r="E26" i="19" s="1"/>
  <c r="B26" i="19"/>
  <c r="C26" i="19"/>
  <c r="R26" i="19"/>
  <c r="A27" i="19"/>
  <c r="H27" i="19" s="1"/>
  <c r="B27" i="19"/>
  <c r="C27" i="19"/>
  <c r="O27" i="19"/>
  <c r="A28" i="19"/>
  <c r="K28" i="19" s="1"/>
  <c r="B28" i="19"/>
  <c r="C28" i="19"/>
  <c r="R28" i="19"/>
  <c r="B4" i="20"/>
  <c r="B5" i="20"/>
  <c r="B8" i="20"/>
  <c r="A5" i="18"/>
  <c r="B5" i="18"/>
  <c r="C5" i="18"/>
  <c r="D5" i="18"/>
  <c r="A6" i="18"/>
  <c r="B6" i="18"/>
  <c r="C6" i="18"/>
  <c r="D6" i="18"/>
  <c r="A7" i="18"/>
  <c r="B7" i="18"/>
  <c r="C7" i="18"/>
  <c r="D7" i="18"/>
  <c r="A8" i="18"/>
  <c r="B8" i="18"/>
  <c r="C8" i="18"/>
  <c r="D8" i="18"/>
  <c r="A9" i="18"/>
  <c r="B9" i="18"/>
  <c r="C9" i="18"/>
  <c r="D9" i="18"/>
  <c r="A10" i="18"/>
  <c r="B10" i="18"/>
  <c r="C10" i="18"/>
  <c r="D10" i="18"/>
  <c r="A11" i="18"/>
  <c r="B11" i="18"/>
  <c r="C11" i="18"/>
  <c r="D11" i="18"/>
  <c r="A12" i="18"/>
  <c r="B12" i="18"/>
  <c r="C12" i="18"/>
  <c r="D12" i="18"/>
  <c r="A13" i="18"/>
  <c r="B13" i="18"/>
  <c r="C13" i="18"/>
  <c r="D13" i="18"/>
  <c r="A14" i="18"/>
  <c r="B14" i="18"/>
  <c r="C14" i="18"/>
  <c r="D14" i="18"/>
  <c r="A15" i="18"/>
  <c r="B15" i="18"/>
  <c r="C15" i="18"/>
  <c r="D15" i="18"/>
  <c r="A16" i="18"/>
  <c r="B16" i="18"/>
  <c r="C16" i="18"/>
  <c r="D16" i="18"/>
  <c r="B5" i="17"/>
  <c r="B6" i="17"/>
  <c r="B9" i="17"/>
  <c r="O3" i="9"/>
  <c r="B24" i="9"/>
  <c r="C24" i="9" s="1"/>
  <c r="B25" i="9"/>
  <c r="C25" i="9" s="1"/>
  <c r="B26" i="9"/>
  <c r="B27" i="9"/>
  <c r="E27" i="9" s="1" a="1"/>
  <c r="E27" i="9" s="1"/>
  <c r="B28" i="9"/>
  <c r="E28" i="9" s="1" a="1"/>
  <c r="E28" i="9" s="1"/>
  <c r="B29" i="9"/>
  <c r="C29" i="9" s="1"/>
  <c r="B30" i="9"/>
  <c r="D30" i="9" s="1"/>
  <c r="B31" i="9"/>
  <c r="C31" i="9" s="1"/>
  <c r="B32" i="9"/>
  <c r="D32" i="9" s="1"/>
  <c r="B33" i="9"/>
  <c r="C33" i="9" s="1"/>
  <c r="B34" i="9"/>
  <c r="B35" i="9"/>
  <c r="D35" i="9" s="1"/>
  <c r="B5" i="13"/>
  <c r="C5" i="13" s="1"/>
  <c r="B6" i="13"/>
  <c r="C6" i="13" s="1"/>
  <c r="B7" i="13"/>
  <c r="E7" i="13" s="1" a="1"/>
  <c r="E7" i="13" s="1"/>
  <c r="B8" i="13"/>
  <c r="C8" i="13" s="1"/>
  <c r="B9" i="13"/>
  <c r="D9" i="13" s="1"/>
  <c r="B10" i="13"/>
  <c r="D10" i="13" s="1"/>
  <c r="B11" i="13"/>
  <c r="B12" i="13"/>
  <c r="E12" i="13" s="1" a="1"/>
  <c r="E12" i="13" s="1"/>
  <c r="B13" i="13"/>
  <c r="C13" i="13" s="1"/>
  <c r="B14" i="13"/>
  <c r="C14" i="13" s="1"/>
  <c r="B15" i="13"/>
  <c r="D15" i="13" s="1"/>
  <c r="B16" i="13"/>
  <c r="D16" i="13" s="1"/>
  <c r="D11" i="13"/>
  <c r="E11" i="13" a="1"/>
  <c r="E11" i="13" s="1"/>
  <c r="A5" i="12"/>
  <c r="F5" i="12" s="1"/>
  <c r="B5" i="12"/>
  <c r="C5" i="12"/>
  <c r="B18" i="1" s="1"/>
  <c r="D5" i="12"/>
  <c r="C18" i="1" s="1"/>
  <c r="H5" i="12"/>
  <c r="D18" i="1" s="1"/>
  <c r="A6" i="12"/>
  <c r="E6" i="12" s="1"/>
  <c r="B6" i="12"/>
  <c r="C6" i="12"/>
  <c r="B19" i="1" s="1"/>
  <c r="D6" i="12"/>
  <c r="C19" i="1" s="1"/>
  <c r="H6" i="12"/>
  <c r="D19" i="1" s="1"/>
  <c r="A7" i="12"/>
  <c r="E7" i="12" s="1"/>
  <c r="B7" i="12"/>
  <c r="C7" i="12"/>
  <c r="B20" i="1" s="1"/>
  <c r="D7" i="12"/>
  <c r="C20" i="1" s="1"/>
  <c r="H7" i="12"/>
  <c r="D20" i="1" s="1"/>
  <c r="A8" i="12"/>
  <c r="A21" i="1" s="1"/>
  <c r="B8" i="12"/>
  <c r="C8" i="12"/>
  <c r="B21" i="1" s="1"/>
  <c r="D8" i="12"/>
  <c r="C21" i="1" s="1"/>
  <c r="H8" i="12"/>
  <c r="D21" i="1" s="1"/>
  <c r="A9" i="12"/>
  <c r="E9" i="12" s="1"/>
  <c r="B9" i="12"/>
  <c r="C9" i="12"/>
  <c r="B22" i="1" s="1"/>
  <c r="D9" i="12"/>
  <c r="C22" i="1" s="1"/>
  <c r="H9" i="12"/>
  <c r="D22" i="1" s="1"/>
  <c r="A10" i="12"/>
  <c r="F10" i="12" s="1"/>
  <c r="B10" i="12"/>
  <c r="C10" i="12"/>
  <c r="B23" i="1" s="1"/>
  <c r="D10" i="12"/>
  <c r="C23" i="1" s="1"/>
  <c r="H10" i="12"/>
  <c r="D23" i="1" s="1"/>
  <c r="A11" i="12"/>
  <c r="A24" i="1" s="1"/>
  <c r="B11" i="12"/>
  <c r="C11" i="12"/>
  <c r="B24" i="1" s="1"/>
  <c r="D11" i="12"/>
  <c r="C24" i="1" s="1"/>
  <c r="H11" i="12"/>
  <c r="D24" i="1" s="1"/>
  <c r="A12" i="12"/>
  <c r="E12" i="12" s="1"/>
  <c r="B12" i="12"/>
  <c r="C12" i="12"/>
  <c r="B25" i="1" s="1"/>
  <c r="D12" i="12"/>
  <c r="C25" i="1" s="1"/>
  <c r="H12" i="12"/>
  <c r="D25" i="1" s="1"/>
  <c r="A13" i="12"/>
  <c r="A26" i="1" s="1"/>
  <c r="B13" i="12"/>
  <c r="C13" i="12"/>
  <c r="B26" i="1" s="1"/>
  <c r="D13" i="12"/>
  <c r="C26" i="1" s="1"/>
  <c r="H13" i="12"/>
  <c r="D26" i="1" s="1"/>
  <c r="A14" i="12"/>
  <c r="E14" i="12" s="1"/>
  <c r="B14" i="12"/>
  <c r="C14" i="12"/>
  <c r="B27" i="1" s="1"/>
  <c r="D14" i="12"/>
  <c r="C27" i="1" s="1"/>
  <c r="H14" i="12"/>
  <c r="D27" i="1" s="1"/>
  <c r="A15" i="12"/>
  <c r="A28" i="1" s="1"/>
  <c r="B15" i="12"/>
  <c r="C15" i="12"/>
  <c r="B28" i="1" s="1"/>
  <c r="D15" i="12"/>
  <c r="C28" i="1" s="1"/>
  <c r="H15" i="12"/>
  <c r="D28" i="1" s="1"/>
  <c r="A16" i="12"/>
  <c r="A29" i="1" s="1"/>
  <c r="B16" i="12"/>
  <c r="C16" i="12"/>
  <c r="B29" i="1" s="1"/>
  <c r="D16" i="12"/>
  <c r="C29" i="1" s="1"/>
  <c r="H16" i="12"/>
  <c r="D29" i="1" s="1"/>
  <c r="B5" i="11"/>
  <c r="B6" i="11"/>
  <c r="B7" i="11"/>
  <c r="B8" i="11"/>
  <c r="B9" i="11"/>
  <c r="S9" i="19" s="1"/>
  <c r="B11" i="11"/>
  <c r="J11" i="13" s="1"/>
  <c r="D26" i="9"/>
  <c r="C27" i="9"/>
  <c r="D27" i="9"/>
  <c r="C28" i="9"/>
  <c r="D34" i="9"/>
  <c r="E35" i="9" a="1"/>
  <c r="E35" i="9" s="1"/>
  <c r="A5" i="9"/>
  <c r="D5" i="9" s="1"/>
  <c r="B5" i="9"/>
  <c r="A6" i="9"/>
  <c r="C6" i="9" s="1"/>
  <c r="B6" i="9"/>
  <c r="A7" i="9"/>
  <c r="C7" i="9" s="1"/>
  <c r="B7" i="9"/>
  <c r="A8" i="9"/>
  <c r="B8" i="9"/>
  <c r="A9" i="9"/>
  <c r="D9" i="9" s="1"/>
  <c r="B9" i="9"/>
  <c r="A10" i="9"/>
  <c r="D10" i="9" s="1"/>
  <c r="B10" i="9"/>
  <c r="A11" i="9"/>
  <c r="C11" i="9" s="1"/>
  <c r="B11" i="9"/>
  <c r="A12" i="9"/>
  <c r="D12" i="9" s="1"/>
  <c r="B12" i="9"/>
  <c r="A13" i="9"/>
  <c r="C13" i="9" s="1"/>
  <c r="B13" i="9"/>
  <c r="A14" i="9"/>
  <c r="C14" i="9" s="1"/>
  <c r="B14" i="9"/>
  <c r="A15" i="9"/>
  <c r="B15" i="9"/>
  <c r="C15" i="9"/>
  <c r="A16" i="9"/>
  <c r="B16" i="9"/>
  <c r="O1" i="9"/>
  <c r="O2" i="9"/>
  <c r="G47" i="1"/>
  <c r="E47" i="1"/>
  <c r="C47" i="1"/>
  <c r="G46" i="1"/>
  <c r="E46" i="1"/>
  <c r="C46" i="1"/>
  <c r="G45" i="1"/>
  <c r="E45" i="1"/>
  <c r="C45" i="1"/>
  <c r="G44" i="1"/>
  <c r="E44" i="1"/>
  <c r="C44" i="1"/>
  <c r="G43" i="1"/>
  <c r="E43" i="1"/>
  <c r="C43" i="1"/>
  <c r="G42" i="1"/>
  <c r="E42" i="1"/>
  <c r="C42" i="1"/>
  <c r="G41" i="1"/>
  <c r="E41" i="1"/>
  <c r="C41" i="1"/>
  <c r="G40" i="1"/>
  <c r="E40" i="1"/>
  <c r="C40" i="1"/>
  <c r="G39" i="1"/>
  <c r="E39" i="1"/>
  <c r="C39" i="1"/>
  <c r="G38" i="1"/>
  <c r="E38" i="1"/>
  <c r="C38" i="1"/>
  <c r="G37" i="1"/>
  <c r="E37" i="1"/>
  <c r="C37" i="1"/>
  <c r="G36" i="1"/>
  <c r="E36" i="1"/>
  <c r="C36" i="1"/>
  <c r="L26" i="19" l="1"/>
  <c r="I24" i="19"/>
  <c r="M23" i="19"/>
  <c r="J22" i="19"/>
  <c r="K21" i="19"/>
  <c r="L17" i="19"/>
  <c r="R13" i="19"/>
  <c r="I9" i="19"/>
  <c r="J8" i="19"/>
  <c r="E7" i="19"/>
  <c r="K23" i="19"/>
  <c r="H22" i="19"/>
  <c r="J21" i="19"/>
  <c r="K17" i="19"/>
  <c r="G9" i="19"/>
  <c r="H8" i="19"/>
  <c r="N7" i="19"/>
  <c r="E32" i="9" a="1"/>
  <c r="E32" i="9" s="1"/>
  <c r="D13" i="13"/>
  <c r="M27" i="19"/>
  <c r="P24" i="19"/>
  <c r="G24" i="19"/>
  <c r="F22" i="19"/>
  <c r="H21" i="19"/>
  <c r="R18" i="19"/>
  <c r="M15" i="19"/>
  <c r="R14" i="19"/>
  <c r="G8" i="19"/>
  <c r="M7" i="19"/>
  <c r="C32" i="9"/>
  <c r="J27" i="19"/>
  <c r="O24" i="19"/>
  <c r="Q24" i="19" s="1"/>
  <c r="F24" i="19"/>
  <c r="O19" i="19"/>
  <c r="L18" i="19"/>
  <c r="K15" i="19"/>
  <c r="P14" i="19"/>
  <c r="F8" i="19"/>
  <c r="L24" i="19"/>
  <c r="P22" i="19"/>
  <c r="O21" i="19"/>
  <c r="G19" i="19"/>
  <c r="H15" i="19"/>
  <c r="L9" i="19"/>
  <c r="J33" i="19"/>
  <c r="N22" i="19"/>
  <c r="M21" i="19"/>
  <c r="J9" i="19"/>
  <c r="A23" i="1"/>
  <c r="J32" i="19"/>
  <c r="E16" i="13" a="1"/>
  <c r="E16" i="13" s="1"/>
  <c r="J15" i="18"/>
  <c r="J11" i="18"/>
  <c r="J28" i="19"/>
  <c r="I27" i="19"/>
  <c r="J26" i="19"/>
  <c r="L25" i="19"/>
  <c r="J23" i="19"/>
  <c r="G21" i="19"/>
  <c r="E19" i="19"/>
  <c r="J17" i="19"/>
  <c r="R16" i="19"/>
  <c r="I16" i="19"/>
  <c r="R15" i="19"/>
  <c r="F15" i="19"/>
  <c r="J14" i="19"/>
  <c r="O13" i="19"/>
  <c r="R9" i="19"/>
  <c r="T9" i="19" s="1"/>
  <c r="F9" i="19"/>
  <c r="M8" i="19"/>
  <c r="E8" i="19"/>
  <c r="L7" i="19"/>
  <c r="F6" i="19"/>
  <c r="K5" i="19"/>
  <c r="B34" i="19"/>
  <c r="J34" i="19" s="1"/>
  <c r="G27" i="19"/>
  <c r="I23" i="19"/>
  <c r="R21" i="19"/>
  <c r="E21" i="19"/>
  <c r="I17" i="19"/>
  <c r="P16" i="19"/>
  <c r="H16" i="19"/>
  <c r="P15" i="19"/>
  <c r="E15" i="19"/>
  <c r="H14" i="19"/>
  <c r="R11" i="19"/>
  <c r="O9" i="19"/>
  <c r="L8" i="19"/>
  <c r="J5" i="19"/>
  <c r="E27" i="19"/>
  <c r="S23" i="19"/>
  <c r="H23" i="19"/>
  <c r="P21" i="19"/>
  <c r="R19" i="19"/>
  <c r="R17" i="19"/>
  <c r="H17" i="19"/>
  <c r="O16" i="19"/>
  <c r="G16" i="19"/>
  <c r="F14" i="19"/>
  <c r="N9" i="19"/>
  <c r="K8" i="19"/>
  <c r="R6" i="19"/>
  <c r="E5" i="19"/>
  <c r="J7" i="18"/>
  <c r="R23" i="19"/>
  <c r="F23" i="19"/>
  <c r="P17" i="19"/>
  <c r="G17" i="19"/>
  <c r="N16" i="19"/>
  <c r="F16" i="19"/>
  <c r="R10" i="19"/>
  <c r="J16" i="19"/>
  <c r="J14" i="18"/>
  <c r="J12" i="18"/>
  <c r="R27" i="19"/>
  <c r="P23" i="19"/>
  <c r="E23" i="19"/>
  <c r="M19" i="19"/>
  <c r="O17" i="19"/>
  <c r="F17" i="19"/>
  <c r="M16" i="19"/>
  <c r="E16" i="19"/>
  <c r="J10" i="19"/>
  <c r="K9" i="19"/>
  <c r="R8" i="19"/>
  <c r="J6" i="18"/>
  <c r="N23" i="19"/>
  <c r="N17" i="19"/>
  <c r="T5" i="19"/>
  <c r="S15" i="19"/>
  <c r="L10" i="19"/>
  <c r="S7" i="19"/>
  <c r="T7" i="19" s="1"/>
  <c r="D28" i="9"/>
  <c r="E13" i="13" a="1"/>
  <c r="E13" i="13" s="1"/>
  <c r="I13" i="13" s="1"/>
  <c r="A25" i="1"/>
  <c r="J13" i="18"/>
  <c r="B6" i="20"/>
  <c r="I28" i="19"/>
  <c r="N27" i="19"/>
  <c r="F27" i="19"/>
  <c r="S26" i="19"/>
  <c r="T26" i="19" s="1"/>
  <c r="K26" i="19"/>
  <c r="O22" i="19"/>
  <c r="G22" i="19"/>
  <c r="L21" i="19"/>
  <c r="I20" i="19"/>
  <c r="N19" i="19"/>
  <c r="F19" i="19"/>
  <c r="S18" i="19"/>
  <c r="T18" i="19" s="1"/>
  <c r="K18" i="19"/>
  <c r="O14" i="19"/>
  <c r="G14" i="19"/>
  <c r="L13" i="19"/>
  <c r="I12" i="19"/>
  <c r="N11" i="19"/>
  <c r="F11" i="19"/>
  <c r="S10" i="19"/>
  <c r="K10" i="19"/>
  <c r="P9" i="19"/>
  <c r="H9" i="19"/>
  <c r="O6" i="19"/>
  <c r="G6" i="19"/>
  <c r="L5" i="19"/>
  <c r="P20" i="19"/>
  <c r="S5" i="19"/>
  <c r="S21" i="19"/>
  <c r="H20" i="19"/>
  <c r="J16" i="18"/>
  <c r="J9" i="18"/>
  <c r="O28" i="19"/>
  <c r="G28" i="19"/>
  <c r="L27" i="19"/>
  <c r="I26" i="19"/>
  <c r="S24" i="19"/>
  <c r="T24" i="19" s="1"/>
  <c r="M22" i="19"/>
  <c r="E22" i="19"/>
  <c r="O20" i="19"/>
  <c r="G20" i="19"/>
  <c r="L19" i="19"/>
  <c r="I18" i="19"/>
  <c r="S16" i="19"/>
  <c r="M14" i="19"/>
  <c r="E14" i="19"/>
  <c r="O12" i="19"/>
  <c r="G12" i="19"/>
  <c r="L11" i="19"/>
  <c r="I10" i="19"/>
  <c r="S8" i="19"/>
  <c r="M6" i="19"/>
  <c r="E6" i="19"/>
  <c r="D13" i="9"/>
  <c r="F13" i="9" s="1"/>
  <c r="N28" i="19"/>
  <c r="F28" i="19"/>
  <c r="S27" i="19"/>
  <c r="T27" i="19" s="1"/>
  <c r="K27" i="19"/>
  <c r="P26" i="19"/>
  <c r="H26" i="19"/>
  <c r="M25" i="19"/>
  <c r="Q25" i="19" s="1"/>
  <c r="O23" i="19"/>
  <c r="G23" i="19"/>
  <c r="L22" i="19"/>
  <c r="I21" i="19"/>
  <c r="N20" i="19"/>
  <c r="F20" i="19"/>
  <c r="S19" i="19"/>
  <c r="K19" i="19"/>
  <c r="P18" i="19"/>
  <c r="H18" i="19"/>
  <c r="M17" i="19"/>
  <c r="O15" i="19"/>
  <c r="G15" i="19"/>
  <c r="L14" i="19"/>
  <c r="I13" i="19"/>
  <c r="N12" i="19"/>
  <c r="F12" i="19"/>
  <c r="S11" i="19"/>
  <c r="T11" i="19" s="1"/>
  <c r="K11" i="19"/>
  <c r="P10" i="19"/>
  <c r="H10" i="19"/>
  <c r="M9" i="19"/>
  <c r="O7" i="19"/>
  <c r="L6" i="19"/>
  <c r="I5" i="19"/>
  <c r="P28" i="19"/>
  <c r="H28" i="19"/>
  <c r="S13" i="19"/>
  <c r="T13" i="19" s="1"/>
  <c r="E30" i="9" a="1"/>
  <c r="E30" i="9" s="1"/>
  <c r="J5" i="18"/>
  <c r="M28" i="19"/>
  <c r="E28" i="19"/>
  <c r="O26" i="19"/>
  <c r="G26" i="19"/>
  <c r="S22" i="19"/>
  <c r="T22" i="19" s="1"/>
  <c r="K22" i="19"/>
  <c r="M20" i="19"/>
  <c r="E20" i="19"/>
  <c r="O18" i="19"/>
  <c r="G18" i="19"/>
  <c r="S14" i="19"/>
  <c r="T14" i="19" s="1"/>
  <c r="K14" i="19"/>
  <c r="M12" i="19"/>
  <c r="E12" i="19"/>
  <c r="O10" i="19"/>
  <c r="G10" i="19"/>
  <c r="S6" i="19"/>
  <c r="H5" i="19"/>
  <c r="C30" i="9"/>
  <c r="G30" i="9" s="1"/>
  <c r="E5" i="13" a="1"/>
  <c r="E5" i="13" s="1"/>
  <c r="F5" i="13" s="1"/>
  <c r="L28" i="19"/>
  <c r="N26" i="19"/>
  <c r="F26" i="19"/>
  <c r="S25" i="19"/>
  <c r="T25" i="19" s="1"/>
  <c r="L20" i="19"/>
  <c r="N18" i="19"/>
  <c r="F18" i="19"/>
  <c r="Q18" i="19" s="1"/>
  <c r="S17" i="19"/>
  <c r="T17" i="19" s="1"/>
  <c r="L12" i="19"/>
  <c r="N10" i="19"/>
  <c r="F10" i="19"/>
  <c r="G5" i="19"/>
  <c r="J10" i="18"/>
  <c r="J8" i="18"/>
  <c r="S28" i="19"/>
  <c r="T28" i="19" s="1"/>
  <c r="P27" i="19"/>
  <c r="M26" i="19"/>
  <c r="N21" i="19"/>
  <c r="S20" i="19"/>
  <c r="T20" i="19" s="1"/>
  <c r="P19" i="19"/>
  <c r="M18" i="19"/>
  <c r="N13" i="19"/>
  <c r="S12" i="19"/>
  <c r="T12" i="19" s="1"/>
  <c r="P11" i="19"/>
  <c r="M10" i="19"/>
  <c r="N5" i="19"/>
  <c r="A27" i="1"/>
  <c r="A22" i="1"/>
  <c r="A20" i="1"/>
  <c r="A19" i="1"/>
  <c r="A18" i="1"/>
  <c r="I5" i="12"/>
  <c r="E18" i="1" s="1"/>
  <c r="G6" i="9" a="1"/>
  <c r="G6" i="9" s="1"/>
  <c r="H6" i="9" s="1"/>
  <c r="A7" i="1"/>
  <c r="D24" i="9"/>
  <c r="C16" i="13"/>
  <c r="F16" i="13" s="1"/>
  <c r="C7" i="13"/>
  <c r="F7" i="12"/>
  <c r="G7" i="12" s="1"/>
  <c r="E4" i="1"/>
  <c r="E6" i="9"/>
  <c r="E14" i="13" a="1"/>
  <c r="E14" i="13" s="1"/>
  <c r="E13" i="9"/>
  <c r="D14" i="13"/>
  <c r="E15" i="9"/>
  <c r="G14" i="9" a="1"/>
  <c r="G14" i="9" s="1"/>
  <c r="H14" i="9" s="1"/>
  <c r="E7" i="9"/>
  <c r="D12" i="13"/>
  <c r="G12" i="13" s="1"/>
  <c r="E14" i="9"/>
  <c r="C12" i="13"/>
  <c r="H12" i="13" s="1"/>
  <c r="J12" i="12"/>
  <c r="F25" i="1" s="1"/>
  <c r="J9" i="12"/>
  <c r="F22" i="1" s="1"/>
  <c r="I9" i="12"/>
  <c r="E22" i="1" s="1"/>
  <c r="C5" i="9"/>
  <c r="E5" i="9" s="1"/>
  <c r="J13" i="12"/>
  <c r="F26" i="1" s="1"/>
  <c r="K11" i="12" a="1"/>
  <c r="K11" i="12" s="1"/>
  <c r="U18" i="19" s="1"/>
  <c r="V18" i="19" s="1"/>
  <c r="K10" i="12" a="1"/>
  <c r="K10" i="12" s="1"/>
  <c r="U16" i="19" s="1"/>
  <c r="V16" i="19" s="1"/>
  <c r="I6" i="12"/>
  <c r="E19" i="1" s="1"/>
  <c r="H17" i="12"/>
  <c r="D30" i="1" s="1"/>
  <c r="J12" i="13"/>
  <c r="G13" i="9" a="1"/>
  <c r="G13" i="9" s="1"/>
  <c r="H13" i="9" s="1"/>
  <c r="E11" i="9"/>
  <c r="J16" i="12"/>
  <c r="F29" i="1" s="1"/>
  <c r="I10" i="12"/>
  <c r="E23" i="1" s="1"/>
  <c r="K9" i="12" a="1"/>
  <c r="K9" i="12" s="1"/>
  <c r="I8" i="12"/>
  <c r="E21" i="1" s="1"/>
  <c r="K12" i="12" a="1"/>
  <c r="K12" i="12" s="1"/>
  <c r="I12" i="12"/>
  <c r="E25" i="1" s="1"/>
  <c r="E10" i="12"/>
  <c r="G10" i="12" s="1"/>
  <c r="D6" i="9"/>
  <c r="G15" i="9" a="1"/>
  <c r="G15" i="9" s="1"/>
  <c r="H15" i="9" s="1"/>
  <c r="J5" i="12"/>
  <c r="F18" i="1" s="1"/>
  <c r="G9" i="9" a="1"/>
  <c r="G9" i="9" s="1"/>
  <c r="H9" i="9" s="1"/>
  <c r="J15" i="12"/>
  <c r="F28" i="1" s="1"/>
  <c r="F12" i="12"/>
  <c r="G12" i="12" s="1"/>
  <c r="J8" i="12"/>
  <c r="F21" i="1" s="1"/>
  <c r="J7" i="12"/>
  <c r="F20" i="1" s="1"/>
  <c r="K5" i="12" a="1"/>
  <c r="K5" i="12" s="1"/>
  <c r="L5" i="12" s="1"/>
  <c r="H18" i="1" s="1"/>
  <c r="J16" i="13"/>
  <c r="C10" i="13"/>
  <c r="G11" i="9" a="1"/>
  <c r="G11" i="9" s="1"/>
  <c r="H11" i="9" s="1"/>
  <c r="I7" i="12"/>
  <c r="E20" i="1" s="1"/>
  <c r="K6" i="12" a="1"/>
  <c r="K6" i="12" s="1"/>
  <c r="U7" i="19" s="1"/>
  <c r="V7" i="19" s="1"/>
  <c r="J9" i="13"/>
  <c r="E24" i="9" a="1"/>
  <c r="E24" i="9" s="1"/>
  <c r="F24" i="9" s="1"/>
  <c r="C9" i="13"/>
  <c r="I15" i="12"/>
  <c r="E28" i="1" s="1"/>
  <c r="K14" i="12" a="1"/>
  <c r="K14" i="12" s="1"/>
  <c r="U24" i="19" s="1"/>
  <c r="V24" i="19" s="1"/>
  <c r="K13" i="12" a="1"/>
  <c r="K13" i="12" s="1"/>
  <c r="G26" i="1" s="1"/>
  <c r="J6" i="12"/>
  <c r="F19" i="1" s="1"/>
  <c r="J14" i="13"/>
  <c r="C11" i="13"/>
  <c r="F11" i="13" s="1"/>
  <c r="E9" i="13" a="1"/>
  <c r="E9" i="13" s="1"/>
  <c r="I9" i="13" s="1"/>
  <c r="K9" i="13" s="1"/>
  <c r="J7" i="13"/>
  <c r="J5" i="13"/>
  <c r="J14" i="12"/>
  <c r="F27" i="1" s="1"/>
  <c r="I13" i="12"/>
  <c r="E26" i="1" s="1"/>
  <c r="I16" i="12"/>
  <c r="E29" i="1" s="1"/>
  <c r="F15" i="12"/>
  <c r="I14" i="12"/>
  <c r="J10" i="13"/>
  <c r="D14" i="9"/>
  <c r="F14" i="9" s="1"/>
  <c r="G10" i="9" a="1"/>
  <c r="G10" i="9" s="1"/>
  <c r="H10" i="9" s="1"/>
  <c r="G8" i="9" a="1"/>
  <c r="G8" i="9" s="1"/>
  <c r="H8" i="9" s="1"/>
  <c r="C35" i="9"/>
  <c r="G35" i="9" s="1"/>
  <c r="E29" i="9" a="1"/>
  <c r="E29" i="9" s="1"/>
  <c r="G29" i="9" s="1"/>
  <c r="E15" i="12"/>
  <c r="F13" i="12"/>
  <c r="J10" i="12"/>
  <c r="F23" i="1" s="1"/>
  <c r="F9" i="12"/>
  <c r="G9" i="12" s="1"/>
  <c r="E10" i="13" a="1"/>
  <c r="E10" i="13" s="1"/>
  <c r="J8" i="13"/>
  <c r="J6" i="13"/>
  <c r="C10" i="9"/>
  <c r="E10" i="9" s="1"/>
  <c r="E31" i="9" a="1"/>
  <c r="E31" i="9" s="1"/>
  <c r="G31" i="9" s="1"/>
  <c r="D29" i="9"/>
  <c r="J11" i="12"/>
  <c r="F24" i="1" s="1"/>
  <c r="J15" i="13"/>
  <c r="E8" i="13" a="1"/>
  <c r="E8" i="13" s="1"/>
  <c r="F8" i="13" s="1"/>
  <c r="E6" i="13" a="1"/>
  <c r="E6" i="13" s="1"/>
  <c r="D37" i="1"/>
  <c r="K37" i="1" s="1"/>
  <c r="G5" i="9" a="1"/>
  <c r="G5" i="9" s="1"/>
  <c r="H5" i="9" s="1"/>
  <c r="C34" i="9"/>
  <c r="D31" i="9"/>
  <c r="I11" i="12"/>
  <c r="E24" i="1" s="1"/>
  <c r="E15" i="13" a="1"/>
  <c r="E15" i="13" s="1"/>
  <c r="J13" i="13"/>
  <c r="D8" i="13"/>
  <c r="D6" i="13"/>
  <c r="G16" i="9" a="1"/>
  <c r="G16" i="9" s="1"/>
  <c r="H16" i="9" s="1"/>
  <c r="G7" i="9" a="1"/>
  <c r="G7" i="9" s="1"/>
  <c r="H7" i="9" s="1"/>
  <c r="C26" i="9"/>
  <c r="C15" i="13"/>
  <c r="F7" i="13"/>
  <c r="H7" i="13"/>
  <c r="G11" i="13"/>
  <c r="I11" i="13"/>
  <c r="K11" i="13" s="1"/>
  <c r="L11" i="13" s="1"/>
  <c r="G16" i="13"/>
  <c r="H16" i="13"/>
  <c r="I16" i="13"/>
  <c r="D7" i="13"/>
  <c r="G7" i="13" s="1"/>
  <c r="D5" i="13"/>
  <c r="F8" i="12"/>
  <c r="K7" i="12" a="1"/>
  <c r="K7" i="12" s="1"/>
  <c r="U9" i="19" s="1"/>
  <c r="V9" i="19" s="1"/>
  <c r="E5" i="12"/>
  <c r="G5" i="12" s="1"/>
  <c r="F16" i="12"/>
  <c r="K15" i="12" a="1"/>
  <c r="K15" i="12" s="1"/>
  <c r="U26" i="19" s="1"/>
  <c r="V26" i="19" s="1"/>
  <c r="E13" i="12"/>
  <c r="E16" i="12"/>
  <c r="F11" i="12"/>
  <c r="E8" i="12"/>
  <c r="F14" i="12"/>
  <c r="G14" i="12" s="1"/>
  <c r="F6" i="12"/>
  <c r="G6" i="12" s="1"/>
  <c r="E11" i="12"/>
  <c r="K16" i="12" a="1"/>
  <c r="K16" i="12" s="1"/>
  <c r="U27" i="19" s="1"/>
  <c r="V27" i="19" s="1"/>
  <c r="K8" i="12" a="1"/>
  <c r="K8" i="12" s="1"/>
  <c r="F35" i="9"/>
  <c r="F30" i="9"/>
  <c r="F28" i="9"/>
  <c r="G28" i="9"/>
  <c r="G32" i="9"/>
  <c r="F32" i="9"/>
  <c r="F27" i="9"/>
  <c r="G27" i="9"/>
  <c r="E33" i="9" a="1"/>
  <c r="E33" i="9" s="1"/>
  <c r="E25" i="9" a="1"/>
  <c r="E25" i="9" s="1"/>
  <c r="E34" i="9" a="1"/>
  <c r="E34" i="9" s="1"/>
  <c r="D33" i="9"/>
  <c r="E26" i="9" a="1"/>
  <c r="E26" i="9" s="1"/>
  <c r="D25" i="9"/>
  <c r="D16" i="9"/>
  <c r="C9" i="9"/>
  <c r="E9" i="9" s="1"/>
  <c r="D8" i="9"/>
  <c r="F6" i="9"/>
  <c r="C16" i="9"/>
  <c r="E16" i="9" s="1"/>
  <c r="D15" i="9"/>
  <c r="F15" i="9" s="1"/>
  <c r="G12" i="9" a="1"/>
  <c r="G12" i="9" s="1"/>
  <c r="H12" i="9" s="1"/>
  <c r="C8" i="9"/>
  <c r="E8" i="9" s="1"/>
  <c r="D7" i="9"/>
  <c r="F7" i="9" s="1"/>
  <c r="C12" i="9"/>
  <c r="E12" i="9" s="1"/>
  <c r="D11" i="9"/>
  <c r="F11" i="9" s="1"/>
  <c r="D46" i="1"/>
  <c r="K46" i="1" s="1"/>
  <c r="D38" i="1"/>
  <c r="K38" i="1" s="1"/>
  <c r="F44" i="1"/>
  <c r="J44" i="1" s="1"/>
  <c r="F37" i="1"/>
  <c r="J37" i="1" s="1"/>
  <c r="D39" i="1"/>
  <c r="K39" i="1" s="1"/>
  <c r="F45" i="1"/>
  <c r="D47" i="1"/>
  <c r="K47" i="1" s="1"/>
  <c r="F38" i="1"/>
  <c r="J38" i="1" s="1"/>
  <c r="D40" i="1"/>
  <c r="F46" i="1"/>
  <c r="J46" i="1" s="1"/>
  <c r="F47" i="1"/>
  <c r="J47" i="1" s="1"/>
  <c r="F40" i="1"/>
  <c r="J40" i="1" s="1"/>
  <c r="D42" i="1"/>
  <c r="K42" i="1" s="1"/>
  <c r="D41" i="1"/>
  <c r="F41" i="1"/>
  <c r="D43" i="1"/>
  <c r="F39" i="1"/>
  <c r="J39" i="1" s="1"/>
  <c r="D36" i="1"/>
  <c r="K36" i="1" s="1"/>
  <c r="F42" i="1"/>
  <c r="J42" i="1" s="1"/>
  <c r="D44" i="1"/>
  <c r="F43" i="1"/>
  <c r="D45" i="1"/>
  <c r="K45" i="1" s="1"/>
  <c r="F36" i="1"/>
  <c r="J36" i="1" s="1"/>
  <c r="U10" i="19" l="1"/>
  <c r="V10" i="19" s="1"/>
  <c r="Q8" i="19"/>
  <c r="Q7" i="19"/>
  <c r="T15" i="19"/>
  <c r="G14" i="13"/>
  <c r="Q17" i="19"/>
  <c r="U13" i="19"/>
  <c r="V13" i="19" s="1"/>
  <c r="Q9" i="19"/>
  <c r="Q16" i="19"/>
  <c r="G5" i="13"/>
  <c r="U11" i="19"/>
  <c r="V11" i="19" s="1"/>
  <c r="F15" i="13"/>
  <c r="T6" i="19"/>
  <c r="T21" i="19"/>
  <c r="Q5" i="19"/>
  <c r="Q20" i="19"/>
  <c r="T19" i="19"/>
  <c r="T16" i="19"/>
  <c r="T10" i="19"/>
  <c r="Q13" i="19"/>
  <c r="Q26" i="19"/>
  <c r="Q10" i="19"/>
  <c r="T8" i="19"/>
  <c r="Q11" i="19"/>
  <c r="Q19" i="19"/>
  <c r="Q27" i="19"/>
  <c r="H5" i="13"/>
  <c r="U19" i="19"/>
  <c r="V19" i="19" s="1"/>
  <c r="U20" i="19"/>
  <c r="V20" i="19" s="1"/>
  <c r="Q15" i="19"/>
  <c r="T23" i="19"/>
  <c r="G6" i="13"/>
  <c r="Q21" i="19"/>
  <c r="U15" i="19"/>
  <c r="V15" i="19" s="1"/>
  <c r="Q12" i="19"/>
  <c r="U28" i="19"/>
  <c r="V28" i="19" s="1"/>
  <c r="Q6" i="19"/>
  <c r="Q14" i="19"/>
  <c r="Q22" i="19"/>
  <c r="U25" i="19"/>
  <c r="V25" i="19" s="1"/>
  <c r="U17" i="19"/>
  <c r="V17" i="19" s="1"/>
  <c r="G13" i="13"/>
  <c r="F13" i="13"/>
  <c r="G18" i="1"/>
  <c r="U5" i="19"/>
  <c r="V5" i="19" s="1"/>
  <c r="U12" i="19"/>
  <c r="V12" i="19" s="1"/>
  <c r="U6" i="19"/>
  <c r="V6" i="19" s="1"/>
  <c r="U14" i="19"/>
  <c r="V14" i="19" s="1"/>
  <c r="U22" i="19"/>
  <c r="V22" i="19" s="1"/>
  <c r="U8" i="19"/>
  <c r="V8" i="19" s="1"/>
  <c r="H13" i="13"/>
  <c r="K16" i="13"/>
  <c r="L16" i="13" s="1"/>
  <c r="I12" i="13"/>
  <c r="K12" i="13" s="1"/>
  <c r="L12" i="13" s="1"/>
  <c r="U23" i="19"/>
  <c r="V23" i="19" s="1"/>
  <c r="Q28" i="19"/>
  <c r="Q23" i="19"/>
  <c r="U21" i="19"/>
  <c r="V21" i="19" s="1"/>
  <c r="L7" i="12"/>
  <c r="H20" i="1" s="1"/>
  <c r="G20" i="1"/>
  <c r="L12" i="12"/>
  <c r="M12" i="12" s="1"/>
  <c r="J25" i="1" s="1"/>
  <c r="G25" i="1"/>
  <c r="L16" i="12"/>
  <c r="H29" i="1" s="1"/>
  <c r="G29" i="1"/>
  <c r="L14" i="12"/>
  <c r="M14" i="12" s="1"/>
  <c r="J27" i="1" s="1"/>
  <c r="G27" i="1"/>
  <c r="L9" i="12"/>
  <c r="M9" i="12" s="1"/>
  <c r="J22" i="1" s="1"/>
  <c r="G22" i="1"/>
  <c r="L10" i="12"/>
  <c r="O10" i="12" s="1"/>
  <c r="L23" i="1" s="1"/>
  <c r="G23" i="1"/>
  <c r="L11" i="12"/>
  <c r="H24" i="1" s="1"/>
  <c r="G24" i="1"/>
  <c r="L13" i="12"/>
  <c r="H26" i="1" s="1"/>
  <c r="L15" i="12"/>
  <c r="H28" i="1" s="1"/>
  <c r="G28" i="1"/>
  <c r="F12" i="13"/>
  <c r="E27" i="1"/>
  <c r="L8" i="12"/>
  <c r="H21" i="1" s="1"/>
  <c r="G21" i="1"/>
  <c r="L6" i="12"/>
  <c r="G19" i="1"/>
  <c r="H14" i="13"/>
  <c r="F14" i="13"/>
  <c r="I14" i="13"/>
  <c r="K14" i="13" s="1"/>
  <c r="L14" i="13" s="1"/>
  <c r="N10" i="12"/>
  <c r="I23" i="1" s="1"/>
  <c r="F10" i="13"/>
  <c r="F5" i="9"/>
  <c r="G13" i="12"/>
  <c r="I17" i="12"/>
  <c r="F8" i="9"/>
  <c r="M12" i="13"/>
  <c r="J17" i="12"/>
  <c r="I42" i="1"/>
  <c r="F31" i="9"/>
  <c r="G24" i="9"/>
  <c r="G8" i="13"/>
  <c r="H11" i="13"/>
  <c r="N11" i="13" s="1"/>
  <c r="G15" i="13"/>
  <c r="B22" i="13"/>
  <c r="D22" i="13" s="1"/>
  <c r="B23" i="13"/>
  <c r="D23" i="13" s="1"/>
  <c r="M11" i="13"/>
  <c r="H8" i="13"/>
  <c r="B21" i="13"/>
  <c r="D21" i="13" s="1"/>
  <c r="B20" i="13"/>
  <c r="D20" i="13" s="1"/>
  <c r="L9" i="13"/>
  <c r="M9" i="13"/>
  <c r="I6" i="13"/>
  <c r="K6" i="13" s="1"/>
  <c r="L6" i="13" s="1"/>
  <c r="I37" i="1"/>
  <c r="H37" i="1"/>
  <c r="I46" i="1"/>
  <c r="H46" i="1"/>
  <c r="H36" i="1"/>
  <c r="F16" i="9"/>
  <c r="F29" i="9"/>
  <c r="G11" i="12"/>
  <c r="G9" i="13"/>
  <c r="K13" i="13"/>
  <c r="L13" i="13" s="1"/>
  <c r="F6" i="13"/>
  <c r="H10" i="13"/>
  <c r="H6" i="13"/>
  <c r="F10" i="9"/>
  <c r="H9" i="13"/>
  <c r="I10" i="13"/>
  <c r="H38" i="1"/>
  <c r="F9" i="13"/>
  <c r="I15" i="13"/>
  <c r="K15" i="13" s="1"/>
  <c r="L15" i="13" s="1"/>
  <c r="G10" i="13"/>
  <c r="H15" i="13"/>
  <c r="I8" i="13"/>
  <c r="K8" i="13" s="1"/>
  <c r="L8" i="13" s="1"/>
  <c r="K17" i="12"/>
  <c r="G17" i="12"/>
  <c r="G15" i="12"/>
  <c r="I5" i="13"/>
  <c r="K5" i="13" s="1"/>
  <c r="I7" i="13"/>
  <c r="K7" i="13" s="1"/>
  <c r="N16" i="13"/>
  <c r="M16" i="13"/>
  <c r="M14" i="13"/>
  <c r="P8" i="12"/>
  <c r="N8" i="12"/>
  <c r="I21" i="1" s="1"/>
  <c r="N16" i="12"/>
  <c r="I29" i="1" s="1"/>
  <c r="N7" i="12"/>
  <c r="I20" i="1" s="1"/>
  <c r="O7" i="12"/>
  <c r="L20" i="1" s="1"/>
  <c r="M7" i="12"/>
  <c r="J20" i="1" s="1"/>
  <c r="P7" i="12"/>
  <c r="G8" i="12"/>
  <c r="G16" i="12"/>
  <c r="P5" i="12"/>
  <c r="N5" i="12"/>
  <c r="I18" i="1" s="1"/>
  <c r="O5" i="12"/>
  <c r="L18" i="1" s="1"/>
  <c r="M5" i="12"/>
  <c r="J18" i="1" s="1"/>
  <c r="F26" i="9"/>
  <c r="G26" i="9"/>
  <c r="G34" i="9"/>
  <c r="F34" i="9"/>
  <c r="G25" i="9"/>
  <c r="F25" i="9"/>
  <c r="F33" i="9"/>
  <c r="G33" i="9"/>
  <c r="F9" i="9"/>
  <c r="F12" i="9"/>
  <c r="H42" i="1"/>
  <c r="H40" i="1"/>
  <c r="I38" i="1"/>
  <c r="H44" i="1"/>
  <c r="I47" i="1"/>
  <c r="J43" i="1"/>
  <c r="H43" i="1"/>
  <c r="H41" i="1"/>
  <c r="J41" i="1"/>
  <c r="I41" i="1"/>
  <c r="K41" i="1"/>
  <c r="I44" i="1"/>
  <c r="K44" i="1"/>
  <c r="H39" i="1"/>
  <c r="I36" i="1"/>
  <c r="I45" i="1"/>
  <c r="K43" i="1"/>
  <c r="I43" i="1"/>
  <c r="H45" i="1"/>
  <c r="J45" i="1"/>
  <c r="I40" i="1"/>
  <c r="K40" i="1"/>
  <c r="H47" i="1"/>
  <c r="I39" i="1"/>
  <c r="L17" i="12" l="1"/>
  <c r="N11" i="12"/>
  <c r="I24" i="1" s="1"/>
  <c r="N13" i="12"/>
  <c r="I26" i="1" s="1"/>
  <c r="M11" i="12"/>
  <c r="J24" i="1" s="1"/>
  <c r="N12" i="13"/>
  <c r="N13" i="13"/>
  <c r="N6" i="12"/>
  <c r="I19" i="1" s="1"/>
  <c r="P11" i="12"/>
  <c r="T11" i="12" s="1"/>
  <c r="P24" i="1" s="1"/>
  <c r="O16" i="12"/>
  <c r="L29" i="1" s="1"/>
  <c r="O11" i="12"/>
  <c r="L24" i="1" s="1"/>
  <c r="P16" i="12"/>
  <c r="M13" i="13"/>
  <c r="O6" i="12"/>
  <c r="L19" i="1" s="1"/>
  <c r="M16" i="12"/>
  <c r="J29" i="1" s="1"/>
  <c r="M8" i="12"/>
  <c r="J21" i="1" s="1"/>
  <c r="O8" i="12"/>
  <c r="L21" i="1" s="1"/>
  <c r="H30" i="1"/>
  <c r="J22" i="13"/>
  <c r="J7" i="1"/>
  <c r="I22" i="13" s="1"/>
  <c r="O13" i="12"/>
  <c r="L26" i="1" s="1"/>
  <c r="M13" i="12"/>
  <c r="J26" i="1" s="1"/>
  <c r="Q8" i="12"/>
  <c r="M21" i="1" s="1"/>
  <c r="K21" i="1"/>
  <c r="J20" i="13"/>
  <c r="D7" i="1"/>
  <c r="I20" i="13" s="1"/>
  <c r="E30" i="1"/>
  <c r="Q16" i="12"/>
  <c r="M29" i="1" s="1"/>
  <c r="K29" i="1"/>
  <c r="P6" i="12"/>
  <c r="Q5" i="12"/>
  <c r="M18" i="1" s="1"/>
  <c r="K18" i="1"/>
  <c r="H27" i="1"/>
  <c r="N14" i="12"/>
  <c r="P14" i="12"/>
  <c r="P13" i="12"/>
  <c r="P15" i="12"/>
  <c r="M15" i="12"/>
  <c r="J28" i="1" s="1"/>
  <c r="G30" i="1"/>
  <c r="J13" i="1"/>
  <c r="O14" i="12"/>
  <c r="L27" i="1" s="1"/>
  <c r="H23" i="1"/>
  <c r="P10" i="12"/>
  <c r="H25" i="1"/>
  <c r="O12" i="12"/>
  <c r="L25" i="1" s="1"/>
  <c r="P12" i="12"/>
  <c r="N12" i="12"/>
  <c r="O15" i="12"/>
  <c r="L28" i="1" s="1"/>
  <c r="N14" i="13"/>
  <c r="H19" i="1"/>
  <c r="M6" i="12"/>
  <c r="J19" i="1" s="1"/>
  <c r="N15" i="12"/>
  <c r="I28" i="1" s="1"/>
  <c r="Q11" i="12"/>
  <c r="M24" i="1" s="1"/>
  <c r="K24" i="1"/>
  <c r="Q7" i="12"/>
  <c r="M20" i="1" s="1"/>
  <c r="K20" i="1"/>
  <c r="G7" i="1"/>
  <c r="I21" i="13" s="1"/>
  <c r="F30" i="1"/>
  <c r="J21" i="13"/>
  <c r="M10" i="12"/>
  <c r="J23" i="1" s="1"/>
  <c r="H22" i="1"/>
  <c r="P9" i="12"/>
  <c r="N9" i="12"/>
  <c r="O9" i="12"/>
  <c r="L22" i="1" s="1"/>
  <c r="N10" i="13"/>
  <c r="N6" i="13"/>
  <c r="B25" i="13"/>
  <c r="D25" i="13" s="1"/>
  <c r="N8" i="13"/>
  <c r="K10" i="13"/>
  <c r="L10" i="13" s="1"/>
  <c r="M6" i="13"/>
  <c r="B24" i="13"/>
  <c r="D24" i="13" s="1"/>
  <c r="N9" i="13"/>
  <c r="M8" i="13"/>
  <c r="M15" i="13"/>
  <c r="N15" i="13"/>
  <c r="T5" i="12"/>
  <c r="P18" i="1" s="1"/>
  <c r="T7" i="12"/>
  <c r="P20" i="1" s="1"/>
  <c r="O17" i="12"/>
  <c r="P17" i="12"/>
  <c r="N5" i="13"/>
  <c r="N7" i="13"/>
  <c r="M7" i="13"/>
  <c r="L7" i="13"/>
  <c r="L5" i="13"/>
  <c r="M5" i="13"/>
  <c r="T16" i="12"/>
  <c r="P29" i="1" s="1"/>
  <c r="S7" i="12"/>
  <c r="O20" i="1" s="1"/>
  <c r="R16" i="12"/>
  <c r="N29" i="1" s="1"/>
  <c r="S16" i="12"/>
  <c r="O29" i="1" s="1"/>
  <c r="R7" i="12" l="1"/>
  <c r="N20" i="1" s="1"/>
  <c r="N17" i="12"/>
  <c r="I30" i="1" s="1"/>
  <c r="R11" i="12"/>
  <c r="N24" i="1" s="1"/>
  <c r="T13" i="12"/>
  <c r="P26" i="1" s="1"/>
  <c r="K20" i="13"/>
  <c r="L20" i="13" s="1"/>
  <c r="T15" i="12"/>
  <c r="P28" i="1" s="1"/>
  <c r="T8" i="12"/>
  <c r="P21" i="1" s="1"/>
  <c r="I22" i="1"/>
  <c r="T9" i="12"/>
  <c r="P22" i="1" s="1"/>
  <c r="I25" i="1"/>
  <c r="T12" i="12"/>
  <c r="P25" i="1" s="1"/>
  <c r="Q6" i="12"/>
  <c r="K19" i="1"/>
  <c r="Q15" i="12"/>
  <c r="K28" i="1"/>
  <c r="L30" i="1"/>
  <c r="J23" i="13"/>
  <c r="J10" i="1"/>
  <c r="I23" i="13" s="1"/>
  <c r="A10" i="1"/>
  <c r="Q9" i="12"/>
  <c r="K22" i="1"/>
  <c r="Q12" i="12"/>
  <c r="K25" i="1"/>
  <c r="M17" i="12"/>
  <c r="T6" i="12"/>
  <c r="P19" i="1" s="1"/>
  <c r="Q13" i="12"/>
  <c r="K26" i="1"/>
  <c r="Q14" i="12"/>
  <c r="K27" i="1"/>
  <c r="K22" i="13"/>
  <c r="L22" i="13" s="1"/>
  <c r="S8" i="12"/>
  <c r="O21" i="1" s="1"/>
  <c r="S5" i="12"/>
  <c r="O18" i="1" s="1"/>
  <c r="Q10" i="12"/>
  <c r="K23" i="1"/>
  <c r="T10" i="12"/>
  <c r="P23" i="1" s="1"/>
  <c r="S11" i="12"/>
  <c r="O24" i="1" s="1"/>
  <c r="R8" i="12"/>
  <c r="N21" i="1" s="1"/>
  <c r="R5" i="12"/>
  <c r="N18" i="1" s="1"/>
  <c r="K30" i="1"/>
  <c r="G10" i="1"/>
  <c r="I24" i="13" s="1"/>
  <c r="J24" i="13"/>
  <c r="K21" i="13"/>
  <c r="L21" i="13" s="1"/>
  <c r="I27" i="1"/>
  <c r="T14" i="12"/>
  <c r="P27" i="1" s="1"/>
  <c r="Q17" i="12"/>
  <c r="R17" i="12" s="1"/>
  <c r="M10" i="13"/>
  <c r="T17" i="12" l="1"/>
  <c r="P30" i="1" s="1"/>
  <c r="K24" i="13"/>
  <c r="L24" i="13" s="1"/>
  <c r="K23" i="13"/>
  <c r="L23" i="13" s="1"/>
  <c r="M22" i="1"/>
  <c r="S9" i="12"/>
  <c r="O22" i="1" s="1"/>
  <c r="R9" i="12"/>
  <c r="N22" i="1" s="1"/>
  <c r="M25" i="1"/>
  <c r="R12" i="12"/>
  <c r="N25" i="1" s="1"/>
  <c r="S12" i="12"/>
  <c r="O25" i="1" s="1"/>
  <c r="A13" i="1"/>
  <c r="M30" i="1"/>
  <c r="M28" i="1"/>
  <c r="R15" i="12"/>
  <c r="N28" i="1" s="1"/>
  <c r="S15" i="12"/>
  <c r="O28" i="1" s="1"/>
  <c r="R10" i="12"/>
  <c r="N23" i="1" s="1"/>
  <c r="M23" i="1"/>
  <c r="S10" i="12"/>
  <c r="O23" i="1" s="1"/>
  <c r="D13" i="1"/>
  <c r="N30" i="1"/>
  <c r="M27" i="1"/>
  <c r="S14" i="12"/>
  <c r="O27" i="1" s="1"/>
  <c r="R14" i="12"/>
  <c r="N27" i="1" s="1"/>
  <c r="S6" i="12"/>
  <c r="O19" i="1" s="1"/>
  <c r="M19" i="1"/>
  <c r="R6" i="12"/>
  <c r="N19" i="1" s="1"/>
  <c r="M26" i="1"/>
  <c r="R13" i="12"/>
  <c r="N26" i="1" s="1"/>
  <c r="S13" i="12"/>
  <c r="O26" i="1" s="1"/>
  <c r="J30" i="1"/>
  <c r="D10" i="1"/>
  <c r="S17" i="12"/>
  <c r="G13" i="1" l="1"/>
  <c r="I25" i="13" s="1"/>
  <c r="J25" i="13"/>
  <c r="O30" i="1"/>
  <c r="K25" i="13" l="1"/>
  <c r="L25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<sst xmlns="http://schemas.openxmlformats.org/spreadsheetml/2006/main" count="1630" uniqueCount="697">
  <si>
    <t>OFFICE FIT-OUT - PROJECT CONTROLLING DASHBOARD</t>
  </si>
  <si>
    <t>EVM Performance Status | Tufte-Compliant Design | Data-Ink Maximized</t>
  </si>
  <si>
    <t>Status Date:</t>
  </si>
  <si>
    <t>Status Week:</t>
  </si>
  <si>
    <t>Sector:</t>
  </si>
  <si>
    <t>Corporate Real Estate</t>
  </si>
  <si>
    <t>BUDGET AT COMPLETION (BAC)</t>
  </si>
  <si>
    <t>PLANNED VALUE (PV)</t>
  </si>
  <si>
    <t>ACTUAL COST (AC)</t>
  </si>
  <si>
    <t>EARNED VALUE (EV)</t>
  </si>
  <si>
    <t>COST VARIANCE (CV)</t>
  </si>
  <si>
    <t>SCHEDULE VARIANCE (SV)</t>
  </si>
  <si>
    <t>CPI (COST INDEX)</t>
  </si>
  <si>
    <t>SPI (SCHEDULE INDEX)</t>
  </si>
  <si>
    <t>ESTIMATE AT COMPLETION (EAC)</t>
  </si>
  <si>
    <t>ESTIMATE TO COMPLETE (ETC)</t>
  </si>
  <si>
    <t>VARIANCE AT COMPLETION (VAC)</t>
  </si>
  <si>
    <t>PROJECT PROGRESS %</t>
  </si>
  <si>
    <t>WBS Element Performance Breakdown</t>
  </si>
  <si>
    <t>WBS ID</t>
  </si>
  <si>
    <t>Activity Name</t>
  </si>
  <si>
    <t>Type</t>
  </si>
  <si>
    <t>Budget (BAC)</t>
  </si>
  <si>
    <t>Planned Value (PV)</t>
  </si>
  <si>
    <t>Actual Cost (AC)</t>
  </si>
  <si>
    <t>Progress %</t>
  </si>
  <si>
    <t>Earned Value (EV)</t>
  </si>
  <si>
    <t>CV</t>
  </si>
  <si>
    <t>SV</t>
  </si>
  <si>
    <t>CPI</t>
  </si>
  <si>
    <t>SPI</t>
  </si>
  <si>
    <t>EAC</t>
  </si>
  <si>
    <t>ETC</t>
  </si>
  <si>
    <t>VAC</t>
  </si>
  <si>
    <t>Status</t>
  </si>
  <si>
    <t>WBS-01</t>
  </si>
  <si>
    <t>Project Management</t>
  </si>
  <si>
    <t>Labor</t>
  </si>
  <si>
    <t>WBS-02</t>
  </si>
  <si>
    <t>Site Survey &amp; Mobilization</t>
  </si>
  <si>
    <t>WBS-03</t>
  </si>
  <si>
    <t>Design &amp; Engineering</t>
  </si>
  <si>
    <t>WBS-04</t>
  </si>
  <si>
    <t>Procurement - Materials</t>
  </si>
  <si>
    <t>Material</t>
  </si>
  <si>
    <t>WBS-05</t>
  </si>
  <si>
    <t>Demolition &amp; Prep</t>
  </si>
  <si>
    <t>WBS-06</t>
  </si>
  <si>
    <t>Electrical Rough-In</t>
  </si>
  <si>
    <t>WBS-07</t>
  </si>
  <si>
    <t>HVAC Installation</t>
  </si>
  <si>
    <t>Subcontractor</t>
  </si>
  <si>
    <t>WBS-08</t>
  </si>
  <si>
    <t>Partitions &amp; Drywall</t>
  </si>
  <si>
    <t>WBS-09</t>
  </si>
  <si>
    <t>Flooring</t>
  </si>
  <si>
    <t>WBS-10</t>
  </si>
  <si>
    <t>Fixtures &amp; Furniture</t>
  </si>
  <si>
    <t>WBS-11</t>
  </si>
  <si>
    <t>Testing / Commissioning</t>
  </si>
  <si>
    <t>WBS-12</t>
  </si>
  <si>
    <t>Handover &amp; Closeout</t>
  </si>
  <si>
    <t>Total / Project Portfolio</t>
  </si>
  <si>
    <t>Weekly Cumulative Performance Trends</t>
  </si>
  <si>
    <t>Week</t>
  </si>
  <si>
    <t>Week Date</t>
  </si>
  <si>
    <t>Weekly PV</t>
  </si>
  <si>
    <t>Cum PV</t>
  </si>
  <si>
    <t>Weekly AC</t>
  </si>
  <si>
    <t>Cum AC</t>
  </si>
  <si>
    <t>Cum EV</t>
  </si>
  <si>
    <t>Project_ID</t>
  </si>
  <si>
    <t>Project_Name</t>
  </si>
  <si>
    <t>Start_Date</t>
  </si>
  <si>
    <t>End_Date</t>
  </si>
  <si>
    <t>BAC</t>
  </si>
  <si>
    <t>Sector</t>
  </si>
  <si>
    <t>P101</t>
  </si>
  <si>
    <t>Office Fit-Out</t>
  </si>
  <si>
    <t>WBS_ID</t>
  </si>
  <si>
    <t>WBS_Code</t>
  </si>
  <si>
    <t>Activity_Name</t>
  </si>
  <si>
    <t>Total_Budget</t>
  </si>
  <si>
    <t>Resource_ID</t>
  </si>
  <si>
    <t>Resource_Name</t>
  </si>
  <si>
    <t>Role</t>
  </si>
  <si>
    <t>Hourly_Rate</t>
  </si>
  <si>
    <t>R01</t>
  </si>
  <si>
    <t>Project Manager</t>
  </si>
  <si>
    <t>Management</t>
  </si>
  <si>
    <t>R02</t>
  </si>
  <si>
    <t>Lead Engineer</t>
  </si>
  <si>
    <t>Engineering</t>
  </si>
  <si>
    <t>R03</t>
  </si>
  <si>
    <t>Electrician</t>
  </si>
  <si>
    <t>Trades</t>
  </si>
  <si>
    <t>R04</t>
  </si>
  <si>
    <t>Demolition Crew</t>
  </si>
  <si>
    <t>R05</t>
  </si>
  <si>
    <t>Testing Engineer</t>
  </si>
  <si>
    <t>QA</t>
  </si>
  <si>
    <t>R06</t>
  </si>
  <si>
    <t>Closeout Specialist</t>
  </si>
  <si>
    <t>R07</t>
  </si>
  <si>
    <t>Materials Vendor</t>
  </si>
  <si>
    <t>Vendor</t>
  </si>
  <si>
    <t>R08</t>
  </si>
  <si>
    <t>HVAC Contractor</t>
  </si>
  <si>
    <t>Contractor</t>
  </si>
  <si>
    <t>R09</t>
  </si>
  <si>
    <t>Drywall Contractor</t>
  </si>
  <si>
    <t>R10</t>
  </si>
  <si>
    <t>Flooring Supplier</t>
  </si>
  <si>
    <t>R11</t>
  </si>
  <si>
    <t>Furniture Supplier</t>
  </si>
  <si>
    <t>Date</t>
  </si>
  <si>
    <t>Year</t>
  </si>
  <si>
    <t>Month</t>
  </si>
  <si>
    <t>Month_Name</t>
  </si>
  <si>
    <t>Quarter</t>
  </si>
  <si>
    <t>Week_Number</t>
  </si>
  <si>
    <t>Is_Weekday</t>
  </si>
  <si>
    <t>May</t>
  </si>
  <si>
    <t>June</t>
  </si>
  <si>
    <t>July</t>
  </si>
  <si>
    <t>Planned_Value</t>
  </si>
  <si>
    <t>Actual_Cost</t>
  </si>
  <si>
    <t>Hours_Worked</t>
  </si>
  <si>
    <t>Physical_Progress_Pct</t>
  </si>
  <si>
    <t>RAG Legend</t>
  </si>
  <si>
    <t>Rule</t>
  </si>
  <si>
    <t>Meaning</t>
  </si>
  <si>
    <t>Green</t>
  </si>
  <si>
    <t>Good</t>
  </si>
  <si>
    <t>Amber</t>
  </si>
  <si>
    <t>Watch</t>
  </si>
  <si>
    <t>Near threshold</t>
  </si>
  <si>
    <t>Red</t>
  </si>
  <si>
    <t>Action</t>
  </si>
  <si>
    <t>Behind plan / overrun</t>
  </si>
  <si>
    <t>On/above plan or low exposure</t>
  </si>
  <si>
    <t>Near threshold / medium exposure</t>
  </si>
  <si>
    <t>Behind plan, overrun, or high exposure</t>
  </si>
  <si>
    <t>Project Schedule &amp; EVM Curves</t>
  </si>
  <si>
    <t>Gantt schedule is derived from baseline PV dates by WBS; the S-curve uses cumulative PV, actual cost, and earned value as of each weekly status date.</t>
  </si>
  <si>
    <t>Project Start</t>
  </si>
  <si>
    <t>Project Finish</t>
  </si>
  <si>
    <t>Status Date</t>
  </si>
  <si>
    <t>Activity</t>
  </si>
  <si>
    <t>Start</t>
  </si>
  <si>
    <t>Finish</t>
  </si>
  <si>
    <t>Start Offset</t>
  </si>
  <si>
    <t>Duration Days</t>
  </si>
  <si>
    <t>RAG</t>
  </si>
  <si>
    <t>Office Fit-Out Project Control Workbook</t>
  </si>
  <si>
    <t>PM-EVM compliant workbook map: setup controls, task plan, Gantt, EVM S-curve, dashboard, source dimensions, and fact tables.</t>
  </si>
  <si>
    <t>Sheet</t>
  </si>
  <si>
    <t>Purpose</t>
  </si>
  <si>
    <t>Setup</t>
  </si>
  <si>
    <t>Project-level controls: project metadata, status date, reporting period, and RAG thresholds.</t>
  </si>
  <si>
    <t>Task Plan</t>
  </si>
  <si>
    <t>Integrated WBS/task control table linking baseline dates, BAC, progress, AC, EV, variances, forecasts, and RAG status.</t>
  </si>
  <si>
    <t>EVM</t>
  </si>
  <si>
    <t>Weekly EVM reporting table with cumulative PV, AC, EV, SV, CV, SPI, CPI, EAC, ETC, and VAC.</t>
  </si>
  <si>
    <t>EVM Charts</t>
  </si>
  <si>
    <t>Baseline Gantt schedule and EVM S-curve generated from the same WBS, budget, progress, and actual-cost data.</t>
  </si>
  <si>
    <t>EVM Dashboard</t>
  </si>
  <si>
    <t>Management view with KPI tiles, WBS performance breakdown, trends, and RAG coloring.</t>
  </si>
  <si>
    <t>PM-EVM Compliance</t>
  </si>
  <si>
    <t>Checklist mapping the workbook to the attached PM-EVM guideline.</t>
  </si>
  <si>
    <t>Dim_* / Fact_*</t>
  </si>
  <si>
    <t>Star-schema source data used by the live formulas and charts.</t>
  </si>
  <si>
    <t>Setup Controls</t>
  </si>
  <si>
    <t>Single place to review project metadata, status date, reporting period, and RAG thresholds used by the control workbook.</t>
  </si>
  <si>
    <t>Control</t>
  </si>
  <si>
    <t>Value</t>
  </si>
  <si>
    <t>Project ID</t>
  </si>
  <si>
    <t>Project Name</t>
  </si>
  <si>
    <t>Project End</t>
  </si>
  <si>
    <t>Reporting Period</t>
  </si>
  <si>
    <t>Weekly</t>
  </si>
  <si>
    <t>Budget at Completion (BAC)</t>
  </si>
  <si>
    <t>CPI/SPI Red Threshold</t>
  </si>
  <si>
    <t>CPI/SPI Green Threshold</t>
  </si>
  <si>
    <t>Progress Amber Threshold</t>
  </si>
  <si>
    <t>Progress Green Threshold</t>
  </si>
  <si>
    <t>Metric</t>
  </si>
  <si>
    <t>Interpretation</t>
  </si>
  <si>
    <t>CPI/SPI</t>
  </si>
  <si>
    <t>&gt;= 1.00</t>
  </si>
  <si>
    <t>On or above plan</t>
  </si>
  <si>
    <t>0.95 to &lt; 1.00</t>
  </si>
  <si>
    <t>Near threshold / watch</t>
  </si>
  <si>
    <t>&lt; 0.95</t>
  </si>
  <si>
    <t>Action required</t>
  </si>
  <si>
    <t>Integrated WBS control table: one live task-level view for scope, schedule, budget, progress, actuals, forecasts, and RAG status.</t>
  </si>
  <si>
    <t>WBS Code</t>
  </si>
  <si>
    <t>Task / Activity</t>
  </si>
  <si>
    <t>Baseline Start</t>
  </si>
  <si>
    <t>Baseline Finish</t>
  </si>
  <si>
    <t>BAC (NOK)</t>
  </si>
  <si>
    <t>PV @ Status</t>
  </si>
  <si>
    <t>AC @ Status</t>
  </si>
  <si>
    <t>EV @ Status</t>
  </si>
  <si>
    <t>EVM Reporting</t>
  </si>
  <si>
    <t>Weekly earned value reporting table using the guideline formulas: PV, AC, EV, SV, CV, SPI, CPI, BAC, EAC, ETC, and VAC.</t>
  </si>
  <si>
    <t>Formula</t>
  </si>
  <si>
    <t>Workbook implementation</t>
  </si>
  <si>
    <t>Guideline meaning</t>
  </si>
  <si>
    <t>Current status-date value</t>
  </si>
  <si>
    <t>Check</t>
  </si>
  <si>
    <t>Source</t>
  </si>
  <si>
    <t>SV = EV - PV</t>
  </si>
  <si>
    <t>Schedule variance at status date</t>
  </si>
  <si>
    <t>Live</t>
  </si>
  <si>
    <t>PM-EVM.md lines 145-150</t>
  </si>
  <si>
    <t>CV = EV - AC</t>
  </si>
  <si>
    <t>Cost variance at status date</t>
  </si>
  <si>
    <t>SPI = EV / PV</t>
  </si>
  <si>
    <t>Schedule efficiency</t>
  </si>
  <si>
    <t>CPI = EV / AC</t>
  </si>
  <si>
    <t>Cost efficiency</t>
  </si>
  <si>
    <t>EAC = BAC / CPI</t>
  </si>
  <si>
    <t>Forecast final cost</t>
  </si>
  <si>
    <t>PM-EVM.md lines 203-214</t>
  </si>
  <si>
    <t>VAC = BAC - EAC</t>
  </si>
  <si>
    <t>Expected budget variance at completion</t>
  </si>
  <si>
    <t>PM-EVM Compliance Checklist</t>
  </si>
  <si>
    <t>Workbook compliance map against the attached PM-EVM guideline: WBS, Gantt, EVM, dashboard, live formulas, and exception-focused reporting.</t>
  </si>
  <si>
    <t>Guideline requirement</t>
  </si>
  <si>
    <t>Location</t>
  </si>
  <si>
    <t>Evidence</t>
  </si>
  <si>
    <t>Setup controls: project metadata, status date, reporting period, rates/thresholds</t>
  </si>
  <si>
    <t>Added setup control sheet with live project metadata and thresholds</t>
  </si>
  <si>
    <t>Setup!A4:D20</t>
  </si>
  <si>
    <t>Compliant</t>
  </si>
  <si>
    <t>PM-EVM.md lines 117-126</t>
  </si>
  <si>
    <t>Task Plan as integrated WBS/task control view</t>
  </si>
  <si>
    <t>Added live task table combining WBS, dates, BAC, PV, AC, progress, EV, variances, forecasts and RAG</t>
  </si>
  <si>
    <t>Task Plan!A4:T17</t>
  </si>
  <si>
    <t>PM-EVM.md lines 120-125</t>
  </si>
  <si>
    <t>Gantt display tied to WBS baseline dates</t>
  </si>
  <si>
    <t>Existing EVM Charts Gantt uses WBS activities, baseline start/finish and duration</t>
  </si>
  <si>
    <t>EVM Charts!Gantt Schedule</t>
  </si>
  <si>
    <t>PM-EVM.md lines 122-125</t>
  </si>
  <si>
    <t>EVM by reporting period with PV, EV, AC, SV, CV, SPI, CPI, BAC, EAC, ETC, VAC</t>
  </si>
  <si>
    <t>Added EVM reporting table with weekly live formulas</t>
  </si>
  <si>
    <t>EVM!A4:N16</t>
  </si>
  <si>
    <t>PM-EVM.md lines 123-124</t>
  </si>
  <si>
    <t>S-curve shows cumulative PV, EV, and AC over time</t>
  </si>
  <si>
    <t>Existing EVM S-curve chart is sourced from weekly cumulative helper table</t>
  </si>
  <si>
    <t>EVM Charts!EVM S-Curve</t>
  </si>
  <si>
    <t>PM-EVM.md lines 50-54</t>
  </si>
  <si>
    <t>Dashboard summarizes management KPIs and top WBS exceptions</t>
  </si>
  <si>
    <t>Existing dashboard has KPI tiles, WBS table, RAG, variance/status fields</t>
  </si>
  <si>
    <t>EVM Dashboard!A1:P47</t>
  </si>
  <si>
    <t>PM-EVM.md lines 781-785</t>
  </si>
  <si>
    <t>Exception-focused reporting with RAG / traffic-light indicators</t>
  </si>
  <si>
    <t>RAG rules applied across performance indices, progress, variances, and status cells</t>
  </si>
  <si>
    <t>EVM Dashboard, Task Plan, EVM</t>
  </si>
  <si>
    <t>Consistent WBS codes, budgets, dates, and actuals across views</t>
  </si>
  <si>
    <t>Task Plan, EVM, Gantt and dashboard all reference Dim_WBS and fact tables</t>
  </si>
  <si>
    <t>Dim_WBS / Fact_*</t>
  </si>
  <si>
    <t>PM-EVM.md lines 270-274</t>
  </si>
  <si>
    <t>Validate formulas and totals</t>
  </si>
  <si>
    <t>PM-EVM.md lines 783-785</t>
  </si>
  <si>
    <t>Status tie-out</t>
  </si>
  <si>
    <t>Dashboard value</t>
  </si>
  <si>
    <t>Variance</t>
  </si>
  <si>
    <t>PV</t>
  </si>
  <si>
    <t>AC</t>
  </si>
  <si>
    <t>EV</t>
  </si>
  <si>
    <t>Added formula validation and status-date tie-out to dashboard KPIs</t>
  </si>
  <si>
    <t>EVM!H19:M25</t>
  </si>
  <si>
    <t>Project Control Glossary</t>
  </si>
  <si>
    <t>Definitions for the EVM, WBS, Gantt, schedule, cost, and RAG terms used across this workbook.</t>
  </si>
  <si>
    <t>Category</t>
  </si>
  <si>
    <t>Term</t>
  </si>
  <si>
    <t>Abbrev.</t>
  </si>
  <si>
    <t>Definition</t>
  </si>
  <si>
    <t>Workbook reference</t>
  </si>
  <si>
    <t>Project setup</t>
  </si>
  <si>
    <t>Approved start date for the project control baseline.</t>
  </si>
  <si>
    <t>Setup!B7 / Dim_Project!C2</t>
  </si>
  <si>
    <t>Approved planned end date for the project.</t>
  </si>
  <si>
    <t>Setup!B8 / Dim_Project!D2</t>
  </si>
  <si>
    <t>Cut-off date for reported progress, actual costs, and EVM metrics.</t>
  </si>
  <si>
    <t>Setup!B9 / EVM Dashboard!B4</t>
  </si>
  <si>
    <t>Scope / WBS</t>
  </si>
  <si>
    <t>Work Breakdown Structure</t>
  </si>
  <si>
    <t>WBS</t>
  </si>
  <si>
    <t>Hierarchical breakdown of project scope into controllable work packages or activities.</t>
  </si>
  <si>
    <t>Dim_WBS / Task Plan</t>
  </si>
  <si>
    <t>Unique identifier used to connect WBS activities to baseline PV, actual costs, and progress facts.</t>
  </si>
  <si>
    <t>Dim_WBS!A:A</t>
  </si>
  <si>
    <t>Activity / Task</t>
  </si>
  <si>
    <t>A controllable unit of project work with budget, schedule, progress, and cost tracking.</t>
  </si>
  <si>
    <t>Task Plan!C:C</t>
  </si>
  <si>
    <t>Schedule</t>
  </si>
  <si>
    <t>Planned start date for a WBS activity from the approved baseline.</t>
  </si>
  <si>
    <t>Task Plan!E:E</t>
  </si>
  <si>
    <t>Planned finish date for a WBS activity from the approved baseline.</t>
  </si>
  <si>
    <t>Task Plan!F:F</t>
  </si>
  <si>
    <t>Calendar-day span between baseline start and finish dates.</t>
  </si>
  <si>
    <t>Task Plan!G:G</t>
  </si>
  <si>
    <t>Gantt Chart</t>
  </si>
  <si>
    <t>Timeline chart showing planned activity timing and duration by WBS activity.</t>
  </si>
  <si>
    <t>Cost / EVM</t>
  </si>
  <si>
    <t>Budget at Completion</t>
  </si>
  <si>
    <t>Approved total budget for the project or WBS activity.</t>
  </si>
  <si>
    <t>Setup!B11 / Task Plan!H:H</t>
  </si>
  <si>
    <t>Planned Value</t>
  </si>
  <si>
    <t>Budgeted value of work planned to be complete by a given date.</t>
  </si>
  <si>
    <t>Task Plan!I:I / EVM!C:C</t>
  </si>
  <si>
    <t>Actual Cost</t>
  </si>
  <si>
    <t>Actual cost incurred by a given date.</t>
  </si>
  <si>
    <t>Task Plan!J:J / EVM!D:D</t>
  </si>
  <si>
    <t>Physical Progress</t>
  </si>
  <si>
    <t>Latest reported percent complete for each WBS activity as of the status date.</t>
  </si>
  <si>
    <t>Task Plan!K:K</t>
  </si>
  <si>
    <t>Earned Value</t>
  </si>
  <si>
    <t>Budgeted value of the work actually completed; calculated as BAC × progress.</t>
  </si>
  <si>
    <t>Task Plan!L:L / EVM!E:E</t>
  </si>
  <si>
    <t>Schedule Variance</t>
  </si>
  <si>
    <t>EV minus PV; negative means less work completed than planned.</t>
  </si>
  <si>
    <t>Task Plan!M:M / EVM!F:F</t>
  </si>
  <si>
    <t>Cost Variance</t>
  </si>
  <si>
    <t>EV minus AC; negative means cost overrun for completed work.</t>
  </si>
  <si>
    <t>Task Plan!N:N / EVM!G:G</t>
  </si>
  <si>
    <t>Performance index</t>
  </si>
  <si>
    <t>Schedule Performance Index</t>
  </si>
  <si>
    <t>EV divided by PV; below 1.0 indicates unfavorable schedule efficiency.</t>
  </si>
  <si>
    <t>Task Plan!O:O / EVM!H:H</t>
  </si>
  <si>
    <t>Cost Performance Index</t>
  </si>
  <si>
    <t>EV divided by AC; below 1.0 indicates unfavorable cost efficiency.</t>
  </si>
  <si>
    <t>Task Plan!P:P / EVM!I:I</t>
  </si>
  <si>
    <t>Forecast</t>
  </si>
  <si>
    <t>Estimate at Completion</t>
  </si>
  <si>
    <t>Forecast final project or WBS cost, typically BAC divided by CPI.</t>
  </si>
  <si>
    <t>Task Plan!Q:Q / EVM!K:K</t>
  </si>
  <si>
    <t>Estimate to Complete</t>
  </si>
  <si>
    <t>Forecast remaining cost to complete the work; EAC minus AC.</t>
  </si>
  <si>
    <t>Task Plan!R:R / EVM!L:L</t>
  </si>
  <si>
    <t>Variance at Completion</t>
  </si>
  <si>
    <t>Expected budget variance at completion; BAC minus EAC.</t>
  </si>
  <si>
    <t>Task Plan!S:S / EVM!M:M</t>
  </si>
  <si>
    <t>Chart</t>
  </si>
  <si>
    <t>EVM S-Curve</t>
  </si>
  <si>
    <t>Line chart comparing cumulative PV, EV, and AC over time.</t>
  </si>
  <si>
    <t>Good condition: on/above plan, favorable variance, or acceptable performance threshold.</t>
  </si>
  <si>
    <t>Setup!A18:D18</t>
  </si>
  <si>
    <t>Watch condition: close to threshold or mid-progress; monitor closely.</t>
  </si>
  <si>
    <t>Setup!A19:D19</t>
  </si>
  <si>
    <t>Action condition: negative variance, low progress, CPI/SPI below threshold, or overrun.</t>
  </si>
  <si>
    <t>Setup!A20:D20</t>
  </si>
  <si>
    <t>Reporting</t>
  </si>
  <si>
    <t>Dashboard</t>
  </si>
  <si>
    <t>Management summary view showing KPIs, WBS performance, trend data, and RAG status.</t>
  </si>
  <si>
    <t>Tie-out</t>
  </si>
  <si>
    <t>Validation that dashboard KPIs match the detailed EVM reporting table at the status date.</t>
  </si>
  <si>
    <t>Data model</t>
  </si>
  <si>
    <t>Dimension Table</t>
  </si>
  <si>
    <t>Dim</t>
  </si>
  <si>
    <t>Reference table describing projects, WBS, resources, or calendar dates.</t>
  </si>
  <si>
    <t>Dim_Project / Dim_WBS / Dim_Resource / Dim_Calendar</t>
  </si>
  <si>
    <t>Fact Table</t>
  </si>
  <si>
    <t>Fact</t>
  </si>
  <si>
    <t>Transaction or event table containing planned values, actual costs, or progress observations.</t>
  </si>
  <si>
    <t>Fact_Baseline_PV / Fact_Actual_Costs / Fact_Physical_Progress</t>
  </si>
  <si>
    <t>Glossary</t>
  </si>
  <si>
    <t>Definitions for the EVM, WBS, Gantt, schedule, cost, RAG, and data-model terms used in the workbook.</t>
  </si>
  <si>
    <t>Used in charts</t>
  </si>
  <si>
    <t>Good / baseline target</t>
  </si>
  <si>
    <t>Gantt good bars; PV line</t>
  </si>
  <si>
    <t>Watch / earned progress</t>
  </si>
  <si>
    <t>Gantt watch bars; EV line</t>
  </si>
  <si>
    <t>Action / cost exposure</t>
  </si>
  <si>
    <t>Gantt action bars; AC line</t>
  </si>
  <si>
    <t>White</t>
  </si>
  <si>
    <t>Hidden helper</t>
  </si>
  <si>
    <t>Gantt start-offset series</t>
  </si>
  <si>
    <t>Task Plan value</t>
  </si>
  <si>
    <t>Task Plan!I17</t>
  </si>
  <si>
    <t>Task Plan!J17</t>
  </si>
  <si>
    <t>Task Plan!L17</t>
  </si>
  <si>
    <t>Task Plan!O17</t>
  </si>
  <si>
    <t>Task Plan!P17</t>
  </si>
  <si>
    <t>Task Plan!S17</t>
  </si>
  <si>
    <t>Red dotted</t>
  </si>
  <si>
    <t>Status date</t>
  </si>
  <si>
    <t>Vertical marker at 2026-06-30</t>
  </si>
  <si>
    <t>12-Step Project Management Method Roadmap</t>
  </si>
  <si>
    <t>Course method embedded into the workbook: define, list, sequence, estimate, check, Gantt, resource, risk, monitor progress/cost, adjust, and review.</t>
  </si>
  <si>
    <t>Step</t>
  </si>
  <si>
    <t>Method step</t>
  </si>
  <si>
    <t>Primary sheet / range</t>
  </si>
  <si>
    <t>Owner</t>
  </si>
  <si>
    <t>Define the project</t>
  </si>
  <si>
    <t>Create the project definition and controls.</t>
  </si>
  <si>
    <t>PID template added with live project metadata.</t>
  </si>
  <si>
    <t>PID!A1:H50</t>
  </si>
  <si>
    <t>Active</t>
  </si>
  <si>
    <t>1.2 12 Step Process / 2.1.2 PID template</t>
  </si>
  <si>
    <t>List the tasks</t>
  </si>
  <si>
    <t>Capture all tasks without initially worrying about order, cost, or time.</t>
  </si>
  <si>
    <t>Task Capture sheet added; WBS imported from current Dim_WBS and grouped by type.</t>
  </si>
  <si>
    <t>Task Capture!A4:J18</t>
  </si>
  <si>
    <t>Project Team</t>
  </si>
  <si>
    <t>3.1.5 List the Tasks / 4.1 List of Tasks</t>
  </si>
  <si>
    <t>Establish task order</t>
  </si>
  <si>
    <t>Convert brainstormed tasks into planned sequencing.</t>
  </si>
  <si>
    <t>Task Plan and Gantt use WBS order and baseline dates.</t>
  </si>
  <si>
    <t>Planner</t>
  </si>
  <si>
    <t>1.2 12 Step Process</t>
  </si>
  <si>
    <t>Estimate time</t>
  </si>
  <si>
    <t>Estimate duration by task.</t>
  </si>
  <si>
    <t>Baseline start, finish, and duration calculated per WBS.</t>
  </si>
  <si>
    <t>Task Plan!E5:G17</t>
  </si>
  <si>
    <t>Margin check &amp; reality check</t>
  </si>
  <si>
    <t>Check whether dates, budget, and resource assumptions are feasible.</t>
  </si>
  <si>
    <t>Status tie-out, EVM checks, and RAG indicators added.</t>
  </si>
  <si>
    <t>Project Controls</t>
  </si>
  <si>
    <t>Show planned timing and status.</t>
  </si>
  <si>
    <t>Gantt chart with RAG bars and status-date marker exists.</t>
  </si>
  <si>
    <t>8.1.2 Gantt templates</t>
  </si>
  <si>
    <t>Resource allocation</t>
  </si>
  <si>
    <t>Map tasks to people/resources and weekly loading.</t>
  </si>
  <si>
    <t>Resource Grid added with weekly hours and costs by WBS.</t>
  </si>
  <si>
    <t>Resource Grid!A4:Z35</t>
  </si>
  <si>
    <t>Resource Manager</t>
  </si>
  <si>
    <t>8.1.2 Gantt template from garden office</t>
  </si>
  <si>
    <t>Predicting &amp; reducing risk</t>
  </si>
  <si>
    <t>Identify project risks and containment measures.</t>
  </si>
  <si>
    <t>PID risk-control register added.</t>
  </si>
  <si>
    <t>PID!A63:E70</t>
  </si>
  <si>
    <t>Template ready</t>
  </si>
  <si>
    <t>2.1.2 PID template</t>
  </si>
  <si>
    <t>Monitoring progress</t>
  </si>
  <si>
    <t>Track completion against plan.</t>
  </si>
  <si>
    <t>Progress is linked from Fact_Physical_Progress to Task Plan and dashboard.</t>
  </si>
  <si>
    <t>Task Plan!K5:K17</t>
  </si>
  <si>
    <t>Monitoring cost</t>
  </si>
  <si>
    <t>Track actual cost and forecast.</t>
  </si>
  <si>
    <t>EVM reporting monitors AC, CV, CPI, EAC, ETC, VAC.</t>
  </si>
  <si>
    <t>Adjusting the plan</t>
  </si>
  <si>
    <t>Use EVM and RAG exceptions to trigger decisions.</t>
  </si>
  <si>
    <t>Decision/action log added to Review.</t>
  </si>
  <si>
    <t>Review!A20:F28</t>
  </si>
  <si>
    <t>Project Board</t>
  </si>
  <si>
    <t>Review &amp; lessons</t>
  </si>
  <si>
    <t>Capture good, bad, better after delivery.</t>
  </si>
  <si>
    <t>Review sheet added with GOOD / BAD / BETTER structure.</t>
  </si>
  <si>
    <t>Review!A4:F17</t>
  </si>
  <si>
    <t>13.1.2 Review Template</t>
  </si>
  <si>
    <t>Project Initiation Document (PID)</t>
  </si>
  <si>
    <t>PID template from the attached method, prefilled with current workbook metadata where available. Fill yellow cells during project definition.</t>
  </si>
  <si>
    <t>Project header</t>
  </si>
  <si>
    <t>Project Number</t>
  </si>
  <si>
    <t>Project Risk Level</t>
  </si>
  <si>
    <t>H/M/L</t>
  </si>
  <si>
    <t>Prepared by</t>
  </si>
  <si>
    <t>Frank Ellingsen</t>
  </si>
  <si>
    <t>Persons consulted</t>
  </si>
  <si>
    <t>Key Driver</t>
  </si>
  <si>
    <t>Cost / Quality / Time</t>
  </si>
  <si>
    <t>1. Business Case</t>
  </si>
  <si>
    <t>Why this project; why now; options considered; what if we do not do it; benefits; payback period.</t>
  </si>
  <si>
    <t>2.1 In Scope / Included</t>
  </si>
  <si>
    <t>Work and deliverables included in the project.</t>
  </si>
  <si>
    <t>2.2 Out of Scope / Excluded</t>
  </si>
  <si>
    <t>Work explicitly excluded from the project.</t>
  </si>
  <si>
    <t>2.3 Dependencies</t>
  </si>
  <si>
    <t>How the project impacts or is impacted by other projects or programmes.</t>
  </si>
  <si>
    <t>2.4 Constraints</t>
  </si>
  <si>
    <t>Deadlines, budget limits, resource limitations or other delivery constraints.</t>
  </si>
  <si>
    <t>2.5 Assumptions</t>
  </si>
  <si>
    <t>Assumptions currently being used for planning.</t>
  </si>
  <si>
    <t>3. Key Actions Proposed</t>
  </si>
  <si>
    <t>Must include a high-level or detailed Gantt chart.</t>
  </si>
  <si>
    <t>4. Project Controls and Reporting</t>
  </si>
  <si>
    <t>How progress will be reported, frequency, method and responsibility.</t>
  </si>
  <si>
    <t>5. Risk Control</t>
  </si>
  <si>
    <t>Project risks and containment measures.</t>
  </si>
  <si>
    <t>6. Financial Implications</t>
  </si>
  <si>
    <t>Frequency / timing</t>
  </si>
  <si>
    <t>How control is reported</t>
  </si>
  <si>
    <t>Responsibility</t>
  </si>
  <si>
    <t>Next report date</t>
  </si>
  <si>
    <t>EVM Dashboard + EVM Charts</t>
  </si>
  <si>
    <t>Stage end</t>
  </si>
  <si>
    <t>PID / Review pack</t>
  </si>
  <si>
    <t>Planned</t>
  </si>
  <si>
    <t>Monthly</t>
  </si>
  <si>
    <t>Board summary</t>
  </si>
  <si>
    <t>Project Risk</t>
  </si>
  <si>
    <t>Containment Measures</t>
  </si>
  <si>
    <t>Due Date</t>
  </si>
  <si>
    <t>Schedule slippage</t>
  </si>
  <si>
    <t>Monitor SPI and Gantt status line; escalate red WBS tasks.</t>
  </si>
  <si>
    <t>Cost overrun</t>
  </si>
  <si>
    <t>Monitor CPI/CV/EAC and review WBS cost drivers.</t>
  </si>
  <si>
    <t>Resource availability</t>
  </si>
  <si>
    <t>Use weekly Resource Grid to identify conflicts.</t>
  </si>
  <si>
    <t>Scope creep</t>
  </si>
  <si>
    <t>Confirm in/out of scope and change-control route in PID.</t>
  </si>
  <si>
    <t>Quality issue</t>
  </si>
  <si>
    <t>Define acceptance criteria and quality checks by task.</t>
  </si>
  <si>
    <t>Supplier delay</t>
  </si>
  <si>
    <t>Track procurement/material activities and delivery milestones.</t>
  </si>
  <si>
    <t>Amount Year 2</t>
  </si>
  <si>
    <t>Amount Year 3</t>
  </si>
  <si>
    <t>Amount Year 4</t>
  </si>
  <si>
    <t>Amount Year 5</t>
  </si>
  <si>
    <t>Task Capture / List the Tasks</t>
  </si>
  <si>
    <t>Method: first list all tasks without worrying about order, cost, or time; then group into phases and convert into the controlled Task Plan.</t>
  </si>
  <si>
    <t>Phase / Area</t>
  </si>
  <si>
    <t>Task</t>
  </si>
  <si>
    <t>Included?</t>
  </si>
  <si>
    <t>Event / Milestone?</t>
  </si>
  <si>
    <t>Notes</t>
  </si>
  <si>
    <t>Source / next action</t>
  </si>
  <si>
    <t>Mapped to Task Plan</t>
  </si>
  <si>
    <t>Yes</t>
  </si>
  <si>
    <t>Imported from current WBS</t>
  </si>
  <si>
    <t>Brainstorm / new</t>
  </si>
  <si>
    <t>Add new tasks here before sequencing</t>
  </si>
  <si>
    <t>Example task-list method from attachment</t>
  </si>
  <si>
    <t>Garden office example grouped tasks: clear the space, foundations, buy the shed, install shed, legal. Use this area to add unstructured tasks before converting them to WBS.</t>
  </si>
  <si>
    <t>Resource Allocation Grid</t>
  </si>
  <si>
    <t>Weekly hours and cost grid adapted from the attached Gantt template: rows are WBS tasks; columns are reporting weeks; totals are live formulas from actual-cost facts.</t>
  </si>
  <si>
    <t>Resource / Role</t>
  </si>
  <si>
    <t>Measure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</si>
  <si>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</si>
  <si>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</si>
  <si>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</si>
  <si>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</si>
  <si>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</si>
  <si>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</si>
  <si>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</si>
  <si>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</si>
  <si>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</si>
  <si>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</si>
  <si>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</si>
  <si>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</si>
  <si>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Total</t>
  </si>
  <si>
    <t>Actual @ Status</t>
  </si>
  <si>
    <t>Remaining BAC</t>
  </si>
  <si>
    <t>Template source</t>
  </si>
  <si>
    <t>Hours</t>
  </si>
  <si>
    <t>Hours row</t>
  </si>
  <si>
    <t>Cost</t>
  </si>
  <si>
    <t>Cost row</t>
  </si>
  <si>
    <t>Gantt of Gantts / monthly workload summary</t>
  </si>
  <si>
    <t>Planned PV</t>
  </si>
  <si>
    <t>8.1.2 Gantt of Gantts template</t>
  </si>
  <si>
    <t>Monthly portfolio-style total from current project PV</t>
  </si>
  <si>
    <t>Monthly portfolio-style total from actual costs</t>
  </si>
  <si>
    <t>Active WBS count</t>
  </si>
  <si>
    <t>Simple monthly activity indicator</t>
  </si>
  <si>
    <t>Project Review &amp; Lessons</t>
  </si>
  <si>
    <t>Review template from attachment: GOOD / BAD / BETTER plus action log for plan adjustments and lessons learned.</t>
  </si>
  <si>
    <t>Project Description</t>
  </si>
  <si>
    <t>Project Period</t>
  </si>
  <si>
    <t>Review Owner</t>
  </si>
  <si>
    <t>Review Date</t>
  </si>
  <si>
    <t>GOOD — what went well that others should repeat?</t>
  </si>
  <si>
    <t>BAD — what mistakes were made or unexpected issues occurred?</t>
  </si>
  <si>
    <t>BETTER / ACTION LOG</t>
  </si>
  <si>
    <t>Due date</t>
  </si>
  <si>
    <t>Decision required?</t>
  </si>
  <si>
    <t>Linked workbook evidence</t>
  </si>
  <si>
    <t>Investigate schedule slippage driving SPI below 1.0</t>
  </si>
  <si>
    <t>EVM Dashboard!J10 / Task Plan!O17</t>
  </si>
  <si>
    <t>Review cost efficiency and current EAC forecast</t>
  </si>
  <si>
    <t>EVM Dashboard!G10 / Task Plan!Q17</t>
  </si>
  <si>
    <t>Confirm mitigation for red WBS activities in Gantt</t>
  </si>
  <si>
    <t>Check future material/subcontractor dependencies</t>
  </si>
  <si>
    <t>No</t>
  </si>
  <si>
    <t>Task Plan / Resource Grid</t>
  </si>
  <si>
    <t>Capture lessons from completed WBS items</t>
  </si>
  <si>
    <t>Task Capture / Review</t>
  </si>
  <si>
    <t>Review source</t>
  </si>
  <si>
    <t>13.1.2 Review Template.pdf</t>
  </si>
  <si>
    <t>Method Roadmap</t>
  </si>
  <si>
    <t>12-step project management method mapped to workbook sheets and current project controls.</t>
  </si>
  <si>
    <t>PID</t>
  </si>
  <si>
    <t>Project Initiation Document template with business case, scope, controls, risk and financial sections.</t>
  </si>
  <si>
    <t>Task Capture</t>
  </si>
  <si>
    <t>Task-list brainstorming sheet based on the attached list-the-tasks method, linked to current WBS.</t>
  </si>
  <si>
    <t>Resource Grid</t>
  </si>
  <si>
    <t>Weekly hours/cost resource allocation grid adapted from the attached Gantt template.</t>
  </si>
  <si>
    <t>Review</t>
  </si>
  <si>
    <t>GOOD / BAD / BETTER review template and action log.</t>
  </si>
  <si>
    <t>Quarterly/annual financial profile adapted from the PID template; Year 1 is linked to the current baseline planned value.</t>
  </si>
  <si>
    <t>Financial Implications</t>
  </si>
  <si>
    <t>Q1</t>
  </si>
  <si>
    <t>Q2</t>
  </si>
  <si>
    <t>Q3</t>
  </si>
  <si>
    <t>Q4</t>
  </si>
  <si>
    <t>Amount Year 1</t>
  </si>
  <si>
    <t>Tab Color Legend</t>
  </si>
  <si>
    <t>Color</t>
  </si>
  <si>
    <t>Sheets</t>
  </si>
  <si>
    <t>Navigation / Reference</t>
  </si>
  <si>
    <t>Cover, Glossary</t>
  </si>
  <si>
    <t>Method / Governance</t>
  </si>
  <si>
    <t>Method Roadmap, PID, PM-EVM Compliance, Review</t>
  </si>
  <si>
    <t>Controls / Planning</t>
  </si>
  <si>
    <t>Setup, Task Plan, Task Capture, Resource Grid</t>
  </si>
  <si>
    <t>Management Outputs</t>
  </si>
  <si>
    <t>EVM Dashboard, EVM, EVM Charts</t>
  </si>
  <si>
    <t>Dimension Data</t>
  </si>
  <si>
    <t>Dim_Project, Dim_WBS, Dim_Resource, Dim_Calendar</t>
  </si>
  <si>
    <t>Fact Data</t>
  </si>
  <si>
    <t>Fact_Baseline_PV, Fact_Actual_Costs, Fact_Physical_Progress</t>
  </si>
  <si>
    <t>Input / Control / Output Classification</t>
  </si>
  <si>
    <t>Class</t>
  </si>
  <si>
    <t>Input</t>
  </si>
  <si>
    <t>Source data or user-entered templates that feed calculations.</t>
  </si>
  <si>
    <t>Dim_Project, Dim_WBS, Dim_Resource, Dim_Calendar, Fact_Baseline_PV, Fact_Actual_Costs, Fact_Physical_Progress, PID, Task Capture, Review</t>
  </si>
  <si>
    <t>Assumptions, governance, validation, methods, and planning logic that manage how inputs are interpreted.</t>
  </si>
  <si>
    <t>Setup, Method Roadmap, PM-EVM Compliance, Task Plan, Resource Grid</t>
  </si>
  <si>
    <t>Output</t>
  </si>
  <si>
    <t>Management-facing reports, charts, dashboards, and reference views produced from inputs and controls.</t>
  </si>
  <si>
    <t>Cover, Glossary, EVM Dashboard, EVM, EVM Charts</t>
  </si>
  <si>
    <t>Reason</t>
  </si>
  <si>
    <t>Cover</t>
  </si>
  <si>
    <t>Workbook navigation and summary.</t>
  </si>
  <si>
    <t>Dim_Project</t>
  </si>
  <si>
    <t>Dim_WBS</t>
  </si>
  <si>
    <t>Dim_Resource</t>
  </si>
  <si>
    <t>Dim_Calendar</t>
  </si>
  <si>
    <t>Fact_Baseline_PV</t>
  </si>
  <si>
    <t>Fact_Actual_Costs</t>
  </si>
  <si>
    <t>Fact_Physical_Progress</t>
  </si>
  <si>
    <t>Workbook classification</t>
  </si>
  <si>
    <t>Source data or user-entered content that feeds project calculations and reports.</t>
  </si>
  <si>
    <t>Cover!D13:H39</t>
  </si>
  <si>
    <t>Assumptions, thresholds, validation, governance, and planning logic used to interpret inputs.</t>
  </si>
  <si>
    <t>Reports, charts, dashboards, and references produced from the input data and control logic.</t>
  </si>
  <si>
    <t>My hours</t>
  </si>
  <si>
    <t>Weekly hours grid</t>
  </si>
  <si>
    <t>Fact_Actual_Costs[Hours_Worked]</t>
  </si>
  <si>
    <t>Total costs</t>
  </si>
  <si>
    <t>Weekly cost grid</t>
  </si>
  <si>
    <t>Fact_Actual_Costs[Actual_Cost]</t>
  </si>
  <si>
    <t>My hours — current project actual hours by WBS / week</t>
  </si>
  <si>
    <t>Role / Type</t>
  </si>
  <si>
    <t>Implemented as</t>
  </si>
  <si>
    <t>my total hours</t>
  </si>
  <si>
    <t>Who / Type</t>
  </si>
  <si>
    <t>my total costs</t>
  </si>
  <si>
    <t>Garden Gantt Model</t>
  </si>
  <si>
    <t>Attached garden-office Gantt template implemented with current project weekly hours and cost data.</t>
  </si>
  <si>
    <t>o</t>
  </si>
  <si>
    <t>Status timeline: 2026-06-30</t>
  </si>
  <si>
    <t>Legend</t>
  </si>
  <si>
    <t>Applied to</t>
  </si>
  <si>
    <t>Red dotted vertical line</t>
  </si>
  <si>
    <t>Status date 2026-06-30</t>
  </si>
  <si>
    <t>Green row</t>
  </si>
  <si>
    <t>Amber row</t>
  </si>
  <si>
    <t>Red row</t>
  </si>
  <si>
    <t>Gantt Model — Office Fit-Out</t>
  </si>
  <si>
    <t>Adapted from the attached Garden Office Gantt template. This sheet is populated from the current workbook WBS, baseline PV, actual cost, actual hours, progress, CPI/RAG status, and status date.</t>
  </si>
  <si>
    <t>Project controls and model mapping</t>
  </si>
  <si>
    <t>Project</t>
  </si>
  <si>
    <t>268,650.00 NOK</t>
  </si>
  <si>
    <t>Current workbook</t>
  </si>
  <si>
    <t>Template element</t>
  </si>
  <si>
    <t>Source table</t>
  </si>
  <si>
    <t>Classification</t>
  </si>
  <si>
    <t>Actual hours by WBS and week; o = planned week with no actual hours yet.</t>
  </si>
  <si>
    <t>Actual cost by WBS and week; o = planned week with no actual cost yet.</t>
  </si>
  <si>
    <t>Total costs — current project actual costs by WBS / week</t>
  </si>
  <si>
    <t>My hours and Total costs grids</t>
  </si>
  <si>
    <t>CPI/SPI &gt;= 1.00 and favorable variance</t>
  </si>
  <si>
    <t>Summary + task totals</t>
  </si>
  <si>
    <t>Behind plan / cost overrun / low index</t>
  </si>
  <si>
    <t>Visio-Style PERT Diagram — Office Fit-Out</t>
  </si>
  <si>
    <t>PERT network inferred from baseline start/finish sequence in Task Plan. Status date: 2026-06-30. Node colors use the workbook RAG status.</t>
  </si>
  <si>
    <t>Duration</t>
  </si>
  <si>
    <t>Progress</t>
  </si>
  <si>
    <t>Inferred predecessor(s)</t>
  </si>
  <si>
    <t>START</t>
  </si>
  <si>
    <t>WBS-02 / WBS-03</t>
  </si>
  <si>
    <t>WBS-04 / WBS-05</t>
  </si>
  <si>
    <t>WBS-07 / WBS-08</t>
  </si>
  <si>
    <t>WBS-09 / WBS-10</t>
  </si>
  <si>
    <t>Visio-style PERT Legend</t>
  </si>
  <si>
    <t>On track</t>
  </si>
  <si>
    <t>CPI/SPI/variance favorable</t>
  </si>
  <si>
    <t>Gray</t>
  </si>
  <si>
    <t>Start / Finish</t>
  </si>
  <si>
    <t>Network endpoints</t>
  </si>
  <si>
    <t>PERT Diagram</t>
  </si>
  <si>
    <t>Visio-style PERT network diagram reflecting the current WBS, schedule, progress and RAG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</si>
</sst>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0\ &quot;NOK&quot;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90000"/>
      <name val="Calibri"/>
      <family val="2"/>
      <scheme val="minor"/>
    </font>
    <font>
      <sz val="11"/>
      <color rgb="FF274E13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rgb="FF990000"/>
      <name val="Calibri"/>
      <family val="2"/>
      <scheme val="minor"/>
    </font>
    <font>
      <b/>
      <sz val="11"/>
      <color rgb="FF274E13"/>
      <name val="Calibri"/>
      <family val="2"/>
      <scheme val="minor"/>
    </font>
    <font>
      <b/>
      <sz val="11"/>
      <color rgb="FF7F6000"/>
      <name val="Calibri"/>
      <family val="2"/>
      <scheme val="minor"/>
    </font>
    <font>
      <i/>
      <sz val="10"/>
      <color rgb="FF7F8C8D"/>
      <name val="Aptos"/>
    </font>
    <font>
      <b/>
      <sz val="10"/>
      <color rgb="FF000000"/>
      <name val="Aptos"/>
    </font>
    <font>
      <sz val="10"/>
      <color rgb="FF000000"/>
      <name val="Aptos"/>
    </font>
    <font>
      <b/>
      <sz val="10"/>
      <color rgb="FF333333"/>
      <name val="Aptos"/>
    </font>
    <font>
      <b/>
      <sz val="10"/>
      <color rgb="FF2C3E50"/>
      <name val="Aptos"/>
    </font>
    <font>
      <sz val="10"/>
      <color theme="1"/>
      <name val="Aptos"/>
    </font>
    <font>
      <b/>
      <sz val="10"/>
      <color rgb="FFFFFFFF"/>
      <name val="Aptos"/>
    </font>
    <font>
      <b/>
      <sz val="10"/>
      <color rgb="FF274E13"/>
      <name val="Aptos"/>
    </font>
    <font>
      <b/>
      <sz val="10"/>
      <color theme="1"/>
      <name val="Aptos"/>
    </font>
    <font>
      <b/>
      <sz val="10"/>
      <color rgb="FF7F8C8D"/>
      <name val="Aptos"/>
    </font>
    <font>
      <b/>
      <sz val="10"/>
      <color rgb="FF7F6000"/>
      <name val="Aptos"/>
    </font>
    <font>
      <b/>
      <sz val="10"/>
      <color rgb="FF990000"/>
      <name val="Aptos"/>
    </font>
    <font>
      <sz val="10"/>
      <color rgb="FF333333"/>
      <name val="Aptos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4F6D7A"/>
      <name val="Calibri"/>
      <family val="2"/>
      <scheme val="minor"/>
    </font>
    <font>
      <sz val="11"/>
      <color rgb="FF4F6D7A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2F4F4"/>
        <bgColor rgb="FFF2F4F4"/>
      </patternFill>
    </fill>
    <fill>
      <patternFill patternType="solid">
        <fgColor rgb="FFFBFCFC"/>
        <bgColor rgb="FFFBFCFC"/>
      </patternFill>
    </fill>
    <fill>
      <patternFill patternType="solid">
        <fgColor rgb="FF1F4E3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6D7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D966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4" borderId="0" xfId="0" applyFont="1" applyFill="1"/>
    <xf numFmtId="0" fontId="0" fillId="0" borderId="3" xfId="0" applyBorder="1"/>
    <xf numFmtId="0" fontId="3" fillId="4" borderId="3" xfId="0" applyFont="1" applyFill="1" applyBorder="1"/>
    <xf numFmtId="0" fontId="5" fillId="6" borderId="3" xfId="0" applyFont="1" applyFill="1" applyBorder="1"/>
    <xf numFmtId="0" fontId="0" fillId="7" borderId="3" xfId="0" applyFill="1" applyBorder="1"/>
    <xf numFmtId="0" fontId="6" fillId="7" borderId="3" xfId="0" applyFont="1" applyFill="1" applyBorder="1"/>
    <xf numFmtId="0" fontId="4" fillId="5" borderId="3" xfId="0" applyFont="1" applyFill="1" applyBorder="1"/>
    <xf numFmtId="0" fontId="8" fillId="6" borderId="3" xfId="0" applyFont="1" applyFill="1" applyBorder="1"/>
    <xf numFmtId="0" fontId="1" fillId="0" borderId="3" xfId="0" applyFont="1" applyBorder="1"/>
    <xf numFmtId="0" fontId="9" fillId="7" borderId="3" xfId="0" applyFont="1" applyFill="1" applyBorder="1"/>
    <xf numFmtId="0" fontId="7" fillId="5" borderId="3" xfId="0" applyFont="1" applyFill="1" applyBorder="1"/>
    <xf numFmtId="165" fontId="11" fillId="0" borderId="3" xfId="0" applyNumberFormat="1" applyFont="1" applyBorder="1" applyAlignment="1">
      <alignment horizontal="right"/>
    </xf>
    <xf numFmtId="4" fontId="11" fillId="0" borderId="3" xfId="0" applyNumberFormat="1" applyFont="1" applyBorder="1" applyAlignment="1">
      <alignment horizontal="right"/>
    </xf>
    <xf numFmtId="2" fontId="11" fillId="0" borderId="3" xfId="0" applyNumberFormat="1" applyFont="1" applyBorder="1" applyAlignment="1">
      <alignment horizontal="right"/>
    </xf>
    <xf numFmtId="0" fontId="11" fillId="0" borderId="3" xfId="0" applyFont="1" applyBorder="1" applyAlignment="1">
      <alignment horizontal="center"/>
    </xf>
    <xf numFmtId="165" fontId="11" fillId="3" borderId="3" xfId="0" applyNumberFormat="1" applyFont="1" applyFill="1" applyBorder="1" applyAlignment="1">
      <alignment horizontal="right"/>
    </xf>
    <xf numFmtId="4" fontId="11" fillId="3" borderId="3" xfId="0" applyNumberFormat="1" applyFont="1" applyFill="1" applyBorder="1" applyAlignment="1">
      <alignment horizontal="right"/>
    </xf>
    <xf numFmtId="2" fontId="11" fillId="3" borderId="3" xfId="0" applyNumberFormat="1" applyFont="1" applyFill="1" applyBorder="1" applyAlignment="1">
      <alignment horizontal="right"/>
    </xf>
    <xf numFmtId="0" fontId="11" fillId="3" borderId="3" xfId="0" applyFont="1" applyFill="1" applyBorder="1" applyAlignment="1">
      <alignment horizontal="center"/>
    </xf>
    <xf numFmtId="0" fontId="16" fillId="4" borderId="3" xfId="0" applyFont="1" applyFill="1" applyBorder="1"/>
    <xf numFmtId="0" fontId="17" fillId="6" borderId="3" xfId="0" applyFont="1" applyFill="1" applyBorder="1"/>
    <xf numFmtId="0" fontId="18" fillId="0" borderId="3" xfId="0" applyFont="1" applyBorder="1"/>
    <xf numFmtId="0" fontId="20" fillId="7" borderId="3" xfId="0" applyFont="1" applyFill="1" applyBorder="1"/>
    <xf numFmtId="0" fontId="21" fillId="5" borderId="3" xfId="0" applyFont="1" applyFill="1" applyBorder="1"/>
    <xf numFmtId="0" fontId="15" fillId="0" borderId="4" xfId="0" applyFont="1" applyBorder="1"/>
    <xf numFmtId="0" fontId="15" fillId="0" borderId="2" xfId="0" applyFont="1" applyBorder="1"/>
    <xf numFmtId="4" fontId="12" fillId="0" borderId="1" xfId="0" applyNumberFormat="1" applyFont="1" applyBorder="1" applyAlignment="1">
      <alignment horizontal="right"/>
    </xf>
    <xf numFmtId="4" fontId="11" fillId="3" borderId="1" xfId="0" applyNumberFormat="1" applyFont="1" applyFill="1" applyBorder="1" applyAlignment="1">
      <alignment horizontal="right"/>
    </xf>
    <xf numFmtId="0" fontId="14" fillId="0" borderId="3" xfId="0" applyFont="1" applyBorder="1"/>
    <xf numFmtId="0" fontId="15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164" fontId="12" fillId="0" borderId="3" xfId="0" applyNumberFormat="1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3" xfId="0" applyFont="1" applyBorder="1"/>
    <xf numFmtId="0" fontId="19" fillId="0" borderId="3" xfId="0" applyFont="1" applyBorder="1"/>
    <xf numFmtId="0" fontId="16" fillId="4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left"/>
    </xf>
    <xf numFmtId="0" fontId="13" fillId="2" borderId="3" xfId="0" applyFont="1" applyFill="1" applyBorder="1" applyAlignment="1">
      <alignment horizontal="right"/>
    </xf>
    <xf numFmtId="4" fontId="12" fillId="0" borderId="3" xfId="0" applyNumberFormat="1" applyFont="1" applyBorder="1" applyAlignment="1">
      <alignment horizontal="right"/>
    </xf>
    <xf numFmtId="0" fontId="11" fillId="3" borderId="3" xfId="0" applyFont="1" applyFill="1" applyBorder="1" applyAlignment="1">
      <alignment horizontal="left"/>
    </xf>
    <xf numFmtId="0" fontId="11" fillId="3" borderId="3" xfId="0" applyFont="1" applyFill="1" applyBorder="1"/>
    <xf numFmtId="0" fontId="12" fillId="0" borderId="3" xfId="0" applyFont="1" applyBorder="1" applyAlignment="1">
      <alignment horizontal="right"/>
    </xf>
    <xf numFmtId="4" fontId="12" fillId="0" borderId="3" xfId="0" applyNumberFormat="1" applyFont="1" applyBorder="1"/>
    <xf numFmtId="2" fontId="12" fillId="0" borderId="3" xfId="0" applyNumberFormat="1" applyFont="1" applyBorder="1"/>
    <xf numFmtId="164" fontId="12" fillId="0" borderId="3" xfId="0" applyNumberFormat="1" applyFont="1" applyBorder="1"/>
    <xf numFmtId="0" fontId="16" fillId="4" borderId="5" xfId="0" applyFont="1" applyFill="1" applyBorder="1" applyAlignment="1">
      <alignment horizontal="center"/>
    </xf>
    <xf numFmtId="0" fontId="15" fillId="0" borderId="6" xfId="0" applyFont="1" applyBorder="1"/>
    <xf numFmtId="4" fontId="12" fillId="0" borderId="2" xfId="0" applyNumberFormat="1" applyFont="1" applyBorder="1" applyAlignment="1">
      <alignment horizontal="right"/>
    </xf>
    <xf numFmtId="4" fontId="11" fillId="3" borderId="2" xfId="0" applyNumberFormat="1" applyFont="1" applyFill="1" applyBorder="1" applyAlignment="1">
      <alignment horizontal="right"/>
    </xf>
    <xf numFmtId="4" fontId="12" fillId="0" borderId="4" xfId="0" applyNumberFormat="1" applyFont="1" applyBorder="1" applyAlignment="1">
      <alignment horizontal="right"/>
    </xf>
    <xf numFmtId="4" fontId="11" fillId="3" borderId="4" xfId="0" applyNumberFormat="1" applyFont="1" applyFill="1" applyBorder="1" applyAlignment="1">
      <alignment horizontal="right"/>
    </xf>
    <xf numFmtId="0" fontId="13" fillId="2" borderId="5" xfId="0" applyFont="1" applyFill="1" applyBorder="1" applyAlignment="1">
      <alignment horizontal="right"/>
    </xf>
    <xf numFmtId="0" fontId="13" fillId="2" borderId="5" xfId="0" applyFont="1" applyFill="1" applyBorder="1" applyAlignment="1">
      <alignment horizontal="center"/>
    </xf>
    <xf numFmtId="0" fontId="15" fillId="0" borderId="5" xfId="0" applyFont="1" applyBorder="1"/>
    <xf numFmtId="164" fontId="21" fillId="5" borderId="3" xfId="0" applyNumberFormat="1" applyFont="1" applyFill="1" applyBorder="1"/>
    <xf numFmtId="4" fontId="22" fillId="8" borderId="3" xfId="0" applyNumberFormat="1" applyFont="1" applyFill="1" applyBorder="1"/>
    <xf numFmtId="1" fontId="12" fillId="0" borderId="3" xfId="0" applyNumberFormat="1" applyFont="1" applyBorder="1"/>
    <xf numFmtId="165" fontId="12" fillId="0" borderId="3" xfId="0" applyNumberFormat="1" applyFont="1" applyBorder="1"/>
    <xf numFmtId="0" fontId="23" fillId="4" borderId="0" xfId="0" applyFont="1" applyFill="1"/>
    <xf numFmtId="0" fontId="24" fillId="0" borderId="0" xfId="0" applyFont="1" applyAlignment="1">
      <alignment wrapText="1"/>
    </xf>
    <xf numFmtId="0" fontId="3" fillId="4" borderId="3" xfId="0" applyFont="1" applyFill="1" applyBorder="1" applyAlignment="1">
      <alignment horizontal="center"/>
    </xf>
    <xf numFmtId="164" fontId="0" fillId="0" borderId="3" xfId="0" applyNumberFormat="1" applyBorder="1"/>
    <xf numFmtId="1" fontId="0" fillId="0" borderId="3" xfId="0" applyNumberFormat="1" applyBorder="1"/>
    <xf numFmtId="165" fontId="0" fillId="0" borderId="3" xfId="0" applyNumberFormat="1" applyBorder="1"/>
    <xf numFmtId="4" fontId="0" fillId="0" borderId="3" xfId="0" applyNumberFormat="1" applyBorder="1"/>
    <xf numFmtId="2" fontId="0" fillId="0" borderId="3" xfId="0" applyNumberFormat="1" applyBorder="1"/>
    <xf numFmtId="0" fontId="1" fillId="0" borderId="0" xfId="0" applyFont="1"/>
    <xf numFmtId="0" fontId="7" fillId="5" borderId="0" xfId="0" applyFont="1" applyFill="1"/>
    <xf numFmtId="0" fontId="25" fillId="0" borderId="3" xfId="0" applyFont="1" applyBorder="1"/>
    <xf numFmtId="0" fontId="0" fillId="0" borderId="3" xfId="0" applyBorder="1" applyAlignment="1">
      <alignment wrapText="1"/>
    </xf>
    <xf numFmtId="166" fontId="0" fillId="0" borderId="3" xfId="0" applyNumberFormat="1" applyBorder="1"/>
    <xf numFmtId="0" fontId="1" fillId="9" borderId="3" xfId="0" applyFont="1" applyFill="1" applyBorder="1"/>
    <xf numFmtId="164" fontId="1" fillId="9" borderId="3" xfId="0" applyNumberFormat="1" applyFont="1" applyFill="1" applyBorder="1"/>
    <xf numFmtId="1" fontId="1" fillId="9" borderId="3" xfId="0" applyNumberFormat="1" applyFont="1" applyFill="1" applyBorder="1"/>
    <xf numFmtId="4" fontId="1" fillId="9" borderId="3" xfId="0" applyNumberFormat="1" applyFont="1" applyFill="1" applyBorder="1"/>
    <xf numFmtId="165" fontId="1" fillId="9" borderId="3" xfId="0" applyNumberFormat="1" applyFont="1" applyFill="1" applyBorder="1"/>
    <xf numFmtId="2" fontId="1" fillId="9" borderId="3" xfId="0" applyNumberFormat="1" applyFont="1" applyFill="1" applyBorder="1"/>
    <xf numFmtId="0" fontId="0" fillId="0" borderId="0" xfId="0" applyAlignment="1">
      <alignment wrapText="1"/>
    </xf>
    <xf numFmtId="0" fontId="0" fillId="8" borderId="3" xfId="0" applyFill="1" applyBorder="1"/>
    <xf numFmtId="0" fontId="26" fillId="0" borderId="3" xfId="0" applyFont="1" applyBorder="1" applyAlignment="1">
      <alignment wrapText="1"/>
    </xf>
    <xf numFmtId="0" fontId="25" fillId="0" borderId="0" xfId="0" applyFont="1"/>
    <xf numFmtId="0" fontId="3" fillId="10" borderId="3" xfId="0" applyFont="1" applyFill="1" applyBorder="1"/>
    <xf numFmtId="0" fontId="27" fillId="11" borderId="3" xfId="0" applyFont="1" applyFill="1" applyBorder="1"/>
    <xf numFmtId="0" fontId="3" fillId="12" borderId="3" xfId="0" applyFont="1" applyFill="1" applyBorder="1"/>
    <xf numFmtId="0" fontId="28" fillId="13" borderId="3" xfId="0" applyFont="1" applyFill="1" applyBorder="1"/>
    <xf numFmtId="0" fontId="1" fillId="0" borderId="3" xfId="0" applyFont="1" applyBorder="1" applyAlignment="1">
      <alignment wrapText="1"/>
    </xf>
    <xf numFmtId="0" fontId="3" fillId="14" borderId="0" xfId="0" applyFont="1" applyFill="1"/>
    <xf numFmtId="164" fontId="0" fillId="7" borderId="3" xfId="0" applyNumberFormat="1" applyFill="1" applyBorder="1"/>
    <xf numFmtId="0" fontId="3" fillId="14" borderId="3" xfId="0" applyFont="1" applyFill="1" applyBorder="1"/>
    <xf numFmtId="0" fontId="0" fillId="7" borderId="3" xfId="0" applyFill="1" applyBorder="1" applyAlignment="1">
      <alignment wrapText="1"/>
    </xf>
    <xf numFmtId="17" fontId="3" fillId="4" borderId="3" xfId="0" applyNumberFormat="1" applyFont="1" applyFill="1" applyBorder="1" applyAlignment="1">
      <alignment horizontal="center"/>
    </xf>
    <xf numFmtId="0" fontId="0" fillId="9" borderId="3" xfId="0" applyFill="1" applyBorder="1"/>
    <xf numFmtId="0" fontId="0" fillId="15" borderId="3" xfId="0" applyFill="1" applyBorder="1"/>
    <xf numFmtId="0" fontId="0" fillId="16" borderId="3" xfId="0" applyFill="1" applyBorder="1"/>
    <xf numFmtId="0" fontId="0" fillId="17" borderId="3" xfId="0" applyFill="1" applyBorder="1"/>
    <xf numFmtId="0" fontId="0" fillId="10" borderId="3" xfId="0" applyFill="1" applyBorder="1"/>
    <xf numFmtId="0" fontId="0" fillId="18" borderId="3" xfId="0" applyFill="1" applyBorder="1"/>
    <xf numFmtId="0" fontId="0" fillId="19" borderId="3" xfId="0" applyFill="1" applyBorder="1"/>
    <xf numFmtId="0" fontId="0" fillId="20" borderId="3" xfId="0" applyFill="1" applyBorder="1"/>
    <xf numFmtId="0" fontId="1" fillId="20" borderId="3" xfId="0" applyFont="1" applyFill="1" applyBorder="1"/>
    <xf numFmtId="0" fontId="1" fillId="10" borderId="3" xfId="0" applyFont="1" applyFill="1" applyBorder="1"/>
    <xf numFmtId="0" fontId="1" fillId="18" borderId="3" xfId="0" applyFont="1" applyFill="1" applyBorder="1"/>
    <xf numFmtId="164" fontId="3" fillId="4" borderId="3" xfId="0" applyNumberFormat="1" applyFont="1" applyFill="1" applyBorder="1" applyAlignment="1">
      <alignment horizontal="center"/>
    </xf>
    <xf numFmtId="2" fontId="7" fillId="5" borderId="3" xfId="0" applyNumberFormat="1" applyFont="1" applyFill="1" applyBorder="1"/>
    <xf numFmtId="4" fontId="7" fillId="5" borderId="3" xfId="0" applyNumberFormat="1" applyFont="1" applyFill="1" applyBorder="1"/>
    <xf numFmtId="2" fontId="8" fillId="6" borderId="3" xfId="0" applyNumberFormat="1" applyFont="1" applyFill="1" applyBorder="1"/>
    <xf numFmtId="4" fontId="8" fillId="6" borderId="3" xfId="0" applyNumberFormat="1" applyFont="1" applyFill="1" applyBorder="1"/>
    <xf numFmtId="2" fontId="0" fillId="15" borderId="3" xfId="0" applyNumberFormat="1" applyFill="1" applyBorder="1"/>
    <xf numFmtId="2" fontId="1" fillId="15" borderId="3" xfId="0" applyNumberFormat="1" applyFont="1" applyFill="1" applyBorder="1"/>
    <xf numFmtId="4" fontId="0" fillId="15" borderId="3" xfId="0" applyNumberFormat="1" applyFill="1" applyBorder="1"/>
    <xf numFmtId="4" fontId="1" fillId="15" borderId="3" xfId="0" applyNumberFormat="1" applyFont="1" applyFill="1" applyBorder="1"/>
    <xf numFmtId="164" fontId="29" fillId="15" borderId="3" xfId="0" applyNumberFormat="1" applyFont="1" applyFill="1" applyBorder="1" applyAlignment="1">
      <alignment horizontal="center"/>
    </xf>
    <xf numFmtId="0" fontId="29" fillId="15" borderId="3" xfId="0" applyFont="1" applyFill="1" applyBorder="1" applyAlignment="1">
      <alignment horizontal="center"/>
    </xf>
    <xf numFmtId="14" fontId="3" fillId="4" borderId="3" xfId="0" applyNumberFormat="1" applyFont="1" applyFill="1" applyBorder="1" applyAlignment="1">
      <alignment horizontal="center"/>
    </xf>
    <xf numFmtId="165" fontId="7" fillId="5" borderId="3" xfId="0" applyNumberFormat="1" applyFont="1" applyFill="1" applyBorder="1"/>
    <xf numFmtId="165" fontId="8" fillId="6" borderId="3" xfId="0" applyNumberFormat="1" applyFont="1" applyFill="1" applyBorder="1"/>
    <xf numFmtId="14" fontId="0" fillId="0" borderId="3" xfId="0" applyNumberFormat="1" applyBorder="1"/>
    <xf numFmtId="0" fontId="0" fillId="0" borderId="3" xfId="0" applyBorder="1" applyAlignment="1">
      <alignment wrapText="1"/>
    </xf>
    <xf numFmtId="0" fontId="3" fillId="4" borderId="3" xfId="0" applyFont="1" applyFill="1" applyBorder="1"/>
    <xf numFmtId="0" fontId="23" fillId="4" borderId="0" xfId="0" applyFont="1" applyFill="1" applyAlignment="1">
      <alignment horizontal="left"/>
    </xf>
    <xf numFmtId="0" fontId="23" fillId="4" borderId="0" xfId="0" applyFont="1" applyFill="1"/>
    <xf numFmtId="0" fontId="24" fillId="0" borderId="0" xfId="0" applyFont="1" applyAlignment="1">
      <alignment wrapText="1"/>
    </xf>
    <xf numFmtId="0" fontId="3" fillId="14" borderId="3" xfId="0" applyFont="1" applyFill="1" applyBorder="1"/>
    <xf numFmtId="0" fontId="0" fillId="7" borderId="3" xfId="0" applyFill="1" applyBorder="1" applyAlignment="1">
      <alignment wrapText="1"/>
    </xf>
    <xf numFmtId="0" fontId="3" fillId="14" borderId="0" xfId="0" applyFont="1" applyFill="1"/>
    <xf numFmtId="0" fontId="0" fillId="0" borderId="0" xfId="0" applyAlignment="1">
      <alignment wrapText="1"/>
    </xf>
    <xf numFmtId="166" fontId="14" fillId="3" borderId="3" xfId="0" applyNumberFormat="1" applyFont="1" applyFill="1" applyBorder="1" applyAlignment="1">
      <alignment horizontal="left" vertical="center"/>
    </xf>
    <xf numFmtId="166" fontId="15" fillId="0" borderId="3" xfId="0" applyNumberFormat="1" applyFont="1" applyBorder="1"/>
    <xf numFmtId="166" fontId="18" fillId="0" borderId="3" xfId="0" applyNumberFormat="1" applyFont="1" applyBorder="1"/>
    <xf numFmtId="166" fontId="18" fillId="0" borderId="2" xfId="0" applyNumberFormat="1" applyFont="1" applyBorder="1"/>
    <xf numFmtId="166" fontId="13" fillId="8" borderId="3" xfId="0" applyNumberFormat="1" applyFont="1" applyFill="1" applyBorder="1" applyAlignment="1">
      <alignment horizontal="left" vertical="center"/>
    </xf>
    <xf numFmtId="166" fontId="13" fillId="8" borderId="3" xfId="0" applyNumberFormat="1" applyFont="1" applyFill="1" applyBorder="1"/>
    <xf numFmtId="166" fontId="13" fillId="8" borderId="2" xfId="0" applyNumberFormat="1" applyFont="1" applyFill="1" applyBorder="1"/>
    <xf numFmtId="2" fontId="14" fillId="3" borderId="3" xfId="0" applyNumberFormat="1" applyFont="1" applyFill="1" applyBorder="1" applyAlignment="1">
      <alignment horizontal="left" vertical="center"/>
    </xf>
    <xf numFmtId="2" fontId="18" fillId="0" borderId="3" xfId="0" applyNumberFormat="1" applyFont="1" applyBorder="1"/>
    <xf numFmtId="2" fontId="18" fillId="0" borderId="2" xfId="0" applyNumberFormat="1" applyFont="1" applyBorder="1"/>
    <xf numFmtId="165" fontId="14" fillId="3" borderId="3" xfId="0" applyNumberFormat="1" applyFont="1" applyFill="1" applyBorder="1" applyAlignment="1">
      <alignment horizontal="left" vertical="center"/>
    </xf>
    <xf numFmtId="165" fontId="18" fillId="0" borderId="3" xfId="0" applyNumberFormat="1" applyFont="1" applyBorder="1"/>
  </cellXfs>
  <cellStyles count="1">
    <cellStyle name="Normal" xfId="0" builtinId="0"/>
  </cellStyles>
  <dxfs count="86"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Gantt Schedule by WBS — RAG Bars + 2026-06-30 Status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'EVM Charts'!$E$4</c:f>
              <c:strCache>
                <c:ptCount val="1"/>
                <c:pt idx="0">
                  <c:v>Start Offset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'EVM Charts'!$B$5:$B$16</c:f>
              <c:strCache>
                <c:ptCount val="12"/>
                <c:pt idx="0">
                  <c:v>Project Management</c:v>
                </c:pt>
                <c:pt idx="1">
                  <c:v>Site Survey &amp; Mobilization</c:v>
                </c:pt>
                <c:pt idx="2">
                  <c:v>Design &amp; Engineering</c:v>
                </c:pt>
                <c:pt idx="3">
                  <c:v>Procurement - Materials</c:v>
                </c:pt>
                <c:pt idx="4">
                  <c:v>Demolition &amp; Prep</c:v>
                </c:pt>
                <c:pt idx="5">
                  <c:v>Electrical Rough-In</c:v>
                </c:pt>
                <c:pt idx="6">
                  <c:v>HVAC Installation</c:v>
                </c:pt>
                <c:pt idx="7">
                  <c:v>Partitions &amp; Drywall</c:v>
                </c:pt>
                <c:pt idx="8">
                  <c:v>Flooring</c:v>
                </c:pt>
                <c:pt idx="9">
                  <c:v>Fixtures &amp; Furniture</c:v>
                </c:pt>
                <c:pt idx="10">
                  <c:v>Testing / Commissioning</c:v>
                </c:pt>
                <c:pt idx="11">
                  <c:v>Handover &amp; Closeout</c:v>
                </c:pt>
              </c:strCache>
            </c:strRef>
          </c:cat>
          <c:val>
            <c:numRef>
              <c:f>'EVM Charts'!$E$5:$E$16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7</c:v>
                </c:pt>
                <c:pt idx="5">
                  <c:v>21</c:v>
                </c:pt>
                <c:pt idx="6">
                  <c:v>28</c:v>
                </c:pt>
                <c:pt idx="7">
                  <c:v>35</c:v>
                </c:pt>
                <c:pt idx="8">
                  <c:v>49</c:v>
                </c:pt>
                <c:pt idx="9">
                  <c:v>56</c:v>
                </c:pt>
                <c:pt idx="10">
                  <c:v>70</c:v>
                </c:pt>
                <c:pt idx="1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4-4957-89B6-FF2A830001F6}"/>
            </c:ext>
          </c:extLst>
        </c:ser>
        <c:ser>
          <c:idx val="1"/>
          <c:order val="1"/>
          <c:tx>
            <c:strRef>
              <c:f>'EVM Charts'!$F$4</c:f>
              <c:strCache>
                <c:ptCount val="1"/>
                <c:pt idx="0">
                  <c:v>Duration Days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rgbClr val="666666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66666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DC24-4957-89B6-FF2A830001F6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24-4957-89B6-FF2A830001F6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DC24-4957-89B6-FF2A830001F6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DC24-4957-89B6-FF2A830001F6}"/>
              </c:ext>
            </c:extLst>
          </c:dPt>
          <c:dPt>
            <c:idx val="4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DC24-4957-89B6-FF2A830001F6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66666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DC24-4957-89B6-FF2A830001F6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DC24-4957-89B6-FF2A830001F6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DC24-4957-89B6-FF2A830001F6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DC24-4957-89B6-FF2A830001F6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DC24-4957-89B6-FF2A830001F6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DC24-4957-89B6-FF2A830001F6}"/>
              </c:ext>
            </c:extLst>
          </c:dPt>
          <c:dPt>
            <c:idx val="1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DC24-4957-89B6-FF2A830001F6}"/>
              </c:ext>
            </c:extLst>
          </c:dPt>
          <c:dLbls>
            <c:delete val="1"/>
          </c:dLbls>
          <c:cat>
            <c:strRef>
              <c:f>'EVM Charts'!$B$5:$B$16</c:f>
              <c:strCache>
                <c:ptCount val="12"/>
                <c:pt idx="0">
                  <c:v>Project Management</c:v>
                </c:pt>
                <c:pt idx="1">
                  <c:v>Site Survey &amp; Mobilization</c:v>
                </c:pt>
                <c:pt idx="2">
                  <c:v>Design &amp; Engineering</c:v>
                </c:pt>
                <c:pt idx="3">
                  <c:v>Procurement - Materials</c:v>
                </c:pt>
                <c:pt idx="4">
                  <c:v>Demolition &amp; Prep</c:v>
                </c:pt>
                <c:pt idx="5">
                  <c:v>Electrical Rough-In</c:v>
                </c:pt>
                <c:pt idx="6">
                  <c:v>HVAC Installation</c:v>
                </c:pt>
                <c:pt idx="7">
                  <c:v>Partitions &amp; Drywall</c:v>
                </c:pt>
                <c:pt idx="8">
                  <c:v>Flooring</c:v>
                </c:pt>
                <c:pt idx="9">
                  <c:v>Fixtures &amp; Furniture</c:v>
                </c:pt>
                <c:pt idx="10">
                  <c:v>Testing / Commissioning</c:v>
                </c:pt>
                <c:pt idx="11">
                  <c:v>Handover &amp; Closeout</c:v>
                </c:pt>
              </c:strCache>
            </c:strRef>
          </c:cat>
          <c:val>
            <c:numRef>
              <c:f>'EVM Charts'!$F$5:$F$16</c:f>
              <c:numCache>
                <c:formatCode>0</c:formatCode>
                <c:ptCount val="12"/>
                <c:pt idx="0">
                  <c:v>84</c:v>
                </c:pt>
                <c:pt idx="1">
                  <c:v>7</c:v>
                </c:pt>
                <c:pt idx="2">
                  <c:v>21</c:v>
                </c:pt>
                <c:pt idx="3">
                  <c:v>28</c:v>
                </c:pt>
                <c:pt idx="4">
                  <c:v>21</c:v>
                </c:pt>
                <c:pt idx="5">
                  <c:v>21</c:v>
                </c:pt>
                <c:pt idx="6">
                  <c:v>28</c:v>
                </c:pt>
                <c:pt idx="7">
                  <c:v>28</c:v>
                </c:pt>
                <c:pt idx="8">
                  <c:v>21</c:v>
                </c:pt>
                <c:pt idx="9">
                  <c:v>21</c:v>
                </c:pt>
                <c:pt idx="10">
                  <c:v>14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4-4957-89B6-FF2A830001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94832975"/>
        <c:axId val="1078821968"/>
      </c:barChart>
      <c:catAx>
        <c:axId val="169483297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WBS Activity</a:t>
                </a:r>
              </a:p>
            </c:rich>
          </c:tx>
          <c:layout>
            <c:manualLayout>
              <c:xMode val="edge"/>
              <c:yMode val="edge"/>
              <c:x val="1.1435833418626841E-2"/>
              <c:y val="0.28378639750568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crossAx val="1078821968"/>
        <c:crosses val="autoZero"/>
        <c:auto val="1"/>
        <c:lblAlgn val="ctr"/>
        <c:lblOffset val="100"/>
        <c:noMultiLvlLbl val="0"/>
      </c:catAx>
      <c:valAx>
        <c:axId val="107882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9483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EVM S-Curve — RAG Lines + 2026-06-30 Status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'EVM Charts'!$C$23</c:f>
              <c:strCache>
                <c:ptCount val="1"/>
                <c:pt idx="0">
                  <c:v>Cum PV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'EVM Charts'!$B$24:$B$35</c:f>
              <c:numCache>
                <c:formatCode>yyyy\-mm\-dd</c:formatCode>
                <c:ptCount val="12"/>
                <c:pt idx="0">
                  <c:v>46150</c:v>
                </c:pt>
                <c:pt idx="1">
                  <c:v>46157</c:v>
                </c:pt>
                <c:pt idx="2">
                  <c:v>46164</c:v>
                </c:pt>
                <c:pt idx="3">
                  <c:v>46171</c:v>
                </c:pt>
                <c:pt idx="4">
                  <c:v>46178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46227</c:v>
                </c:pt>
              </c:numCache>
            </c:numRef>
          </c:cat>
          <c:val>
            <c:numRef>
              <c:f>'EVM Charts'!$C$24:$C$35</c:f>
              <c:numCache>
                <c:formatCode>#,##0.00</c:formatCode>
                <c:ptCount val="12"/>
                <c:pt idx="0">
                  <c:v>16400</c:v>
                </c:pt>
                <c:pt idx="1">
                  <c:v>39200</c:v>
                </c:pt>
                <c:pt idx="2">
                  <c:v>62000</c:v>
                </c:pt>
                <c:pt idx="3">
                  <c:v>87066.67</c:v>
                </c:pt>
                <c:pt idx="4">
                  <c:v>116733.34</c:v>
                </c:pt>
                <c:pt idx="5">
                  <c:v>142900</c:v>
                </c:pt>
                <c:pt idx="6">
                  <c:v>160400</c:v>
                </c:pt>
                <c:pt idx="7">
                  <c:v>189816.67</c:v>
                </c:pt>
                <c:pt idx="8">
                  <c:v>220233.34000000003</c:v>
                </c:pt>
                <c:pt idx="9">
                  <c:v>243650.00000000003</c:v>
                </c:pt>
                <c:pt idx="10">
                  <c:v>259350.00000000003</c:v>
                </c:pt>
                <c:pt idx="11">
                  <c:v>268650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7-49DD-A857-0EAE45E2D037}"/>
            </c:ext>
          </c:extLst>
        </c:ser>
        <c:ser>
          <c:idx val="1"/>
          <c:order val="1"/>
          <c:tx>
            <c:strRef>
              <c:f>'EVM Charts'!$D$23</c:f>
              <c:strCache>
                <c:ptCount val="1"/>
                <c:pt idx="0">
                  <c:v>Cum AC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'EVM Charts'!$B$24:$B$35</c:f>
              <c:numCache>
                <c:formatCode>yyyy\-mm\-dd</c:formatCode>
                <c:ptCount val="12"/>
                <c:pt idx="0">
                  <c:v>46150</c:v>
                </c:pt>
                <c:pt idx="1">
                  <c:v>46157</c:v>
                </c:pt>
                <c:pt idx="2">
                  <c:v>46164</c:v>
                </c:pt>
                <c:pt idx="3">
                  <c:v>46171</c:v>
                </c:pt>
                <c:pt idx="4">
                  <c:v>46178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46227</c:v>
                </c:pt>
              </c:numCache>
            </c:numRef>
          </c:cat>
          <c:val>
            <c:numRef>
              <c:f>'EVM Charts'!$D$24:$D$35</c:f>
              <c:numCache>
                <c:formatCode>#,##0.00</c:formatCode>
                <c:ptCount val="12"/>
                <c:pt idx="0">
                  <c:v>16295.04</c:v>
                </c:pt>
                <c:pt idx="1">
                  <c:v>38949.120000000003</c:v>
                </c:pt>
                <c:pt idx="2">
                  <c:v>61603.200000000004</c:v>
                </c:pt>
                <c:pt idx="3">
                  <c:v>86509.440000000017</c:v>
                </c:pt>
                <c:pt idx="4">
                  <c:v>115986.24000000002</c:v>
                </c:pt>
                <c:pt idx="5">
                  <c:v>141985.44</c:v>
                </c:pt>
                <c:pt idx="6">
                  <c:v>141985.44</c:v>
                </c:pt>
                <c:pt idx="7">
                  <c:v>141985.44</c:v>
                </c:pt>
                <c:pt idx="8">
                  <c:v>141985.44</c:v>
                </c:pt>
                <c:pt idx="9">
                  <c:v>141985.44</c:v>
                </c:pt>
                <c:pt idx="10">
                  <c:v>141985.44</c:v>
                </c:pt>
                <c:pt idx="11">
                  <c:v>141985.44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7-49DD-A857-0EAE45E2D037}"/>
            </c:ext>
          </c:extLst>
        </c:ser>
        <c:ser>
          <c:idx val="2"/>
          <c:order val="2"/>
          <c:tx>
            <c:strRef>
              <c:f>'EVM Charts'!$E$23</c:f>
              <c:strCache>
                <c:ptCount val="1"/>
                <c:pt idx="0">
                  <c:v>Cum EV</c:v>
                </c:pt>
              </c:strCache>
            </c:strRef>
          </c:tx>
          <c:spPr>
            <a:ln w="31750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'EVM Charts'!$B$24:$B$35</c:f>
              <c:numCache>
                <c:formatCode>yyyy\-mm\-dd</c:formatCode>
                <c:ptCount val="12"/>
                <c:pt idx="0">
                  <c:v>46150</c:v>
                </c:pt>
                <c:pt idx="1">
                  <c:v>46157</c:v>
                </c:pt>
                <c:pt idx="2">
                  <c:v>46164</c:v>
                </c:pt>
                <c:pt idx="3">
                  <c:v>46171</c:v>
                </c:pt>
                <c:pt idx="4">
                  <c:v>46178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46227</c:v>
                </c:pt>
              </c:numCache>
            </c:numRef>
          </c:cat>
          <c:val>
            <c:numRef>
              <c:f>'EVM Charts'!$E$24:$E$35</c:f>
              <c:numCache>
                <c:formatCode>#,##0.00</c:formatCode>
                <c:ptCount val="12"/>
                <c:pt idx="0">
                  <c:v>15087.994000000001</c:v>
                </c:pt>
                <c:pt idx="1">
                  <c:v>36064.003600000004</c:v>
                </c:pt>
                <c:pt idx="2">
                  <c:v>57040</c:v>
                </c:pt>
                <c:pt idx="3">
                  <c:v>80101.327999999994</c:v>
                </c:pt>
                <c:pt idx="4">
                  <c:v>107394.674</c:v>
                </c:pt>
                <c:pt idx="5">
                  <c:v>131467.99600000001</c:v>
                </c:pt>
                <c:pt idx="6">
                  <c:v>131467.99600000001</c:v>
                </c:pt>
                <c:pt idx="7">
                  <c:v>131467.99600000001</c:v>
                </c:pt>
                <c:pt idx="8">
                  <c:v>131467.99600000001</c:v>
                </c:pt>
                <c:pt idx="9">
                  <c:v>131467.99600000001</c:v>
                </c:pt>
                <c:pt idx="10">
                  <c:v>131467.99600000001</c:v>
                </c:pt>
                <c:pt idx="11">
                  <c:v>131467.99600000001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07-49DD-A857-0EAE45E2D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690000"/>
        <c:axId val="1078743728"/>
      </c:lineChart>
      <c:dateAx>
        <c:axId val="63969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Week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dd\ 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8743728"/>
        <c:crosses val="autoZero"/>
        <c:auto val="0"/>
        <c:lblOffset val="100"/>
        <c:baseTimeUnit val="days"/>
      </c:dateAx>
      <c:valAx>
        <c:axId val="10787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Cumulative NOK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3969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73025</xdr:rowOff>
    </xdr:from>
    <xdr:to>
      <xdr:col>12</xdr:col>
      <xdr:colOff>161924</xdr:colOff>
      <xdr:row>1</xdr:row>
      <xdr:rowOff>3854450</xdr:rowOff>
    </xdr:to>
    <xdr:graphicFrame macro="">
      <xdr:nvGraphicFramePr>
        <xdr:cNvPr id="4" name="Gantt Schedule">
          <a:extLst>
            <a:ext uri="{FF2B5EF4-FFF2-40B4-BE49-F238E27FC236}">
              <a16:creationId xmlns:a16="http://schemas.microsoft.com/office/drawing/2014/main" id="{766C66C6-7A20-0062-95EE-E83566799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244475</xdr:colOff>
      <xdr:row>1</xdr:row>
      <xdr:rowOff>63500</xdr:rowOff>
    </xdr:from>
    <xdr:to>
      <xdr:col>20</xdr:col>
      <xdr:colOff>133350</xdr:colOff>
      <xdr:row>1</xdr:row>
      <xdr:rowOff>3648075</xdr:rowOff>
    </xdr:to>
    <xdr:graphicFrame macro="">
      <xdr:nvGraphicFramePr>
        <xdr:cNvPr id="5" name="EVM S-Curve">
          <a:extLst>
            <a:ext uri="{FF2B5EF4-FFF2-40B4-BE49-F238E27FC236}">
              <a16:creationId xmlns:a16="http://schemas.microsoft.com/office/drawing/2014/main" id="{7424FC2E-5253-F0CC-BFE2-E2C971896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428969</xdr:colOff>
      <xdr:row>1</xdr:row>
      <xdr:rowOff>754253</xdr:rowOff>
    </xdr:from>
    <xdr:to>
      <xdr:col>10</xdr:col>
      <xdr:colOff>428969</xdr:colOff>
      <xdr:row>1</xdr:row>
      <xdr:rowOff>843153</xdr:rowOff>
    </xdr:to>
    <xdr:cxnSp macro="">
      <xdr:nvCxnSpPr>
        <xdr:cNvPr id="7" name="Status Date Marker - Gantt 01">
          <a:extLst>
            <a:ext uri="{FF2B5EF4-FFF2-40B4-BE49-F238E27FC236}">
              <a16:creationId xmlns:a16="http://schemas.microsoft.com/office/drawing/2014/main" id="{0E22DC34-46CD-42E7-9B16-8BDE98028A0D}"/>
            </a:ext>
          </a:extLst>
        </xdr:cNvPr>
        <xdr:cNvCxnSpPr/>
      </xdr:nvCxnSpPr>
      <xdr:spPr>
        <a:xfrm>
          <a:off x="6969469" y="1046353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906653</xdr:rowOff>
    </xdr:from>
    <xdr:to>
      <xdr:col>10</xdr:col>
      <xdr:colOff>428969</xdr:colOff>
      <xdr:row>1</xdr:row>
      <xdr:rowOff>995553</xdr:rowOff>
    </xdr:to>
    <xdr:cxnSp macro="">
      <xdr:nvCxnSpPr>
        <xdr:cNvPr id="8" name="Status Date Marker - Gantt 02">
          <a:extLst>
            <a:ext uri="{FF2B5EF4-FFF2-40B4-BE49-F238E27FC236}">
              <a16:creationId xmlns:a16="http://schemas.microsoft.com/office/drawing/2014/main" id="{93C7FB5B-5562-461A-BEB8-8915388C6003}"/>
            </a:ext>
          </a:extLst>
        </xdr:cNvPr>
        <xdr:cNvCxnSpPr/>
      </xdr:nvCxnSpPr>
      <xdr:spPr>
        <a:xfrm>
          <a:off x="6969469" y="1198753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1059053</xdr:rowOff>
    </xdr:from>
    <xdr:to>
      <xdr:col>10</xdr:col>
      <xdr:colOff>428969</xdr:colOff>
      <xdr:row>1</xdr:row>
      <xdr:rowOff>1147953</xdr:rowOff>
    </xdr:to>
    <xdr:cxnSp macro="">
      <xdr:nvCxnSpPr>
        <xdr:cNvPr id="9" name="Status Date Marker - Gantt 03">
          <a:extLst>
            <a:ext uri="{FF2B5EF4-FFF2-40B4-BE49-F238E27FC236}">
              <a16:creationId xmlns:a16="http://schemas.microsoft.com/office/drawing/2014/main" id="{E42A9A31-0C65-4C4B-B401-688F5F79370B}"/>
            </a:ext>
          </a:extLst>
        </xdr:cNvPr>
        <xdr:cNvCxnSpPr/>
      </xdr:nvCxnSpPr>
      <xdr:spPr>
        <a:xfrm>
          <a:off x="6969469" y="1351153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1211453</xdr:rowOff>
    </xdr:from>
    <xdr:to>
      <xdr:col>10</xdr:col>
      <xdr:colOff>428969</xdr:colOff>
      <xdr:row>1</xdr:row>
      <xdr:rowOff>1300353</xdr:rowOff>
    </xdr:to>
    <xdr:cxnSp macro="">
      <xdr:nvCxnSpPr>
        <xdr:cNvPr id="10" name="Status Date Marker - Gantt 04">
          <a:extLst>
            <a:ext uri="{FF2B5EF4-FFF2-40B4-BE49-F238E27FC236}">
              <a16:creationId xmlns:a16="http://schemas.microsoft.com/office/drawing/2014/main" id="{50831DFA-4A6E-4FD0-8F7E-3F356CBC6C7D}"/>
            </a:ext>
          </a:extLst>
        </xdr:cNvPr>
        <xdr:cNvCxnSpPr/>
      </xdr:nvCxnSpPr>
      <xdr:spPr>
        <a:xfrm>
          <a:off x="6969469" y="1503553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1363852</xdr:rowOff>
    </xdr:from>
    <xdr:to>
      <xdr:col>10</xdr:col>
      <xdr:colOff>428969</xdr:colOff>
      <xdr:row>1</xdr:row>
      <xdr:rowOff>1452752</xdr:rowOff>
    </xdr:to>
    <xdr:cxnSp macro="">
      <xdr:nvCxnSpPr>
        <xdr:cNvPr id="11" name="Status Date Marker - Gantt 05">
          <a:extLst>
            <a:ext uri="{FF2B5EF4-FFF2-40B4-BE49-F238E27FC236}">
              <a16:creationId xmlns:a16="http://schemas.microsoft.com/office/drawing/2014/main" id="{B06E3BD7-57A7-4489-BE6B-1D554173AE35}"/>
            </a:ext>
          </a:extLst>
        </xdr:cNvPr>
        <xdr:cNvCxnSpPr/>
      </xdr:nvCxnSpPr>
      <xdr:spPr>
        <a:xfrm>
          <a:off x="6969469" y="1655952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1516252</xdr:rowOff>
    </xdr:from>
    <xdr:to>
      <xdr:col>10</xdr:col>
      <xdr:colOff>428969</xdr:colOff>
      <xdr:row>1</xdr:row>
      <xdr:rowOff>1605152</xdr:rowOff>
    </xdr:to>
    <xdr:cxnSp macro="">
      <xdr:nvCxnSpPr>
        <xdr:cNvPr id="12" name="Status Date Marker - Gantt 06">
          <a:extLst>
            <a:ext uri="{FF2B5EF4-FFF2-40B4-BE49-F238E27FC236}">
              <a16:creationId xmlns:a16="http://schemas.microsoft.com/office/drawing/2014/main" id="{EBB40F93-744D-44A8-BC93-BA5A180211C2}"/>
            </a:ext>
          </a:extLst>
        </xdr:cNvPr>
        <xdr:cNvCxnSpPr/>
      </xdr:nvCxnSpPr>
      <xdr:spPr>
        <a:xfrm>
          <a:off x="6969469" y="1808352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1668652</xdr:rowOff>
    </xdr:from>
    <xdr:to>
      <xdr:col>10</xdr:col>
      <xdr:colOff>428969</xdr:colOff>
      <xdr:row>1</xdr:row>
      <xdr:rowOff>1757552</xdr:rowOff>
    </xdr:to>
    <xdr:cxnSp macro="">
      <xdr:nvCxnSpPr>
        <xdr:cNvPr id="13" name="Status Date Marker - Gantt 07">
          <a:extLst>
            <a:ext uri="{FF2B5EF4-FFF2-40B4-BE49-F238E27FC236}">
              <a16:creationId xmlns:a16="http://schemas.microsoft.com/office/drawing/2014/main" id="{44DC2490-6D66-4B31-BC39-04D259E7E3F1}"/>
            </a:ext>
          </a:extLst>
        </xdr:cNvPr>
        <xdr:cNvCxnSpPr/>
      </xdr:nvCxnSpPr>
      <xdr:spPr>
        <a:xfrm>
          <a:off x="6969469" y="1960752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1821053</xdr:rowOff>
    </xdr:from>
    <xdr:to>
      <xdr:col>10</xdr:col>
      <xdr:colOff>428969</xdr:colOff>
      <xdr:row>1</xdr:row>
      <xdr:rowOff>1909953</xdr:rowOff>
    </xdr:to>
    <xdr:cxnSp macro="">
      <xdr:nvCxnSpPr>
        <xdr:cNvPr id="14" name="Status Date Marker - Gantt 08">
          <a:extLst>
            <a:ext uri="{FF2B5EF4-FFF2-40B4-BE49-F238E27FC236}">
              <a16:creationId xmlns:a16="http://schemas.microsoft.com/office/drawing/2014/main" id="{283BEC00-CDB8-48C5-9655-BB43A44A2328}"/>
            </a:ext>
          </a:extLst>
        </xdr:cNvPr>
        <xdr:cNvCxnSpPr/>
      </xdr:nvCxnSpPr>
      <xdr:spPr>
        <a:xfrm>
          <a:off x="6969469" y="2113153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1973453</xdr:rowOff>
    </xdr:from>
    <xdr:to>
      <xdr:col>10</xdr:col>
      <xdr:colOff>428969</xdr:colOff>
      <xdr:row>1</xdr:row>
      <xdr:rowOff>2062353</xdr:rowOff>
    </xdr:to>
    <xdr:cxnSp macro="">
      <xdr:nvCxnSpPr>
        <xdr:cNvPr id="15" name="Status Date Marker - Gantt 09">
          <a:extLst>
            <a:ext uri="{FF2B5EF4-FFF2-40B4-BE49-F238E27FC236}">
              <a16:creationId xmlns:a16="http://schemas.microsoft.com/office/drawing/2014/main" id="{7539B9AF-F928-4BD7-BB81-7E8F99D1FAE1}"/>
            </a:ext>
          </a:extLst>
        </xdr:cNvPr>
        <xdr:cNvCxnSpPr/>
      </xdr:nvCxnSpPr>
      <xdr:spPr>
        <a:xfrm>
          <a:off x="6969469" y="2265553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2125853</xdr:rowOff>
    </xdr:from>
    <xdr:to>
      <xdr:col>10</xdr:col>
      <xdr:colOff>428969</xdr:colOff>
      <xdr:row>1</xdr:row>
      <xdr:rowOff>2214753</xdr:rowOff>
    </xdr:to>
    <xdr:cxnSp macro="">
      <xdr:nvCxnSpPr>
        <xdr:cNvPr id="16" name="Status Date Marker - Gantt 10">
          <a:extLst>
            <a:ext uri="{FF2B5EF4-FFF2-40B4-BE49-F238E27FC236}">
              <a16:creationId xmlns:a16="http://schemas.microsoft.com/office/drawing/2014/main" id="{2318A0D1-9297-43AA-8BA7-57F32ED95399}"/>
            </a:ext>
          </a:extLst>
        </xdr:cNvPr>
        <xdr:cNvCxnSpPr/>
      </xdr:nvCxnSpPr>
      <xdr:spPr>
        <a:xfrm>
          <a:off x="6969469" y="2417953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2278253</xdr:rowOff>
    </xdr:from>
    <xdr:to>
      <xdr:col>10</xdr:col>
      <xdr:colOff>428969</xdr:colOff>
      <xdr:row>1</xdr:row>
      <xdr:rowOff>2367153</xdr:rowOff>
    </xdr:to>
    <xdr:cxnSp macro="">
      <xdr:nvCxnSpPr>
        <xdr:cNvPr id="17" name="Status Date Marker - Gantt 11">
          <a:extLst>
            <a:ext uri="{FF2B5EF4-FFF2-40B4-BE49-F238E27FC236}">
              <a16:creationId xmlns:a16="http://schemas.microsoft.com/office/drawing/2014/main" id="{8E0B3FC5-DD65-4054-A928-125F00BCFBA3}"/>
            </a:ext>
          </a:extLst>
        </xdr:cNvPr>
        <xdr:cNvCxnSpPr/>
      </xdr:nvCxnSpPr>
      <xdr:spPr>
        <a:xfrm>
          <a:off x="6969469" y="2570353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2430653</xdr:rowOff>
    </xdr:from>
    <xdr:to>
      <xdr:col>10</xdr:col>
      <xdr:colOff>428969</xdr:colOff>
      <xdr:row>1</xdr:row>
      <xdr:rowOff>2519553</xdr:rowOff>
    </xdr:to>
    <xdr:cxnSp macro="">
      <xdr:nvCxnSpPr>
        <xdr:cNvPr id="18" name="Status Date Marker - Gantt 12">
          <a:extLst>
            <a:ext uri="{FF2B5EF4-FFF2-40B4-BE49-F238E27FC236}">
              <a16:creationId xmlns:a16="http://schemas.microsoft.com/office/drawing/2014/main" id="{1E96B294-9647-4FA3-AB8B-3057B3B43FC4}"/>
            </a:ext>
          </a:extLst>
        </xdr:cNvPr>
        <xdr:cNvCxnSpPr/>
      </xdr:nvCxnSpPr>
      <xdr:spPr>
        <a:xfrm>
          <a:off x="6969469" y="2722753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2583053</xdr:rowOff>
    </xdr:from>
    <xdr:to>
      <xdr:col>10</xdr:col>
      <xdr:colOff>428969</xdr:colOff>
      <xdr:row>1</xdr:row>
      <xdr:rowOff>2671953</xdr:rowOff>
    </xdr:to>
    <xdr:cxnSp macro="">
      <xdr:nvCxnSpPr>
        <xdr:cNvPr id="19" name="Status Date Marker - Gantt 13">
          <a:extLst>
            <a:ext uri="{FF2B5EF4-FFF2-40B4-BE49-F238E27FC236}">
              <a16:creationId xmlns:a16="http://schemas.microsoft.com/office/drawing/2014/main" id="{89F319F8-E2F5-4105-9361-8D2E2C18DE22}"/>
            </a:ext>
          </a:extLst>
        </xdr:cNvPr>
        <xdr:cNvCxnSpPr/>
      </xdr:nvCxnSpPr>
      <xdr:spPr>
        <a:xfrm>
          <a:off x="6969469" y="2875153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2735453</xdr:rowOff>
    </xdr:from>
    <xdr:to>
      <xdr:col>10</xdr:col>
      <xdr:colOff>428969</xdr:colOff>
      <xdr:row>1</xdr:row>
      <xdr:rowOff>2824353</xdr:rowOff>
    </xdr:to>
    <xdr:cxnSp macro="">
      <xdr:nvCxnSpPr>
        <xdr:cNvPr id="20" name="Status Date Marker - Gantt 14">
          <a:extLst>
            <a:ext uri="{FF2B5EF4-FFF2-40B4-BE49-F238E27FC236}">
              <a16:creationId xmlns:a16="http://schemas.microsoft.com/office/drawing/2014/main" id="{2F51C03E-016E-46C2-98B7-20565C66D092}"/>
            </a:ext>
          </a:extLst>
        </xdr:cNvPr>
        <xdr:cNvCxnSpPr/>
      </xdr:nvCxnSpPr>
      <xdr:spPr>
        <a:xfrm>
          <a:off x="6969469" y="3027553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2887853</xdr:rowOff>
    </xdr:from>
    <xdr:to>
      <xdr:col>10</xdr:col>
      <xdr:colOff>428969</xdr:colOff>
      <xdr:row>1</xdr:row>
      <xdr:rowOff>2976753</xdr:rowOff>
    </xdr:to>
    <xdr:cxnSp macro="">
      <xdr:nvCxnSpPr>
        <xdr:cNvPr id="21" name="Status Date Marker - Gantt 15">
          <a:extLst>
            <a:ext uri="{FF2B5EF4-FFF2-40B4-BE49-F238E27FC236}">
              <a16:creationId xmlns:a16="http://schemas.microsoft.com/office/drawing/2014/main" id="{C1C013A7-E4FB-49F8-90FD-79A1023837AC}"/>
            </a:ext>
          </a:extLst>
        </xdr:cNvPr>
        <xdr:cNvCxnSpPr/>
      </xdr:nvCxnSpPr>
      <xdr:spPr>
        <a:xfrm>
          <a:off x="6969469" y="3179953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3040253</xdr:rowOff>
    </xdr:from>
    <xdr:to>
      <xdr:col>10</xdr:col>
      <xdr:colOff>428969</xdr:colOff>
      <xdr:row>1</xdr:row>
      <xdr:rowOff>3129153</xdr:rowOff>
    </xdr:to>
    <xdr:cxnSp macro="">
      <xdr:nvCxnSpPr>
        <xdr:cNvPr id="22" name="Status Date Marker - Gantt 16">
          <a:extLst>
            <a:ext uri="{FF2B5EF4-FFF2-40B4-BE49-F238E27FC236}">
              <a16:creationId xmlns:a16="http://schemas.microsoft.com/office/drawing/2014/main" id="{E1D93617-4A2B-4E98-BB1D-66026994182E}"/>
            </a:ext>
          </a:extLst>
        </xdr:cNvPr>
        <xdr:cNvCxnSpPr/>
      </xdr:nvCxnSpPr>
      <xdr:spPr>
        <a:xfrm>
          <a:off x="6969469" y="3332353"/>
          <a:ext cx="0" cy="952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428969</xdr:colOff>
      <xdr:row>1</xdr:row>
      <xdr:rowOff>3192653</xdr:rowOff>
    </xdr:from>
    <xdr:to>
      <xdr:col>10</xdr:col>
      <xdr:colOff>428969</xdr:colOff>
      <xdr:row>1</xdr:row>
      <xdr:rowOff>3252089</xdr:rowOff>
    </xdr:to>
    <xdr:cxnSp macro="">
      <xdr:nvCxnSpPr>
        <xdr:cNvPr id="23" name="Status Date Marker - Gantt 17">
          <a:extLst>
            <a:ext uri="{FF2B5EF4-FFF2-40B4-BE49-F238E27FC236}">
              <a16:creationId xmlns:a16="http://schemas.microsoft.com/office/drawing/2014/main" id="{893711C4-855E-41ED-85C5-699C8A70F01C}"/>
            </a:ext>
          </a:extLst>
        </xdr:cNvPr>
        <xdr:cNvCxnSpPr/>
      </xdr:nvCxnSpPr>
      <xdr:spPr>
        <a:xfrm>
          <a:off x="6969469" y="3484753"/>
          <a:ext cx="0" cy="59436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710755</xdr:rowOff>
    </xdr:from>
    <xdr:to>
      <xdr:col>16</xdr:col>
      <xdr:colOff>249173</xdr:colOff>
      <xdr:row>1</xdr:row>
      <xdr:rowOff>799655</xdr:rowOff>
    </xdr:to>
    <xdr:cxnSp macro="">
      <xdr:nvCxnSpPr>
        <xdr:cNvPr id="24" name="Status Date Marker - S-Curve 01">
          <a:extLst>
            <a:ext uri="{FF2B5EF4-FFF2-40B4-BE49-F238E27FC236}">
              <a16:creationId xmlns:a16="http://schemas.microsoft.com/office/drawing/2014/main" id="{CBDB4F96-8D9B-4058-B29F-1E96F70C0771}"/>
            </a:ext>
          </a:extLst>
        </xdr:cNvPr>
        <xdr:cNvCxnSpPr/>
      </xdr:nvCxnSpPr>
      <xdr:spPr>
        <a:xfrm>
          <a:off x="15593948" y="10092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863155</xdr:rowOff>
    </xdr:from>
    <xdr:to>
      <xdr:col>16</xdr:col>
      <xdr:colOff>249173</xdr:colOff>
      <xdr:row>1</xdr:row>
      <xdr:rowOff>952055</xdr:rowOff>
    </xdr:to>
    <xdr:cxnSp macro="">
      <xdr:nvCxnSpPr>
        <xdr:cNvPr id="25" name="Status Date Marker - S-Curve 02">
          <a:extLst>
            <a:ext uri="{FF2B5EF4-FFF2-40B4-BE49-F238E27FC236}">
              <a16:creationId xmlns:a16="http://schemas.microsoft.com/office/drawing/2014/main" id="{80A5B0E0-204A-4C5E-80EB-E72E43B0653C}"/>
            </a:ext>
          </a:extLst>
        </xdr:cNvPr>
        <xdr:cNvCxnSpPr/>
      </xdr:nvCxnSpPr>
      <xdr:spPr>
        <a:xfrm>
          <a:off x="15593948" y="11616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1015555</xdr:rowOff>
    </xdr:from>
    <xdr:to>
      <xdr:col>16</xdr:col>
      <xdr:colOff>249173</xdr:colOff>
      <xdr:row>1</xdr:row>
      <xdr:rowOff>1104455</xdr:rowOff>
    </xdr:to>
    <xdr:cxnSp macro="">
      <xdr:nvCxnSpPr>
        <xdr:cNvPr id="26" name="Status Date Marker - S-Curve 03">
          <a:extLst>
            <a:ext uri="{FF2B5EF4-FFF2-40B4-BE49-F238E27FC236}">
              <a16:creationId xmlns:a16="http://schemas.microsoft.com/office/drawing/2014/main" id="{9B5CB82E-D405-4F08-8D2F-52FBAC40A0D5}"/>
            </a:ext>
          </a:extLst>
        </xdr:cNvPr>
        <xdr:cNvCxnSpPr/>
      </xdr:nvCxnSpPr>
      <xdr:spPr>
        <a:xfrm>
          <a:off x="15593948" y="13140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1167955</xdr:rowOff>
    </xdr:from>
    <xdr:to>
      <xdr:col>16</xdr:col>
      <xdr:colOff>249173</xdr:colOff>
      <xdr:row>1</xdr:row>
      <xdr:rowOff>1256855</xdr:rowOff>
    </xdr:to>
    <xdr:cxnSp macro="">
      <xdr:nvCxnSpPr>
        <xdr:cNvPr id="27" name="Status Date Marker - S-Curve 04">
          <a:extLst>
            <a:ext uri="{FF2B5EF4-FFF2-40B4-BE49-F238E27FC236}">
              <a16:creationId xmlns:a16="http://schemas.microsoft.com/office/drawing/2014/main" id="{6F6D266A-F448-4F80-A38B-9B43C389DA0E}"/>
            </a:ext>
          </a:extLst>
        </xdr:cNvPr>
        <xdr:cNvCxnSpPr/>
      </xdr:nvCxnSpPr>
      <xdr:spPr>
        <a:xfrm>
          <a:off x="15593948" y="14664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1320355</xdr:rowOff>
    </xdr:from>
    <xdr:to>
      <xdr:col>16</xdr:col>
      <xdr:colOff>249173</xdr:colOff>
      <xdr:row>1</xdr:row>
      <xdr:rowOff>1409255</xdr:rowOff>
    </xdr:to>
    <xdr:cxnSp macro="">
      <xdr:nvCxnSpPr>
        <xdr:cNvPr id="28" name="Status Date Marker - S-Curve 05">
          <a:extLst>
            <a:ext uri="{FF2B5EF4-FFF2-40B4-BE49-F238E27FC236}">
              <a16:creationId xmlns:a16="http://schemas.microsoft.com/office/drawing/2014/main" id="{CD862011-9A7D-4377-BF4E-CC88150184A9}"/>
            </a:ext>
          </a:extLst>
        </xdr:cNvPr>
        <xdr:cNvCxnSpPr/>
      </xdr:nvCxnSpPr>
      <xdr:spPr>
        <a:xfrm>
          <a:off x="15593948" y="16188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1472755</xdr:rowOff>
    </xdr:from>
    <xdr:to>
      <xdr:col>16</xdr:col>
      <xdr:colOff>249173</xdr:colOff>
      <xdr:row>1</xdr:row>
      <xdr:rowOff>1561655</xdr:rowOff>
    </xdr:to>
    <xdr:cxnSp macro="">
      <xdr:nvCxnSpPr>
        <xdr:cNvPr id="29" name="Status Date Marker - S-Curve 06">
          <a:extLst>
            <a:ext uri="{FF2B5EF4-FFF2-40B4-BE49-F238E27FC236}">
              <a16:creationId xmlns:a16="http://schemas.microsoft.com/office/drawing/2014/main" id="{A4AB4F76-FDE9-480A-8C0E-CF82ED4A995F}"/>
            </a:ext>
          </a:extLst>
        </xdr:cNvPr>
        <xdr:cNvCxnSpPr/>
      </xdr:nvCxnSpPr>
      <xdr:spPr>
        <a:xfrm>
          <a:off x="15593948" y="17712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1625155</xdr:rowOff>
    </xdr:from>
    <xdr:to>
      <xdr:col>16</xdr:col>
      <xdr:colOff>249173</xdr:colOff>
      <xdr:row>1</xdr:row>
      <xdr:rowOff>1714055</xdr:rowOff>
    </xdr:to>
    <xdr:cxnSp macro="">
      <xdr:nvCxnSpPr>
        <xdr:cNvPr id="30" name="Status Date Marker - S-Curve 07">
          <a:extLst>
            <a:ext uri="{FF2B5EF4-FFF2-40B4-BE49-F238E27FC236}">
              <a16:creationId xmlns:a16="http://schemas.microsoft.com/office/drawing/2014/main" id="{11AFF5BD-569F-4AF2-A659-F8F5DEEC680B}"/>
            </a:ext>
          </a:extLst>
        </xdr:cNvPr>
        <xdr:cNvCxnSpPr/>
      </xdr:nvCxnSpPr>
      <xdr:spPr>
        <a:xfrm>
          <a:off x="15593948" y="19236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1777555</xdr:rowOff>
    </xdr:from>
    <xdr:to>
      <xdr:col>16</xdr:col>
      <xdr:colOff>249173</xdr:colOff>
      <xdr:row>1</xdr:row>
      <xdr:rowOff>1866455</xdr:rowOff>
    </xdr:to>
    <xdr:cxnSp macro="">
      <xdr:nvCxnSpPr>
        <xdr:cNvPr id="31" name="Status Date Marker - S-Curve 08">
          <a:extLst>
            <a:ext uri="{FF2B5EF4-FFF2-40B4-BE49-F238E27FC236}">
              <a16:creationId xmlns:a16="http://schemas.microsoft.com/office/drawing/2014/main" id="{314A8736-56E0-4F06-8CDD-4643DE278DCA}"/>
            </a:ext>
          </a:extLst>
        </xdr:cNvPr>
        <xdr:cNvCxnSpPr/>
      </xdr:nvCxnSpPr>
      <xdr:spPr>
        <a:xfrm>
          <a:off x="15593948" y="20760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1929955</xdr:rowOff>
    </xdr:from>
    <xdr:to>
      <xdr:col>16</xdr:col>
      <xdr:colOff>249173</xdr:colOff>
      <xdr:row>1</xdr:row>
      <xdr:rowOff>2018855</xdr:rowOff>
    </xdr:to>
    <xdr:cxnSp macro="">
      <xdr:nvCxnSpPr>
        <xdr:cNvPr id="32" name="Status Date Marker - S-Curve 09">
          <a:extLst>
            <a:ext uri="{FF2B5EF4-FFF2-40B4-BE49-F238E27FC236}">
              <a16:creationId xmlns:a16="http://schemas.microsoft.com/office/drawing/2014/main" id="{CE2A468B-683D-4D90-8EBD-B9BBABE09340}"/>
            </a:ext>
          </a:extLst>
        </xdr:cNvPr>
        <xdr:cNvCxnSpPr/>
      </xdr:nvCxnSpPr>
      <xdr:spPr>
        <a:xfrm>
          <a:off x="15593948" y="22284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2082355</xdr:rowOff>
    </xdr:from>
    <xdr:to>
      <xdr:col>16</xdr:col>
      <xdr:colOff>249173</xdr:colOff>
      <xdr:row>1</xdr:row>
      <xdr:rowOff>2171255</xdr:rowOff>
    </xdr:to>
    <xdr:cxnSp macro="">
      <xdr:nvCxnSpPr>
        <xdr:cNvPr id="33" name="Status Date Marker - S-Curve 10">
          <a:extLst>
            <a:ext uri="{FF2B5EF4-FFF2-40B4-BE49-F238E27FC236}">
              <a16:creationId xmlns:a16="http://schemas.microsoft.com/office/drawing/2014/main" id="{5089F8CC-77F6-43A1-9A19-A7B61D5D34EC}"/>
            </a:ext>
          </a:extLst>
        </xdr:cNvPr>
        <xdr:cNvCxnSpPr/>
      </xdr:nvCxnSpPr>
      <xdr:spPr>
        <a:xfrm>
          <a:off x="15593948" y="23808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2234755</xdr:rowOff>
    </xdr:from>
    <xdr:to>
      <xdr:col>16</xdr:col>
      <xdr:colOff>249173</xdr:colOff>
      <xdr:row>1</xdr:row>
      <xdr:rowOff>2323655</xdr:rowOff>
    </xdr:to>
    <xdr:cxnSp macro="">
      <xdr:nvCxnSpPr>
        <xdr:cNvPr id="34" name="Status Date Marker - S-Curve 11">
          <a:extLst>
            <a:ext uri="{FF2B5EF4-FFF2-40B4-BE49-F238E27FC236}">
              <a16:creationId xmlns:a16="http://schemas.microsoft.com/office/drawing/2014/main" id="{61DFAD3A-C9F4-447C-8153-7487393BD883}"/>
            </a:ext>
          </a:extLst>
        </xdr:cNvPr>
        <xdr:cNvCxnSpPr/>
      </xdr:nvCxnSpPr>
      <xdr:spPr>
        <a:xfrm>
          <a:off x="15593948" y="25332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2387155</xdr:rowOff>
    </xdr:from>
    <xdr:to>
      <xdr:col>16</xdr:col>
      <xdr:colOff>249173</xdr:colOff>
      <xdr:row>1</xdr:row>
      <xdr:rowOff>2476055</xdr:rowOff>
    </xdr:to>
    <xdr:cxnSp macro="">
      <xdr:nvCxnSpPr>
        <xdr:cNvPr id="35" name="Status Date Marker - S-Curve 12">
          <a:extLst>
            <a:ext uri="{FF2B5EF4-FFF2-40B4-BE49-F238E27FC236}">
              <a16:creationId xmlns:a16="http://schemas.microsoft.com/office/drawing/2014/main" id="{6C708B7B-2455-4AAF-99DF-B111C211D317}"/>
            </a:ext>
          </a:extLst>
        </xdr:cNvPr>
        <xdr:cNvCxnSpPr/>
      </xdr:nvCxnSpPr>
      <xdr:spPr>
        <a:xfrm>
          <a:off x="15593948" y="26856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2539555</xdr:rowOff>
    </xdr:from>
    <xdr:to>
      <xdr:col>16</xdr:col>
      <xdr:colOff>249173</xdr:colOff>
      <xdr:row>1</xdr:row>
      <xdr:rowOff>2628455</xdr:rowOff>
    </xdr:to>
    <xdr:cxnSp macro="">
      <xdr:nvCxnSpPr>
        <xdr:cNvPr id="36" name="Status Date Marker - S-Curve 13">
          <a:extLst>
            <a:ext uri="{FF2B5EF4-FFF2-40B4-BE49-F238E27FC236}">
              <a16:creationId xmlns:a16="http://schemas.microsoft.com/office/drawing/2014/main" id="{FA9DF6D6-F2D8-4FAF-9911-ACD65A6E666C}"/>
            </a:ext>
          </a:extLst>
        </xdr:cNvPr>
        <xdr:cNvCxnSpPr/>
      </xdr:nvCxnSpPr>
      <xdr:spPr>
        <a:xfrm>
          <a:off x="15593948" y="28380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2691955</xdr:rowOff>
    </xdr:from>
    <xdr:to>
      <xdr:col>16</xdr:col>
      <xdr:colOff>249173</xdr:colOff>
      <xdr:row>1</xdr:row>
      <xdr:rowOff>2780855</xdr:rowOff>
    </xdr:to>
    <xdr:cxnSp macro="">
      <xdr:nvCxnSpPr>
        <xdr:cNvPr id="37" name="Status Date Marker - S-Curve 14">
          <a:extLst>
            <a:ext uri="{FF2B5EF4-FFF2-40B4-BE49-F238E27FC236}">
              <a16:creationId xmlns:a16="http://schemas.microsoft.com/office/drawing/2014/main" id="{6DB50BCA-DD06-4AE3-A653-369CB3A2CCA3}"/>
            </a:ext>
          </a:extLst>
        </xdr:cNvPr>
        <xdr:cNvCxnSpPr/>
      </xdr:nvCxnSpPr>
      <xdr:spPr>
        <a:xfrm>
          <a:off x="15593948" y="29904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2844355</xdr:rowOff>
    </xdr:from>
    <xdr:to>
      <xdr:col>16</xdr:col>
      <xdr:colOff>249173</xdr:colOff>
      <xdr:row>1</xdr:row>
      <xdr:rowOff>2933255</xdr:rowOff>
    </xdr:to>
    <xdr:cxnSp macro="">
      <xdr:nvCxnSpPr>
        <xdr:cNvPr id="38" name="Status Date Marker - S-Curve 15">
          <a:extLst>
            <a:ext uri="{FF2B5EF4-FFF2-40B4-BE49-F238E27FC236}">
              <a16:creationId xmlns:a16="http://schemas.microsoft.com/office/drawing/2014/main" id="{5DC3DCE6-69A4-4B6F-97EE-20331CE30399}"/>
            </a:ext>
          </a:extLst>
        </xdr:cNvPr>
        <xdr:cNvCxnSpPr/>
      </xdr:nvCxnSpPr>
      <xdr:spPr>
        <a:xfrm>
          <a:off x="15593948" y="3142805"/>
          <a:ext cx="0" cy="857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249173</xdr:colOff>
      <xdr:row>1</xdr:row>
      <xdr:rowOff>2996755</xdr:rowOff>
    </xdr:from>
    <xdr:to>
      <xdr:col>16</xdr:col>
      <xdr:colOff>249173</xdr:colOff>
      <xdr:row>1</xdr:row>
      <xdr:rowOff>3072383</xdr:rowOff>
    </xdr:to>
    <xdr:cxnSp macro="">
      <xdr:nvCxnSpPr>
        <xdr:cNvPr id="39" name="Status Date Marker - S-Curve 16">
          <a:extLst>
            <a:ext uri="{FF2B5EF4-FFF2-40B4-BE49-F238E27FC236}">
              <a16:creationId xmlns:a16="http://schemas.microsoft.com/office/drawing/2014/main" id="{517D29E2-A195-4D50-A15F-4826AC2EE7A6}"/>
            </a:ext>
          </a:extLst>
        </xdr:cNvPr>
        <xdr:cNvCxnSpPr/>
      </xdr:nvCxnSpPr>
      <xdr:spPr>
        <a:xfrm>
          <a:off x="15593948" y="3295205"/>
          <a:ext cx="0" cy="75628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118835</xdr:colOff>
      <xdr:row>10</xdr:row>
      <xdr:rowOff>19050</xdr:rowOff>
    </xdr:from>
    <xdr:to>
      <xdr:col>10</xdr:col>
      <xdr:colOff>118835</xdr:colOff>
      <xdr:row>10</xdr:row>
      <xdr:rowOff>95250</xdr:rowOff>
    </xdr:to>
    <xdr:cxnSp macro="">
      <xdr:nvCxnSpPr>
        <xdr:cNvPr id="50" name="Garden Status Timeline 01">
          <a:extLst>
            <a:ext uri="{FF2B5EF4-FFF2-40B4-BE49-F238E27FC236}">
              <a16:creationId xmlns:a16="http://schemas.microsoft.com/office/drawing/2014/main" id="{26CE34B1-A1DA-4002-A42C-837304C718FE}"/>
            </a:ext>
          </a:extLst>
        </xdr:cNvPr>
        <xdr:cNvCxnSpPr/>
      </xdr:nvCxnSpPr>
      <xdr:spPr>
        <a:xfrm>
          <a:off x="9056460" y="4533900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10</xdr:row>
      <xdr:rowOff>146050</xdr:rowOff>
    </xdr:from>
    <xdr:to>
      <xdr:col>10</xdr:col>
      <xdr:colOff>118835</xdr:colOff>
      <xdr:row>11</xdr:row>
      <xdr:rowOff>41275</xdr:rowOff>
    </xdr:to>
    <xdr:cxnSp macro="">
      <xdr:nvCxnSpPr>
        <xdr:cNvPr id="51" name="Garden Status Timeline 02">
          <a:extLst>
            <a:ext uri="{FF2B5EF4-FFF2-40B4-BE49-F238E27FC236}">
              <a16:creationId xmlns:a16="http://schemas.microsoft.com/office/drawing/2014/main" id="{1F80C1FD-BDC2-4FE4-ACF1-BE3F3F60BCD0}"/>
            </a:ext>
          </a:extLst>
        </xdr:cNvPr>
        <xdr:cNvCxnSpPr/>
      </xdr:nvCxnSpPr>
      <xdr:spPr>
        <a:xfrm>
          <a:off x="9056460" y="4657725"/>
          <a:ext cx="0" cy="825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11</xdr:row>
      <xdr:rowOff>92075</xdr:rowOff>
    </xdr:from>
    <xdr:to>
      <xdr:col>10</xdr:col>
      <xdr:colOff>118835</xdr:colOff>
      <xdr:row>11</xdr:row>
      <xdr:rowOff>168275</xdr:rowOff>
    </xdr:to>
    <xdr:cxnSp macro="">
      <xdr:nvCxnSpPr>
        <xdr:cNvPr id="52" name="Garden Status Timeline 03">
          <a:extLst>
            <a:ext uri="{FF2B5EF4-FFF2-40B4-BE49-F238E27FC236}">
              <a16:creationId xmlns:a16="http://schemas.microsoft.com/office/drawing/2014/main" id="{4EECAD4C-1CCB-4AF5-8C58-1B1BB0A2BAA7}"/>
            </a:ext>
          </a:extLst>
        </xdr:cNvPr>
        <xdr:cNvCxnSpPr/>
      </xdr:nvCxnSpPr>
      <xdr:spPr>
        <a:xfrm>
          <a:off x="9056460" y="4787900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12</xdr:row>
      <xdr:rowOff>38100</xdr:rowOff>
    </xdr:from>
    <xdr:to>
      <xdr:col>10</xdr:col>
      <xdr:colOff>118835</xdr:colOff>
      <xdr:row>12</xdr:row>
      <xdr:rowOff>114300</xdr:rowOff>
    </xdr:to>
    <xdr:cxnSp macro="">
      <xdr:nvCxnSpPr>
        <xdr:cNvPr id="53" name="Garden Status Timeline 04">
          <a:extLst>
            <a:ext uri="{FF2B5EF4-FFF2-40B4-BE49-F238E27FC236}">
              <a16:creationId xmlns:a16="http://schemas.microsoft.com/office/drawing/2014/main" id="{0209598A-8D43-488B-A958-42ED04A23ED3}"/>
            </a:ext>
          </a:extLst>
        </xdr:cNvPr>
        <xdr:cNvCxnSpPr/>
      </xdr:nvCxnSpPr>
      <xdr:spPr>
        <a:xfrm>
          <a:off x="9056460" y="4914900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12</xdr:row>
      <xdr:rowOff>165100</xdr:rowOff>
    </xdr:from>
    <xdr:to>
      <xdr:col>10</xdr:col>
      <xdr:colOff>118835</xdr:colOff>
      <xdr:row>13</xdr:row>
      <xdr:rowOff>60325</xdr:rowOff>
    </xdr:to>
    <xdr:cxnSp macro="">
      <xdr:nvCxnSpPr>
        <xdr:cNvPr id="54" name="Garden Status Timeline 05">
          <a:extLst>
            <a:ext uri="{FF2B5EF4-FFF2-40B4-BE49-F238E27FC236}">
              <a16:creationId xmlns:a16="http://schemas.microsoft.com/office/drawing/2014/main" id="{36C91C2E-D8A8-4272-B3DB-07182CBCCA93}"/>
            </a:ext>
          </a:extLst>
        </xdr:cNvPr>
        <xdr:cNvCxnSpPr/>
      </xdr:nvCxnSpPr>
      <xdr:spPr>
        <a:xfrm>
          <a:off x="9056460" y="5038725"/>
          <a:ext cx="0" cy="825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13</xdr:row>
      <xdr:rowOff>111125</xdr:rowOff>
    </xdr:from>
    <xdr:to>
      <xdr:col>10</xdr:col>
      <xdr:colOff>118835</xdr:colOff>
      <xdr:row>14</xdr:row>
      <xdr:rowOff>6350</xdr:rowOff>
    </xdr:to>
    <xdr:cxnSp macro="">
      <xdr:nvCxnSpPr>
        <xdr:cNvPr id="55" name="Garden Status Timeline 06">
          <a:extLst>
            <a:ext uri="{FF2B5EF4-FFF2-40B4-BE49-F238E27FC236}">
              <a16:creationId xmlns:a16="http://schemas.microsoft.com/office/drawing/2014/main" id="{C262558C-A840-4D20-97AB-530DDFF29890}"/>
            </a:ext>
          </a:extLst>
        </xdr:cNvPr>
        <xdr:cNvCxnSpPr/>
      </xdr:nvCxnSpPr>
      <xdr:spPr>
        <a:xfrm>
          <a:off x="9056460" y="5168900"/>
          <a:ext cx="0" cy="7937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14</xdr:row>
      <xdr:rowOff>57150</xdr:rowOff>
    </xdr:from>
    <xdr:to>
      <xdr:col>10</xdr:col>
      <xdr:colOff>118835</xdr:colOff>
      <xdr:row>14</xdr:row>
      <xdr:rowOff>133350</xdr:rowOff>
    </xdr:to>
    <xdr:cxnSp macro="">
      <xdr:nvCxnSpPr>
        <xdr:cNvPr id="56" name="Garden Status Timeline 07">
          <a:extLst>
            <a:ext uri="{FF2B5EF4-FFF2-40B4-BE49-F238E27FC236}">
              <a16:creationId xmlns:a16="http://schemas.microsoft.com/office/drawing/2014/main" id="{E36EA80F-6F49-4BAE-A6A4-93DBFD818B31}"/>
            </a:ext>
          </a:extLst>
        </xdr:cNvPr>
        <xdr:cNvCxnSpPr/>
      </xdr:nvCxnSpPr>
      <xdr:spPr>
        <a:xfrm>
          <a:off x="9056460" y="5295900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15</xdr:row>
      <xdr:rowOff>3175</xdr:rowOff>
    </xdr:from>
    <xdr:to>
      <xdr:col>10</xdr:col>
      <xdr:colOff>118835</xdr:colOff>
      <xdr:row>15</xdr:row>
      <xdr:rowOff>79375</xdr:rowOff>
    </xdr:to>
    <xdr:cxnSp macro="">
      <xdr:nvCxnSpPr>
        <xdr:cNvPr id="57" name="Garden Status Timeline 08">
          <a:extLst>
            <a:ext uri="{FF2B5EF4-FFF2-40B4-BE49-F238E27FC236}">
              <a16:creationId xmlns:a16="http://schemas.microsoft.com/office/drawing/2014/main" id="{989CB076-67BC-4C5E-9AE5-A53E66BBBCE1}"/>
            </a:ext>
          </a:extLst>
        </xdr:cNvPr>
        <xdr:cNvCxnSpPr/>
      </xdr:nvCxnSpPr>
      <xdr:spPr>
        <a:xfrm>
          <a:off x="9056460" y="542607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15</xdr:row>
      <xdr:rowOff>130175</xdr:rowOff>
    </xdr:from>
    <xdr:to>
      <xdr:col>10</xdr:col>
      <xdr:colOff>118835</xdr:colOff>
      <xdr:row>16</xdr:row>
      <xdr:rowOff>25400</xdr:rowOff>
    </xdr:to>
    <xdr:cxnSp macro="">
      <xdr:nvCxnSpPr>
        <xdr:cNvPr id="58" name="Garden Status Timeline 09">
          <a:extLst>
            <a:ext uri="{FF2B5EF4-FFF2-40B4-BE49-F238E27FC236}">
              <a16:creationId xmlns:a16="http://schemas.microsoft.com/office/drawing/2014/main" id="{F5F86893-28CA-4B07-987B-2F9428471F04}"/>
            </a:ext>
          </a:extLst>
        </xdr:cNvPr>
        <xdr:cNvCxnSpPr/>
      </xdr:nvCxnSpPr>
      <xdr:spPr>
        <a:xfrm>
          <a:off x="9056460" y="5549900"/>
          <a:ext cx="0" cy="7937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16</xdr:row>
      <xdr:rowOff>76200</xdr:rowOff>
    </xdr:from>
    <xdr:to>
      <xdr:col>10</xdr:col>
      <xdr:colOff>118835</xdr:colOff>
      <xdr:row>16</xdr:row>
      <xdr:rowOff>152400</xdr:rowOff>
    </xdr:to>
    <xdr:cxnSp macro="">
      <xdr:nvCxnSpPr>
        <xdr:cNvPr id="59" name="Garden Status Timeline 10">
          <a:extLst>
            <a:ext uri="{FF2B5EF4-FFF2-40B4-BE49-F238E27FC236}">
              <a16:creationId xmlns:a16="http://schemas.microsoft.com/office/drawing/2014/main" id="{7297FFA7-718D-48FA-813D-2E157ACF144D}"/>
            </a:ext>
          </a:extLst>
        </xdr:cNvPr>
        <xdr:cNvCxnSpPr/>
      </xdr:nvCxnSpPr>
      <xdr:spPr>
        <a:xfrm>
          <a:off x="9056460" y="5676900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17</xdr:row>
      <xdr:rowOff>22225</xdr:rowOff>
    </xdr:from>
    <xdr:to>
      <xdr:col>10</xdr:col>
      <xdr:colOff>118835</xdr:colOff>
      <xdr:row>17</xdr:row>
      <xdr:rowOff>98425</xdr:rowOff>
    </xdr:to>
    <xdr:cxnSp macro="">
      <xdr:nvCxnSpPr>
        <xdr:cNvPr id="60" name="Garden Status Timeline 11">
          <a:extLst>
            <a:ext uri="{FF2B5EF4-FFF2-40B4-BE49-F238E27FC236}">
              <a16:creationId xmlns:a16="http://schemas.microsoft.com/office/drawing/2014/main" id="{2EE46FC1-EEA4-4726-9CC8-14149EA9C4C1}"/>
            </a:ext>
          </a:extLst>
        </xdr:cNvPr>
        <xdr:cNvCxnSpPr/>
      </xdr:nvCxnSpPr>
      <xdr:spPr>
        <a:xfrm>
          <a:off x="9056460" y="580707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17</xdr:row>
      <xdr:rowOff>149225</xdr:rowOff>
    </xdr:from>
    <xdr:to>
      <xdr:col>10</xdr:col>
      <xdr:colOff>118835</xdr:colOff>
      <xdr:row>18</xdr:row>
      <xdr:rowOff>44450</xdr:rowOff>
    </xdr:to>
    <xdr:cxnSp macro="">
      <xdr:nvCxnSpPr>
        <xdr:cNvPr id="61" name="Garden Status Timeline 12">
          <a:extLst>
            <a:ext uri="{FF2B5EF4-FFF2-40B4-BE49-F238E27FC236}">
              <a16:creationId xmlns:a16="http://schemas.microsoft.com/office/drawing/2014/main" id="{6E834E8B-8665-41C7-A5A7-CAE977EF88C0}"/>
            </a:ext>
          </a:extLst>
        </xdr:cNvPr>
        <xdr:cNvCxnSpPr/>
      </xdr:nvCxnSpPr>
      <xdr:spPr>
        <a:xfrm>
          <a:off x="9056460" y="5930900"/>
          <a:ext cx="0" cy="7937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18</xdr:row>
      <xdr:rowOff>95250</xdr:rowOff>
    </xdr:from>
    <xdr:to>
      <xdr:col>10</xdr:col>
      <xdr:colOff>118835</xdr:colOff>
      <xdr:row>18</xdr:row>
      <xdr:rowOff>171450</xdr:rowOff>
    </xdr:to>
    <xdr:cxnSp macro="">
      <xdr:nvCxnSpPr>
        <xdr:cNvPr id="62" name="Garden Status Timeline 13">
          <a:extLst>
            <a:ext uri="{FF2B5EF4-FFF2-40B4-BE49-F238E27FC236}">
              <a16:creationId xmlns:a16="http://schemas.microsoft.com/office/drawing/2014/main" id="{6CF82B1C-DF52-455E-A50F-A21E466F4BDF}"/>
            </a:ext>
          </a:extLst>
        </xdr:cNvPr>
        <xdr:cNvCxnSpPr/>
      </xdr:nvCxnSpPr>
      <xdr:spPr>
        <a:xfrm>
          <a:off x="9056460" y="6057900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19</xdr:row>
      <xdr:rowOff>41275</xdr:rowOff>
    </xdr:from>
    <xdr:to>
      <xdr:col>10</xdr:col>
      <xdr:colOff>118835</xdr:colOff>
      <xdr:row>19</xdr:row>
      <xdr:rowOff>117475</xdr:rowOff>
    </xdr:to>
    <xdr:cxnSp macro="">
      <xdr:nvCxnSpPr>
        <xdr:cNvPr id="63" name="Garden Status Timeline 14">
          <a:extLst>
            <a:ext uri="{FF2B5EF4-FFF2-40B4-BE49-F238E27FC236}">
              <a16:creationId xmlns:a16="http://schemas.microsoft.com/office/drawing/2014/main" id="{F248526B-B7EB-44D5-BFB9-2750C5C4EA99}"/>
            </a:ext>
          </a:extLst>
        </xdr:cNvPr>
        <xdr:cNvCxnSpPr/>
      </xdr:nvCxnSpPr>
      <xdr:spPr>
        <a:xfrm>
          <a:off x="9056460" y="618807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19</xdr:row>
      <xdr:rowOff>168275</xdr:rowOff>
    </xdr:from>
    <xdr:to>
      <xdr:col>10</xdr:col>
      <xdr:colOff>118835</xdr:colOff>
      <xdr:row>20</xdr:row>
      <xdr:rowOff>63500</xdr:rowOff>
    </xdr:to>
    <xdr:cxnSp macro="">
      <xdr:nvCxnSpPr>
        <xdr:cNvPr id="64" name="Garden Status Timeline 15">
          <a:extLst>
            <a:ext uri="{FF2B5EF4-FFF2-40B4-BE49-F238E27FC236}">
              <a16:creationId xmlns:a16="http://schemas.microsoft.com/office/drawing/2014/main" id="{DCFA3771-C3CE-4B16-99FA-8EB8622026A1}"/>
            </a:ext>
          </a:extLst>
        </xdr:cNvPr>
        <xdr:cNvCxnSpPr/>
      </xdr:nvCxnSpPr>
      <xdr:spPr>
        <a:xfrm>
          <a:off x="9056460" y="6311900"/>
          <a:ext cx="0" cy="7937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20</xdr:row>
      <xdr:rowOff>114300</xdr:rowOff>
    </xdr:from>
    <xdr:to>
      <xdr:col>10</xdr:col>
      <xdr:colOff>118835</xdr:colOff>
      <xdr:row>21</xdr:row>
      <xdr:rowOff>9525</xdr:rowOff>
    </xdr:to>
    <xdr:cxnSp macro="">
      <xdr:nvCxnSpPr>
        <xdr:cNvPr id="65" name="Garden Status Timeline 16">
          <a:extLst>
            <a:ext uri="{FF2B5EF4-FFF2-40B4-BE49-F238E27FC236}">
              <a16:creationId xmlns:a16="http://schemas.microsoft.com/office/drawing/2014/main" id="{D7696257-ECDC-452D-9A10-83BFC8361614}"/>
            </a:ext>
          </a:extLst>
        </xdr:cNvPr>
        <xdr:cNvCxnSpPr/>
      </xdr:nvCxnSpPr>
      <xdr:spPr>
        <a:xfrm>
          <a:off x="9056460" y="6438900"/>
          <a:ext cx="0" cy="730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21</xdr:row>
      <xdr:rowOff>60325</xdr:rowOff>
    </xdr:from>
    <xdr:to>
      <xdr:col>10</xdr:col>
      <xdr:colOff>118835</xdr:colOff>
      <xdr:row>21</xdr:row>
      <xdr:rowOff>136525</xdr:rowOff>
    </xdr:to>
    <xdr:cxnSp macro="">
      <xdr:nvCxnSpPr>
        <xdr:cNvPr id="66" name="Garden Status Timeline 17">
          <a:extLst>
            <a:ext uri="{FF2B5EF4-FFF2-40B4-BE49-F238E27FC236}">
              <a16:creationId xmlns:a16="http://schemas.microsoft.com/office/drawing/2014/main" id="{5926D695-9D38-43F1-ADB4-55440C60B0E1}"/>
            </a:ext>
          </a:extLst>
        </xdr:cNvPr>
        <xdr:cNvCxnSpPr/>
      </xdr:nvCxnSpPr>
      <xdr:spPr>
        <a:xfrm>
          <a:off x="9056460" y="656907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22</xdr:row>
      <xdr:rowOff>6350</xdr:rowOff>
    </xdr:from>
    <xdr:to>
      <xdr:col>10</xdr:col>
      <xdr:colOff>118835</xdr:colOff>
      <xdr:row>22</xdr:row>
      <xdr:rowOff>82550</xdr:rowOff>
    </xdr:to>
    <xdr:cxnSp macro="">
      <xdr:nvCxnSpPr>
        <xdr:cNvPr id="67" name="Garden Status Timeline 18">
          <a:extLst>
            <a:ext uri="{FF2B5EF4-FFF2-40B4-BE49-F238E27FC236}">
              <a16:creationId xmlns:a16="http://schemas.microsoft.com/office/drawing/2014/main" id="{7BF4758D-D420-4791-AD22-317BCD2904C4}"/>
            </a:ext>
          </a:extLst>
        </xdr:cNvPr>
        <xdr:cNvCxnSpPr/>
      </xdr:nvCxnSpPr>
      <xdr:spPr>
        <a:xfrm>
          <a:off x="9056460" y="669607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22</xdr:row>
      <xdr:rowOff>133350</xdr:rowOff>
    </xdr:from>
    <xdr:to>
      <xdr:col>10</xdr:col>
      <xdr:colOff>118835</xdr:colOff>
      <xdr:row>23</xdr:row>
      <xdr:rowOff>28575</xdr:rowOff>
    </xdr:to>
    <xdr:cxnSp macro="">
      <xdr:nvCxnSpPr>
        <xdr:cNvPr id="68" name="Garden Status Timeline 19">
          <a:extLst>
            <a:ext uri="{FF2B5EF4-FFF2-40B4-BE49-F238E27FC236}">
              <a16:creationId xmlns:a16="http://schemas.microsoft.com/office/drawing/2014/main" id="{D76BA8B0-C478-4ADD-AD8F-82CE154B9C31}"/>
            </a:ext>
          </a:extLst>
        </xdr:cNvPr>
        <xdr:cNvCxnSpPr/>
      </xdr:nvCxnSpPr>
      <xdr:spPr>
        <a:xfrm>
          <a:off x="9056460" y="6819900"/>
          <a:ext cx="0" cy="730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23</xdr:row>
      <xdr:rowOff>79375</xdr:rowOff>
    </xdr:from>
    <xdr:to>
      <xdr:col>10</xdr:col>
      <xdr:colOff>118835</xdr:colOff>
      <xdr:row>23</xdr:row>
      <xdr:rowOff>155575</xdr:rowOff>
    </xdr:to>
    <xdr:cxnSp macro="">
      <xdr:nvCxnSpPr>
        <xdr:cNvPr id="69" name="Garden Status Timeline 20">
          <a:extLst>
            <a:ext uri="{FF2B5EF4-FFF2-40B4-BE49-F238E27FC236}">
              <a16:creationId xmlns:a16="http://schemas.microsoft.com/office/drawing/2014/main" id="{1DB2AA0D-9225-47E4-B59F-1E4372A81167}"/>
            </a:ext>
          </a:extLst>
        </xdr:cNvPr>
        <xdr:cNvCxnSpPr/>
      </xdr:nvCxnSpPr>
      <xdr:spPr>
        <a:xfrm>
          <a:off x="9056460" y="695007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24</xdr:row>
      <xdr:rowOff>25400</xdr:rowOff>
    </xdr:from>
    <xdr:to>
      <xdr:col>10</xdr:col>
      <xdr:colOff>118835</xdr:colOff>
      <xdr:row>24</xdr:row>
      <xdr:rowOff>101600</xdr:rowOff>
    </xdr:to>
    <xdr:cxnSp macro="">
      <xdr:nvCxnSpPr>
        <xdr:cNvPr id="70" name="Garden Status Timeline 21">
          <a:extLst>
            <a:ext uri="{FF2B5EF4-FFF2-40B4-BE49-F238E27FC236}">
              <a16:creationId xmlns:a16="http://schemas.microsoft.com/office/drawing/2014/main" id="{EF280CD5-1B6B-4754-84F0-0A9B9E6314BC}"/>
            </a:ext>
          </a:extLst>
        </xdr:cNvPr>
        <xdr:cNvCxnSpPr/>
      </xdr:nvCxnSpPr>
      <xdr:spPr>
        <a:xfrm>
          <a:off x="9056460" y="707707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24</xdr:row>
      <xdr:rowOff>152400</xdr:rowOff>
    </xdr:from>
    <xdr:to>
      <xdr:col>10</xdr:col>
      <xdr:colOff>118835</xdr:colOff>
      <xdr:row>25</xdr:row>
      <xdr:rowOff>47625</xdr:rowOff>
    </xdr:to>
    <xdr:cxnSp macro="">
      <xdr:nvCxnSpPr>
        <xdr:cNvPr id="71" name="Garden Status Timeline 22">
          <a:extLst>
            <a:ext uri="{FF2B5EF4-FFF2-40B4-BE49-F238E27FC236}">
              <a16:creationId xmlns:a16="http://schemas.microsoft.com/office/drawing/2014/main" id="{9D56FBB3-5C07-4B52-A895-2F7FA1702288}"/>
            </a:ext>
          </a:extLst>
        </xdr:cNvPr>
        <xdr:cNvCxnSpPr/>
      </xdr:nvCxnSpPr>
      <xdr:spPr>
        <a:xfrm>
          <a:off x="9056460" y="7200900"/>
          <a:ext cx="0" cy="730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25</xdr:row>
      <xdr:rowOff>98425</xdr:rowOff>
    </xdr:from>
    <xdr:to>
      <xdr:col>10</xdr:col>
      <xdr:colOff>118835</xdr:colOff>
      <xdr:row>25</xdr:row>
      <xdr:rowOff>174625</xdr:rowOff>
    </xdr:to>
    <xdr:cxnSp macro="">
      <xdr:nvCxnSpPr>
        <xdr:cNvPr id="72" name="Garden Status Timeline 23">
          <a:extLst>
            <a:ext uri="{FF2B5EF4-FFF2-40B4-BE49-F238E27FC236}">
              <a16:creationId xmlns:a16="http://schemas.microsoft.com/office/drawing/2014/main" id="{5133FC43-C3F3-428E-8A24-A93D6C793173}"/>
            </a:ext>
          </a:extLst>
        </xdr:cNvPr>
        <xdr:cNvCxnSpPr/>
      </xdr:nvCxnSpPr>
      <xdr:spPr>
        <a:xfrm>
          <a:off x="9056460" y="733107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26</xdr:row>
      <xdr:rowOff>44450</xdr:rowOff>
    </xdr:from>
    <xdr:to>
      <xdr:col>10</xdr:col>
      <xdr:colOff>118835</xdr:colOff>
      <xdr:row>26</xdr:row>
      <xdr:rowOff>120650</xdr:rowOff>
    </xdr:to>
    <xdr:cxnSp macro="">
      <xdr:nvCxnSpPr>
        <xdr:cNvPr id="73" name="Garden Status Timeline 24">
          <a:extLst>
            <a:ext uri="{FF2B5EF4-FFF2-40B4-BE49-F238E27FC236}">
              <a16:creationId xmlns:a16="http://schemas.microsoft.com/office/drawing/2014/main" id="{2385193F-C04C-49F9-92EA-8C1214BE37E4}"/>
            </a:ext>
          </a:extLst>
        </xdr:cNvPr>
        <xdr:cNvCxnSpPr/>
      </xdr:nvCxnSpPr>
      <xdr:spPr>
        <a:xfrm>
          <a:off x="9056460" y="745807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26</xdr:row>
      <xdr:rowOff>171450</xdr:rowOff>
    </xdr:from>
    <xdr:to>
      <xdr:col>10</xdr:col>
      <xdr:colOff>118835</xdr:colOff>
      <xdr:row>27</xdr:row>
      <xdr:rowOff>66675</xdr:rowOff>
    </xdr:to>
    <xdr:cxnSp macro="">
      <xdr:nvCxnSpPr>
        <xdr:cNvPr id="74" name="Garden Status Timeline 25">
          <a:extLst>
            <a:ext uri="{FF2B5EF4-FFF2-40B4-BE49-F238E27FC236}">
              <a16:creationId xmlns:a16="http://schemas.microsoft.com/office/drawing/2014/main" id="{CFDFCC7C-8387-4CC3-9B9B-EB932787E4D9}"/>
            </a:ext>
          </a:extLst>
        </xdr:cNvPr>
        <xdr:cNvCxnSpPr/>
      </xdr:nvCxnSpPr>
      <xdr:spPr>
        <a:xfrm>
          <a:off x="9056460" y="7581900"/>
          <a:ext cx="0" cy="730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27</xdr:row>
      <xdr:rowOff>117475</xdr:rowOff>
    </xdr:from>
    <xdr:to>
      <xdr:col>10</xdr:col>
      <xdr:colOff>118835</xdr:colOff>
      <xdr:row>28</xdr:row>
      <xdr:rowOff>12700</xdr:rowOff>
    </xdr:to>
    <xdr:cxnSp macro="">
      <xdr:nvCxnSpPr>
        <xdr:cNvPr id="75" name="Garden Status Timeline 26">
          <a:extLst>
            <a:ext uri="{FF2B5EF4-FFF2-40B4-BE49-F238E27FC236}">
              <a16:creationId xmlns:a16="http://schemas.microsoft.com/office/drawing/2014/main" id="{9E665A83-3889-4A44-98A9-C35EA0AAB352}"/>
            </a:ext>
          </a:extLst>
        </xdr:cNvPr>
        <xdr:cNvCxnSpPr/>
      </xdr:nvCxnSpPr>
      <xdr:spPr>
        <a:xfrm>
          <a:off x="9056460" y="7712075"/>
          <a:ext cx="0" cy="698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28</xdr:row>
      <xdr:rowOff>63500</xdr:rowOff>
    </xdr:from>
    <xdr:to>
      <xdr:col>10</xdr:col>
      <xdr:colOff>118835</xdr:colOff>
      <xdr:row>28</xdr:row>
      <xdr:rowOff>139700</xdr:rowOff>
    </xdr:to>
    <xdr:cxnSp macro="">
      <xdr:nvCxnSpPr>
        <xdr:cNvPr id="76" name="Garden Status Timeline 27">
          <a:extLst>
            <a:ext uri="{FF2B5EF4-FFF2-40B4-BE49-F238E27FC236}">
              <a16:creationId xmlns:a16="http://schemas.microsoft.com/office/drawing/2014/main" id="{FB81C5AA-A465-421D-B35C-CD56E3DC67FA}"/>
            </a:ext>
          </a:extLst>
        </xdr:cNvPr>
        <xdr:cNvCxnSpPr/>
      </xdr:nvCxnSpPr>
      <xdr:spPr>
        <a:xfrm>
          <a:off x="9056460" y="783907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29</xdr:row>
      <xdr:rowOff>9525</xdr:rowOff>
    </xdr:from>
    <xdr:to>
      <xdr:col>10</xdr:col>
      <xdr:colOff>118835</xdr:colOff>
      <xdr:row>29</xdr:row>
      <xdr:rowOff>85725</xdr:rowOff>
    </xdr:to>
    <xdr:cxnSp macro="">
      <xdr:nvCxnSpPr>
        <xdr:cNvPr id="77" name="Garden Status Timeline 28">
          <a:extLst>
            <a:ext uri="{FF2B5EF4-FFF2-40B4-BE49-F238E27FC236}">
              <a16:creationId xmlns:a16="http://schemas.microsoft.com/office/drawing/2014/main" id="{69B07645-47BB-48C6-B726-1C499F121F64}"/>
            </a:ext>
          </a:extLst>
        </xdr:cNvPr>
        <xdr:cNvCxnSpPr/>
      </xdr:nvCxnSpPr>
      <xdr:spPr>
        <a:xfrm>
          <a:off x="9056460" y="795972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29</xdr:row>
      <xdr:rowOff>136525</xdr:rowOff>
    </xdr:from>
    <xdr:to>
      <xdr:col>10</xdr:col>
      <xdr:colOff>118835</xdr:colOff>
      <xdr:row>30</xdr:row>
      <xdr:rowOff>31750</xdr:rowOff>
    </xdr:to>
    <xdr:cxnSp macro="">
      <xdr:nvCxnSpPr>
        <xdr:cNvPr id="78" name="Garden Status Timeline 29">
          <a:extLst>
            <a:ext uri="{FF2B5EF4-FFF2-40B4-BE49-F238E27FC236}">
              <a16:creationId xmlns:a16="http://schemas.microsoft.com/office/drawing/2014/main" id="{32C9DB5E-96C0-4723-A8F3-2E56E5E53DC6}"/>
            </a:ext>
          </a:extLst>
        </xdr:cNvPr>
        <xdr:cNvCxnSpPr/>
      </xdr:nvCxnSpPr>
      <xdr:spPr>
        <a:xfrm>
          <a:off x="9056460" y="8093075"/>
          <a:ext cx="0" cy="698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30</xdr:row>
      <xdr:rowOff>82550</xdr:rowOff>
    </xdr:from>
    <xdr:to>
      <xdr:col>10</xdr:col>
      <xdr:colOff>118835</xdr:colOff>
      <xdr:row>30</xdr:row>
      <xdr:rowOff>158750</xdr:rowOff>
    </xdr:to>
    <xdr:cxnSp macro="">
      <xdr:nvCxnSpPr>
        <xdr:cNvPr id="79" name="Garden Status Timeline 30">
          <a:extLst>
            <a:ext uri="{FF2B5EF4-FFF2-40B4-BE49-F238E27FC236}">
              <a16:creationId xmlns:a16="http://schemas.microsoft.com/office/drawing/2014/main" id="{C83D12BA-6EAF-40E8-95EA-05ED56EA7614}"/>
            </a:ext>
          </a:extLst>
        </xdr:cNvPr>
        <xdr:cNvCxnSpPr/>
      </xdr:nvCxnSpPr>
      <xdr:spPr>
        <a:xfrm>
          <a:off x="9056460" y="822007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31</xdr:row>
      <xdr:rowOff>28575</xdr:rowOff>
    </xdr:from>
    <xdr:to>
      <xdr:col>10</xdr:col>
      <xdr:colOff>118835</xdr:colOff>
      <xdr:row>31</xdr:row>
      <xdr:rowOff>104775</xdr:rowOff>
    </xdr:to>
    <xdr:cxnSp macro="">
      <xdr:nvCxnSpPr>
        <xdr:cNvPr id="80" name="Garden Status Timeline 31">
          <a:extLst>
            <a:ext uri="{FF2B5EF4-FFF2-40B4-BE49-F238E27FC236}">
              <a16:creationId xmlns:a16="http://schemas.microsoft.com/office/drawing/2014/main" id="{9AD8D71F-D5BF-4DE2-ABF9-4BCBDCAFE589}"/>
            </a:ext>
          </a:extLst>
        </xdr:cNvPr>
        <xdr:cNvCxnSpPr/>
      </xdr:nvCxnSpPr>
      <xdr:spPr>
        <a:xfrm>
          <a:off x="9056460" y="834072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31</xdr:row>
      <xdr:rowOff>155575</xdr:rowOff>
    </xdr:from>
    <xdr:to>
      <xdr:col>10</xdr:col>
      <xdr:colOff>118835</xdr:colOff>
      <xdr:row>32</xdr:row>
      <xdr:rowOff>50800</xdr:rowOff>
    </xdr:to>
    <xdr:cxnSp macro="">
      <xdr:nvCxnSpPr>
        <xdr:cNvPr id="81" name="Garden Status Timeline 32">
          <a:extLst>
            <a:ext uri="{FF2B5EF4-FFF2-40B4-BE49-F238E27FC236}">
              <a16:creationId xmlns:a16="http://schemas.microsoft.com/office/drawing/2014/main" id="{54D971CB-A8A8-4E65-B7B6-99C4EFFDC481}"/>
            </a:ext>
          </a:extLst>
        </xdr:cNvPr>
        <xdr:cNvCxnSpPr/>
      </xdr:nvCxnSpPr>
      <xdr:spPr>
        <a:xfrm>
          <a:off x="9056460" y="8474075"/>
          <a:ext cx="0" cy="698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32</xdr:row>
      <xdr:rowOff>101600</xdr:rowOff>
    </xdr:from>
    <xdr:to>
      <xdr:col>10</xdr:col>
      <xdr:colOff>118835</xdr:colOff>
      <xdr:row>32</xdr:row>
      <xdr:rowOff>177800</xdr:rowOff>
    </xdr:to>
    <xdr:cxnSp macro="">
      <xdr:nvCxnSpPr>
        <xdr:cNvPr id="82" name="Garden Status Timeline 33">
          <a:extLst>
            <a:ext uri="{FF2B5EF4-FFF2-40B4-BE49-F238E27FC236}">
              <a16:creationId xmlns:a16="http://schemas.microsoft.com/office/drawing/2014/main" id="{8C8918F6-5909-43DC-9DB7-46661705FABB}"/>
            </a:ext>
          </a:extLst>
        </xdr:cNvPr>
        <xdr:cNvCxnSpPr/>
      </xdr:nvCxnSpPr>
      <xdr:spPr>
        <a:xfrm>
          <a:off x="9056460" y="860107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33</xdr:row>
      <xdr:rowOff>47625</xdr:rowOff>
    </xdr:from>
    <xdr:to>
      <xdr:col>10</xdr:col>
      <xdr:colOff>118835</xdr:colOff>
      <xdr:row>33</xdr:row>
      <xdr:rowOff>123825</xdr:rowOff>
    </xdr:to>
    <xdr:cxnSp macro="">
      <xdr:nvCxnSpPr>
        <xdr:cNvPr id="83" name="Garden Status Timeline 34">
          <a:extLst>
            <a:ext uri="{FF2B5EF4-FFF2-40B4-BE49-F238E27FC236}">
              <a16:creationId xmlns:a16="http://schemas.microsoft.com/office/drawing/2014/main" id="{E7F82999-5D8E-4AE5-A5E7-74BFC8078261}"/>
            </a:ext>
          </a:extLst>
        </xdr:cNvPr>
        <xdr:cNvCxnSpPr/>
      </xdr:nvCxnSpPr>
      <xdr:spPr>
        <a:xfrm>
          <a:off x="9056460" y="872172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33</xdr:row>
      <xdr:rowOff>174625</xdr:rowOff>
    </xdr:from>
    <xdr:to>
      <xdr:col>10</xdr:col>
      <xdr:colOff>118835</xdr:colOff>
      <xdr:row>34</xdr:row>
      <xdr:rowOff>69850</xdr:rowOff>
    </xdr:to>
    <xdr:cxnSp macro="">
      <xdr:nvCxnSpPr>
        <xdr:cNvPr id="84" name="Garden Status Timeline 35">
          <a:extLst>
            <a:ext uri="{FF2B5EF4-FFF2-40B4-BE49-F238E27FC236}">
              <a16:creationId xmlns:a16="http://schemas.microsoft.com/office/drawing/2014/main" id="{BD397B1B-64C7-4FC7-979C-6ADB7748CE98}"/>
            </a:ext>
          </a:extLst>
        </xdr:cNvPr>
        <xdr:cNvCxnSpPr/>
      </xdr:nvCxnSpPr>
      <xdr:spPr>
        <a:xfrm>
          <a:off x="9056460" y="8855075"/>
          <a:ext cx="0" cy="6985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34</xdr:row>
      <xdr:rowOff>120650</xdr:rowOff>
    </xdr:from>
    <xdr:to>
      <xdr:col>10</xdr:col>
      <xdr:colOff>118835</xdr:colOff>
      <xdr:row>35</xdr:row>
      <xdr:rowOff>15875</xdr:rowOff>
    </xdr:to>
    <xdr:cxnSp macro="">
      <xdr:nvCxnSpPr>
        <xdr:cNvPr id="85" name="Garden Status Timeline 36">
          <a:extLst>
            <a:ext uri="{FF2B5EF4-FFF2-40B4-BE49-F238E27FC236}">
              <a16:creationId xmlns:a16="http://schemas.microsoft.com/office/drawing/2014/main" id="{75A2ADAD-BB5F-41E9-A0F5-F5AC9649E9F6}"/>
            </a:ext>
          </a:extLst>
        </xdr:cNvPr>
        <xdr:cNvCxnSpPr/>
      </xdr:nvCxnSpPr>
      <xdr:spPr>
        <a:xfrm>
          <a:off x="9056460" y="8982075"/>
          <a:ext cx="0" cy="730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35</xdr:row>
      <xdr:rowOff>66675</xdr:rowOff>
    </xdr:from>
    <xdr:to>
      <xdr:col>10</xdr:col>
      <xdr:colOff>118835</xdr:colOff>
      <xdr:row>35</xdr:row>
      <xdr:rowOff>142875</xdr:rowOff>
    </xdr:to>
    <xdr:cxnSp macro="">
      <xdr:nvCxnSpPr>
        <xdr:cNvPr id="86" name="Garden Status Timeline 37">
          <a:extLst>
            <a:ext uri="{FF2B5EF4-FFF2-40B4-BE49-F238E27FC236}">
              <a16:creationId xmlns:a16="http://schemas.microsoft.com/office/drawing/2014/main" id="{820BB0A1-46AE-40E2-A198-3FB3FBDC4BE8}"/>
            </a:ext>
          </a:extLst>
        </xdr:cNvPr>
        <xdr:cNvCxnSpPr/>
      </xdr:nvCxnSpPr>
      <xdr:spPr>
        <a:xfrm>
          <a:off x="9056460" y="910272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36</xdr:row>
      <xdr:rowOff>12700</xdr:rowOff>
    </xdr:from>
    <xdr:to>
      <xdr:col>10</xdr:col>
      <xdr:colOff>118835</xdr:colOff>
      <xdr:row>36</xdr:row>
      <xdr:rowOff>88900</xdr:rowOff>
    </xdr:to>
    <xdr:cxnSp macro="">
      <xdr:nvCxnSpPr>
        <xdr:cNvPr id="87" name="Garden Status Timeline 38">
          <a:extLst>
            <a:ext uri="{FF2B5EF4-FFF2-40B4-BE49-F238E27FC236}">
              <a16:creationId xmlns:a16="http://schemas.microsoft.com/office/drawing/2014/main" id="{B373C564-4642-4EB4-AE91-BE4DA46A72FC}"/>
            </a:ext>
          </a:extLst>
        </xdr:cNvPr>
        <xdr:cNvCxnSpPr/>
      </xdr:nvCxnSpPr>
      <xdr:spPr>
        <a:xfrm>
          <a:off x="9056460" y="922972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36</xdr:row>
      <xdr:rowOff>139700</xdr:rowOff>
    </xdr:from>
    <xdr:to>
      <xdr:col>10</xdr:col>
      <xdr:colOff>118835</xdr:colOff>
      <xdr:row>37</xdr:row>
      <xdr:rowOff>34925</xdr:rowOff>
    </xdr:to>
    <xdr:cxnSp macro="">
      <xdr:nvCxnSpPr>
        <xdr:cNvPr id="88" name="Garden Status Timeline 39">
          <a:extLst>
            <a:ext uri="{FF2B5EF4-FFF2-40B4-BE49-F238E27FC236}">
              <a16:creationId xmlns:a16="http://schemas.microsoft.com/office/drawing/2014/main" id="{AB6EA241-D142-4C96-A392-8D373CCED559}"/>
            </a:ext>
          </a:extLst>
        </xdr:cNvPr>
        <xdr:cNvCxnSpPr/>
      </xdr:nvCxnSpPr>
      <xdr:spPr>
        <a:xfrm>
          <a:off x="9056460" y="9363075"/>
          <a:ext cx="0" cy="730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37</xdr:row>
      <xdr:rowOff>85725</xdr:rowOff>
    </xdr:from>
    <xdr:to>
      <xdr:col>10</xdr:col>
      <xdr:colOff>118835</xdr:colOff>
      <xdr:row>37</xdr:row>
      <xdr:rowOff>161925</xdr:rowOff>
    </xdr:to>
    <xdr:cxnSp macro="">
      <xdr:nvCxnSpPr>
        <xdr:cNvPr id="89" name="Garden Status Timeline 40">
          <a:extLst>
            <a:ext uri="{FF2B5EF4-FFF2-40B4-BE49-F238E27FC236}">
              <a16:creationId xmlns:a16="http://schemas.microsoft.com/office/drawing/2014/main" id="{31B7051C-6956-4AC1-8B18-957122EF4E52}"/>
            </a:ext>
          </a:extLst>
        </xdr:cNvPr>
        <xdr:cNvCxnSpPr/>
      </xdr:nvCxnSpPr>
      <xdr:spPr>
        <a:xfrm>
          <a:off x="9056460" y="948372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38</xdr:row>
      <xdr:rowOff>31750</xdr:rowOff>
    </xdr:from>
    <xdr:to>
      <xdr:col>10</xdr:col>
      <xdr:colOff>118835</xdr:colOff>
      <xdr:row>38</xdr:row>
      <xdr:rowOff>107950</xdr:rowOff>
    </xdr:to>
    <xdr:cxnSp macro="">
      <xdr:nvCxnSpPr>
        <xdr:cNvPr id="90" name="Garden Status Timeline 41">
          <a:extLst>
            <a:ext uri="{FF2B5EF4-FFF2-40B4-BE49-F238E27FC236}">
              <a16:creationId xmlns:a16="http://schemas.microsoft.com/office/drawing/2014/main" id="{7D6F8585-BA92-413F-BEC4-9EB450C1DCD8}"/>
            </a:ext>
          </a:extLst>
        </xdr:cNvPr>
        <xdr:cNvCxnSpPr/>
      </xdr:nvCxnSpPr>
      <xdr:spPr>
        <a:xfrm>
          <a:off x="9056460" y="961072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38</xdr:row>
      <xdr:rowOff>158750</xdr:rowOff>
    </xdr:from>
    <xdr:to>
      <xdr:col>10</xdr:col>
      <xdr:colOff>118835</xdr:colOff>
      <xdr:row>39</xdr:row>
      <xdr:rowOff>53975</xdr:rowOff>
    </xdr:to>
    <xdr:cxnSp macro="">
      <xdr:nvCxnSpPr>
        <xdr:cNvPr id="91" name="Garden Status Timeline 42">
          <a:extLst>
            <a:ext uri="{FF2B5EF4-FFF2-40B4-BE49-F238E27FC236}">
              <a16:creationId xmlns:a16="http://schemas.microsoft.com/office/drawing/2014/main" id="{2035B0D7-302A-4EE6-A2EF-2E2F86B0356D}"/>
            </a:ext>
          </a:extLst>
        </xdr:cNvPr>
        <xdr:cNvCxnSpPr/>
      </xdr:nvCxnSpPr>
      <xdr:spPr>
        <a:xfrm>
          <a:off x="9056460" y="9744075"/>
          <a:ext cx="0" cy="730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39</xdr:row>
      <xdr:rowOff>104775</xdr:rowOff>
    </xdr:from>
    <xdr:to>
      <xdr:col>10</xdr:col>
      <xdr:colOff>118835</xdr:colOff>
      <xdr:row>40</xdr:row>
      <xdr:rowOff>0</xdr:rowOff>
    </xdr:to>
    <xdr:cxnSp macro="">
      <xdr:nvCxnSpPr>
        <xdr:cNvPr id="92" name="Garden Status Timeline 43">
          <a:extLst>
            <a:ext uri="{FF2B5EF4-FFF2-40B4-BE49-F238E27FC236}">
              <a16:creationId xmlns:a16="http://schemas.microsoft.com/office/drawing/2014/main" id="{9EF7D9E0-7D29-4C0C-9915-04AE6B961483}"/>
            </a:ext>
          </a:extLst>
        </xdr:cNvPr>
        <xdr:cNvCxnSpPr/>
      </xdr:nvCxnSpPr>
      <xdr:spPr>
        <a:xfrm>
          <a:off x="9056460" y="9864725"/>
          <a:ext cx="0" cy="7937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40</xdr:row>
      <xdr:rowOff>50800</xdr:rowOff>
    </xdr:from>
    <xdr:to>
      <xdr:col>10</xdr:col>
      <xdr:colOff>118835</xdr:colOff>
      <xdr:row>40</xdr:row>
      <xdr:rowOff>127000</xdr:rowOff>
    </xdr:to>
    <xdr:cxnSp macro="">
      <xdr:nvCxnSpPr>
        <xdr:cNvPr id="93" name="Garden Status Timeline 44">
          <a:extLst>
            <a:ext uri="{FF2B5EF4-FFF2-40B4-BE49-F238E27FC236}">
              <a16:creationId xmlns:a16="http://schemas.microsoft.com/office/drawing/2014/main" id="{DE17E0B7-AAD3-4E7E-93B0-D00DCE6A63DC}"/>
            </a:ext>
          </a:extLst>
        </xdr:cNvPr>
        <xdr:cNvCxnSpPr/>
      </xdr:nvCxnSpPr>
      <xdr:spPr>
        <a:xfrm>
          <a:off x="9056460" y="999172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40</xdr:row>
      <xdr:rowOff>177800</xdr:rowOff>
    </xdr:from>
    <xdr:to>
      <xdr:col>10</xdr:col>
      <xdr:colOff>118835</xdr:colOff>
      <xdr:row>41</xdr:row>
      <xdr:rowOff>73025</xdr:rowOff>
    </xdr:to>
    <xdr:cxnSp macro="">
      <xdr:nvCxnSpPr>
        <xdr:cNvPr id="94" name="Garden Status Timeline 45">
          <a:extLst>
            <a:ext uri="{FF2B5EF4-FFF2-40B4-BE49-F238E27FC236}">
              <a16:creationId xmlns:a16="http://schemas.microsoft.com/office/drawing/2014/main" id="{7BE16492-C832-4A10-AA7C-BEBD8666F913}"/>
            </a:ext>
          </a:extLst>
        </xdr:cNvPr>
        <xdr:cNvCxnSpPr/>
      </xdr:nvCxnSpPr>
      <xdr:spPr>
        <a:xfrm>
          <a:off x="9056460" y="10125075"/>
          <a:ext cx="0" cy="7302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41</xdr:row>
      <xdr:rowOff>123825</xdr:rowOff>
    </xdr:from>
    <xdr:to>
      <xdr:col>10</xdr:col>
      <xdr:colOff>118835</xdr:colOff>
      <xdr:row>42</xdr:row>
      <xdr:rowOff>19050</xdr:rowOff>
    </xdr:to>
    <xdr:cxnSp macro="">
      <xdr:nvCxnSpPr>
        <xdr:cNvPr id="95" name="Garden Status Timeline 46">
          <a:extLst>
            <a:ext uri="{FF2B5EF4-FFF2-40B4-BE49-F238E27FC236}">
              <a16:creationId xmlns:a16="http://schemas.microsoft.com/office/drawing/2014/main" id="{A849A445-CCC4-4C58-BF45-6BD16F3999EB}"/>
            </a:ext>
          </a:extLst>
        </xdr:cNvPr>
        <xdr:cNvCxnSpPr/>
      </xdr:nvCxnSpPr>
      <xdr:spPr>
        <a:xfrm>
          <a:off x="9056460" y="10245725"/>
          <a:ext cx="0" cy="79375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42</xdr:row>
      <xdr:rowOff>69850</xdr:rowOff>
    </xdr:from>
    <xdr:to>
      <xdr:col>10</xdr:col>
      <xdr:colOff>118835</xdr:colOff>
      <xdr:row>42</xdr:row>
      <xdr:rowOff>146050</xdr:rowOff>
    </xdr:to>
    <xdr:cxnSp macro="">
      <xdr:nvCxnSpPr>
        <xdr:cNvPr id="96" name="Garden Status Timeline 47">
          <a:extLst>
            <a:ext uri="{FF2B5EF4-FFF2-40B4-BE49-F238E27FC236}">
              <a16:creationId xmlns:a16="http://schemas.microsoft.com/office/drawing/2014/main" id="{2F97796D-A14A-417C-85B0-618F1E7CFDDB}"/>
            </a:ext>
          </a:extLst>
        </xdr:cNvPr>
        <xdr:cNvCxnSpPr/>
      </xdr:nvCxnSpPr>
      <xdr:spPr>
        <a:xfrm>
          <a:off x="9056460" y="10372725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118835</xdr:colOff>
      <xdr:row>43</xdr:row>
      <xdr:rowOff>15875</xdr:rowOff>
    </xdr:from>
    <xdr:to>
      <xdr:col>10</xdr:col>
      <xdr:colOff>118835</xdr:colOff>
      <xdr:row>43</xdr:row>
      <xdr:rowOff>92075</xdr:rowOff>
    </xdr:to>
    <xdr:cxnSp macro="">
      <xdr:nvCxnSpPr>
        <xdr:cNvPr id="97" name="Garden Status Timeline 48">
          <a:extLst>
            <a:ext uri="{FF2B5EF4-FFF2-40B4-BE49-F238E27FC236}">
              <a16:creationId xmlns:a16="http://schemas.microsoft.com/office/drawing/2014/main" id="{1FB18641-E6DC-4E51-8189-F632D05416DB}"/>
            </a:ext>
          </a:extLst>
        </xdr:cNvPr>
        <xdr:cNvCxnSpPr/>
      </xdr:nvCxnSpPr>
      <xdr:spPr>
        <a:xfrm>
          <a:off x="9056460" y="10502900"/>
          <a:ext cx="0" cy="76200"/>
        </a:xfrm>
        <a:prstGeom prst="straightConnector1">
          <a:avLst/>
        </a:prstGeom>
        <a:noFill/>
        <a:ln w="9525" cap="flat" cmpd="sng" algn="ctr">
          <a:solidFill>
            <a:srgbClr val="C00000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15</xdr:row>
      <xdr:rowOff>161925</xdr:rowOff>
    </xdr:from>
    <xdr:to>
      <xdr:col>2</xdr:col>
      <xdr:colOff>304800</xdr:colOff>
      <xdr:row>19</xdr:row>
      <xdr:rowOff>47625</xdr:rowOff>
    </xdr:to>
    <xdr:sp macro="" textlink="">
      <xdr:nvSpPr>
        <xdr:cNvPr id="2" name="PERT Node - START">
          <a:extLst>
            <a:ext uri="{FF2B5EF4-FFF2-40B4-BE49-F238E27FC236}">
              <a16:creationId xmlns:a16="http://schemas.microsoft.com/office/drawing/2014/main" id="{87DEF0FB-551D-CE73-DE03-63D29D835286}"/>
            </a:ext>
          </a:extLst>
        </xdr:cNvPr>
        <xdr:cNvSpPr txBox="1"/>
      </xdr:nvSpPr>
      <xdr:spPr>
        <a:xfrm>
          <a:off x="444500" y="2987675"/>
          <a:ext cx="1079500" cy="609600"/>
        </a:xfrm>
        <a:prstGeom prst="rect">
          <a:avLst/>
        </a:prstGeom>
        <a:solidFill>
          <a:srgbClr val="F3F6F4"/>
        </a:solidFill>
        <a:ln>
          <a:solidFill>
            <a:srgbClr val="333333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Calibri"/>
            </a:rPr>
            <a:t>START</a:t>
          </a:r>
        </a:p>
      </xdr:txBody>
    </xdr:sp>
    <xdr:clientData/>
  </xdr:twoCellAnchor>
  <xdr:twoCellAnchor>
    <xdr:from>
      <xdr:col>3</xdr:col>
      <xdr:colOff>266700</xdr:colOff>
      <xdr:row>3</xdr:row>
      <xdr:rowOff>104775</xdr:rowOff>
    </xdr:from>
    <xdr:to>
      <xdr:col>6</xdr:col>
      <xdr:colOff>342900</xdr:colOff>
      <xdr:row>8</xdr:row>
      <xdr:rowOff>139700</xdr:rowOff>
    </xdr:to>
    <xdr:sp macro="" textlink="">
      <xdr:nvSpPr>
        <xdr:cNvPr id="3" name="PERT Node - WBS-01">
          <a:extLst>
            <a:ext uri="{FF2B5EF4-FFF2-40B4-BE49-F238E27FC236}">
              <a16:creationId xmlns:a16="http://schemas.microsoft.com/office/drawing/2014/main" id="{EE88EC7A-7064-6A3F-9A82-E9A40F5E43CD}"/>
            </a:ext>
          </a:extLst>
        </xdr:cNvPr>
        <xdr:cNvSpPr txBox="1"/>
      </xdr:nvSpPr>
      <xdr:spPr>
        <a:xfrm>
          <a:off x="2095500" y="758825"/>
          <a:ext cx="1905000" cy="946150"/>
        </a:xfrm>
        <a:prstGeom prst="rect">
          <a:avLst/>
        </a:prstGeom>
        <a:solidFill>
          <a:srgbClr val="F4CCCC"/>
        </a:solidFill>
        <a:ln>
          <a:solidFill>
            <a:srgbClr val="990000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850" b="1" i="0" u="none" strike="noStrike" kern="0" cap="none" spc="0" normalizeH="0" baseline="0" noProof="0">
              <a:ln>
                <a:noFill/>
              </a:ln>
              <a:solidFill>
                <a:srgbClr val="990000"/>
              </a:solidFill>
              <a:effectLst/>
              <a:uLnTx/>
              <a:uFillTx/>
              <a:latin typeface="Calibri"/>
            </a:rPr>
            <a:t>WBS-01  Project Management
Dur: 84d | Prog: 50.0%
SPI 0.67 | CPI 0.94
2026-05-04 → 2026-07-26</a:t>
          </a:r>
        </a:p>
      </xdr:txBody>
    </xdr:sp>
    <xdr:clientData/>
  </xdr:twoCellAnchor>
  <xdr:twoCellAnchor>
    <xdr:from>
      <xdr:col>3</xdr:col>
      <xdr:colOff>266700</xdr:colOff>
      <xdr:row>12</xdr:row>
      <xdr:rowOff>0</xdr:rowOff>
    </xdr:from>
    <xdr:to>
      <xdr:col>6</xdr:col>
      <xdr:colOff>342900</xdr:colOff>
      <xdr:row>17</xdr:row>
      <xdr:rowOff>34925</xdr:rowOff>
    </xdr:to>
    <xdr:sp macro="" textlink="">
      <xdr:nvSpPr>
        <xdr:cNvPr id="4" name="PERT Node - WBS-02">
          <a:extLst>
            <a:ext uri="{FF2B5EF4-FFF2-40B4-BE49-F238E27FC236}">
              <a16:creationId xmlns:a16="http://schemas.microsoft.com/office/drawing/2014/main" id="{DE9FEA33-A58B-25AA-6EBA-69C8DFD01935}"/>
            </a:ext>
          </a:extLst>
        </xdr:cNvPr>
        <xdr:cNvSpPr txBox="1"/>
      </xdr:nvSpPr>
      <xdr:spPr>
        <a:xfrm>
          <a:off x="2095500" y="2286000"/>
          <a:ext cx="1905000" cy="939800"/>
        </a:xfrm>
        <a:prstGeom prst="rect">
          <a:avLst/>
        </a:prstGeom>
        <a:solidFill>
          <a:srgbClr val="F4CCCC"/>
        </a:solidFill>
        <a:ln>
          <a:solidFill>
            <a:srgbClr val="990000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850" b="1" i="0" u="none" strike="noStrike" kern="0" cap="none" spc="0" normalizeH="0" baseline="0" noProof="0">
              <a:ln>
                <a:noFill/>
              </a:ln>
              <a:solidFill>
                <a:srgbClr val="990000"/>
              </a:solidFill>
              <a:effectLst/>
              <a:uLnTx/>
              <a:uFillTx/>
              <a:latin typeface="Calibri"/>
            </a:rPr>
            <a:t>WBS-02  Site Survey &amp; Mobilization
Dur: 7d | Prog: 100.0%
SPI 1.00 | CPI 0.98
2026-05-04 → 2026-05-10</a:t>
          </a:r>
        </a:p>
      </xdr:txBody>
    </xdr:sp>
    <xdr:clientData/>
  </xdr:twoCellAnchor>
  <xdr:twoCellAnchor>
    <xdr:from>
      <xdr:col>3</xdr:col>
      <xdr:colOff>266700</xdr:colOff>
      <xdr:row>20</xdr:row>
      <xdr:rowOff>76200</xdr:rowOff>
    </xdr:from>
    <xdr:to>
      <xdr:col>6</xdr:col>
      <xdr:colOff>342900</xdr:colOff>
      <xdr:row>25</xdr:row>
      <xdr:rowOff>111125</xdr:rowOff>
    </xdr:to>
    <xdr:sp macro="" textlink="">
      <xdr:nvSpPr>
        <xdr:cNvPr id="5" name="PERT Node - WBS-03">
          <a:extLst>
            <a:ext uri="{FF2B5EF4-FFF2-40B4-BE49-F238E27FC236}">
              <a16:creationId xmlns:a16="http://schemas.microsoft.com/office/drawing/2014/main" id="{34C1E09A-980C-DE22-F495-B1FDB203E404}"/>
            </a:ext>
          </a:extLst>
        </xdr:cNvPr>
        <xdr:cNvSpPr txBox="1"/>
      </xdr:nvSpPr>
      <xdr:spPr>
        <a:xfrm>
          <a:off x="2095500" y="3810000"/>
          <a:ext cx="1905000" cy="939800"/>
        </a:xfrm>
        <a:prstGeom prst="rect">
          <a:avLst/>
        </a:prstGeom>
        <a:solidFill>
          <a:srgbClr val="D9EAD3"/>
        </a:solidFill>
        <a:ln>
          <a:solidFill>
            <a:srgbClr val="274E13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850" b="1" i="0" u="none" strike="noStrike" kern="0" cap="none" spc="0" normalizeH="0" baseline="0" noProof="0">
              <a:ln>
                <a:noFill/>
              </a:ln>
              <a:solidFill>
                <a:srgbClr val="274E13"/>
              </a:solidFill>
              <a:effectLst/>
              <a:uLnTx/>
              <a:uFillTx/>
              <a:latin typeface="Calibri"/>
            </a:rPr>
            <a:t>WBS-03  Design &amp; Engineering
Dur: 21d | Prog: 100.0%
SPI 1.00 | CPI 1.06
2026-05-04 → 2026-05-24</a:t>
          </a:r>
        </a:p>
      </xdr:txBody>
    </xdr:sp>
    <xdr:clientData/>
  </xdr:twoCellAnchor>
  <xdr:twoCellAnchor>
    <xdr:from>
      <xdr:col>7</xdr:col>
      <xdr:colOff>428625</xdr:colOff>
      <xdr:row>9</xdr:row>
      <xdr:rowOff>104775</xdr:rowOff>
    </xdr:from>
    <xdr:to>
      <xdr:col>10</xdr:col>
      <xdr:colOff>504825</xdr:colOff>
      <xdr:row>14</xdr:row>
      <xdr:rowOff>139700</xdr:rowOff>
    </xdr:to>
    <xdr:sp macro="" textlink="">
      <xdr:nvSpPr>
        <xdr:cNvPr id="6" name="PERT Node - WBS-04">
          <a:extLst>
            <a:ext uri="{FF2B5EF4-FFF2-40B4-BE49-F238E27FC236}">
              <a16:creationId xmlns:a16="http://schemas.microsoft.com/office/drawing/2014/main" id="{01F08E86-AFA8-0337-E1C5-509B667D7637}"/>
            </a:ext>
          </a:extLst>
        </xdr:cNvPr>
        <xdr:cNvSpPr txBox="1"/>
      </xdr:nvSpPr>
      <xdr:spPr>
        <a:xfrm>
          <a:off x="4692650" y="1844675"/>
          <a:ext cx="1905000" cy="946150"/>
        </a:xfrm>
        <a:prstGeom prst="rect">
          <a:avLst/>
        </a:prstGeom>
        <a:solidFill>
          <a:srgbClr val="D9EAD3"/>
        </a:solidFill>
        <a:ln>
          <a:solidFill>
            <a:srgbClr val="274E13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850" b="1" i="0" u="none" strike="noStrike" kern="0" cap="none" spc="0" normalizeH="0" baseline="0" noProof="0">
              <a:ln>
                <a:noFill/>
              </a:ln>
              <a:solidFill>
                <a:srgbClr val="274E13"/>
              </a:solidFill>
              <a:effectLst/>
              <a:uLnTx/>
              <a:uFillTx/>
              <a:latin typeface="Calibri"/>
            </a:rPr>
            <a:t>WBS-04  Procurement - Materials
Dur: 28d | Prog: 100.0%
SPI 1.00 | CPI 1.02
2026-05-11 → 2026-06-07</a:t>
          </a:r>
        </a:p>
      </xdr:txBody>
    </xdr:sp>
    <xdr:clientData/>
  </xdr:twoCellAnchor>
  <xdr:twoCellAnchor>
    <xdr:from>
      <xdr:col>7</xdr:col>
      <xdr:colOff>428625</xdr:colOff>
      <xdr:row>18</xdr:row>
      <xdr:rowOff>0</xdr:rowOff>
    </xdr:from>
    <xdr:to>
      <xdr:col>10</xdr:col>
      <xdr:colOff>504825</xdr:colOff>
      <xdr:row>23</xdr:row>
      <xdr:rowOff>34925</xdr:rowOff>
    </xdr:to>
    <xdr:sp macro="" textlink="">
      <xdr:nvSpPr>
        <xdr:cNvPr id="7" name="PERT Node - WBS-05">
          <a:extLst>
            <a:ext uri="{FF2B5EF4-FFF2-40B4-BE49-F238E27FC236}">
              <a16:creationId xmlns:a16="http://schemas.microsoft.com/office/drawing/2014/main" id="{528BAAA4-693B-876B-4E6E-0DFFD83EB524}"/>
            </a:ext>
          </a:extLst>
        </xdr:cNvPr>
        <xdr:cNvSpPr txBox="1"/>
      </xdr:nvSpPr>
      <xdr:spPr>
        <a:xfrm>
          <a:off x="4692650" y="3371850"/>
          <a:ext cx="1905000" cy="939800"/>
        </a:xfrm>
        <a:prstGeom prst="rect">
          <a:avLst/>
        </a:prstGeom>
        <a:solidFill>
          <a:srgbClr val="F4CCCC"/>
        </a:solidFill>
        <a:ln>
          <a:solidFill>
            <a:srgbClr val="990000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850" b="1" i="0" u="none" strike="noStrike" kern="0" cap="none" spc="0" normalizeH="0" baseline="0" noProof="0">
              <a:ln>
                <a:noFill/>
              </a:ln>
              <a:solidFill>
                <a:srgbClr val="990000"/>
              </a:solidFill>
              <a:effectLst/>
              <a:uLnTx/>
              <a:uFillTx/>
              <a:latin typeface="Calibri"/>
            </a:rPr>
            <a:t>WBS-05  Demolition &amp; Prep
Dur: 21d | Prog: 100.0%
SPI 1.00 | CPI 0.98
2026-05-11 → 2026-05-31</a:t>
          </a:r>
        </a:p>
      </xdr:txBody>
    </xdr:sp>
    <xdr:clientData/>
  </xdr:twoCellAnchor>
  <xdr:twoCellAnchor>
    <xdr:from>
      <xdr:col>11</xdr:col>
      <xdr:colOff>600075</xdr:colOff>
      <xdr:row>13</xdr:row>
      <xdr:rowOff>142875</xdr:rowOff>
    </xdr:from>
    <xdr:to>
      <xdr:col>15</xdr:col>
      <xdr:colOff>66675</xdr:colOff>
      <xdr:row>18</xdr:row>
      <xdr:rowOff>177800</xdr:rowOff>
    </xdr:to>
    <xdr:sp macro="" textlink="">
      <xdr:nvSpPr>
        <xdr:cNvPr id="8" name="PERT Node - WBS-06">
          <a:extLst>
            <a:ext uri="{FF2B5EF4-FFF2-40B4-BE49-F238E27FC236}">
              <a16:creationId xmlns:a16="http://schemas.microsoft.com/office/drawing/2014/main" id="{E573F749-C4AD-0CEB-FF77-02704B441178}"/>
            </a:ext>
          </a:extLst>
        </xdr:cNvPr>
        <xdr:cNvSpPr txBox="1"/>
      </xdr:nvSpPr>
      <xdr:spPr>
        <a:xfrm>
          <a:off x="7302500" y="2606675"/>
          <a:ext cx="1905000" cy="946150"/>
        </a:xfrm>
        <a:prstGeom prst="rect">
          <a:avLst/>
        </a:prstGeom>
        <a:solidFill>
          <a:srgbClr val="F4CCCC"/>
        </a:solidFill>
        <a:ln>
          <a:solidFill>
            <a:srgbClr val="990000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850" b="1" i="0" u="none" strike="noStrike" kern="0" cap="none" spc="0" normalizeH="0" baseline="0" noProof="0">
              <a:ln>
                <a:noFill/>
              </a:ln>
              <a:solidFill>
                <a:srgbClr val="990000"/>
              </a:solidFill>
              <a:effectLst/>
              <a:uLnTx/>
              <a:uFillTx/>
              <a:latin typeface="Calibri"/>
            </a:rPr>
            <a:t>WBS-06  Electrical Rough-In
Dur: 21d | Prog: 70.0%
SPI 0.70 | CPI 0.69
2026-05-25 → 2026-06-14</a:t>
          </a:r>
        </a:p>
      </xdr:txBody>
    </xdr:sp>
    <xdr:clientData/>
  </xdr:twoCellAnchor>
  <xdr:twoCellAnchor>
    <xdr:from>
      <xdr:col>16</xdr:col>
      <xdr:colOff>152400</xdr:colOff>
      <xdr:row>9</xdr:row>
      <xdr:rowOff>104775</xdr:rowOff>
    </xdr:from>
    <xdr:to>
      <xdr:col>19</xdr:col>
      <xdr:colOff>228600</xdr:colOff>
      <xdr:row>14</xdr:row>
      <xdr:rowOff>139700</xdr:rowOff>
    </xdr:to>
    <xdr:sp macro="" textlink="">
      <xdr:nvSpPr>
        <xdr:cNvPr id="9" name="PERT Node - WBS-07">
          <a:extLst>
            <a:ext uri="{FF2B5EF4-FFF2-40B4-BE49-F238E27FC236}">
              <a16:creationId xmlns:a16="http://schemas.microsoft.com/office/drawing/2014/main" id="{5E4B6F8B-6B40-7907-6A2C-14D86EEB310F}"/>
            </a:ext>
          </a:extLst>
        </xdr:cNvPr>
        <xdr:cNvSpPr txBox="1"/>
      </xdr:nvSpPr>
      <xdr:spPr>
        <a:xfrm>
          <a:off x="9906000" y="1844675"/>
          <a:ext cx="1905000" cy="946150"/>
        </a:xfrm>
        <a:prstGeom prst="rect">
          <a:avLst/>
        </a:prstGeom>
        <a:solidFill>
          <a:srgbClr val="F4CCCC"/>
        </a:solidFill>
        <a:ln>
          <a:solidFill>
            <a:srgbClr val="990000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850" b="1" i="0" u="none" strike="noStrike" kern="0" cap="none" spc="0" normalizeH="0" baseline="0" noProof="0">
              <a:ln>
                <a:noFill/>
              </a:ln>
              <a:solidFill>
                <a:srgbClr val="990000"/>
              </a:solidFill>
              <a:effectLst/>
              <a:uLnTx/>
              <a:uFillTx/>
              <a:latin typeface="Calibri"/>
            </a:rPr>
            <a:t>WBS-07  HVAC Installation
Dur: 28d | Prog: 40.0%
SPI 0.40 | CPI 0.82
2026-06-01 → 2026-06-28</a:t>
          </a:r>
        </a:p>
      </xdr:txBody>
    </xdr:sp>
    <xdr:clientData/>
  </xdr:twoCellAnchor>
  <xdr:twoCellAnchor>
    <xdr:from>
      <xdr:col>16</xdr:col>
      <xdr:colOff>152400</xdr:colOff>
      <xdr:row>18</xdr:row>
      <xdr:rowOff>0</xdr:rowOff>
    </xdr:from>
    <xdr:to>
      <xdr:col>19</xdr:col>
      <xdr:colOff>228600</xdr:colOff>
      <xdr:row>23</xdr:row>
      <xdr:rowOff>34925</xdr:rowOff>
    </xdr:to>
    <xdr:sp macro="" textlink="">
      <xdr:nvSpPr>
        <xdr:cNvPr id="10" name="PERT Node - WBS-08">
          <a:extLst>
            <a:ext uri="{FF2B5EF4-FFF2-40B4-BE49-F238E27FC236}">
              <a16:creationId xmlns:a16="http://schemas.microsoft.com/office/drawing/2014/main" id="{10FF17F1-F884-186B-4ACD-D981287679FC}"/>
            </a:ext>
          </a:extLst>
        </xdr:cNvPr>
        <xdr:cNvSpPr txBox="1"/>
      </xdr:nvSpPr>
      <xdr:spPr>
        <a:xfrm>
          <a:off x="9906000" y="3371850"/>
          <a:ext cx="1905000" cy="939800"/>
        </a:xfrm>
        <a:prstGeom prst="rect">
          <a:avLst/>
        </a:prstGeom>
        <a:solidFill>
          <a:srgbClr val="F4CCCC"/>
        </a:solidFill>
        <a:ln>
          <a:solidFill>
            <a:srgbClr val="990000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850" b="1" i="0" u="none" strike="noStrike" kern="0" cap="none" spc="0" normalizeH="0" baseline="0" noProof="0">
              <a:ln>
                <a:noFill/>
              </a:ln>
              <a:solidFill>
                <a:srgbClr val="990000"/>
              </a:solidFill>
              <a:effectLst/>
              <a:uLnTx/>
              <a:uFillTx/>
              <a:latin typeface="Calibri"/>
            </a:rPr>
            <a:t>WBS-08  Partitions &amp; Drywall
Dur: 28d | Prog: 24.9%
SPI 0.25 | CPI 0.98
2026-06-08 → 2026-07-05</a:t>
          </a:r>
        </a:p>
      </xdr:txBody>
    </xdr:sp>
    <xdr:clientData/>
  </xdr:twoCellAnchor>
  <xdr:twoCellAnchor>
    <xdr:from>
      <xdr:col>20</xdr:col>
      <xdr:colOff>314325</xdr:colOff>
      <xdr:row>9</xdr:row>
      <xdr:rowOff>104775</xdr:rowOff>
    </xdr:from>
    <xdr:to>
      <xdr:col>23</xdr:col>
      <xdr:colOff>390525</xdr:colOff>
      <xdr:row>14</xdr:row>
      <xdr:rowOff>139700</xdr:rowOff>
    </xdr:to>
    <xdr:sp macro="" textlink="">
      <xdr:nvSpPr>
        <xdr:cNvPr id="11" name="PERT Node - WBS-09">
          <a:extLst>
            <a:ext uri="{FF2B5EF4-FFF2-40B4-BE49-F238E27FC236}">
              <a16:creationId xmlns:a16="http://schemas.microsoft.com/office/drawing/2014/main" id="{316062D9-6352-8865-FCD8-2F26EC5075E9}"/>
            </a:ext>
          </a:extLst>
        </xdr:cNvPr>
        <xdr:cNvSpPr txBox="1"/>
      </xdr:nvSpPr>
      <xdr:spPr>
        <a:xfrm>
          <a:off x="12503150" y="1844675"/>
          <a:ext cx="1905000" cy="946150"/>
        </a:xfrm>
        <a:prstGeom prst="rect">
          <a:avLst/>
        </a:prstGeom>
        <a:solidFill>
          <a:srgbClr val="F4CCCC"/>
        </a:solidFill>
        <a:ln>
          <a:solidFill>
            <a:srgbClr val="990000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850" b="1" i="0" u="none" strike="noStrike" kern="0" cap="none" spc="0" normalizeH="0" baseline="0" noProof="0">
              <a:ln>
                <a:noFill/>
              </a:ln>
              <a:solidFill>
                <a:srgbClr val="990000"/>
              </a:solidFill>
              <a:effectLst/>
              <a:uLnTx/>
              <a:uFillTx/>
              <a:latin typeface="Calibri"/>
            </a:rPr>
            <a:t>WBS-09  Flooring
Dur: 21d | Prog: 0.0%
SPI 0.00 | CPI 1.00
2026-06-22 → 2026-07-12</a:t>
          </a:r>
        </a:p>
      </xdr:txBody>
    </xdr:sp>
    <xdr:clientData/>
  </xdr:twoCellAnchor>
  <xdr:twoCellAnchor>
    <xdr:from>
      <xdr:col>20</xdr:col>
      <xdr:colOff>314325</xdr:colOff>
      <xdr:row>18</xdr:row>
      <xdr:rowOff>0</xdr:rowOff>
    </xdr:from>
    <xdr:to>
      <xdr:col>23</xdr:col>
      <xdr:colOff>390525</xdr:colOff>
      <xdr:row>23</xdr:row>
      <xdr:rowOff>34925</xdr:rowOff>
    </xdr:to>
    <xdr:sp macro="" textlink="">
      <xdr:nvSpPr>
        <xdr:cNvPr id="12" name="PERT Node - WBS-10">
          <a:extLst>
            <a:ext uri="{FF2B5EF4-FFF2-40B4-BE49-F238E27FC236}">
              <a16:creationId xmlns:a16="http://schemas.microsoft.com/office/drawing/2014/main" id="{91D2E85A-B35D-3F96-A896-F4ADD4878EB9}"/>
            </a:ext>
          </a:extLst>
        </xdr:cNvPr>
        <xdr:cNvSpPr txBox="1"/>
      </xdr:nvSpPr>
      <xdr:spPr>
        <a:xfrm>
          <a:off x="12503150" y="3371850"/>
          <a:ext cx="1905000" cy="939800"/>
        </a:xfrm>
        <a:prstGeom prst="rect">
          <a:avLst/>
        </a:prstGeom>
        <a:solidFill>
          <a:srgbClr val="F4CCCC"/>
        </a:solidFill>
        <a:ln>
          <a:solidFill>
            <a:srgbClr val="990000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850" b="1" i="0" u="none" strike="noStrike" kern="0" cap="none" spc="0" normalizeH="0" baseline="0" noProof="0">
              <a:ln>
                <a:noFill/>
              </a:ln>
              <a:solidFill>
                <a:srgbClr val="990000"/>
              </a:solidFill>
              <a:effectLst/>
              <a:uLnTx/>
              <a:uFillTx/>
              <a:latin typeface="Calibri"/>
            </a:rPr>
            <a:t>WBS-10  Fixtures &amp; Furniture
Dur: 21d | Prog: 0.0%
SPI 0.00 | CPI 1.00
2026-06-29 → 2026-07-19</a:t>
          </a:r>
        </a:p>
      </xdr:txBody>
    </xdr:sp>
    <xdr:clientData/>
  </xdr:twoCellAnchor>
  <xdr:twoCellAnchor>
    <xdr:from>
      <xdr:col>24</xdr:col>
      <xdr:colOff>485775</xdr:colOff>
      <xdr:row>13</xdr:row>
      <xdr:rowOff>142875</xdr:rowOff>
    </xdr:from>
    <xdr:to>
      <xdr:col>27</xdr:col>
      <xdr:colOff>561975</xdr:colOff>
      <xdr:row>18</xdr:row>
      <xdr:rowOff>177800</xdr:rowOff>
    </xdr:to>
    <xdr:sp macro="" textlink="">
      <xdr:nvSpPr>
        <xdr:cNvPr id="13" name="PERT Node - WBS-11">
          <a:extLst>
            <a:ext uri="{FF2B5EF4-FFF2-40B4-BE49-F238E27FC236}">
              <a16:creationId xmlns:a16="http://schemas.microsoft.com/office/drawing/2014/main" id="{7B9C4DF1-B7FE-3BF0-293D-8FBA716DA794}"/>
            </a:ext>
          </a:extLst>
        </xdr:cNvPr>
        <xdr:cNvSpPr txBox="1"/>
      </xdr:nvSpPr>
      <xdr:spPr>
        <a:xfrm>
          <a:off x="15113000" y="2606675"/>
          <a:ext cx="1905000" cy="946150"/>
        </a:xfrm>
        <a:prstGeom prst="rect">
          <a:avLst/>
        </a:prstGeom>
        <a:solidFill>
          <a:srgbClr val="D9EAD3"/>
        </a:solidFill>
        <a:ln>
          <a:solidFill>
            <a:srgbClr val="274E13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850" b="1" i="0" u="none" strike="noStrike" kern="0" cap="none" spc="0" normalizeH="0" baseline="0" noProof="0">
              <a:ln>
                <a:noFill/>
              </a:ln>
              <a:solidFill>
                <a:srgbClr val="274E13"/>
              </a:solidFill>
              <a:effectLst/>
              <a:uLnTx/>
              <a:uFillTx/>
              <a:latin typeface="Calibri"/>
            </a:rPr>
            <a:t>WBS-11  Testing / Commissioning
Dur: 14d | Prog: 0.0%
SPI 1.00 | CPI 1.00
2026-07-13 → 2026-07-26</a:t>
          </a:r>
        </a:p>
      </xdr:txBody>
    </xdr:sp>
    <xdr:clientData/>
  </xdr:twoCellAnchor>
  <xdr:twoCellAnchor>
    <xdr:from>
      <xdr:col>29</xdr:col>
      <xdr:colOff>38100</xdr:colOff>
      <xdr:row>13</xdr:row>
      <xdr:rowOff>142875</xdr:rowOff>
    </xdr:from>
    <xdr:to>
      <xdr:col>32</xdr:col>
      <xdr:colOff>114300</xdr:colOff>
      <xdr:row>18</xdr:row>
      <xdr:rowOff>177800</xdr:rowOff>
    </xdr:to>
    <xdr:sp macro="" textlink="">
      <xdr:nvSpPr>
        <xdr:cNvPr id="14" name="PERT Node - WBS-12">
          <a:extLst>
            <a:ext uri="{FF2B5EF4-FFF2-40B4-BE49-F238E27FC236}">
              <a16:creationId xmlns:a16="http://schemas.microsoft.com/office/drawing/2014/main" id="{A565472E-451E-CBF3-3677-4040FF0B3581}"/>
            </a:ext>
          </a:extLst>
        </xdr:cNvPr>
        <xdr:cNvSpPr txBox="1"/>
      </xdr:nvSpPr>
      <xdr:spPr>
        <a:xfrm>
          <a:off x="17716500" y="2606675"/>
          <a:ext cx="1905000" cy="946150"/>
        </a:xfrm>
        <a:prstGeom prst="rect">
          <a:avLst/>
        </a:prstGeom>
        <a:solidFill>
          <a:srgbClr val="D9EAD3"/>
        </a:solidFill>
        <a:ln>
          <a:solidFill>
            <a:srgbClr val="274E13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850" b="1" i="0" u="none" strike="noStrike" kern="0" cap="none" spc="0" normalizeH="0" baseline="0" noProof="0">
              <a:ln>
                <a:noFill/>
              </a:ln>
              <a:solidFill>
                <a:srgbClr val="274E13"/>
              </a:solidFill>
              <a:effectLst/>
              <a:uLnTx/>
              <a:uFillTx/>
              <a:latin typeface="Calibri"/>
            </a:rPr>
            <a:t>WBS-12  Handover &amp; Closeout
Dur: 7d | Prog: 0.0%
SPI 1.00 | CPI 1.00
2026-07-20 → 2026-07-26</a:t>
          </a:r>
        </a:p>
      </xdr:txBody>
    </xdr:sp>
    <xdr:clientData/>
  </xdr:twoCellAnchor>
  <xdr:twoCellAnchor>
    <xdr:from>
      <xdr:col>33</xdr:col>
      <xdr:colOff>200025</xdr:colOff>
      <xdr:row>15</xdr:row>
      <xdr:rowOff>161925</xdr:rowOff>
    </xdr:from>
    <xdr:to>
      <xdr:col>35</xdr:col>
      <xdr:colOff>57150</xdr:colOff>
      <xdr:row>19</xdr:row>
      <xdr:rowOff>47625</xdr:rowOff>
    </xdr:to>
    <xdr:sp macro="" textlink="">
      <xdr:nvSpPr>
        <xdr:cNvPr id="15" name="PERT Node - FINISH">
          <a:extLst>
            <a:ext uri="{FF2B5EF4-FFF2-40B4-BE49-F238E27FC236}">
              <a16:creationId xmlns:a16="http://schemas.microsoft.com/office/drawing/2014/main" id="{D9BD8C13-B763-DC7D-7359-4866CB7CC9AB}"/>
            </a:ext>
          </a:extLst>
        </xdr:cNvPr>
        <xdr:cNvSpPr txBox="1"/>
      </xdr:nvSpPr>
      <xdr:spPr>
        <a:xfrm>
          <a:off x="20313650" y="2987675"/>
          <a:ext cx="1079500" cy="609600"/>
        </a:xfrm>
        <a:prstGeom prst="rect">
          <a:avLst/>
        </a:prstGeom>
        <a:solidFill>
          <a:srgbClr val="F3F6F4"/>
        </a:solidFill>
        <a:ln>
          <a:solidFill>
            <a:srgbClr val="333333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Calibri"/>
            </a:rPr>
            <a:t>FINISH</a:t>
          </a:r>
        </a:p>
      </xdr:txBody>
    </xdr:sp>
    <xdr:clientData/>
  </xdr:twoCellAnchor>
  <xdr:twoCellAnchor>
    <xdr:from>
      <xdr:col>2</xdr:col>
      <xdr:colOff>304800</xdr:colOff>
      <xdr:row>6</xdr:row>
      <xdr:rowOff>31750</xdr:rowOff>
    </xdr:from>
    <xdr:to>
      <xdr:col>3</xdr:col>
      <xdr:colOff>266700</xdr:colOff>
      <xdr:row>17</xdr:row>
      <xdr:rowOff>98425</xdr:rowOff>
    </xdr:to>
    <xdr:cxnSp macro="">
      <xdr:nvCxnSpPr>
        <xdr:cNvPr id="16" name="PERT Link 01 START to WBS-01">
          <a:extLst>
            <a:ext uri="{FF2B5EF4-FFF2-40B4-BE49-F238E27FC236}">
              <a16:creationId xmlns:a16="http://schemas.microsoft.com/office/drawing/2014/main" id="{4F8AF4DE-C728-48BD-9ECE-D0D0E61639AD}"/>
            </a:ext>
          </a:extLst>
        </xdr:cNvPr>
        <xdr:cNvCxnSpPr/>
      </xdr:nvCxnSpPr>
      <xdr:spPr>
        <a:xfrm flipV="1">
          <a:off x="1524000" y="1228725"/>
          <a:ext cx="571500" cy="206375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14</xdr:row>
      <xdr:rowOff>107950</xdr:rowOff>
    </xdr:from>
    <xdr:to>
      <xdr:col>3</xdr:col>
      <xdr:colOff>266700</xdr:colOff>
      <xdr:row>17</xdr:row>
      <xdr:rowOff>98425</xdr:rowOff>
    </xdr:to>
    <xdr:cxnSp macro="">
      <xdr:nvCxnSpPr>
        <xdr:cNvPr id="17" name="PERT Link 02 START to WBS-02">
          <a:extLst>
            <a:ext uri="{FF2B5EF4-FFF2-40B4-BE49-F238E27FC236}">
              <a16:creationId xmlns:a16="http://schemas.microsoft.com/office/drawing/2014/main" id="{DA95736F-DA5C-4510-8AB7-FF37660AD498}"/>
            </a:ext>
          </a:extLst>
        </xdr:cNvPr>
        <xdr:cNvCxnSpPr/>
      </xdr:nvCxnSpPr>
      <xdr:spPr>
        <a:xfrm flipV="1">
          <a:off x="1524000" y="2752725"/>
          <a:ext cx="571500" cy="53975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17</xdr:row>
      <xdr:rowOff>98425</xdr:rowOff>
    </xdr:from>
    <xdr:to>
      <xdr:col>3</xdr:col>
      <xdr:colOff>266700</xdr:colOff>
      <xdr:row>23</xdr:row>
      <xdr:rowOff>3175</xdr:rowOff>
    </xdr:to>
    <xdr:cxnSp macro="">
      <xdr:nvCxnSpPr>
        <xdr:cNvPr id="18" name="PERT Link 03 START to WBS-03">
          <a:extLst>
            <a:ext uri="{FF2B5EF4-FFF2-40B4-BE49-F238E27FC236}">
              <a16:creationId xmlns:a16="http://schemas.microsoft.com/office/drawing/2014/main" id="{7A77ED2B-84EB-4496-A8D0-75E85C6E8248}"/>
            </a:ext>
          </a:extLst>
        </xdr:cNvPr>
        <xdr:cNvCxnSpPr/>
      </xdr:nvCxnSpPr>
      <xdr:spPr>
        <a:xfrm>
          <a:off x="1524000" y="3292475"/>
          <a:ext cx="571500" cy="99060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12</xdr:row>
      <xdr:rowOff>25400</xdr:rowOff>
    </xdr:from>
    <xdr:to>
      <xdr:col>7</xdr:col>
      <xdr:colOff>431800</xdr:colOff>
      <xdr:row>14</xdr:row>
      <xdr:rowOff>107950</xdr:rowOff>
    </xdr:to>
    <xdr:cxnSp macro="">
      <xdr:nvCxnSpPr>
        <xdr:cNvPr id="19" name="PERT Link 04 WBS-02 to WBS-04">
          <a:extLst>
            <a:ext uri="{FF2B5EF4-FFF2-40B4-BE49-F238E27FC236}">
              <a16:creationId xmlns:a16="http://schemas.microsoft.com/office/drawing/2014/main" id="{68699E76-8FAA-41C9-8347-D4A44E018830}"/>
            </a:ext>
          </a:extLst>
        </xdr:cNvPr>
        <xdr:cNvCxnSpPr/>
      </xdr:nvCxnSpPr>
      <xdr:spPr>
        <a:xfrm flipV="1">
          <a:off x="4000500" y="2314575"/>
          <a:ext cx="695325" cy="43815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12</xdr:row>
      <xdr:rowOff>25400</xdr:rowOff>
    </xdr:from>
    <xdr:to>
      <xdr:col>7</xdr:col>
      <xdr:colOff>431800</xdr:colOff>
      <xdr:row>23</xdr:row>
      <xdr:rowOff>3175</xdr:rowOff>
    </xdr:to>
    <xdr:cxnSp macro="">
      <xdr:nvCxnSpPr>
        <xdr:cNvPr id="20" name="PERT Link 05 WBS-03 to WBS-04">
          <a:extLst>
            <a:ext uri="{FF2B5EF4-FFF2-40B4-BE49-F238E27FC236}">
              <a16:creationId xmlns:a16="http://schemas.microsoft.com/office/drawing/2014/main" id="{375A07BA-FBBA-44C6-9080-C5BB5970341E}"/>
            </a:ext>
          </a:extLst>
        </xdr:cNvPr>
        <xdr:cNvCxnSpPr/>
      </xdr:nvCxnSpPr>
      <xdr:spPr>
        <a:xfrm flipV="1">
          <a:off x="4000500" y="2314575"/>
          <a:ext cx="695325" cy="196850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14</xdr:row>
      <xdr:rowOff>107950</xdr:rowOff>
    </xdr:from>
    <xdr:to>
      <xdr:col>7</xdr:col>
      <xdr:colOff>431800</xdr:colOff>
      <xdr:row>20</xdr:row>
      <xdr:rowOff>101600</xdr:rowOff>
    </xdr:to>
    <xdr:cxnSp macro="">
      <xdr:nvCxnSpPr>
        <xdr:cNvPr id="21" name="PERT Link 06 WBS-02 to WBS-05">
          <a:extLst>
            <a:ext uri="{FF2B5EF4-FFF2-40B4-BE49-F238E27FC236}">
              <a16:creationId xmlns:a16="http://schemas.microsoft.com/office/drawing/2014/main" id="{C0E308C9-725D-465D-925C-5570A1B382D3}"/>
            </a:ext>
          </a:extLst>
        </xdr:cNvPr>
        <xdr:cNvCxnSpPr/>
      </xdr:nvCxnSpPr>
      <xdr:spPr>
        <a:xfrm>
          <a:off x="4000500" y="2752725"/>
          <a:ext cx="695325" cy="108585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20</xdr:row>
      <xdr:rowOff>101600</xdr:rowOff>
    </xdr:from>
    <xdr:to>
      <xdr:col>7</xdr:col>
      <xdr:colOff>431800</xdr:colOff>
      <xdr:row>23</xdr:row>
      <xdr:rowOff>3175</xdr:rowOff>
    </xdr:to>
    <xdr:cxnSp macro="">
      <xdr:nvCxnSpPr>
        <xdr:cNvPr id="22" name="PERT Link 07 WBS-03 to WBS-05">
          <a:extLst>
            <a:ext uri="{FF2B5EF4-FFF2-40B4-BE49-F238E27FC236}">
              <a16:creationId xmlns:a16="http://schemas.microsoft.com/office/drawing/2014/main" id="{725D13C1-3044-4E8C-80E4-69C00A3E579D}"/>
            </a:ext>
          </a:extLst>
        </xdr:cNvPr>
        <xdr:cNvCxnSpPr/>
      </xdr:nvCxnSpPr>
      <xdr:spPr>
        <a:xfrm flipV="1">
          <a:off x="4000500" y="3838575"/>
          <a:ext cx="695325" cy="44450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508000</xdr:colOff>
      <xdr:row>12</xdr:row>
      <xdr:rowOff>25400</xdr:rowOff>
    </xdr:from>
    <xdr:to>
      <xdr:col>11</xdr:col>
      <xdr:colOff>596900</xdr:colOff>
      <xdr:row>16</xdr:row>
      <xdr:rowOff>63500</xdr:rowOff>
    </xdr:to>
    <xdr:cxnSp macro="">
      <xdr:nvCxnSpPr>
        <xdr:cNvPr id="23" name="PERT Link 08 WBS-04 to WBS-06">
          <a:extLst>
            <a:ext uri="{FF2B5EF4-FFF2-40B4-BE49-F238E27FC236}">
              <a16:creationId xmlns:a16="http://schemas.microsoft.com/office/drawing/2014/main" id="{A83869E4-197B-4F45-8EB0-E3928ECDCE28}"/>
            </a:ext>
          </a:extLst>
        </xdr:cNvPr>
        <xdr:cNvCxnSpPr/>
      </xdr:nvCxnSpPr>
      <xdr:spPr>
        <a:xfrm>
          <a:off x="6600825" y="2314575"/>
          <a:ext cx="704850" cy="76200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508000</xdr:colOff>
      <xdr:row>16</xdr:row>
      <xdr:rowOff>63500</xdr:rowOff>
    </xdr:from>
    <xdr:to>
      <xdr:col>11</xdr:col>
      <xdr:colOff>596900</xdr:colOff>
      <xdr:row>20</xdr:row>
      <xdr:rowOff>101600</xdr:rowOff>
    </xdr:to>
    <xdr:cxnSp macro="">
      <xdr:nvCxnSpPr>
        <xdr:cNvPr id="24" name="PERT Link 09 WBS-05 to WBS-06">
          <a:extLst>
            <a:ext uri="{FF2B5EF4-FFF2-40B4-BE49-F238E27FC236}">
              <a16:creationId xmlns:a16="http://schemas.microsoft.com/office/drawing/2014/main" id="{F87417DF-1FEB-4710-9568-EC8392280601}"/>
            </a:ext>
          </a:extLst>
        </xdr:cNvPr>
        <xdr:cNvCxnSpPr/>
      </xdr:nvCxnSpPr>
      <xdr:spPr>
        <a:xfrm flipV="1">
          <a:off x="6600825" y="3076575"/>
          <a:ext cx="704850" cy="76200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63500</xdr:colOff>
      <xdr:row>12</xdr:row>
      <xdr:rowOff>25400</xdr:rowOff>
    </xdr:from>
    <xdr:to>
      <xdr:col>16</xdr:col>
      <xdr:colOff>152400</xdr:colOff>
      <xdr:row>16</xdr:row>
      <xdr:rowOff>63500</xdr:rowOff>
    </xdr:to>
    <xdr:cxnSp macro="">
      <xdr:nvCxnSpPr>
        <xdr:cNvPr id="25" name="PERT Link 10 WBS-06 to WBS-07">
          <a:extLst>
            <a:ext uri="{FF2B5EF4-FFF2-40B4-BE49-F238E27FC236}">
              <a16:creationId xmlns:a16="http://schemas.microsoft.com/office/drawing/2014/main" id="{ED07B2F4-3B30-456F-9E3C-8EAA2DB1AED0}"/>
            </a:ext>
          </a:extLst>
        </xdr:cNvPr>
        <xdr:cNvCxnSpPr/>
      </xdr:nvCxnSpPr>
      <xdr:spPr>
        <a:xfrm flipV="1">
          <a:off x="9210675" y="2314575"/>
          <a:ext cx="695325" cy="76200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63500</xdr:colOff>
      <xdr:row>16</xdr:row>
      <xdr:rowOff>63500</xdr:rowOff>
    </xdr:from>
    <xdr:to>
      <xdr:col>16</xdr:col>
      <xdr:colOff>152400</xdr:colOff>
      <xdr:row>20</xdr:row>
      <xdr:rowOff>101600</xdr:rowOff>
    </xdr:to>
    <xdr:cxnSp macro="">
      <xdr:nvCxnSpPr>
        <xdr:cNvPr id="26" name="PERT Link 11 WBS-06 to WBS-08">
          <a:extLst>
            <a:ext uri="{FF2B5EF4-FFF2-40B4-BE49-F238E27FC236}">
              <a16:creationId xmlns:a16="http://schemas.microsoft.com/office/drawing/2014/main" id="{666AE72A-866F-4F25-9662-36068209A09E}"/>
            </a:ext>
          </a:extLst>
        </xdr:cNvPr>
        <xdr:cNvCxnSpPr/>
      </xdr:nvCxnSpPr>
      <xdr:spPr>
        <a:xfrm>
          <a:off x="9210675" y="3076575"/>
          <a:ext cx="695325" cy="76200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228600</xdr:colOff>
      <xdr:row>12</xdr:row>
      <xdr:rowOff>25400</xdr:rowOff>
    </xdr:from>
    <xdr:to>
      <xdr:col>20</xdr:col>
      <xdr:colOff>317500</xdr:colOff>
      <xdr:row>12</xdr:row>
      <xdr:rowOff>25400</xdr:rowOff>
    </xdr:to>
    <xdr:cxnSp macro="">
      <xdr:nvCxnSpPr>
        <xdr:cNvPr id="27" name="PERT Link 12 WBS-07 to WBS-09">
          <a:extLst>
            <a:ext uri="{FF2B5EF4-FFF2-40B4-BE49-F238E27FC236}">
              <a16:creationId xmlns:a16="http://schemas.microsoft.com/office/drawing/2014/main" id="{7299C00B-7DD6-45A1-89EE-5E4BD6CAA82E}"/>
            </a:ext>
          </a:extLst>
        </xdr:cNvPr>
        <xdr:cNvCxnSpPr/>
      </xdr:nvCxnSpPr>
      <xdr:spPr>
        <a:xfrm>
          <a:off x="11811000" y="2314575"/>
          <a:ext cx="695325" cy="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228600</xdr:colOff>
      <xdr:row>12</xdr:row>
      <xdr:rowOff>25400</xdr:rowOff>
    </xdr:from>
    <xdr:to>
      <xdr:col>20</xdr:col>
      <xdr:colOff>317500</xdr:colOff>
      <xdr:row>20</xdr:row>
      <xdr:rowOff>101600</xdr:rowOff>
    </xdr:to>
    <xdr:cxnSp macro="">
      <xdr:nvCxnSpPr>
        <xdr:cNvPr id="28" name="PERT Link 13 WBS-08 to WBS-09">
          <a:extLst>
            <a:ext uri="{FF2B5EF4-FFF2-40B4-BE49-F238E27FC236}">
              <a16:creationId xmlns:a16="http://schemas.microsoft.com/office/drawing/2014/main" id="{5ADCD367-0E64-48B7-B2C8-4861605CCEBC}"/>
            </a:ext>
          </a:extLst>
        </xdr:cNvPr>
        <xdr:cNvCxnSpPr/>
      </xdr:nvCxnSpPr>
      <xdr:spPr>
        <a:xfrm flipV="1">
          <a:off x="11811000" y="2314575"/>
          <a:ext cx="695325" cy="152400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228600</xdr:colOff>
      <xdr:row>12</xdr:row>
      <xdr:rowOff>25400</xdr:rowOff>
    </xdr:from>
    <xdr:to>
      <xdr:col>20</xdr:col>
      <xdr:colOff>317500</xdr:colOff>
      <xdr:row>20</xdr:row>
      <xdr:rowOff>101600</xdr:rowOff>
    </xdr:to>
    <xdr:cxnSp macro="">
      <xdr:nvCxnSpPr>
        <xdr:cNvPr id="29" name="PERT Link 14 WBS-07 to WBS-10">
          <a:extLst>
            <a:ext uri="{FF2B5EF4-FFF2-40B4-BE49-F238E27FC236}">
              <a16:creationId xmlns:a16="http://schemas.microsoft.com/office/drawing/2014/main" id="{28168A20-F9E1-474D-AA57-87BE3909B75B}"/>
            </a:ext>
          </a:extLst>
        </xdr:cNvPr>
        <xdr:cNvCxnSpPr/>
      </xdr:nvCxnSpPr>
      <xdr:spPr>
        <a:xfrm>
          <a:off x="11811000" y="2314575"/>
          <a:ext cx="695325" cy="152400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228600</xdr:colOff>
      <xdr:row>20</xdr:row>
      <xdr:rowOff>101600</xdr:rowOff>
    </xdr:from>
    <xdr:to>
      <xdr:col>20</xdr:col>
      <xdr:colOff>317500</xdr:colOff>
      <xdr:row>20</xdr:row>
      <xdr:rowOff>101600</xdr:rowOff>
    </xdr:to>
    <xdr:cxnSp macro="">
      <xdr:nvCxnSpPr>
        <xdr:cNvPr id="30" name="PERT Link 15 WBS-08 to WBS-10">
          <a:extLst>
            <a:ext uri="{FF2B5EF4-FFF2-40B4-BE49-F238E27FC236}">
              <a16:creationId xmlns:a16="http://schemas.microsoft.com/office/drawing/2014/main" id="{5C037E6B-B812-4B55-892B-EDB8B5435E88}"/>
            </a:ext>
          </a:extLst>
        </xdr:cNvPr>
        <xdr:cNvCxnSpPr/>
      </xdr:nvCxnSpPr>
      <xdr:spPr>
        <a:xfrm>
          <a:off x="11811000" y="3838575"/>
          <a:ext cx="695325" cy="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393700</xdr:colOff>
      <xdr:row>12</xdr:row>
      <xdr:rowOff>25400</xdr:rowOff>
    </xdr:from>
    <xdr:to>
      <xdr:col>24</xdr:col>
      <xdr:colOff>482600</xdr:colOff>
      <xdr:row>16</xdr:row>
      <xdr:rowOff>63500</xdr:rowOff>
    </xdr:to>
    <xdr:cxnSp macro="">
      <xdr:nvCxnSpPr>
        <xdr:cNvPr id="31" name="PERT Link 16 WBS-09 to WBS-11">
          <a:extLst>
            <a:ext uri="{FF2B5EF4-FFF2-40B4-BE49-F238E27FC236}">
              <a16:creationId xmlns:a16="http://schemas.microsoft.com/office/drawing/2014/main" id="{93A7F7D0-8850-4E2F-BAFB-BFCA41722E71}"/>
            </a:ext>
          </a:extLst>
        </xdr:cNvPr>
        <xdr:cNvCxnSpPr/>
      </xdr:nvCxnSpPr>
      <xdr:spPr>
        <a:xfrm>
          <a:off x="14411325" y="2314575"/>
          <a:ext cx="704850" cy="76200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393700</xdr:colOff>
      <xdr:row>16</xdr:row>
      <xdr:rowOff>63500</xdr:rowOff>
    </xdr:from>
    <xdr:to>
      <xdr:col>24</xdr:col>
      <xdr:colOff>482600</xdr:colOff>
      <xdr:row>20</xdr:row>
      <xdr:rowOff>101600</xdr:rowOff>
    </xdr:to>
    <xdr:cxnSp macro="">
      <xdr:nvCxnSpPr>
        <xdr:cNvPr id="32" name="PERT Link 17 WBS-10 to WBS-11">
          <a:extLst>
            <a:ext uri="{FF2B5EF4-FFF2-40B4-BE49-F238E27FC236}">
              <a16:creationId xmlns:a16="http://schemas.microsoft.com/office/drawing/2014/main" id="{FF759AE5-B0B8-477B-92FE-2D42F8BC4A31}"/>
            </a:ext>
          </a:extLst>
        </xdr:cNvPr>
        <xdr:cNvCxnSpPr/>
      </xdr:nvCxnSpPr>
      <xdr:spPr>
        <a:xfrm flipV="1">
          <a:off x="14411325" y="3076575"/>
          <a:ext cx="704850" cy="76200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558800</xdr:colOff>
      <xdr:row>16</xdr:row>
      <xdr:rowOff>63500</xdr:rowOff>
    </xdr:from>
    <xdr:to>
      <xdr:col>29</xdr:col>
      <xdr:colOff>38100</xdr:colOff>
      <xdr:row>16</xdr:row>
      <xdr:rowOff>63500</xdr:rowOff>
    </xdr:to>
    <xdr:cxnSp macro="">
      <xdr:nvCxnSpPr>
        <xdr:cNvPr id="33" name="PERT Link 18 WBS-11 to WBS-12">
          <a:extLst>
            <a:ext uri="{FF2B5EF4-FFF2-40B4-BE49-F238E27FC236}">
              <a16:creationId xmlns:a16="http://schemas.microsoft.com/office/drawing/2014/main" id="{0CA4EB2E-6CFA-4AFA-BF9C-D4B9B62AB2BF}"/>
            </a:ext>
          </a:extLst>
        </xdr:cNvPr>
        <xdr:cNvCxnSpPr/>
      </xdr:nvCxnSpPr>
      <xdr:spPr>
        <a:xfrm>
          <a:off x="17021175" y="3076575"/>
          <a:ext cx="695325" cy="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114300</xdr:colOff>
      <xdr:row>16</xdr:row>
      <xdr:rowOff>63500</xdr:rowOff>
    </xdr:from>
    <xdr:to>
      <xdr:col>33</xdr:col>
      <xdr:colOff>203200</xdr:colOff>
      <xdr:row>17</xdr:row>
      <xdr:rowOff>98425</xdr:rowOff>
    </xdr:to>
    <xdr:cxnSp macro="">
      <xdr:nvCxnSpPr>
        <xdr:cNvPr id="34" name="PERT Link 19 WBS-12 to FINISH">
          <a:extLst>
            <a:ext uri="{FF2B5EF4-FFF2-40B4-BE49-F238E27FC236}">
              <a16:creationId xmlns:a16="http://schemas.microsoft.com/office/drawing/2014/main" id="{51D095A4-A1D6-4132-BBD3-AB8E213CDB63}"/>
            </a:ext>
          </a:extLst>
        </xdr:cNvPr>
        <xdr:cNvCxnSpPr/>
      </xdr:nvCxnSpPr>
      <xdr:spPr>
        <a:xfrm>
          <a:off x="19621500" y="3076575"/>
          <a:ext cx="695325" cy="215900"/>
        </a:xfrm>
        <a:prstGeom prst="straightConnector1">
          <a:avLst/>
        </a:prstGeom>
        <a:noFill/>
        <a:ln w="9525" cap="flat" cmpd="sng" algn="ctr">
          <a:solidFill>
            <a:srgbClr val="666666"/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447675</xdr:colOff>
      <xdr:row>28</xdr:row>
      <xdr:rowOff>25400</xdr:rowOff>
    </xdr:from>
    <xdr:to>
      <xdr:col>16</xdr:col>
      <xdr:colOff>342900</xdr:colOff>
      <xdr:row>31</xdr:row>
      <xdr:rowOff>15875</xdr:rowOff>
    </xdr:to>
    <xdr:sp macro="" textlink="">
      <xdr:nvSpPr>
        <xdr:cNvPr id="35" name="PERT Dependency Assumption Note">
          <a:extLst>
            <a:ext uri="{FF2B5EF4-FFF2-40B4-BE49-F238E27FC236}">
              <a16:creationId xmlns:a16="http://schemas.microsoft.com/office/drawing/2014/main" id="{72160EE0-C3F1-A375-0992-1EA536165FC3}"/>
            </a:ext>
          </a:extLst>
        </xdr:cNvPr>
        <xdr:cNvSpPr txBox="1"/>
      </xdr:nvSpPr>
      <xdr:spPr>
        <a:xfrm>
          <a:off x="444500" y="5210175"/>
          <a:ext cx="9652000" cy="530225"/>
        </a:xfrm>
        <a:prstGeom prst="rect">
          <a:avLst/>
        </a:prstGeom>
        <a:solidFill>
          <a:srgbClr val="FFF2CC"/>
        </a:solidFill>
        <a:ln>
          <a:solidFill>
            <a:srgbClr val="7F6000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900" b="0" i="0" u="none" strike="noStrike" kern="0" cap="none" spc="0" normalizeH="0" baseline="0" noProof="0">
              <a:ln>
                <a:noFill/>
              </a:ln>
              <a:solidFill>
                <a:srgbClr val="7F6000"/>
              </a:solidFill>
              <a:effectLst/>
              <a:uLnTx/>
              <a:uFillTx/>
              <a:latin typeface="Calibri"/>
            </a:rPr>
            <a:t>Dependency note: predecessors are inferred from baseline timing and WBS sequence because no explicit predecessor table exists in the source data. Update the predecessor table if dependencies change.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81B7-180C-49C1-9636-9009749833CB}">
  <sheetPr>
    <tabColor rgb="FF7030A0"/>
  </sheetPr>
  <dimension ref="A1:H39"/>
  <sheetViews>
    <sheetView showGridLines="0" tabSelected="1" workbookViewId="0">
      <selection activeCell="A11" sqref="A11"/>
    </sheetView>
  </sheetViews>
  <sheetFormatPr defaultRowHeight="14.5" x14ac:dyDescent="0.35"/>
  <cols>
    <col min="1" max="1" width="36.36328125" customWidth="1"/>
    <col min="2" max="2" width="63.6328125" customWidth="1"/>
    <col min="4" max="4" width="23.6328125" customWidth="1"/>
    <col min="5" max="5" width="17.26953125" customWidth="1"/>
    <col min="6" max="8" width="24.54296875" customWidth="1"/>
  </cols>
  <sheetData>
    <row r="1" spans="1:8" ht="30" customHeight="1" x14ac:dyDescent="0.55000000000000004">
      <c r="A1" s="121" t="s">
        <v>154</v>
      </c>
      <c r="B1" s="122"/>
      <c r="C1" s="122"/>
      <c r="D1" s="122"/>
      <c r="E1" s="122"/>
      <c r="F1" s="122"/>
      <c r="G1" s="122"/>
      <c r="H1" s="122"/>
    </row>
    <row r="2" spans="1:8" ht="32" customHeight="1" x14ac:dyDescent="0.35">
      <c r="A2" s="123" t="s">
        <v>155</v>
      </c>
      <c r="B2" s="123"/>
      <c r="C2" s="123"/>
      <c r="D2" s="123"/>
      <c r="E2" s="123"/>
      <c r="F2" s="123"/>
      <c r="G2" s="123"/>
      <c r="H2" s="123"/>
    </row>
    <row r="4" spans="1:8" x14ac:dyDescent="0.35">
      <c r="A4" s="62" t="s">
        <v>156</v>
      </c>
      <c r="B4" s="62" t="s">
        <v>157</v>
      </c>
      <c r="D4" s="120" t="s">
        <v>600</v>
      </c>
      <c r="E4" s="120"/>
      <c r="F4" s="120"/>
      <c r="G4" s="120"/>
      <c r="H4" s="120"/>
    </row>
    <row r="5" spans="1:8" ht="29" x14ac:dyDescent="0.35">
      <c r="A5" s="70" t="s">
        <v>158</v>
      </c>
      <c r="B5" s="71" t="s">
        <v>159</v>
      </c>
      <c r="D5" s="3" t="s">
        <v>601</v>
      </c>
      <c r="E5" s="3" t="s">
        <v>276</v>
      </c>
      <c r="F5" s="3" t="s">
        <v>602</v>
      </c>
      <c r="G5" s="3"/>
      <c r="H5" s="3"/>
    </row>
    <row r="6" spans="1:8" ht="29" x14ac:dyDescent="0.35">
      <c r="A6" s="70" t="s">
        <v>160</v>
      </c>
      <c r="B6" s="71" t="s">
        <v>161</v>
      </c>
      <c r="D6" s="95"/>
      <c r="E6" s="9" t="s">
        <v>603</v>
      </c>
      <c r="F6" s="119" t="s">
        <v>604</v>
      </c>
      <c r="G6" s="119"/>
      <c r="H6" s="119"/>
    </row>
    <row r="7" spans="1:8" ht="29" x14ac:dyDescent="0.35">
      <c r="A7" s="70" t="s">
        <v>162</v>
      </c>
      <c r="B7" s="71" t="s">
        <v>163</v>
      </c>
      <c r="D7" s="96"/>
      <c r="E7" s="9" t="s">
        <v>605</v>
      </c>
      <c r="F7" s="119" t="s">
        <v>606</v>
      </c>
      <c r="G7" s="119"/>
      <c r="H7" s="119"/>
    </row>
    <row r="8" spans="1:8" ht="29" x14ac:dyDescent="0.35">
      <c r="A8" s="70" t="s">
        <v>164</v>
      </c>
      <c r="B8" s="71" t="s">
        <v>165</v>
      </c>
      <c r="D8" s="97"/>
      <c r="E8" s="9" t="s">
        <v>607</v>
      </c>
      <c r="F8" s="119" t="s">
        <v>608</v>
      </c>
      <c r="G8" s="119"/>
      <c r="H8" s="119"/>
    </row>
    <row r="9" spans="1:8" ht="29" x14ac:dyDescent="0.35">
      <c r="A9" s="70" t="s">
        <v>166</v>
      </c>
      <c r="B9" s="71" t="s">
        <v>167</v>
      </c>
      <c r="D9" s="98"/>
      <c r="E9" s="9" t="s">
        <v>609</v>
      </c>
      <c r="F9" s="119" t="s">
        <v>610</v>
      </c>
      <c r="G9" s="119"/>
      <c r="H9" s="119"/>
    </row>
    <row r="10" spans="1:8" x14ac:dyDescent="0.35">
      <c r="A10" s="70" t="s">
        <v>168</v>
      </c>
      <c r="B10" s="71" t="s">
        <v>169</v>
      </c>
      <c r="D10" s="99"/>
      <c r="E10" s="9" t="s">
        <v>611</v>
      </c>
      <c r="F10" s="119" t="s">
        <v>612</v>
      </c>
      <c r="G10" s="119"/>
      <c r="H10" s="119"/>
    </row>
    <row r="11" spans="1:8" x14ac:dyDescent="0.35">
      <c r="A11" s="70" t="s">
        <v>170</v>
      </c>
      <c r="B11" s="71" t="s">
        <v>171</v>
      </c>
      <c r="D11" s="100"/>
      <c r="E11" s="9" t="s">
        <v>613</v>
      </c>
      <c r="F11" s="119" t="s">
        <v>614</v>
      </c>
      <c r="G11" s="119"/>
      <c r="H11" s="119"/>
    </row>
    <row r="12" spans="1:8" ht="29" x14ac:dyDescent="0.35">
      <c r="A12" s="70" t="s">
        <v>369</v>
      </c>
      <c r="B12" s="71" t="s">
        <v>370</v>
      </c>
    </row>
    <row r="13" spans="1:8" ht="29" x14ac:dyDescent="0.35">
      <c r="A13" s="70" t="s">
        <v>583</v>
      </c>
      <c r="B13" s="71" t="s">
        <v>584</v>
      </c>
      <c r="D13" s="120" t="s">
        <v>615</v>
      </c>
      <c r="E13" s="120"/>
      <c r="F13" s="120"/>
      <c r="G13" s="120"/>
      <c r="H13" s="120"/>
    </row>
    <row r="14" spans="1:8" ht="29" x14ac:dyDescent="0.35">
      <c r="A14" s="70" t="s">
        <v>585</v>
      </c>
      <c r="B14" s="71" t="s">
        <v>586</v>
      </c>
      <c r="D14" s="3" t="s">
        <v>616</v>
      </c>
      <c r="E14" s="3" t="s">
        <v>131</v>
      </c>
      <c r="F14" s="3" t="s">
        <v>602</v>
      </c>
      <c r="G14" s="3"/>
      <c r="H14" s="3"/>
    </row>
    <row r="15" spans="1:8" ht="58" x14ac:dyDescent="0.35">
      <c r="A15" s="70" t="s">
        <v>587</v>
      </c>
      <c r="B15" s="71" t="s">
        <v>588</v>
      </c>
      <c r="D15" s="101" t="s">
        <v>617</v>
      </c>
      <c r="E15" s="71" t="s">
        <v>618</v>
      </c>
      <c r="F15" s="119" t="s">
        <v>619</v>
      </c>
      <c r="G15" s="119"/>
      <c r="H15" s="119"/>
    </row>
    <row r="16" spans="1:8" ht="116" x14ac:dyDescent="0.35">
      <c r="A16" s="70" t="s">
        <v>589</v>
      </c>
      <c r="B16" s="71" t="s">
        <v>590</v>
      </c>
      <c r="D16" s="102" t="s">
        <v>174</v>
      </c>
      <c r="E16" s="71" t="s">
        <v>620</v>
      </c>
      <c r="F16" s="119" t="s">
        <v>621</v>
      </c>
      <c r="G16" s="119"/>
      <c r="H16" s="119"/>
    </row>
    <row r="17" spans="1:8" ht="101.5" x14ac:dyDescent="0.35">
      <c r="A17" s="70" t="s">
        <v>591</v>
      </c>
      <c r="B17" s="71" t="s">
        <v>592</v>
      </c>
      <c r="D17" s="103" t="s">
        <v>622</v>
      </c>
      <c r="E17" s="71" t="s">
        <v>623</v>
      </c>
      <c r="F17" s="119" t="s">
        <v>624</v>
      </c>
      <c r="G17" s="119"/>
      <c r="H17" s="119"/>
    </row>
    <row r="18" spans="1:8" ht="29" x14ac:dyDescent="0.35">
      <c r="A18" s="82" t="s">
        <v>652</v>
      </c>
      <c r="B18" s="79" t="s">
        <v>653</v>
      </c>
    </row>
    <row r="19" spans="1:8" ht="29" x14ac:dyDescent="0.35">
      <c r="A19" s="82" t="s">
        <v>695</v>
      </c>
      <c r="B19" s="79" t="s">
        <v>696</v>
      </c>
      <c r="D19" s="3" t="s">
        <v>156</v>
      </c>
      <c r="E19" s="3" t="s">
        <v>616</v>
      </c>
      <c r="F19" s="3" t="s">
        <v>625</v>
      </c>
      <c r="G19" s="3"/>
      <c r="H19" s="3"/>
    </row>
    <row r="20" spans="1:8" x14ac:dyDescent="0.35">
      <c r="D20" s="9" t="s">
        <v>626</v>
      </c>
      <c r="E20" s="103" t="s">
        <v>622</v>
      </c>
      <c r="F20" s="119" t="s">
        <v>627</v>
      </c>
      <c r="G20" s="119"/>
      <c r="H20" s="119"/>
    </row>
    <row r="21" spans="1:8" x14ac:dyDescent="0.35">
      <c r="D21" s="9" t="s">
        <v>369</v>
      </c>
      <c r="E21" s="103" t="s">
        <v>622</v>
      </c>
      <c r="F21" s="119"/>
      <c r="G21" s="119"/>
      <c r="H21" s="119"/>
    </row>
    <row r="22" spans="1:8" x14ac:dyDescent="0.35">
      <c r="D22" s="9" t="s">
        <v>591</v>
      </c>
      <c r="E22" s="101" t="s">
        <v>617</v>
      </c>
      <c r="F22" s="119"/>
      <c r="G22" s="119"/>
      <c r="H22" s="119"/>
    </row>
    <row r="23" spans="1:8" x14ac:dyDescent="0.35">
      <c r="D23" s="9" t="s">
        <v>158</v>
      </c>
      <c r="E23" s="102" t="s">
        <v>174</v>
      </c>
      <c r="F23" s="119"/>
      <c r="G23" s="119"/>
      <c r="H23" s="119"/>
    </row>
    <row r="24" spans="1:8" x14ac:dyDescent="0.35">
      <c r="D24" s="9" t="s">
        <v>585</v>
      </c>
      <c r="E24" s="101" t="s">
        <v>617</v>
      </c>
      <c r="F24" s="119"/>
      <c r="G24" s="119"/>
      <c r="H24" s="119"/>
    </row>
    <row r="25" spans="1:8" x14ac:dyDescent="0.35">
      <c r="D25" s="9" t="s">
        <v>583</v>
      </c>
      <c r="E25" s="102" t="s">
        <v>174</v>
      </c>
      <c r="F25" s="119"/>
      <c r="G25" s="119"/>
      <c r="H25" s="119"/>
    </row>
    <row r="26" spans="1:8" x14ac:dyDescent="0.35">
      <c r="D26" s="9" t="s">
        <v>168</v>
      </c>
      <c r="E26" s="102" t="s">
        <v>174</v>
      </c>
      <c r="F26" s="119"/>
      <c r="G26" s="119"/>
      <c r="H26" s="119"/>
    </row>
    <row r="27" spans="1:8" x14ac:dyDescent="0.35">
      <c r="D27" s="9" t="s">
        <v>160</v>
      </c>
      <c r="E27" s="102" t="s">
        <v>174</v>
      </c>
      <c r="F27" s="119"/>
      <c r="G27" s="119"/>
      <c r="H27" s="119"/>
    </row>
    <row r="28" spans="1:8" x14ac:dyDescent="0.35">
      <c r="D28" s="9" t="s">
        <v>587</v>
      </c>
      <c r="E28" s="101" t="s">
        <v>617</v>
      </c>
      <c r="F28" s="119"/>
      <c r="G28" s="119"/>
      <c r="H28" s="119"/>
    </row>
    <row r="29" spans="1:8" x14ac:dyDescent="0.35">
      <c r="D29" s="9" t="s">
        <v>166</v>
      </c>
      <c r="E29" s="103" t="s">
        <v>622</v>
      </c>
      <c r="F29" s="119"/>
      <c r="G29" s="119"/>
      <c r="H29" s="119"/>
    </row>
    <row r="30" spans="1:8" x14ac:dyDescent="0.35">
      <c r="D30" s="9" t="s">
        <v>589</v>
      </c>
      <c r="E30" s="102" t="s">
        <v>174</v>
      </c>
      <c r="F30" s="119"/>
      <c r="G30" s="119"/>
      <c r="H30" s="119"/>
    </row>
    <row r="31" spans="1:8" x14ac:dyDescent="0.35">
      <c r="D31" s="9" t="s">
        <v>628</v>
      </c>
      <c r="E31" s="101" t="s">
        <v>617</v>
      </c>
      <c r="F31" s="119"/>
      <c r="G31" s="119"/>
      <c r="H31" s="119"/>
    </row>
    <row r="32" spans="1:8" x14ac:dyDescent="0.35">
      <c r="D32" s="9" t="s">
        <v>629</v>
      </c>
      <c r="E32" s="101" t="s">
        <v>617</v>
      </c>
      <c r="F32" s="119"/>
      <c r="G32" s="119"/>
      <c r="H32" s="119"/>
    </row>
    <row r="33" spans="4:8" x14ac:dyDescent="0.35">
      <c r="D33" s="9" t="s">
        <v>630</v>
      </c>
      <c r="E33" s="101" t="s">
        <v>617</v>
      </c>
      <c r="F33" s="119"/>
      <c r="G33" s="119"/>
      <c r="H33" s="119"/>
    </row>
    <row r="34" spans="4:8" x14ac:dyDescent="0.35">
      <c r="D34" s="9" t="s">
        <v>631</v>
      </c>
      <c r="E34" s="101" t="s">
        <v>617</v>
      </c>
      <c r="F34" s="119"/>
      <c r="G34" s="119"/>
      <c r="H34" s="119"/>
    </row>
    <row r="35" spans="4:8" x14ac:dyDescent="0.35">
      <c r="D35" s="9" t="s">
        <v>632</v>
      </c>
      <c r="E35" s="101" t="s">
        <v>617</v>
      </c>
      <c r="F35" s="119"/>
      <c r="G35" s="119"/>
      <c r="H35" s="119"/>
    </row>
    <row r="36" spans="4:8" x14ac:dyDescent="0.35">
      <c r="D36" s="9" t="s">
        <v>633</v>
      </c>
      <c r="E36" s="101" t="s">
        <v>617</v>
      </c>
      <c r="F36" s="119"/>
      <c r="G36" s="119"/>
      <c r="H36" s="119"/>
    </row>
    <row r="37" spans="4:8" x14ac:dyDescent="0.35">
      <c r="D37" s="9" t="s">
        <v>634</v>
      </c>
      <c r="E37" s="101" t="s">
        <v>617</v>
      </c>
      <c r="F37" s="119"/>
      <c r="G37" s="119"/>
      <c r="H37" s="119"/>
    </row>
    <row r="38" spans="4:8" x14ac:dyDescent="0.35">
      <c r="D38" s="9" t="s">
        <v>162</v>
      </c>
      <c r="E38" s="103" t="s">
        <v>622</v>
      </c>
      <c r="F38" s="119"/>
      <c r="G38" s="119"/>
      <c r="H38" s="119"/>
    </row>
    <row r="39" spans="4:8" x14ac:dyDescent="0.35">
      <c r="D39" s="9" t="s">
        <v>164</v>
      </c>
      <c r="E39" s="103" t="s">
        <v>622</v>
      </c>
      <c r="F39" s="119"/>
      <c r="G39" s="119"/>
      <c r="H39" s="119"/>
    </row>
  </sheetData>
  <mergeCells count="14">
    <mergeCell ref="F8:H8"/>
    <mergeCell ref="A1:H1"/>
    <mergeCell ref="A2:H2"/>
    <mergeCell ref="D4:H4"/>
    <mergeCell ref="F6:H6"/>
    <mergeCell ref="F7:H7"/>
    <mergeCell ref="F17:H17"/>
    <mergeCell ref="F20:H39"/>
    <mergeCell ref="F9:H9"/>
    <mergeCell ref="F10:H10"/>
    <mergeCell ref="F11:H11"/>
    <mergeCell ref="D13:H13"/>
    <mergeCell ref="F15:H15"/>
    <mergeCell ref="F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1343-438B-46AB-9E88-2D89149BB095}">
  <sheetPr>
    <tabColor rgb="FF7030A0"/>
  </sheetPr>
  <dimension ref="A1:E38"/>
  <sheetViews>
    <sheetView showGridLines="0" topLeftCell="A19" workbookViewId="0">
      <selection sqref="A1:E1"/>
    </sheetView>
  </sheetViews>
  <sheetFormatPr defaultRowHeight="14.5" x14ac:dyDescent="0.35"/>
  <cols>
    <col min="1" max="1" width="20.90625" customWidth="1"/>
    <col min="2" max="2" width="27.26953125" customWidth="1"/>
    <col min="3" max="3" width="13.6328125" customWidth="1"/>
    <col min="4" max="4" width="47.26953125" customWidth="1"/>
    <col min="5" max="5" width="30.90625" customWidth="1"/>
  </cols>
  <sheetData>
    <row r="1" spans="1:5" ht="23.5" x14ac:dyDescent="0.55000000000000004">
      <c r="A1" s="122" t="s">
        <v>274</v>
      </c>
      <c r="B1" s="122"/>
      <c r="C1" s="122"/>
      <c r="D1" s="122"/>
      <c r="E1" s="122"/>
    </row>
    <row r="2" spans="1:5" x14ac:dyDescent="0.35">
      <c r="A2" s="123" t="s">
        <v>275</v>
      </c>
      <c r="B2" s="123"/>
      <c r="C2" s="123"/>
      <c r="D2" s="123"/>
      <c r="E2" s="123"/>
    </row>
    <row r="4" spans="1:5" x14ac:dyDescent="0.35">
      <c r="A4" s="62" t="s">
        <v>276</v>
      </c>
      <c r="B4" s="62" t="s">
        <v>277</v>
      </c>
      <c r="C4" s="62" t="s">
        <v>278</v>
      </c>
      <c r="D4" s="62" t="s">
        <v>279</v>
      </c>
      <c r="E4" s="62" t="s">
        <v>280</v>
      </c>
    </row>
    <row r="5" spans="1:5" x14ac:dyDescent="0.35">
      <c r="A5" s="80" t="s">
        <v>281</v>
      </c>
      <c r="B5" s="9" t="s">
        <v>145</v>
      </c>
      <c r="C5" s="9"/>
      <c r="D5" s="71" t="s">
        <v>282</v>
      </c>
      <c r="E5" s="81" t="s">
        <v>283</v>
      </c>
    </row>
    <row r="6" spans="1:5" x14ac:dyDescent="0.35">
      <c r="A6" s="80" t="s">
        <v>281</v>
      </c>
      <c r="B6" s="9" t="s">
        <v>178</v>
      </c>
      <c r="C6" s="9"/>
      <c r="D6" s="71" t="s">
        <v>284</v>
      </c>
      <c r="E6" s="81" t="s">
        <v>285</v>
      </c>
    </row>
    <row r="7" spans="1:5" ht="29" x14ac:dyDescent="0.35">
      <c r="A7" s="80" t="s">
        <v>281</v>
      </c>
      <c r="B7" s="9" t="s">
        <v>147</v>
      </c>
      <c r="C7" s="9"/>
      <c r="D7" s="71" t="s">
        <v>286</v>
      </c>
      <c r="E7" s="81" t="s">
        <v>287</v>
      </c>
    </row>
    <row r="8" spans="1:5" ht="29" x14ac:dyDescent="0.35">
      <c r="A8" s="80" t="s">
        <v>288</v>
      </c>
      <c r="B8" s="9" t="s">
        <v>289</v>
      </c>
      <c r="C8" s="9" t="s">
        <v>290</v>
      </c>
      <c r="D8" s="71" t="s">
        <v>291</v>
      </c>
      <c r="E8" s="81" t="s">
        <v>292</v>
      </c>
    </row>
    <row r="9" spans="1:5" ht="29" x14ac:dyDescent="0.35">
      <c r="A9" s="80" t="s">
        <v>288</v>
      </c>
      <c r="B9" s="9" t="s">
        <v>19</v>
      </c>
      <c r="C9" s="9"/>
      <c r="D9" s="71" t="s">
        <v>293</v>
      </c>
      <c r="E9" s="81" t="s">
        <v>294</v>
      </c>
    </row>
    <row r="10" spans="1:5" ht="29" x14ac:dyDescent="0.35">
      <c r="A10" s="80" t="s">
        <v>288</v>
      </c>
      <c r="B10" s="9" t="s">
        <v>295</v>
      </c>
      <c r="C10" s="9"/>
      <c r="D10" s="71" t="s">
        <v>296</v>
      </c>
      <c r="E10" s="81" t="s">
        <v>297</v>
      </c>
    </row>
    <row r="11" spans="1:5" ht="29" x14ac:dyDescent="0.35">
      <c r="A11" s="80" t="s">
        <v>298</v>
      </c>
      <c r="B11" s="9" t="s">
        <v>198</v>
      </c>
      <c r="C11" s="9"/>
      <c r="D11" s="71" t="s">
        <v>299</v>
      </c>
      <c r="E11" s="81" t="s">
        <v>300</v>
      </c>
    </row>
    <row r="12" spans="1:5" ht="29" x14ac:dyDescent="0.35">
      <c r="A12" s="80" t="s">
        <v>298</v>
      </c>
      <c r="B12" s="9" t="s">
        <v>199</v>
      </c>
      <c r="C12" s="9"/>
      <c r="D12" s="71" t="s">
        <v>301</v>
      </c>
      <c r="E12" s="81" t="s">
        <v>302</v>
      </c>
    </row>
    <row r="13" spans="1:5" ht="29" x14ac:dyDescent="0.35">
      <c r="A13" s="80" t="s">
        <v>298</v>
      </c>
      <c r="B13" s="9" t="s">
        <v>152</v>
      </c>
      <c r="C13" s="9"/>
      <c r="D13" s="71" t="s">
        <v>303</v>
      </c>
      <c r="E13" s="81" t="s">
        <v>304</v>
      </c>
    </row>
    <row r="14" spans="1:5" ht="29" x14ac:dyDescent="0.35">
      <c r="A14" s="80" t="s">
        <v>298</v>
      </c>
      <c r="B14" s="9" t="s">
        <v>305</v>
      </c>
      <c r="C14" s="9"/>
      <c r="D14" s="71" t="s">
        <v>306</v>
      </c>
      <c r="E14" s="81" t="s">
        <v>243</v>
      </c>
    </row>
    <row r="15" spans="1:5" x14ac:dyDescent="0.35">
      <c r="A15" s="80" t="s">
        <v>307</v>
      </c>
      <c r="B15" s="9" t="s">
        <v>308</v>
      </c>
      <c r="C15" s="9" t="s">
        <v>75</v>
      </c>
      <c r="D15" s="71" t="s">
        <v>309</v>
      </c>
      <c r="E15" s="81" t="s">
        <v>310</v>
      </c>
    </row>
    <row r="16" spans="1:5" ht="29" x14ac:dyDescent="0.35">
      <c r="A16" s="80" t="s">
        <v>307</v>
      </c>
      <c r="B16" s="9" t="s">
        <v>311</v>
      </c>
      <c r="C16" s="9" t="s">
        <v>269</v>
      </c>
      <c r="D16" s="71" t="s">
        <v>312</v>
      </c>
      <c r="E16" s="81" t="s">
        <v>313</v>
      </c>
    </row>
    <row r="17" spans="1:5" x14ac:dyDescent="0.35">
      <c r="A17" s="80" t="s">
        <v>307</v>
      </c>
      <c r="B17" s="9" t="s">
        <v>314</v>
      </c>
      <c r="C17" s="9" t="s">
        <v>270</v>
      </c>
      <c r="D17" s="71" t="s">
        <v>315</v>
      </c>
      <c r="E17" s="81" t="s">
        <v>316</v>
      </c>
    </row>
    <row r="18" spans="1:5" ht="29" x14ac:dyDescent="0.35">
      <c r="A18" s="80" t="s">
        <v>307</v>
      </c>
      <c r="B18" s="9" t="s">
        <v>317</v>
      </c>
      <c r="C18" s="9" t="s">
        <v>25</v>
      </c>
      <c r="D18" s="71" t="s">
        <v>318</v>
      </c>
      <c r="E18" s="81" t="s">
        <v>319</v>
      </c>
    </row>
    <row r="19" spans="1:5" ht="29" x14ac:dyDescent="0.35">
      <c r="A19" s="80" t="s">
        <v>307</v>
      </c>
      <c r="B19" s="9" t="s">
        <v>320</v>
      </c>
      <c r="C19" s="9" t="s">
        <v>271</v>
      </c>
      <c r="D19" s="71" t="s">
        <v>321</v>
      </c>
      <c r="E19" s="81" t="s">
        <v>322</v>
      </c>
    </row>
    <row r="20" spans="1:5" ht="29" x14ac:dyDescent="0.35">
      <c r="A20" s="80" t="s">
        <v>268</v>
      </c>
      <c r="B20" s="9" t="s">
        <v>323</v>
      </c>
      <c r="C20" s="9" t="s">
        <v>28</v>
      </c>
      <c r="D20" s="71" t="s">
        <v>324</v>
      </c>
      <c r="E20" s="81" t="s">
        <v>325</v>
      </c>
    </row>
    <row r="21" spans="1:5" ht="29" x14ac:dyDescent="0.35">
      <c r="A21" s="80" t="s">
        <v>268</v>
      </c>
      <c r="B21" s="9" t="s">
        <v>326</v>
      </c>
      <c r="C21" s="9" t="s">
        <v>27</v>
      </c>
      <c r="D21" s="71" t="s">
        <v>327</v>
      </c>
      <c r="E21" s="81" t="s">
        <v>328</v>
      </c>
    </row>
    <row r="22" spans="1:5" ht="29" x14ac:dyDescent="0.35">
      <c r="A22" s="80" t="s">
        <v>329</v>
      </c>
      <c r="B22" s="9" t="s">
        <v>330</v>
      </c>
      <c r="C22" s="9" t="s">
        <v>30</v>
      </c>
      <c r="D22" s="71" t="s">
        <v>331</v>
      </c>
      <c r="E22" s="81" t="s">
        <v>332</v>
      </c>
    </row>
    <row r="23" spans="1:5" ht="29" x14ac:dyDescent="0.35">
      <c r="A23" s="80" t="s">
        <v>329</v>
      </c>
      <c r="B23" s="9" t="s">
        <v>333</v>
      </c>
      <c r="C23" s="9" t="s">
        <v>29</v>
      </c>
      <c r="D23" s="71" t="s">
        <v>334</v>
      </c>
      <c r="E23" s="81" t="s">
        <v>335</v>
      </c>
    </row>
    <row r="24" spans="1:5" ht="29" x14ac:dyDescent="0.35">
      <c r="A24" s="80" t="s">
        <v>336</v>
      </c>
      <c r="B24" s="9" t="s">
        <v>337</v>
      </c>
      <c r="C24" s="9" t="s">
        <v>31</v>
      </c>
      <c r="D24" s="71" t="s">
        <v>338</v>
      </c>
      <c r="E24" s="81" t="s">
        <v>339</v>
      </c>
    </row>
    <row r="25" spans="1:5" ht="29" x14ac:dyDescent="0.35">
      <c r="A25" s="80" t="s">
        <v>336</v>
      </c>
      <c r="B25" s="9" t="s">
        <v>340</v>
      </c>
      <c r="C25" s="9" t="s">
        <v>32</v>
      </c>
      <c r="D25" s="71" t="s">
        <v>341</v>
      </c>
      <c r="E25" s="81" t="s">
        <v>342</v>
      </c>
    </row>
    <row r="26" spans="1:5" ht="29" x14ac:dyDescent="0.35">
      <c r="A26" s="80" t="s">
        <v>336</v>
      </c>
      <c r="B26" s="9" t="s">
        <v>343</v>
      </c>
      <c r="C26" s="9" t="s">
        <v>33</v>
      </c>
      <c r="D26" s="71" t="s">
        <v>344</v>
      </c>
      <c r="E26" s="81" t="s">
        <v>345</v>
      </c>
    </row>
    <row r="27" spans="1:5" ht="29" x14ac:dyDescent="0.35">
      <c r="A27" s="80" t="s">
        <v>346</v>
      </c>
      <c r="B27" s="9" t="s">
        <v>347</v>
      </c>
      <c r="C27" s="9"/>
      <c r="D27" s="71" t="s">
        <v>348</v>
      </c>
      <c r="E27" s="81" t="s">
        <v>251</v>
      </c>
    </row>
    <row r="28" spans="1:5" ht="29" x14ac:dyDescent="0.35">
      <c r="A28" s="80" t="s">
        <v>153</v>
      </c>
      <c r="B28" s="9" t="s">
        <v>132</v>
      </c>
      <c r="C28" s="9"/>
      <c r="D28" s="71" t="s">
        <v>349</v>
      </c>
      <c r="E28" s="81" t="s">
        <v>350</v>
      </c>
    </row>
    <row r="29" spans="1:5" ht="29" x14ac:dyDescent="0.35">
      <c r="A29" s="80" t="s">
        <v>153</v>
      </c>
      <c r="B29" s="8" t="s">
        <v>134</v>
      </c>
      <c r="C29" s="8"/>
      <c r="D29" s="71" t="s">
        <v>351</v>
      </c>
      <c r="E29" s="81" t="s">
        <v>352</v>
      </c>
    </row>
    <row r="30" spans="1:5" ht="29" x14ac:dyDescent="0.35">
      <c r="A30" s="80" t="s">
        <v>153</v>
      </c>
      <c r="B30" s="10" t="s">
        <v>137</v>
      </c>
      <c r="C30" s="10"/>
      <c r="D30" s="71" t="s">
        <v>353</v>
      </c>
      <c r="E30" s="81" t="s">
        <v>354</v>
      </c>
    </row>
    <row r="31" spans="1:5" ht="29" x14ac:dyDescent="0.35">
      <c r="A31" s="80" t="s">
        <v>355</v>
      </c>
      <c r="B31" s="11" t="s">
        <v>356</v>
      </c>
      <c r="C31" s="11"/>
      <c r="D31" s="71" t="s">
        <v>357</v>
      </c>
      <c r="E31" s="81" t="s">
        <v>255</v>
      </c>
    </row>
    <row r="32" spans="1:5" ht="29" x14ac:dyDescent="0.35">
      <c r="A32" s="80" t="s">
        <v>355</v>
      </c>
      <c r="B32" s="9" t="s">
        <v>358</v>
      </c>
      <c r="C32" s="9"/>
      <c r="D32" s="71" t="s">
        <v>359</v>
      </c>
      <c r="E32" s="81" t="s">
        <v>273</v>
      </c>
    </row>
    <row r="33" spans="1:5" ht="29" x14ac:dyDescent="0.35">
      <c r="A33" s="80" t="s">
        <v>360</v>
      </c>
      <c r="B33" s="9" t="s">
        <v>361</v>
      </c>
      <c r="C33" s="9" t="s">
        <v>362</v>
      </c>
      <c r="D33" s="71" t="s">
        <v>363</v>
      </c>
      <c r="E33" s="81" t="s">
        <v>364</v>
      </c>
    </row>
    <row r="34" spans="1:5" ht="43.5" x14ac:dyDescent="0.35">
      <c r="A34" s="80" t="s">
        <v>360</v>
      </c>
      <c r="B34" s="9" t="s">
        <v>365</v>
      </c>
      <c r="C34" s="9" t="s">
        <v>366</v>
      </c>
      <c r="D34" s="71" t="s">
        <v>367</v>
      </c>
      <c r="E34" s="81" t="s">
        <v>368</v>
      </c>
    </row>
    <row r="36" spans="1:5" ht="29" x14ac:dyDescent="0.35">
      <c r="A36" s="71" t="s">
        <v>635</v>
      </c>
      <c r="B36" s="87" t="s">
        <v>617</v>
      </c>
      <c r="C36" s="71"/>
      <c r="D36" s="71" t="s">
        <v>636</v>
      </c>
      <c r="E36" s="71" t="s">
        <v>637</v>
      </c>
    </row>
    <row r="37" spans="1:5" ht="29" x14ac:dyDescent="0.35">
      <c r="A37" s="71" t="s">
        <v>635</v>
      </c>
      <c r="B37" s="87" t="s">
        <v>174</v>
      </c>
      <c r="C37" s="71"/>
      <c r="D37" s="71" t="s">
        <v>638</v>
      </c>
      <c r="E37" s="71" t="s">
        <v>637</v>
      </c>
    </row>
    <row r="38" spans="1:5" ht="29" x14ac:dyDescent="0.35">
      <c r="A38" s="71" t="s">
        <v>635</v>
      </c>
      <c r="B38" s="87" t="s">
        <v>622</v>
      </c>
      <c r="C38" s="71"/>
      <c r="D38" s="71" t="s">
        <v>639</v>
      </c>
      <c r="E38" s="71" t="s">
        <v>637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9CBE3-48CE-4D6D-A76E-7419324A26A1}">
  <sheetPr>
    <tabColor rgb="FF5B9BD5"/>
  </sheetPr>
  <dimension ref="A1:F30"/>
  <sheetViews>
    <sheetView showGridLines="0" workbookViewId="0">
      <selection activeCell="A11" sqref="A11"/>
    </sheetView>
  </sheetViews>
  <sheetFormatPr defaultRowHeight="14.5" x14ac:dyDescent="0.35"/>
  <cols>
    <col min="1" max="1" width="43.6328125" customWidth="1"/>
    <col min="2" max="2" width="20.90625" customWidth="1"/>
    <col min="3" max="3" width="16.36328125" customWidth="1"/>
    <col min="4" max="4" width="18.1796875" customWidth="1"/>
    <col min="5" max="5" width="11.81640625" customWidth="1"/>
    <col min="6" max="6" width="34.54296875" customWidth="1"/>
  </cols>
  <sheetData>
    <row r="1" spans="1:6" ht="23.5" x14ac:dyDescent="0.55000000000000004">
      <c r="A1" s="122" t="s">
        <v>559</v>
      </c>
      <c r="B1" s="122"/>
      <c r="C1" s="122"/>
      <c r="D1" s="122"/>
      <c r="E1" s="122"/>
      <c r="F1" s="122"/>
    </row>
    <row r="2" spans="1:6" x14ac:dyDescent="0.35">
      <c r="A2" s="123" t="s">
        <v>560</v>
      </c>
      <c r="B2" s="123"/>
      <c r="C2" s="123"/>
      <c r="D2" s="123"/>
      <c r="E2" s="123"/>
      <c r="F2" s="123"/>
    </row>
    <row r="4" spans="1:6" x14ac:dyDescent="0.35">
      <c r="A4" s="2" t="s">
        <v>561</v>
      </c>
      <c r="B4" s="2" t="str">
        <f>Dim_Project!B2</f>
        <v>Office Fit-Out</v>
      </c>
    </row>
    <row r="5" spans="1:6" x14ac:dyDescent="0.35">
      <c r="A5" s="2" t="s">
        <v>562</v>
      </c>
      <c r="B5" s="2" t="str">
        <f>TEXT(Dim_Project!C2,"yyyy-mm-dd")&amp;" to "&amp;TEXT(Dim_Project!D2,"yyyy-mm-dd")</f>
        <v>2026-05-04 to 2026-07-26</v>
      </c>
    </row>
    <row r="6" spans="1:6" x14ac:dyDescent="0.35">
      <c r="A6" s="2" t="s">
        <v>147</v>
      </c>
      <c r="B6" s="63">
        <f>Setup!B9</f>
        <v>46203</v>
      </c>
    </row>
    <row r="7" spans="1:6" x14ac:dyDescent="0.35">
      <c r="A7" s="2" t="s">
        <v>563</v>
      </c>
      <c r="B7" s="63" t="s">
        <v>461</v>
      </c>
    </row>
    <row r="8" spans="1:6" x14ac:dyDescent="0.35">
      <c r="A8" s="2" t="s">
        <v>564</v>
      </c>
      <c r="B8" s="63">
        <f ca="1">TODAY()</f>
        <v>46238</v>
      </c>
    </row>
    <row r="10" spans="1:6" x14ac:dyDescent="0.35">
      <c r="A10" s="90" t="s">
        <v>565</v>
      </c>
      <c r="B10" s="90"/>
      <c r="C10" s="90"/>
      <c r="D10" s="90"/>
      <c r="E10" s="90"/>
      <c r="F10" s="90"/>
    </row>
    <row r="11" spans="1:6" x14ac:dyDescent="0.35">
      <c r="A11" s="93"/>
      <c r="B11" s="93"/>
      <c r="C11" s="93"/>
      <c r="D11" s="93"/>
      <c r="E11" s="93"/>
      <c r="F11" s="93"/>
    </row>
    <row r="12" spans="1:6" x14ac:dyDescent="0.35">
      <c r="A12" s="93"/>
      <c r="B12" s="93"/>
      <c r="C12" s="93"/>
      <c r="D12" s="93"/>
      <c r="E12" s="93"/>
      <c r="F12" s="93"/>
    </row>
    <row r="13" spans="1:6" x14ac:dyDescent="0.35">
      <c r="A13" s="93"/>
      <c r="B13" s="93"/>
      <c r="C13" s="93"/>
      <c r="D13" s="93"/>
      <c r="E13" s="93"/>
      <c r="F13" s="93"/>
    </row>
    <row r="15" spans="1:6" x14ac:dyDescent="0.35">
      <c r="A15" s="90" t="s">
        <v>566</v>
      </c>
      <c r="B15" s="90"/>
      <c r="C15" s="90"/>
      <c r="D15" s="90"/>
      <c r="E15" s="90"/>
      <c r="F15" s="90"/>
    </row>
    <row r="16" spans="1:6" x14ac:dyDescent="0.35">
      <c r="A16" s="94"/>
      <c r="B16" s="94"/>
      <c r="C16" s="94"/>
      <c r="D16" s="94"/>
      <c r="E16" s="94"/>
      <c r="F16" s="94"/>
    </row>
    <row r="17" spans="1:6" x14ac:dyDescent="0.35">
      <c r="A17" s="94"/>
      <c r="B17" s="94"/>
      <c r="C17" s="94"/>
      <c r="D17" s="94"/>
      <c r="E17" s="94"/>
      <c r="F17" s="94"/>
    </row>
    <row r="18" spans="1:6" x14ac:dyDescent="0.35">
      <c r="A18" s="94"/>
      <c r="B18" s="94"/>
      <c r="C18" s="94"/>
      <c r="D18" s="94"/>
      <c r="E18" s="94"/>
      <c r="F18" s="94"/>
    </row>
    <row r="20" spans="1:6" x14ac:dyDescent="0.35">
      <c r="A20" s="62" t="s">
        <v>567</v>
      </c>
      <c r="B20" s="62" t="s">
        <v>396</v>
      </c>
      <c r="C20" s="62" t="s">
        <v>568</v>
      </c>
      <c r="D20" s="62" t="s">
        <v>569</v>
      </c>
      <c r="E20" s="62" t="s">
        <v>153</v>
      </c>
      <c r="F20" s="62" t="s">
        <v>570</v>
      </c>
    </row>
    <row r="21" spans="1:6" x14ac:dyDescent="0.35">
      <c r="A21" s="2" t="s">
        <v>571</v>
      </c>
      <c r="B21" s="2" t="s">
        <v>421</v>
      </c>
      <c r="C21" s="2"/>
      <c r="D21" s="2" t="s">
        <v>522</v>
      </c>
      <c r="E21" s="2" t="s">
        <v>137</v>
      </c>
      <c r="F21" s="2" t="s">
        <v>572</v>
      </c>
    </row>
    <row r="22" spans="1:6" x14ac:dyDescent="0.35">
      <c r="A22" s="2" t="s">
        <v>573</v>
      </c>
      <c r="B22" s="2" t="s">
        <v>421</v>
      </c>
      <c r="C22" s="2"/>
      <c r="D22" s="2" t="s">
        <v>522</v>
      </c>
      <c r="E22" s="2" t="s">
        <v>137</v>
      </c>
      <c r="F22" s="2" t="s">
        <v>574</v>
      </c>
    </row>
    <row r="23" spans="1:6" x14ac:dyDescent="0.35">
      <c r="A23" s="2" t="s">
        <v>575</v>
      </c>
      <c r="B23" s="2" t="s">
        <v>88</v>
      </c>
      <c r="C23" s="2"/>
      <c r="D23" s="2" t="s">
        <v>522</v>
      </c>
      <c r="E23" s="2" t="s">
        <v>137</v>
      </c>
      <c r="F23" s="2" t="s">
        <v>243</v>
      </c>
    </row>
    <row r="24" spans="1:6" x14ac:dyDescent="0.35">
      <c r="A24" s="2" t="s">
        <v>576</v>
      </c>
      <c r="B24" s="2" t="s">
        <v>412</v>
      </c>
      <c r="C24" s="2"/>
      <c r="D24" s="2" t="s">
        <v>577</v>
      </c>
      <c r="E24" s="2" t="s">
        <v>134</v>
      </c>
      <c r="F24" s="2" t="s">
        <v>578</v>
      </c>
    </row>
    <row r="25" spans="1:6" x14ac:dyDescent="0.35">
      <c r="A25" s="2" t="s">
        <v>579</v>
      </c>
      <c r="B25" s="2" t="s">
        <v>407</v>
      </c>
      <c r="C25" s="2"/>
      <c r="D25" s="2" t="s">
        <v>577</v>
      </c>
      <c r="E25" s="2" t="s">
        <v>134</v>
      </c>
      <c r="F25" s="2" t="s">
        <v>580</v>
      </c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30" spans="1:6" x14ac:dyDescent="0.35">
      <c r="A30" s="2" t="s">
        <v>581</v>
      </c>
      <c r="B30" s="2" t="s">
        <v>582</v>
      </c>
      <c r="C30" s="2"/>
      <c r="D30" s="2"/>
      <c r="E30" s="2"/>
      <c r="F30" s="2"/>
    </row>
  </sheetData>
  <mergeCells count="2">
    <mergeCell ref="A1:F1"/>
    <mergeCell ref="A2:F2"/>
  </mergeCells>
  <conditionalFormatting sqref="E21:E28">
    <cfRule type="containsText" dxfId="85" priority="1" operator="containsText" text="Green">
      <formula>NOT(ISERROR(SEARCH("Green",E21)))</formula>
    </cfRule>
    <cfRule type="containsText" dxfId="84" priority="2" operator="containsText" text="Amber">
      <formula>NOT(ISERROR(SEARCH("Amber",E21)))</formula>
    </cfRule>
    <cfRule type="containsText" dxfId="83" priority="3" operator="containsText" text="Red">
      <formula>NOT(ISERROR(SEARCH("Red",E21)))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F29C-B664-4ADE-BA99-6E2CB7BBADF4}">
  <sheetPr>
    <tabColor rgb="FF5B9BD5"/>
  </sheetPr>
  <dimension ref="A1:H79"/>
  <sheetViews>
    <sheetView showGridLines="0" topLeftCell="A51" zoomScale="85" zoomScaleNormal="85" workbookViewId="0">
      <selection activeCell="L7" sqref="L7"/>
    </sheetView>
  </sheetViews>
  <sheetFormatPr defaultRowHeight="14.5" x14ac:dyDescent="0.35"/>
  <cols>
    <col min="1" max="1" width="30" customWidth="1"/>
    <col min="2" max="2" width="27.26953125" customWidth="1"/>
    <col min="3" max="8" width="17.26953125" customWidth="1"/>
  </cols>
  <sheetData>
    <row r="1" spans="1:8" ht="23.5" x14ac:dyDescent="0.55000000000000004">
      <c r="A1" s="122" t="s">
        <v>454</v>
      </c>
      <c r="B1" s="122"/>
      <c r="C1" s="122"/>
      <c r="D1" s="122"/>
      <c r="E1" s="122"/>
      <c r="F1" s="122"/>
      <c r="G1" s="122"/>
      <c r="H1" s="122"/>
    </row>
    <row r="2" spans="1:8" x14ac:dyDescent="0.35">
      <c r="A2" s="123" t="s">
        <v>455</v>
      </c>
      <c r="B2" s="123"/>
      <c r="C2" s="123"/>
      <c r="D2" s="123"/>
      <c r="E2" s="123"/>
      <c r="F2" s="123"/>
      <c r="G2" s="123"/>
      <c r="H2" s="123"/>
    </row>
    <row r="4" spans="1:8" x14ac:dyDescent="0.35">
      <c r="A4" s="88" t="s">
        <v>456</v>
      </c>
      <c r="B4" s="88"/>
      <c r="C4" s="88"/>
      <c r="D4" s="88"/>
      <c r="E4" s="88"/>
      <c r="F4" s="88"/>
      <c r="G4" s="88"/>
      <c r="H4" s="88"/>
    </row>
    <row r="5" spans="1:8" x14ac:dyDescent="0.35">
      <c r="A5" s="2" t="s">
        <v>177</v>
      </c>
      <c r="B5" s="2" t="str">
        <f>Dim_Project!B2</f>
        <v>Office Fit-Out</v>
      </c>
    </row>
    <row r="6" spans="1:8" x14ac:dyDescent="0.35">
      <c r="A6" s="2" t="s">
        <v>457</v>
      </c>
      <c r="B6" s="2" t="str">
        <f>Dim_Project!A2</f>
        <v>P101</v>
      </c>
    </row>
    <row r="7" spans="1:8" x14ac:dyDescent="0.35">
      <c r="A7" s="2" t="s">
        <v>458</v>
      </c>
      <c r="B7" s="5" t="s">
        <v>459</v>
      </c>
    </row>
    <row r="8" spans="1:8" x14ac:dyDescent="0.35">
      <c r="A8" s="2" t="s">
        <v>460</v>
      </c>
      <c r="B8" s="5" t="s">
        <v>461</v>
      </c>
    </row>
    <row r="9" spans="1:8" x14ac:dyDescent="0.35">
      <c r="A9" s="2" t="s">
        <v>115</v>
      </c>
      <c r="B9" s="89">
        <f ca="1">TODAY()</f>
        <v>46238</v>
      </c>
    </row>
    <row r="10" spans="1:8" x14ac:dyDescent="0.35">
      <c r="A10" s="2" t="s">
        <v>462</v>
      </c>
      <c r="B10" s="5"/>
    </row>
    <row r="11" spans="1:8" x14ac:dyDescent="0.35">
      <c r="A11" s="2" t="s">
        <v>463</v>
      </c>
      <c r="B11" s="5" t="s">
        <v>464</v>
      </c>
    </row>
    <row r="13" spans="1:8" x14ac:dyDescent="0.35">
      <c r="A13" s="124" t="s">
        <v>465</v>
      </c>
      <c r="B13" s="124"/>
      <c r="C13" s="124"/>
      <c r="D13" s="124"/>
      <c r="E13" s="124"/>
      <c r="F13" s="124"/>
      <c r="G13" s="124"/>
      <c r="H13" s="124"/>
    </row>
    <row r="14" spans="1:8" x14ac:dyDescent="0.35">
      <c r="A14" s="125" t="s">
        <v>466</v>
      </c>
      <c r="B14" s="125"/>
      <c r="C14" s="125"/>
      <c r="D14" s="125"/>
      <c r="E14" s="125"/>
      <c r="F14" s="125"/>
      <c r="G14" s="125"/>
      <c r="H14" s="125"/>
    </row>
    <row r="15" spans="1:8" x14ac:dyDescent="0.35">
      <c r="A15" s="125"/>
      <c r="B15" s="125"/>
      <c r="C15" s="125"/>
      <c r="D15" s="125"/>
      <c r="E15" s="125"/>
      <c r="F15" s="125"/>
      <c r="G15" s="125"/>
      <c r="H15" s="125"/>
    </row>
    <row r="16" spans="1:8" x14ac:dyDescent="0.35">
      <c r="A16" s="125"/>
      <c r="B16" s="125"/>
      <c r="C16" s="125"/>
      <c r="D16" s="125"/>
      <c r="E16" s="125"/>
      <c r="F16" s="125"/>
      <c r="G16" s="125"/>
      <c r="H16" s="125"/>
    </row>
    <row r="18" spans="1:8" x14ac:dyDescent="0.35">
      <c r="A18" s="124" t="s">
        <v>467</v>
      </c>
      <c r="B18" s="124"/>
      <c r="C18" s="124"/>
      <c r="D18" s="124"/>
      <c r="E18" s="124"/>
      <c r="F18" s="124"/>
      <c r="G18" s="124"/>
      <c r="H18" s="124"/>
    </row>
    <row r="19" spans="1:8" x14ac:dyDescent="0.35">
      <c r="A19" s="125" t="s">
        <v>468</v>
      </c>
      <c r="B19" s="125"/>
      <c r="C19" s="125"/>
      <c r="D19" s="125"/>
      <c r="E19" s="125"/>
      <c r="F19" s="125"/>
      <c r="G19" s="125"/>
      <c r="H19" s="125"/>
    </row>
    <row r="20" spans="1:8" x14ac:dyDescent="0.35">
      <c r="A20" s="125"/>
      <c r="B20" s="125"/>
      <c r="C20" s="125"/>
      <c r="D20" s="125"/>
      <c r="E20" s="125"/>
      <c r="F20" s="125"/>
      <c r="G20" s="125"/>
      <c r="H20" s="125"/>
    </row>
    <row r="21" spans="1:8" x14ac:dyDescent="0.35">
      <c r="A21" s="125"/>
      <c r="B21" s="125"/>
      <c r="C21" s="125"/>
      <c r="D21" s="125"/>
      <c r="E21" s="125"/>
      <c r="F21" s="125"/>
      <c r="G21" s="125"/>
      <c r="H21" s="125"/>
    </row>
    <row r="23" spans="1:8" x14ac:dyDescent="0.35">
      <c r="A23" s="124" t="s">
        <v>469</v>
      </c>
      <c r="B23" s="124"/>
      <c r="C23" s="124"/>
      <c r="D23" s="124"/>
      <c r="E23" s="124"/>
      <c r="F23" s="124"/>
      <c r="G23" s="124"/>
      <c r="H23" s="124"/>
    </row>
    <row r="24" spans="1:8" x14ac:dyDescent="0.35">
      <c r="A24" s="125" t="s">
        <v>470</v>
      </c>
      <c r="B24" s="125"/>
      <c r="C24" s="125"/>
      <c r="D24" s="125"/>
      <c r="E24" s="125"/>
      <c r="F24" s="125"/>
      <c r="G24" s="125"/>
      <c r="H24" s="125"/>
    </row>
    <row r="25" spans="1:8" x14ac:dyDescent="0.35">
      <c r="A25" s="125"/>
      <c r="B25" s="125"/>
      <c r="C25" s="125"/>
      <c r="D25" s="125"/>
      <c r="E25" s="125"/>
      <c r="F25" s="125"/>
      <c r="G25" s="125"/>
      <c r="H25" s="125"/>
    </row>
    <row r="26" spans="1:8" x14ac:dyDescent="0.35">
      <c r="A26" s="125"/>
      <c r="B26" s="125"/>
      <c r="C26" s="125"/>
      <c r="D26" s="125"/>
      <c r="E26" s="125"/>
      <c r="F26" s="125"/>
      <c r="G26" s="125"/>
      <c r="H26" s="125"/>
    </row>
    <row r="28" spans="1:8" x14ac:dyDescent="0.35">
      <c r="A28" s="124" t="s">
        <v>471</v>
      </c>
      <c r="B28" s="124"/>
      <c r="C28" s="124"/>
      <c r="D28" s="124"/>
      <c r="E28" s="124"/>
      <c r="F28" s="124"/>
      <c r="G28" s="124"/>
      <c r="H28" s="124"/>
    </row>
    <row r="29" spans="1:8" x14ac:dyDescent="0.35">
      <c r="A29" s="125" t="s">
        <v>472</v>
      </c>
      <c r="B29" s="125"/>
      <c r="C29" s="125"/>
      <c r="D29" s="125"/>
      <c r="E29" s="125"/>
      <c r="F29" s="125"/>
      <c r="G29" s="125"/>
      <c r="H29" s="125"/>
    </row>
    <row r="30" spans="1:8" x14ac:dyDescent="0.35">
      <c r="A30" s="125"/>
      <c r="B30" s="125"/>
      <c r="C30" s="125"/>
      <c r="D30" s="125"/>
      <c r="E30" s="125"/>
      <c r="F30" s="125"/>
      <c r="G30" s="125"/>
      <c r="H30" s="125"/>
    </row>
    <row r="31" spans="1:8" x14ac:dyDescent="0.35">
      <c r="A31" s="125"/>
      <c r="B31" s="125"/>
      <c r="C31" s="125"/>
      <c r="D31" s="125"/>
      <c r="E31" s="125"/>
      <c r="F31" s="125"/>
      <c r="G31" s="125"/>
      <c r="H31" s="125"/>
    </row>
    <row r="33" spans="1:8" x14ac:dyDescent="0.35">
      <c r="A33" s="124" t="s">
        <v>473</v>
      </c>
      <c r="B33" s="124"/>
      <c r="C33" s="124"/>
      <c r="D33" s="124"/>
      <c r="E33" s="124"/>
      <c r="F33" s="124"/>
      <c r="G33" s="124"/>
      <c r="H33" s="124"/>
    </row>
    <row r="34" spans="1:8" x14ac:dyDescent="0.35">
      <c r="A34" s="125" t="s">
        <v>474</v>
      </c>
      <c r="B34" s="125"/>
      <c r="C34" s="125"/>
      <c r="D34" s="125"/>
      <c r="E34" s="125"/>
      <c r="F34" s="125"/>
      <c r="G34" s="125"/>
      <c r="H34" s="125"/>
    </row>
    <row r="35" spans="1:8" x14ac:dyDescent="0.35">
      <c r="A35" s="125"/>
      <c r="B35" s="125"/>
      <c r="C35" s="125"/>
      <c r="D35" s="125"/>
      <c r="E35" s="125"/>
      <c r="F35" s="125"/>
      <c r="G35" s="125"/>
      <c r="H35" s="125"/>
    </row>
    <row r="36" spans="1:8" x14ac:dyDescent="0.35">
      <c r="A36" s="125"/>
      <c r="B36" s="125"/>
      <c r="C36" s="125"/>
      <c r="D36" s="125"/>
      <c r="E36" s="125"/>
      <c r="F36" s="125"/>
      <c r="G36" s="125"/>
      <c r="H36" s="125"/>
    </row>
    <row r="38" spans="1:8" x14ac:dyDescent="0.35">
      <c r="A38" s="124" t="s">
        <v>475</v>
      </c>
      <c r="B38" s="124"/>
      <c r="C38" s="124"/>
      <c r="D38" s="124"/>
      <c r="E38" s="124"/>
      <c r="F38" s="124"/>
      <c r="G38" s="124"/>
      <c r="H38" s="124"/>
    </row>
    <row r="39" spans="1:8" x14ac:dyDescent="0.35">
      <c r="A39" s="125" t="s">
        <v>476</v>
      </c>
      <c r="B39" s="125"/>
      <c r="C39" s="125"/>
      <c r="D39" s="125"/>
      <c r="E39" s="125"/>
      <c r="F39" s="125"/>
      <c r="G39" s="125"/>
      <c r="H39" s="125"/>
    </row>
    <row r="40" spans="1:8" x14ac:dyDescent="0.35">
      <c r="A40" s="125"/>
      <c r="B40" s="125"/>
      <c r="C40" s="125"/>
      <c r="D40" s="125"/>
      <c r="E40" s="125"/>
      <c r="F40" s="125"/>
      <c r="G40" s="125"/>
      <c r="H40" s="125"/>
    </row>
    <row r="41" spans="1:8" x14ac:dyDescent="0.35">
      <c r="A41" s="125"/>
      <c r="B41" s="125"/>
      <c r="C41" s="125"/>
      <c r="D41" s="125"/>
      <c r="E41" s="125"/>
      <c r="F41" s="125"/>
      <c r="G41" s="125"/>
      <c r="H41" s="125"/>
    </row>
    <row r="43" spans="1:8" x14ac:dyDescent="0.35">
      <c r="A43" s="124" t="s">
        <v>477</v>
      </c>
      <c r="B43" s="124"/>
      <c r="C43" s="124"/>
      <c r="D43" s="124"/>
      <c r="E43" s="124"/>
      <c r="F43" s="124"/>
      <c r="G43" s="124"/>
      <c r="H43" s="124"/>
    </row>
    <row r="44" spans="1:8" x14ac:dyDescent="0.35">
      <c r="A44" s="125" t="s">
        <v>478</v>
      </c>
      <c r="B44" s="125"/>
      <c r="C44" s="125"/>
      <c r="D44" s="125"/>
      <c r="E44" s="125"/>
      <c r="F44" s="125"/>
      <c r="G44" s="125"/>
      <c r="H44" s="125"/>
    </row>
    <row r="45" spans="1:8" x14ac:dyDescent="0.35">
      <c r="A45" s="125"/>
      <c r="B45" s="125"/>
      <c r="C45" s="125"/>
      <c r="D45" s="125"/>
      <c r="E45" s="125"/>
      <c r="F45" s="125"/>
      <c r="G45" s="125"/>
      <c r="H45" s="125"/>
    </row>
    <row r="46" spans="1:8" x14ac:dyDescent="0.35">
      <c r="A46" s="125"/>
      <c r="B46" s="125"/>
      <c r="C46" s="125"/>
      <c r="D46" s="125"/>
      <c r="E46" s="125"/>
      <c r="F46" s="125"/>
      <c r="G46" s="125"/>
      <c r="H46" s="125"/>
    </row>
    <row r="48" spans="1:8" x14ac:dyDescent="0.35">
      <c r="A48" s="124" t="s">
        <v>479</v>
      </c>
      <c r="B48" s="124"/>
      <c r="C48" s="124"/>
      <c r="D48" s="124"/>
      <c r="E48" s="124"/>
      <c r="F48" s="124"/>
      <c r="G48" s="124"/>
      <c r="H48" s="124"/>
    </row>
    <row r="49" spans="1:8" x14ac:dyDescent="0.35">
      <c r="A49" s="125" t="s">
        <v>480</v>
      </c>
      <c r="B49" s="125"/>
      <c r="C49" s="125"/>
      <c r="D49" s="125"/>
      <c r="E49" s="125"/>
      <c r="F49" s="125"/>
      <c r="G49" s="125"/>
      <c r="H49" s="125"/>
    </row>
    <row r="50" spans="1:8" x14ac:dyDescent="0.35">
      <c r="A50" s="125"/>
      <c r="B50" s="125"/>
      <c r="C50" s="125"/>
      <c r="D50" s="125"/>
      <c r="E50" s="125"/>
      <c r="F50" s="125"/>
      <c r="G50" s="125"/>
      <c r="H50" s="125"/>
    </row>
    <row r="51" spans="1:8" x14ac:dyDescent="0.35">
      <c r="A51" s="125"/>
      <c r="B51" s="125"/>
      <c r="C51" s="125"/>
      <c r="D51" s="125"/>
      <c r="E51" s="125"/>
      <c r="F51" s="125"/>
      <c r="G51" s="125"/>
      <c r="H51" s="125"/>
    </row>
    <row r="53" spans="1:8" x14ac:dyDescent="0.35">
      <c r="A53" s="62" t="s">
        <v>484</v>
      </c>
      <c r="B53" s="62" t="s">
        <v>485</v>
      </c>
      <c r="C53" s="62" t="s">
        <v>486</v>
      </c>
      <c r="D53" s="62" t="s">
        <v>487</v>
      </c>
      <c r="E53" s="62" t="s">
        <v>34</v>
      </c>
    </row>
    <row r="54" spans="1:8" x14ac:dyDescent="0.35">
      <c r="A54" s="2" t="s">
        <v>180</v>
      </c>
      <c r="B54" s="2" t="s">
        <v>488</v>
      </c>
      <c r="C54" s="2" t="s">
        <v>421</v>
      </c>
      <c r="D54" s="2"/>
      <c r="E54" s="2" t="s">
        <v>401</v>
      </c>
    </row>
    <row r="55" spans="1:8" x14ac:dyDescent="0.35">
      <c r="A55" s="2" t="s">
        <v>489</v>
      </c>
      <c r="B55" s="2" t="s">
        <v>490</v>
      </c>
      <c r="C55" s="2" t="s">
        <v>88</v>
      </c>
      <c r="D55" s="2"/>
      <c r="E55" s="2" t="s">
        <v>491</v>
      </c>
    </row>
    <row r="56" spans="1:8" x14ac:dyDescent="0.35">
      <c r="A56" s="2" t="s">
        <v>492</v>
      </c>
      <c r="B56" s="2" t="s">
        <v>493</v>
      </c>
      <c r="C56" s="2" t="s">
        <v>88</v>
      </c>
      <c r="D56" s="2"/>
      <c r="E56" s="2" t="s">
        <v>491</v>
      </c>
    </row>
    <row r="58" spans="1:8" x14ac:dyDescent="0.35">
      <c r="A58" s="124" t="s">
        <v>481</v>
      </c>
      <c r="B58" s="124"/>
      <c r="C58" s="124"/>
      <c r="D58" s="124"/>
      <c r="E58" s="124"/>
      <c r="F58" s="124"/>
      <c r="G58" s="124"/>
      <c r="H58" s="124"/>
    </row>
    <row r="59" spans="1:8" x14ac:dyDescent="0.35">
      <c r="A59" s="125" t="s">
        <v>482</v>
      </c>
      <c r="B59" s="125"/>
      <c r="C59" s="125"/>
      <c r="D59" s="125"/>
      <c r="E59" s="125"/>
      <c r="F59" s="125"/>
      <c r="G59" s="125"/>
      <c r="H59" s="125"/>
    </row>
    <row r="60" spans="1:8" x14ac:dyDescent="0.35">
      <c r="A60" s="125"/>
      <c r="B60" s="125"/>
      <c r="C60" s="125"/>
      <c r="D60" s="125"/>
      <c r="E60" s="125"/>
      <c r="F60" s="125"/>
      <c r="G60" s="125"/>
      <c r="H60" s="125"/>
    </row>
    <row r="61" spans="1:8" x14ac:dyDescent="0.35">
      <c r="A61" s="125"/>
      <c r="B61" s="125"/>
      <c r="C61" s="125"/>
      <c r="D61" s="125"/>
      <c r="E61" s="125"/>
      <c r="F61" s="125"/>
      <c r="G61" s="125"/>
      <c r="H61" s="125"/>
    </row>
    <row r="63" spans="1:8" x14ac:dyDescent="0.35">
      <c r="A63" s="62" t="s">
        <v>494</v>
      </c>
      <c r="B63" s="62" t="s">
        <v>495</v>
      </c>
      <c r="C63" s="62" t="s">
        <v>396</v>
      </c>
      <c r="D63" s="62" t="s">
        <v>496</v>
      </c>
      <c r="E63" s="62" t="s">
        <v>153</v>
      </c>
    </row>
    <row r="64" spans="1:8" x14ac:dyDescent="0.35">
      <c r="A64" s="2" t="s">
        <v>497</v>
      </c>
      <c r="B64" s="2" t="s">
        <v>498</v>
      </c>
      <c r="C64" s="2" t="s">
        <v>421</v>
      </c>
      <c r="D64" s="2"/>
      <c r="E64" s="2" t="s">
        <v>137</v>
      </c>
    </row>
    <row r="65" spans="1:8" x14ac:dyDescent="0.35">
      <c r="A65" s="2" t="s">
        <v>499</v>
      </c>
      <c r="B65" s="2" t="s">
        <v>500</v>
      </c>
      <c r="C65" s="2" t="s">
        <v>421</v>
      </c>
      <c r="D65" s="2"/>
      <c r="E65" s="2" t="s">
        <v>137</v>
      </c>
    </row>
    <row r="66" spans="1:8" x14ac:dyDescent="0.35">
      <c r="A66" s="2" t="s">
        <v>501</v>
      </c>
      <c r="B66" s="2" t="s">
        <v>502</v>
      </c>
      <c r="C66" s="2" t="s">
        <v>429</v>
      </c>
      <c r="D66" s="2"/>
      <c r="E66" s="2" t="s">
        <v>134</v>
      </c>
    </row>
    <row r="67" spans="1:8" x14ac:dyDescent="0.35">
      <c r="A67" s="2" t="s">
        <v>503</v>
      </c>
      <c r="B67" s="2" t="s">
        <v>504</v>
      </c>
      <c r="C67" s="2" t="s">
        <v>88</v>
      </c>
      <c r="D67" s="2"/>
      <c r="E67" s="2" t="s">
        <v>134</v>
      </c>
    </row>
    <row r="68" spans="1:8" x14ac:dyDescent="0.35">
      <c r="A68" s="2" t="s">
        <v>505</v>
      </c>
      <c r="B68" s="2" t="s">
        <v>506</v>
      </c>
      <c r="C68" s="2" t="s">
        <v>88</v>
      </c>
      <c r="D68" s="2"/>
      <c r="E68" s="2" t="s">
        <v>134</v>
      </c>
    </row>
    <row r="69" spans="1:8" x14ac:dyDescent="0.35">
      <c r="A69" s="2" t="s">
        <v>507</v>
      </c>
      <c r="B69" s="2" t="s">
        <v>508</v>
      </c>
      <c r="C69" s="2" t="s">
        <v>88</v>
      </c>
      <c r="D69" s="2"/>
      <c r="E69" s="2" t="s">
        <v>134</v>
      </c>
    </row>
    <row r="70" spans="1:8" x14ac:dyDescent="0.35">
      <c r="A70" s="2"/>
      <c r="B70" s="2"/>
      <c r="C70" s="2"/>
      <c r="D70" s="2"/>
      <c r="E70" s="2"/>
    </row>
    <row r="72" spans="1:8" x14ac:dyDescent="0.35">
      <c r="A72" s="124" t="s">
        <v>483</v>
      </c>
      <c r="B72" s="124"/>
      <c r="C72" s="124"/>
      <c r="D72" s="124"/>
      <c r="E72" s="124"/>
      <c r="F72" s="124"/>
      <c r="G72" s="126"/>
      <c r="H72" s="126"/>
    </row>
    <row r="73" spans="1:8" ht="14.5" customHeight="1" x14ac:dyDescent="0.35">
      <c r="A73" s="119" t="s">
        <v>593</v>
      </c>
      <c r="B73" s="119"/>
      <c r="C73" s="119"/>
      <c r="D73" s="119"/>
      <c r="E73" s="119"/>
      <c r="F73" s="119"/>
      <c r="G73" s="127"/>
      <c r="H73" s="127"/>
    </row>
    <row r="74" spans="1:8" x14ac:dyDescent="0.35">
      <c r="A74" s="3" t="s">
        <v>594</v>
      </c>
      <c r="B74" s="3" t="s">
        <v>595</v>
      </c>
      <c r="C74" s="3" t="s">
        <v>596</v>
      </c>
      <c r="D74" s="3" t="s">
        <v>597</v>
      </c>
      <c r="E74" s="3" t="s">
        <v>598</v>
      </c>
      <c r="F74" s="3" t="s">
        <v>544</v>
      </c>
    </row>
    <row r="75" spans="1:8" x14ac:dyDescent="0.35">
      <c r="A75" s="2" t="s">
        <v>599</v>
      </c>
      <c r="B75" s="66">
        <f>SUMIFS(Fact_Baseline_PV!$C$2:$C$44,Fact_Baseline_PV!$A$2:$A$44,"&lt;="&amp;DATE(2026,6,30))</f>
        <v>220233.34000000003</v>
      </c>
      <c r="C75" s="66">
        <f>SUMIFS(Fact_Baseline_PV!$C$2:$C$44,Fact_Baseline_PV!$A$2:$A$44,"&gt;"&amp;DATE(2026,6,30),Fact_Baseline_PV!$A$2:$A$44,"&lt;="&amp;DATE(2026,9,30))</f>
        <v>48416.66</v>
      </c>
      <c r="D75" s="66">
        <v>0</v>
      </c>
      <c r="E75" s="66">
        <v>0</v>
      </c>
      <c r="F75" s="66">
        <f>SUM(B75:E75)</f>
        <v>268650</v>
      </c>
    </row>
    <row r="76" spans="1:8" x14ac:dyDescent="0.35">
      <c r="A76" s="2" t="s">
        <v>509</v>
      </c>
      <c r="B76" s="66">
        <v>0</v>
      </c>
      <c r="C76" s="66">
        <v>0</v>
      </c>
      <c r="D76" s="66">
        <v>0</v>
      </c>
      <c r="E76" s="66">
        <v>0</v>
      </c>
      <c r="F76" s="66">
        <f>SUM(B76:E76)</f>
        <v>0</v>
      </c>
    </row>
    <row r="77" spans="1:8" x14ac:dyDescent="0.35">
      <c r="A77" s="2" t="s">
        <v>510</v>
      </c>
      <c r="B77" s="66">
        <v>0</v>
      </c>
      <c r="C77" s="66">
        <v>0</v>
      </c>
      <c r="D77" s="66">
        <v>0</v>
      </c>
      <c r="E77" s="66">
        <v>0</v>
      </c>
      <c r="F77" s="66">
        <f>SUM(B77:E77)</f>
        <v>0</v>
      </c>
    </row>
    <row r="78" spans="1:8" x14ac:dyDescent="0.35">
      <c r="A78" s="2" t="s">
        <v>511</v>
      </c>
      <c r="B78" s="66">
        <v>0</v>
      </c>
      <c r="C78" s="66">
        <v>0</v>
      </c>
      <c r="D78" s="66">
        <v>0</v>
      </c>
      <c r="E78" s="66">
        <v>0</v>
      </c>
      <c r="F78" s="66">
        <f>SUM(B78:E78)</f>
        <v>0</v>
      </c>
    </row>
    <row r="79" spans="1:8" x14ac:dyDescent="0.35">
      <c r="A79" s="2" t="s">
        <v>512</v>
      </c>
      <c r="B79" s="66">
        <v>0</v>
      </c>
      <c r="C79" s="66">
        <v>0</v>
      </c>
      <c r="D79" s="66">
        <v>0</v>
      </c>
      <c r="E79" s="66">
        <v>0</v>
      </c>
      <c r="F79" s="66">
        <f>SUM(B79:E79)</f>
        <v>0</v>
      </c>
    </row>
  </sheetData>
  <mergeCells count="22">
    <mergeCell ref="A34:H36"/>
    <mergeCell ref="A1:H1"/>
    <mergeCell ref="A2:H2"/>
    <mergeCell ref="A13:H13"/>
    <mergeCell ref="A14:H16"/>
    <mergeCell ref="A18:H18"/>
    <mergeCell ref="A19:H21"/>
    <mergeCell ref="A23:H23"/>
    <mergeCell ref="A24:H26"/>
    <mergeCell ref="A28:H28"/>
    <mergeCell ref="A29:H31"/>
    <mergeCell ref="A33:H33"/>
    <mergeCell ref="A58:H58"/>
    <mergeCell ref="A59:H61"/>
    <mergeCell ref="A72:H72"/>
    <mergeCell ref="A73:H73"/>
    <mergeCell ref="A38:H38"/>
    <mergeCell ref="A39:H41"/>
    <mergeCell ref="A43:H43"/>
    <mergeCell ref="A44:H46"/>
    <mergeCell ref="A48:H48"/>
    <mergeCell ref="A49:H51"/>
  </mergeCells>
  <conditionalFormatting sqref="E64:E70">
    <cfRule type="containsText" dxfId="82" priority="1" operator="containsText" text="Green">
      <formula>NOT(ISERROR(SEARCH("Green",E64)))</formula>
    </cfRule>
    <cfRule type="containsText" dxfId="81" priority="2" operator="containsText" text="Amber">
      <formula>NOT(ISERROR(SEARCH("Amber",E64)))</formula>
    </cfRule>
    <cfRule type="containsText" dxfId="80" priority="3" operator="containsText" text="Red">
      <formula>NOT(ISERROR(SEARCH("Red",E64)))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6EEC-1967-4E93-97AC-5F8042F0C686}">
  <sheetPr>
    <tabColor rgb="FF5B9BD5"/>
  </sheetPr>
  <dimension ref="A1:H16"/>
  <sheetViews>
    <sheetView showGridLines="0" workbookViewId="0">
      <selection activeCell="L7" sqref="L7"/>
    </sheetView>
  </sheetViews>
  <sheetFormatPr defaultRowHeight="14.5" x14ac:dyDescent="0.35"/>
  <cols>
    <col min="1" max="1" width="8.1796875" customWidth="1"/>
    <col min="2" max="2" width="27.26953125" customWidth="1"/>
    <col min="3" max="3" width="40" customWidth="1"/>
    <col min="4" max="4" width="41.81640625" customWidth="1"/>
    <col min="5" max="5" width="26.36328125" customWidth="1"/>
    <col min="6" max="6" width="20" customWidth="1"/>
    <col min="7" max="7" width="16.36328125" customWidth="1"/>
    <col min="8" max="8" width="32.7265625" customWidth="1"/>
  </cols>
  <sheetData>
    <row r="1" spans="1:8" ht="23.5" x14ac:dyDescent="0.55000000000000004">
      <c r="A1" s="122" t="s">
        <v>391</v>
      </c>
      <c r="B1" s="122"/>
      <c r="C1" s="122"/>
      <c r="D1" s="122"/>
      <c r="E1" s="122"/>
      <c r="F1" s="122"/>
      <c r="G1" s="122"/>
      <c r="H1" s="122"/>
    </row>
    <row r="2" spans="1:8" x14ac:dyDescent="0.35">
      <c r="A2" s="123" t="s">
        <v>392</v>
      </c>
      <c r="B2" s="123"/>
      <c r="C2" s="123"/>
      <c r="D2" s="123"/>
      <c r="E2" s="123"/>
      <c r="F2" s="123"/>
      <c r="G2" s="123"/>
      <c r="H2" s="123"/>
    </row>
    <row r="4" spans="1:8" x14ac:dyDescent="0.35">
      <c r="A4" s="62" t="s">
        <v>393</v>
      </c>
      <c r="B4" s="62" t="s">
        <v>394</v>
      </c>
      <c r="C4" s="62" t="s">
        <v>157</v>
      </c>
      <c r="D4" s="62" t="s">
        <v>207</v>
      </c>
      <c r="E4" s="62" t="s">
        <v>395</v>
      </c>
      <c r="F4" s="62" t="s">
        <v>396</v>
      </c>
      <c r="G4" s="62" t="s">
        <v>34</v>
      </c>
      <c r="H4" s="62" t="s">
        <v>211</v>
      </c>
    </row>
    <row r="5" spans="1:8" ht="29" x14ac:dyDescent="0.35">
      <c r="A5" s="2">
        <v>1</v>
      </c>
      <c r="B5" s="2" t="s">
        <v>397</v>
      </c>
      <c r="C5" s="71" t="s">
        <v>398</v>
      </c>
      <c r="D5" s="71" t="s">
        <v>399</v>
      </c>
      <c r="E5" s="2" t="s">
        <v>400</v>
      </c>
      <c r="F5" s="2" t="s">
        <v>88</v>
      </c>
      <c r="G5" s="2" t="s">
        <v>401</v>
      </c>
      <c r="H5" s="71" t="s">
        <v>402</v>
      </c>
    </row>
    <row r="6" spans="1:8" ht="29" x14ac:dyDescent="0.35">
      <c r="A6" s="2">
        <v>2</v>
      </c>
      <c r="B6" s="2" t="s">
        <v>403</v>
      </c>
      <c r="C6" s="71" t="s">
        <v>404</v>
      </c>
      <c r="D6" s="71" t="s">
        <v>405</v>
      </c>
      <c r="E6" s="2" t="s">
        <v>406</v>
      </c>
      <c r="F6" s="2" t="s">
        <v>407</v>
      </c>
      <c r="G6" s="2" t="s">
        <v>401</v>
      </c>
      <c r="H6" s="71" t="s">
        <v>408</v>
      </c>
    </row>
    <row r="7" spans="1:8" ht="29" x14ac:dyDescent="0.35">
      <c r="A7" s="2">
        <v>3</v>
      </c>
      <c r="B7" s="2" t="s">
        <v>409</v>
      </c>
      <c r="C7" s="71" t="s">
        <v>410</v>
      </c>
      <c r="D7" s="71" t="s">
        <v>411</v>
      </c>
      <c r="E7" s="2" t="s">
        <v>239</v>
      </c>
      <c r="F7" s="2" t="s">
        <v>412</v>
      </c>
      <c r="G7" s="2" t="s">
        <v>401</v>
      </c>
      <c r="H7" s="71" t="s">
        <v>413</v>
      </c>
    </row>
    <row r="8" spans="1:8" ht="29" x14ac:dyDescent="0.35">
      <c r="A8" s="2">
        <v>4</v>
      </c>
      <c r="B8" s="2" t="s">
        <v>414</v>
      </c>
      <c r="C8" s="71" t="s">
        <v>415</v>
      </c>
      <c r="D8" s="71" t="s">
        <v>416</v>
      </c>
      <c r="E8" s="2" t="s">
        <v>417</v>
      </c>
      <c r="F8" s="2" t="s">
        <v>412</v>
      </c>
      <c r="G8" s="2" t="s">
        <v>401</v>
      </c>
      <c r="H8" s="71" t="s">
        <v>413</v>
      </c>
    </row>
    <row r="9" spans="1:8" ht="29" x14ac:dyDescent="0.35">
      <c r="A9" s="2">
        <v>5</v>
      </c>
      <c r="B9" s="2" t="s">
        <v>418</v>
      </c>
      <c r="C9" s="71" t="s">
        <v>419</v>
      </c>
      <c r="D9" s="71" t="s">
        <v>420</v>
      </c>
      <c r="E9" s="2" t="s">
        <v>273</v>
      </c>
      <c r="F9" s="2" t="s">
        <v>421</v>
      </c>
      <c r="G9" s="2" t="s">
        <v>401</v>
      </c>
      <c r="H9" s="71" t="s">
        <v>413</v>
      </c>
    </row>
    <row r="10" spans="1:8" ht="29" x14ac:dyDescent="0.35">
      <c r="A10" s="2">
        <v>6</v>
      </c>
      <c r="B10" s="2" t="s">
        <v>305</v>
      </c>
      <c r="C10" s="71" t="s">
        <v>422</v>
      </c>
      <c r="D10" s="71" t="s">
        <v>423</v>
      </c>
      <c r="E10" s="2" t="s">
        <v>243</v>
      </c>
      <c r="F10" s="2" t="s">
        <v>421</v>
      </c>
      <c r="G10" s="2" t="s">
        <v>401</v>
      </c>
      <c r="H10" s="71" t="s">
        <v>424</v>
      </c>
    </row>
    <row r="11" spans="1:8" ht="29" x14ac:dyDescent="0.35">
      <c r="A11" s="2">
        <v>7</v>
      </c>
      <c r="B11" s="2" t="s">
        <v>425</v>
      </c>
      <c r="C11" s="71" t="s">
        <v>426</v>
      </c>
      <c r="D11" s="71" t="s">
        <v>427</v>
      </c>
      <c r="E11" s="2" t="s">
        <v>428</v>
      </c>
      <c r="F11" s="2" t="s">
        <v>429</v>
      </c>
      <c r="G11" s="2" t="s">
        <v>401</v>
      </c>
      <c r="H11" s="71" t="s">
        <v>430</v>
      </c>
    </row>
    <row r="12" spans="1:8" ht="29" x14ac:dyDescent="0.35">
      <c r="A12" s="2">
        <v>8</v>
      </c>
      <c r="B12" s="2" t="s">
        <v>431</v>
      </c>
      <c r="C12" s="71" t="s">
        <v>432</v>
      </c>
      <c r="D12" s="71" t="s">
        <v>433</v>
      </c>
      <c r="E12" s="2" t="s">
        <v>434</v>
      </c>
      <c r="F12" s="2" t="s">
        <v>88</v>
      </c>
      <c r="G12" s="2" t="s">
        <v>435</v>
      </c>
      <c r="H12" s="71" t="s">
        <v>436</v>
      </c>
    </row>
    <row r="13" spans="1:8" ht="29" x14ac:dyDescent="0.35">
      <c r="A13" s="2">
        <v>9</v>
      </c>
      <c r="B13" s="2" t="s">
        <v>437</v>
      </c>
      <c r="C13" s="71" t="s">
        <v>438</v>
      </c>
      <c r="D13" s="71" t="s">
        <v>439</v>
      </c>
      <c r="E13" s="2" t="s">
        <v>440</v>
      </c>
      <c r="F13" s="2" t="s">
        <v>421</v>
      </c>
      <c r="G13" s="2" t="s">
        <v>401</v>
      </c>
      <c r="H13" s="71" t="s">
        <v>413</v>
      </c>
    </row>
    <row r="14" spans="1:8" ht="29" x14ac:dyDescent="0.35">
      <c r="A14" s="2">
        <v>10</v>
      </c>
      <c r="B14" s="2" t="s">
        <v>441</v>
      </c>
      <c r="C14" s="71" t="s">
        <v>442</v>
      </c>
      <c r="D14" s="71" t="s">
        <v>443</v>
      </c>
      <c r="E14" s="2" t="s">
        <v>247</v>
      </c>
      <c r="F14" s="2" t="s">
        <v>421</v>
      </c>
      <c r="G14" s="2" t="s">
        <v>401</v>
      </c>
      <c r="H14" s="71" t="s">
        <v>413</v>
      </c>
    </row>
    <row r="15" spans="1:8" ht="29" x14ac:dyDescent="0.35">
      <c r="A15" s="2">
        <v>11</v>
      </c>
      <c r="B15" s="2" t="s">
        <v>444</v>
      </c>
      <c r="C15" s="71" t="s">
        <v>445</v>
      </c>
      <c r="D15" s="71" t="s">
        <v>446</v>
      </c>
      <c r="E15" s="2" t="s">
        <v>447</v>
      </c>
      <c r="F15" s="2" t="s">
        <v>448</v>
      </c>
      <c r="G15" s="2" t="s">
        <v>435</v>
      </c>
      <c r="H15" s="71" t="s">
        <v>413</v>
      </c>
    </row>
    <row r="16" spans="1:8" ht="29" x14ac:dyDescent="0.35">
      <c r="A16" s="2">
        <v>12</v>
      </c>
      <c r="B16" s="2" t="s">
        <v>449</v>
      </c>
      <c r="C16" s="71" t="s">
        <v>450</v>
      </c>
      <c r="D16" s="71" t="s">
        <v>451</v>
      </c>
      <c r="E16" s="2" t="s">
        <v>452</v>
      </c>
      <c r="F16" s="2" t="s">
        <v>407</v>
      </c>
      <c r="G16" s="2" t="s">
        <v>435</v>
      </c>
      <c r="H16" s="71" t="s">
        <v>453</v>
      </c>
    </row>
  </sheetData>
  <mergeCells count="2">
    <mergeCell ref="A1:H1"/>
    <mergeCell ref="A2:H2"/>
  </mergeCells>
  <conditionalFormatting sqref="G5:G16">
    <cfRule type="containsText" dxfId="79" priority="1" operator="containsText" text="Active">
      <formula>NOT(ISERROR(SEARCH("Active",G5)))</formula>
    </cfRule>
    <cfRule type="containsText" dxfId="78" priority="2" operator="containsText" text="Template ready">
      <formula>NOT(ISERROR(SEARCH("Template ready",G5)))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D0CF-3D77-4946-ADDA-12419EF76F6D}">
  <sheetPr>
    <tabColor rgb="FF5B9BD5"/>
  </sheetPr>
  <dimension ref="A1:H13"/>
  <sheetViews>
    <sheetView showGridLines="0" workbookViewId="0">
      <selection sqref="A1:L1"/>
    </sheetView>
  </sheetViews>
  <sheetFormatPr defaultRowHeight="14.5" x14ac:dyDescent="0.35"/>
  <cols>
    <col min="1" max="1" width="38.1796875" customWidth="1"/>
    <col min="2" max="2" width="45.453125" customWidth="1"/>
    <col min="3" max="3" width="25.453125" customWidth="1"/>
    <col min="4" max="4" width="15.453125" customWidth="1"/>
    <col min="5" max="5" width="26.36328125" customWidth="1"/>
  </cols>
  <sheetData>
    <row r="1" spans="1:8" ht="23.5" x14ac:dyDescent="0.55000000000000004">
      <c r="A1" s="121" t="s">
        <v>227</v>
      </c>
      <c r="B1" s="122"/>
      <c r="C1" s="122"/>
      <c r="D1" s="122"/>
      <c r="E1" s="122"/>
      <c r="F1" s="122"/>
      <c r="G1" s="122"/>
      <c r="H1" s="122"/>
    </row>
    <row r="2" spans="1:8" x14ac:dyDescent="0.35">
      <c r="A2" s="123" t="s">
        <v>228</v>
      </c>
      <c r="B2" s="123"/>
      <c r="C2" s="123"/>
      <c r="D2" s="123"/>
      <c r="E2" s="123"/>
      <c r="F2" s="123"/>
      <c r="G2" s="123"/>
      <c r="H2" s="123"/>
    </row>
    <row r="4" spans="1:8" x14ac:dyDescent="0.35">
      <c r="A4" s="62" t="s">
        <v>229</v>
      </c>
      <c r="B4" s="62" t="s">
        <v>207</v>
      </c>
      <c r="C4" s="62" t="s">
        <v>230</v>
      </c>
      <c r="D4" s="62" t="s">
        <v>34</v>
      </c>
      <c r="E4" s="62" t="s">
        <v>231</v>
      </c>
    </row>
    <row r="5" spans="1:8" ht="29" x14ac:dyDescent="0.35">
      <c r="A5" s="71" t="s">
        <v>232</v>
      </c>
      <c r="B5" s="71" t="s">
        <v>233</v>
      </c>
      <c r="C5" s="2" t="s">
        <v>234</v>
      </c>
      <c r="D5" s="8" t="s">
        <v>235</v>
      </c>
      <c r="E5" s="2" t="s">
        <v>236</v>
      </c>
    </row>
    <row r="6" spans="1:8" ht="29" x14ac:dyDescent="0.35">
      <c r="A6" s="71" t="s">
        <v>237</v>
      </c>
      <c r="B6" s="71" t="s">
        <v>238</v>
      </c>
      <c r="C6" s="2" t="s">
        <v>239</v>
      </c>
      <c r="D6" s="8" t="s">
        <v>235</v>
      </c>
      <c r="E6" s="2" t="s">
        <v>240</v>
      </c>
    </row>
    <row r="7" spans="1:8" ht="29" x14ac:dyDescent="0.35">
      <c r="A7" s="71" t="s">
        <v>241</v>
      </c>
      <c r="B7" s="71" t="s">
        <v>242</v>
      </c>
      <c r="C7" s="2" t="s">
        <v>243</v>
      </c>
      <c r="D7" s="8" t="s">
        <v>235</v>
      </c>
      <c r="E7" s="2" t="s">
        <v>244</v>
      </c>
    </row>
    <row r="8" spans="1:8" ht="29" x14ac:dyDescent="0.35">
      <c r="A8" s="71" t="s">
        <v>245</v>
      </c>
      <c r="B8" s="71" t="s">
        <v>246</v>
      </c>
      <c r="C8" s="2" t="s">
        <v>247</v>
      </c>
      <c r="D8" s="8" t="s">
        <v>235</v>
      </c>
      <c r="E8" s="2" t="s">
        <v>248</v>
      </c>
    </row>
    <row r="9" spans="1:8" ht="29" x14ac:dyDescent="0.35">
      <c r="A9" s="71" t="s">
        <v>249</v>
      </c>
      <c r="B9" s="71" t="s">
        <v>250</v>
      </c>
      <c r="C9" s="2" t="s">
        <v>251</v>
      </c>
      <c r="D9" s="8" t="s">
        <v>235</v>
      </c>
      <c r="E9" s="2" t="s">
        <v>252</v>
      </c>
    </row>
    <row r="10" spans="1:8" ht="29" x14ac:dyDescent="0.35">
      <c r="A10" s="71" t="s">
        <v>253</v>
      </c>
      <c r="B10" s="71" t="s">
        <v>254</v>
      </c>
      <c r="C10" s="2" t="s">
        <v>255</v>
      </c>
      <c r="D10" s="8" t="s">
        <v>235</v>
      </c>
      <c r="E10" s="2" t="s">
        <v>256</v>
      </c>
    </row>
    <row r="11" spans="1:8" ht="29" x14ac:dyDescent="0.35">
      <c r="A11" s="71" t="s">
        <v>257</v>
      </c>
      <c r="B11" s="71" t="s">
        <v>258</v>
      </c>
      <c r="C11" s="2" t="s">
        <v>259</v>
      </c>
      <c r="D11" s="8" t="s">
        <v>235</v>
      </c>
      <c r="E11" s="2" t="s">
        <v>256</v>
      </c>
    </row>
    <row r="12" spans="1:8" ht="29" x14ac:dyDescent="0.35">
      <c r="A12" s="71" t="s">
        <v>260</v>
      </c>
      <c r="B12" s="71" t="s">
        <v>261</v>
      </c>
      <c r="C12" s="2" t="s">
        <v>262</v>
      </c>
      <c r="D12" s="8" t="s">
        <v>235</v>
      </c>
      <c r="E12" s="2" t="s">
        <v>263</v>
      </c>
    </row>
    <row r="13" spans="1:8" ht="29" x14ac:dyDescent="0.35">
      <c r="A13" s="71" t="s">
        <v>264</v>
      </c>
      <c r="B13" s="71" t="s">
        <v>272</v>
      </c>
      <c r="C13" s="2" t="s">
        <v>273</v>
      </c>
      <c r="D13" s="8" t="s">
        <v>235</v>
      </c>
      <c r="E13" s="2" t="s">
        <v>265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B97E-11E8-4542-AC88-FB68F7A36F4A}">
  <sheetPr>
    <tabColor rgb="FF70AD47"/>
  </sheetPr>
  <dimension ref="A1:H20"/>
  <sheetViews>
    <sheetView showGridLines="0" workbookViewId="0">
      <selection sqref="A1:L1"/>
    </sheetView>
  </sheetViews>
  <sheetFormatPr defaultRowHeight="14.5" x14ac:dyDescent="0.35"/>
  <cols>
    <col min="1" max="1" width="34.54296875" customWidth="1"/>
    <col min="2" max="2" width="25.453125" customWidth="1"/>
    <col min="3" max="3" width="19.08984375" customWidth="1"/>
    <col min="4" max="4" width="41.81640625" customWidth="1"/>
  </cols>
  <sheetData>
    <row r="1" spans="1:8" ht="23.5" x14ac:dyDescent="0.55000000000000004">
      <c r="A1" s="121" t="s">
        <v>172</v>
      </c>
      <c r="B1" s="122"/>
      <c r="C1" s="122"/>
      <c r="D1" s="122"/>
      <c r="E1" s="122"/>
      <c r="F1" s="122"/>
      <c r="G1" s="122"/>
      <c r="H1" s="122"/>
    </row>
    <row r="2" spans="1:8" x14ac:dyDescent="0.35">
      <c r="A2" s="123" t="s">
        <v>173</v>
      </c>
      <c r="B2" s="123"/>
      <c r="C2" s="123"/>
      <c r="D2" s="123"/>
      <c r="E2" s="123"/>
      <c r="F2" s="123"/>
      <c r="G2" s="123"/>
      <c r="H2" s="123"/>
    </row>
    <row r="4" spans="1:8" x14ac:dyDescent="0.35">
      <c r="A4" s="62" t="s">
        <v>174</v>
      </c>
      <c r="B4" s="62" t="s">
        <v>175</v>
      </c>
    </row>
    <row r="5" spans="1:8" x14ac:dyDescent="0.35">
      <c r="A5" s="2" t="s">
        <v>176</v>
      </c>
      <c r="B5" s="2" t="str">
        <f>Dim_Project!A2</f>
        <v>P101</v>
      </c>
    </row>
    <row r="6" spans="1:8" x14ac:dyDescent="0.35">
      <c r="A6" s="2" t="s">
        <v>177</v>
      </c>
      <c r="B6" s="2" t="str">
        <f>Dim_Project!B2</f>
        <v>Office Fit-Out</v>
      </c>
    </row>
    <row r="7" spans="1:8" x14ac:dyDescent="0.35">
      <c r="A7" s="2" t="s">
        <v>145</v>
      </c>
      <c r="B7" s="63">
        <f>Dim_Project!C2</f>
        <v>46146</v>
      </c>
    </row>
    <row r="8" spans="1:8" x14ac:dyDescent="0.35">
      <c r="A8" s="2" t="s">
        <v>178</v>
      </c>
      <c r="B8" s="63">
        <f>Dim_Project!D2</f>
        <v>46229</v>
      </c>
    </row>
    <row r="9" spans="1:8" x14ac:dyDescent="0.35">
      <c r="A9" s="2" t="s">
        <v>147</v>
      </c>
      <c r="B9" s="63">
        <f>'EVM Dashboard'!B4</f>
        <v>46203</v>
      </c>
    </row>
    <row r="10" spans="1:8" x14ac:dyDescent="0.35">
      <c r="A10" s="2" t="s">
        <v>179</v>
      </c>
      <c r="B10" s="2" t="s">
        <v>180</v>
      </c>
    </row>
    <row r="11" spans="1:8" x14ac:dyDescent="0.35">
      <c r="A11" s="2" t="s">
        <v>181</v>
      </c>
      <c r="B11" s="72">
        <f>SUM(Dim_WBS!E:E)</f>
        <v>268650</v>
      </c>
    </row>
    <row r="12" spans="1:8" x14ac:dyDescent="0.35">
      <c r="A12" s="2" t="s">
        <v>182</v>
      </c>
      <c r="B12" s="67">
        <v>0.95</v>
      </c>
    </row>
    <row r="13" spans="1:8" x14ac:dyDescent="0.35">
      <c r="A13" s="2" t="s">
        <v>183</v>
      </c>
      <c r="B13" s="67">
        <v>1</v>
      </c>
    </row>
    <row r="14" spans="1:8" x14ac:dyDescent="0.35">
      <c r="A14" s="2" t="s">
        <v>184</v>
      </c>
      <c r="B14" s="67">
        <v>0.5</v>
      </c>
    </row>
    <row r="15" spans="1:8" x14ac:dyDescent="0.35">
      <c r="A15" s="2" t="s">
        <v>185</v>
      </c>
      <c r="B15" s="67">
        <v>0.8</v>
      </c>
    </row>
    <row r="17" spans="1:4" x14ac:dyDescent="0.35">
      <c r="A17" s="62" t="s">
        <v>153</v>
      </c>
      <c r="B17" s="62" t="s">
        <v>186</v>
      </c>
      <c r="C17" s="62" t="s">
        <v>130</v>
      </c>
      <c r="D17" s="62" t="s">
        <v>187</v>
      </c>
    </row>
    <row r="18" spans="1:4" x14ac:dyDescent="0.35">
      <c r="A18" s="4" t="s">
        <v>132</v>
      </c>
      <c r="B18" s="2" t="s">
        <v>188</v>
      </c>
      <c r="C18" s="2" t="s">
        <v>189</v>
      </c>
      <c r="D18" s="2" t="s">
        <v>190</v>
      </c>
    </row>
    <row r="19" spans="1:4" x14ac:dyDescent="0.35">
      <c r="A19" s="6" t="s">
        <v>134</v>
      </c>
      <c r="B19" s="2" t="s">
        <v>188</v>
      </c>
      <c r="C19" s="2" t="s">
        <v>191</v>
      </c>
      <c r="D19" s="2" t="s">
        <v>192</v>
      </c>
    </row>
    <row r="20" spans="1:4" x14ac:dyDescent="0.35">
      <c r="A20" s="7" t="s">
        <v>137</v>
      </c>
      <c r="B20" s="2" t="s">
        <v>188</v>
      </c>
      <c r="C20" s="2" t="s">
        <v>193</v>
      </c>
      <c r="D20" s="2" t="s">
        <v>194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2920-FA4E-4FAB-9C75-3FE6D6475415}">
  <sheetPr>
    <tabColor rgb="FF70AD47"/>
  </sheetPr>
  <dimension ref="A1:T17"/>
  <sheetViews>
    <sheetView showGridLines="0" workbookViewId="0">
      <selection sqref="A1:P1"/>
    </sheetView>
  </sheetViews>
  <sheetFormatPr defaultRowHeight="14.5" x14ac:dyDescent="0.35"/>
  <cols>
    <col min="1" max="1" width="12.7265625" customWidth="1"/>
    <col min="2" max="2" width="10.90625" customWidth="1"/>
    <col min="3" max="3" width="30.90625" customWidth="1"/>
    <col min="4" max="4" width="17.26953125" customWidth="1"/>
    <col min="5" max="6" width="15.453125" customWidth="1"/>
    <col min="7" max="7" width="13.6328125" customWidth="1"/>
    <col min="8" max="19" width="15.453125" customWidth="1"/>
    <col min="20" max="20" width="13.6328125" customWidth="1"/>
  </cols>
  <sheetData>
    <row r="1" spans="1:20" ht="23.5" x14ac:dyDescent="0.55000000000000004">
      <c r="A1" s="121" t="s">
        <v>160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</row>
    <row r="2" spans="1:20" x14ac:dyDescent="0.35">
      <c r="A2" s="123" t="s">
        <v>195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</row>
    <row r="4" spans="1:20" x14ac:dyDescent="0.35">
      <c r="A4" s="62" t="s">
        <v>19</v>
      </c>
      <c r="B4" s="62" t="s">
        <v>196</v>
      </c>
      <c r="C4" s="62" t="s">
        <v>197</v>
      </c>
      <c r="D4" s="62" t="s">
        <v>21</v>
      </c>
      <c r="E4" s="62" t="s">
        <v>198</v>
      </c>
      <c r="F4" s="62" t="s">
        <v>199</v>
      </c>
      <c r="G4" s="62" t="s">
        <v>152</v>
      </c>
      <c r="H4" s="62" t="s">
        <v>200</v>
      </c>
      <c r="I4" s="62" t="s">
        <v>201</v>
      </c>
      <c r="J4" s="62" t="s">
        <v>202</v>
      </c>
      <c r="K4" s="62" t="s">
        <v>25</v>
      </c>
      <c r="L4" s="62" t="s">
        <v>203</v>
      </c>
      <c r="M4" s="62" t="s">
        <v>28</v>
      </c>
      <c r="N4" s="62" t="s">
        <v>27</v>
      </c>
      <c r="O4" s="62" t="s">
        <v>30</v>
      </c>
      <c r="P4" s="62" t="s">
        <v>29</v>
      </c>
      <c r="Q4" s="62" t="s">
        <v>31</v>
      </c>
      <c r="R4" s="62" t="s">
        <v>32</v>
      </c>
      <c r="S4" s="62" t="s">
        <v>33</v>
      </c>
      <c r="T4" s="62" t="s">
        <v>34</v>
      </c>
    </row>
    <row r="5" spans="1:20" x14ac:dyDescent="0.35">
      <c r="A5" s="2" t="str">
        <f>Dim_WBS!A2</f>
        <v>WBS-01</v>
      </c>
      <c r="B5" s="2">
        <f>Dim_WBS!B2</f>
        <v>1</v>
      </c>
      <c r="C5" s="2" t="str">
        <f>Dim_WBS!C2</f>
        <v>Project Management</v>
      </c>
      <c r="D5" s="2" t="str">
        <f>Dim_WBS!D2</f>
        <v>Labor</v>
      </c>
      <c r="E5" s="63">
        <f>_xlfn.MINIFS(Fact_Baseline_PV!$A:$A,Fact_Baseline_PV!$B:$B,A5)</f>
        <v>46146</v>
      </c>
      <c r="F5" s="63">
        <f>_xlfn.MAXIFS(Fact_Baseline_PV!$A:$A,Fact_Baseline_PV!$B:$B,A5)+6</f>
        <v>46229</v>
      </c>
      <c r="G5" s="64">
        <f t="shared" ref="G5:G16" si="0">F5-E5+1</f>
        <v>84</v>
      </c>
      <c r="H5" s="66">
        <f>Dim_WBS!E2</f>
        <v>18000</v>
      </c>
      <c r="I5" s="66">
        <f>SUMIFS(Fact_Baseline_PV!$C:$C,Fact_Baseline_PV!$B:$B,A5,Fact_Baseline_PV!$A:$A,"&lt;="&amp;Setup!$B$9)</f>
        <v>13500</v>
      </c>
      <c r="J5" s="66">
        <f>SUMIFS(Fact_Actual_Costs!$D:$D,Fact_Actual_Costs!$B:$B,A5,Fact_Actual_Costs!$A:$A,"&lt;="&amp;Setup!$B$9)</f>
        <v>9600</v>
      </c>
      <c r="K5" s="65" cm="1">
        <f t="array" ref="K5">IFERROR(LOOKUP(2,1/(Fact_Physical_Progress!$B$2:$B$35=A5)/(Fact_Physical_Progress!$A$2:$A$35&lt;=Setup!$B$9),Fact_Physical_Progress!$C$2:$C$35),0)</f>
        <v>0.5</v>
      </c>
      <c r="L5" s="66">
        <f t="shared" ref="L5:L16" si="1">H5*K5</f>
        <v>9000</v>
      </c>
      <c r="M5" s="66">
        <f t="shared" ref="M5:M16" si="2">L5-I5</f>
        <v>-4500</v>
      </c>
      <c r="N5" s="66">
        <f t="shared" ref="N5:N16" si="3">L5-J5</f>
        <v>-600</v>
      </c>
      <c r="O5" s="67">
        <f t="shared" ref="O5:O17" si="4">IFERROR(L5/I5,1)</f>
        <v>0.66666666666666663</v>
      </c>
      <c r="P5" s="67">
        <f t="shared" ref="P5:P17" si="5">IFERROR(L5/J5,1)</f>
        <v>0.9375</v>
      </c>
      <c r="Q5" s="66">
        <f t="shared" ref="Q5:Q17" si="6">IF(P5&gt;0,H5/P5,H5)</f>
        <v>19200</v>
      </c>
      <c r="R5" s="66">
        <f t="shared" ref="R5:R17" si="7">Q5-J5</f>
        <v>9600</v>
      </c>
      <c r="S5" s="66">
        <f t="shared" ref="S5:S17" si="8">H5-Q5</f>
        <v>-1200</v>
      </c>
      <c r="T5" s="2" t="str">
        <f>IF(OR(N5&lt;0,P5&lt;Setup!$B$12,O5&lt;Setup!$B$12),"Red",IF(OR(P5&lt;Setup!$B$13,O5&lt;Setup!$B$13),"Amber","Green"))</f>
        <v>Red</v>
      </c>
    </row>
    <row r="6" spans="1:20" x14ac:dyDescent="0.35">
      <c r="A6" s="2" t="str">
        <f>Dim_WBS!A3</f>
        <v>WBS-02</v>
      </c>
      <c r="B6" s="2">
        <f>Dim_WBS!B3</f>
        <v>2</v>
      </c>
      <c r="C6" s="2" t="str">
        <f>Dim_WBS!C3</f>
        <v>Site Survey &amp; Mobilization</v>
      </c>
      <c r="D6" s="2" t="str">
        <f>Dim_WBS!D3</f>
        <v>Labor</v>
      </c>
      <c r="E6" s="63">
        <f>_xlfn.MINIFS(Fact_Baseline_PV!$A:$A,Fact_Baseline_PV!$B:$B,A6)</f>
        <v>46146</v>
      </c>
      <c r="F6" s="63">
        <f>_xlfn.MAXIFS(Fact_Baseline_PV!$A:$A,Fact_Baseline_PV!$B:$B,A6)+6</f>
        <v>46152</v>
      </c>
      <c r="G6" s="64">
        <f t="shared" si="0"/>
        <v>7</v>
      </c>
      <c r="H6" s="66">
        <f>Dim_WBS!E3</f>
        <v>8500</v>
      </c>
      <c r="I6" s="66">
        <f>SUMIFS(Fact_Baseline_PV!$C:$C,Fact_Baseline_PV!$B:$B,A6,Fact_Baseline_PV!$A:$A,"&lt;="&amp;Setup!$B$9)</f>
        <v>8500</v>
      </c>
      <c r="J6" s="66">
        <f>SUMIFS(Fact_Actual_Costs!$D:$D,Fact_Actual_Costs!$B:$B,A6,Fact_Actual_Costs!$A:$A,"&lt;="&amp;Setup!$B$9)</f>
        <v>8700</v>
      </c>
      <c r="K6" s="65" cm="1">
        <f t="array" ref="K6">IFERROR(LOOKUP(2,1/(Fact_Physical_Progress!$B$2:$B$35=A6)/(Fact_Physical_Progress!$A$2:$A$35&lt;=Setup!$B$9),Fact_Physical_Progress!$C$2:$C$35),0)</f>
        <v>1</v>
      </c>
      <c r="L6" s="66">
        <f t="shared" si="1"/>
        <v>8500</v>
      </c>
      <c r="M6" s="66">
        <f t="shared" si="2"/>
        <v>0</v>
      </c>
      <c r="N6" s="66">
        <f t="shared" si="3"/>
        <v>-200</v>
      </c>
      <c r="O6" s="67">
        <f t="shared" si="4"/>
        <v>1</v>
      </c>
      <c r="P6" s="67">
        <f t="shared" si="5"/>
        <v>0.97701149425287359</v>
      </c>
      <c r="Q6" s="66">
        <f t="shared" si="6"/>
        <v>8700</v>
      </c>
      <c r="R6" s="66">
        <f t="shared" si="7"/>
        <v>0</v>
      </c>
      <c r="S6" s="66">
        <f t="shared" si="8"/>
        <v>-200</v>
      </c>
      <c r="T6" s="2" t="str">
        <f>IF(OR(N6&lt;0,P6&lt;Setup!$B$12,O6&lt;Setup!$B$12),"Red",IF(OR(P6&lt;Setup!$B$13,O6&lt;Setup!$B$13),"Amber","Green"))</f>
        <v>Red</v>
      </c>
    </row>
    <row r="7" spans="1:20" x14ac:dyDescent="0.35">
      <c r="A7" s="2" t="str">
        <f>Dim_WBS!A4</f>
        <v>WBS-03</v>
      </c>
      <c r="B7" s="2">
        <f>Dim_WBS!B4</f>
        <v>3</v>
      </c>
      <c r="C7" s="2" t="str">
        <f>Dim_WBS!C4</f>
        <v>Design &amp; Engineering</v>
      </c>
      <c r="D7" s="2" t="str">
        <f>Dim_WBS!D4</f>
        <v>Labor</v>
      </c>
      <c r="E7" s="63">
        <f>_xlfn.MINIFS(Fact_Baseline_PV!$A:$A,Fact_Baseline_PV!$B:$B,A7)</f>
        <v>46146</v>
      </c>
      <c r="F7" s="63">
        <f>_xlfn.MAXIFS(Fact_Baseline_PV!$A:$A,Fact_Baseline_PV!$B:$B,A7)+6</f>
        <v>46166</v>
      </c>
      <c r="G7" s="64">
        <f t="shared" si="0"/>
        <v>21</v>
      </c>
      <c r="H7" s="66">
        <f>Dim_WBS!E4</f>
        <v>19200</v>
      </c>
      <c r="I7" s="66">
        <f>SUMIFS(Fact_Baseline_PV!$C:$C,Fact_Baseline_PV!$B:$B,A7,Fact_Baseline_PV!$A:$A,"&lt;="&amp;Setup!$B$9)</f>
        <v>19200</v>
      </c>
      <c r="J7" s="66">
        <f>SUMIFS(Fact_Actual_Costs!$D:$D,Fact_Actual_Costs!$B:$B,A7,Fact_Actual_Costs!$A:$A,"&lt;="&amp;Setup!$B$9)</f>
        <v>18195.04</v>
      </c>
      <c r="K7" s="65" cm="1">
        <f t="array" ref="K7">IFERROR(LOOKUP(2,1/(Fact_Physical_Progress!$B$2:$B$35=A7)/(Fact_Physical_Progress!$A$2:$A$35&lt;=Setup!$B$9),Fact_Physical_Progress!$C$2:$C$35),0)</f>
        <v>1</v>
      </c>
      <c r="L7" s="66">
        <f t="shared" si="1"/>
        <v>19200</v>
      </c>
      <c r="M7" s="66">
        <f t="shared" si="2"/>
        <v>0</v>
      </c>
      <c r="N7" s="66">
        <f t="shared" si="3"/>
        <v>1004.9599999999991</v>
      </c>
      <c r="O7" s="67">
        <f t="shared" si="4"/>
        <v>1</v>
      </c>
      <c r="P7" s="67">
        <f t="shared" si="5"/>
        <v>1.055232634827953</v>
      </c>
      <c r="Q7" s="66">
        <f t="shared" si="6"/>
        <v>18195.04</v>
      </c>
      <c r="R7" s="66">
        <f t="shared" si="7"/>
        <v>0</v>
      </c>
      <c r="S7" s="66">
        <f t="shared" si="8"/>
        <v>1004.9599999999991</v>
      </c>
      <c r="T7" s="2" t="str">
        <f>IF(OR(N7&lt;0,P7&lt;Setup!$B$12,O7&lt;Setup!$B$12),"Red",IF(OR(P7&lt;Setup!$B$13,O7&lt;Setup!$B$13),"Amber","Green"))</f>
        <v>Green</v>
      </c>
    </row>
    <row r="8" spans="1:20" x14ac:dyDescent="0.35">
      <c r="A8" s="2" t="str">
        <f>Dim_WBS!A5</f>
        <v>WBS-04</v>
      </c>
      <c r="B8" s="2">
        <f>Dim_WBS!B5</f>
        <v>4</v>
      </c>
      <c r="C8" s="2" t="str">
        <f>Dim_WBS!C5</f>
        <v>Procurement - Materials</v>
      </c>
      <c r="D8" s="2" t="str">
        <f>Dim_WBS!D5</f>
        <v>Material</v>
      </c>
      <c r="E8" s="63">
        <f>_xlfn.MINIFS(Fact_Baseline_PV!$A:$A,Fact_Baseline_PV!$B:$B,A8)</f>
        <v>46153</v>
      </c>
      <c r="F8" s="63">
        <f>_xlfn.MAXIFS(Fact_Baseline_PV!$A:$A,Fact_Baseline_PV!$B:$B,A8)+6</f>
        <v>46180</v>
      </c>
      <c r="G8" s="64">
        <f t="shared" si="0"/>
        <v>28</v>
      </c>
      <c r="H8" s="66">
        <f>Dim_WBS!E5</f>
        <v>42000</v>
      </c>
      <c r="I8" s="66">
        <f>SUMIFS(Fact_Baseline_PV!$C:$C,Fact_Baseline_PV!$B:$B,A8,Fact_Baseline_PV!$A:$A,"&lt;="&amp;Setup!$B$9)</f>
        <v>42000</v>
      </c>
      <c r="J8" s="66">
        <f>SUMIFS(Fact_Actual_Costs!$D:$D,Fact_Actual_Costs!$B:$B,A8,Fact_Actual_Costs!$A:$A,"&lt;="&amp;Setup!$B$9)</f>
        <v>41300</v>
      </c>
      <c r="K8" s="65" cm="1">
        <f t="array" ref="K8">IFERROR(LOOKUP(2,1/(Fact_Physical_Progress!$B$2:$B$35=A8)/(Fact_Physical_Progress!$A$2:$A$35&lt;=Setup!$B$9),Fact_Physical_Progress!$C$2:$C$35),0)</f>
        <v>1</v>
      </c>
      <c r="L8" s="66">
        <f t="shared" si="1"/>
        <v>42000</v>
      </c>
      <c r="M8" s="66">
        <f t="shared" si="2"/>
        <v>0</v>
      </c>
      <c r="N8" s="66">
        <f t="shared" si="3"/>
        <v>700</v>
      </c>
      <c r="O8" s="67">
        <f t="shared" si="4"/>
        <v>1</v>
      </c>
      <c r="P8" s="67">
        <f t="shared" si="5"/>
        <v>1.0169491525423728</v>
      </c>
      <c r="Q8" s="66">
        <f t="shared" si="6"/>
        <v>41300</v>
      </c>
      <c r="R8" s="66">
        <f t="shared" si="7"/>
        <v>0</v>
      </c>
      <c r="S8" s="66">
        <f t="shared" si="8"/>
        <v>700</v>
      </c>
      <c r="T8" s="2" t="str">
        <f>IF(OR(N8&lt;0,P8&lt;Setup!$B$12,O8&lt;Setup!$B$12),"Red",IF(OR(P8&lt;Setup!$B$13,O8&lt;Setup!$B$13),"Amber","Green"))</f>
        <v>Green</v>
      </c>
    </row>
    <row r="9" spans="1:20" x14ac:dyDescent="0.35">
      <c r="A9" s="2" t="str">
        <f>Dim_WBS!A6</f>
        <v>WBS-05</v>
      </c>
      <c r="B9" s="2">
        <f>Dim_WBS!B6</f>
        <v>5</v>
      </c>
      <c r="C9" s="2" t="str">
        <f>Dim_WBS!C6</f>
        <v>Demolition &amp; Prep</v>
      </c>
      <c r="D9" s="2" t="str">
        <f>Dim_WBS!D6</f>
        <v>Labor</v>
      </c>
      <c r="E9" s="63">
        <f>_xlfn.MINIFS(Fact_Baseline_PV!$A:$A,Fact_Baseline_PV!$B:$B,A9)</f>
        <v>46153</v>
      </c>
      <c r="F9" s="63">
        <f>_xlfn.MAXIFS(Fact_Baseline_PV!$A:$A,Fact_Baseline_PV!$B:$B,A9)+6</f>
        <v>46173</v>
      </c>
      <c r="G9" s="64">
        <f t="shared" si="0"/>
        <v>21</v>
      </c>
      <c r="H9" s="66">
        <f>Dim_WBS!E6</f>
        <v>13200</v>
      </c>
      <c r="I9" s="66">
        <f>SUMIFS(Fact_Baseline_PV!$C:$C,Fact_Baseline_PV!$B:$B,A9,Fact_Baseline_PV!$A:$A,"&lt;="&amp;Setup!$B$9)</f>
        <v>13200</v>
      </c>
      <c r="J9" s="66">
        <f>SUMIFS(Fact_Actual_Costs!$D:$D,Fact_Actual_Costs!$B:$B,A9,Fact_Actual_Costs!$A:$A,"&lt;="&amp;Setup!$B$9)</f>
        <v>13408.159999999998</v>
      </c>
      <c r="K9" s="65" cm="1">
        <f t="array" ref="K9">IFERROR(LOOKUP(2,1/(Fact_Physical_Progress!$B$2:$B$35=A9)/(Fact_Physical_Progress!$A$2:$A$35&lt;=Setup!$B$9),Fact_Physical_Progress!$C$2:$C$35),0)</f>
        <v>1</v>
      </c>
      <c r="L9" s="66">
        <f t="shared" si="1"/>
        <v>13200</v>
      </c>
      <c r="M9" s="66">
        <f t="shared" si="2"/>
        <v>0</v>
      </c>
      <c r="N9" s="66">
        <f t="shared" si="3"/>
        <v>-208.15999999999804</v>
      </c>
      <c r="O9" s="67">
        <f t="shared" si="4"/>
        <v>1</v>
      </c>
      <c r="P9" s="67">
        <f t="shared" si="5"/>
        <v>0.98447512559516015</v>
      </c>
      <c r="Q9" s="66">
        <f t="shared" si="6"/>
        <v>13408.159999999998</v>
      </c>
      <c r="R9" s="66">
        <f t="shared" si="7"/>
        <v>0</v>
      </c>
      <c r="S9" s="66">
        <f t="shared" si="8"/>
        <v>-208.15999999999804</v>
      </c>
      <c r="T9" s="2" t="str">
        <f>IF(OR(N9&lt;0,P9&lt;Setup!$B$12,O9&lt;Setup!$B$12),"Red",IF(OR(P9&lt;Setup!$B$13,O9&lt;Setup!$B$13),"Amber","Green"))</f>
        <v>Red</v>
      </c>
    </row>
    <row r="10" spans="1:20" x14ac:dyDescent="0.35">
      <c r="A10" s="2" t="str">
        <f>Dim_WBS!A7</f>
        <v>WBS-06</v>
      </c>
      <c r="B10" s="2">
        <f>Dim_WBS!B7</f>
        <v>6</v>
      </c>
      <c r="C10" s="2" t="str">
        <f>Dim_WBS!C7</f>
        <v>Electrical Rough-In</v>
      </c>
      <c r="D10" s="2" t="str">
        <f>Dim_WBS!D7</f>
        <v>Labor</v>
      </c>
      <c r="E10" s="63">
        <f>_xlfn.MINIFS(Fact_Baseline_PV!$A:$A,Fact_Baseline_PV!$B:$B,A10)</f>
        <v>46167</v>
      </c>
      <c r="F10" s="63">
        <f>_xlfn.MAXIFS(Fact_Baseline_PV!$A:$A,Fact_Baseline_PV!$B:$B,A10)+6</f>
        <v>46187</v>
      </c>
      <c r="G10" s="64">
        <f t="shared" si="0"/>
        <v>21</v>
      </c>
      <c r="H10" s="66">
        <f>Dim_WBS!E7</f>
        <v>26000</v>
      </c>
      <c r="I10" s="66">
        <f>SUMIFS(Fact_Baseline_PV!$C:$C,Fact_Baseline_PV!$B:$B,A10,Fact_Baseline_PV!$A:$A,"&lt;="&amp;Setup!$B$9)</f>
        <v>26000</v>
      </c>
      <c r="J10" s="66">
        <f>SUMIFS(Fact_Actual_Costs!$D:$D,Fact_Actual_Costs!$B:$B,A10,Fact_Actual_Costs!$A:$A,"&lt;="&amp;Setup!$B$9)</f>
        <v>26206.239999999998</v>
      </c>
      <c r="K10" s="65" cm="1">
        <f t="array" ref="K10">IFERROR(LOOKUP(2,1/(Fact_Physical_Progress!$B$2:$B$35=A10)/(Fact_Physical_Progress!$A$2:$A$35&lt;=Setup!$B$9),Fact_Physical_Progress!$C$2:$C$35),0)</f>
        <v>0.7</v>
      </c>
      <c r="L10" s="66">
        <f t="shared" si="1"/>
        <v>18200</v>
      </c>
      <c r="M10" s="66">
        <f t="shared" si="2"/>
        <v>-7800</v>
      </c>
      <c r="N10" s="66">
        <f t="shared" si="3"/>
        <v>-8006.239999999998</v>
      </c>
      <c r="O10" s="67">
        <f t="shared" si="4"/>
        <v>0.7</v>
      </c>
      <c r="P10" s="67">
        <f t="shared" si="5"/>
        <v>0.69449108303976459</v>
      </c>
      <c r="Q10" s="66">
        <f t="shared" si="6"/>
        <v>37437.485714285714</v>
      </c>
      <c r="R10" s="66">
        <f t="shared" si="7"/>
        <v>11231.245714285717</v>
      </c>
      <c r="S10" s="66">
        <f t="shared" si="8"/>
        <v>-11437.485714285714</v>
      </c>
      <c r="T10" s="2" t="str">
        <f>IF(OR(N10&lt;0,P10&lt;Setup!$B$12,O10&lt;Setup!$B$12),"Red",IF(OR(P10&lt;Setup!$B$13,O10&lt;Setup!$B$13),"Amber","Green"))</f>
        <v>Red</v>
      </c>
    </row>
    <row r="11" spans="1:20" x14ac:dyDescent="0.35">
      <c r="A11" s="2" t="str">
        <f>Dim_WBS!A8</f>
        <v>WBS-07</v>
      </c>
      <c r="B11" s="2">
        <f>Dim_WBS!B8</f>
        <v>7</v>
      </c>
      <c r="C11" s="2" t="str">
        <f>Dim_WBS!C8</f>
        <v>HVAC Installation</v>
      </c>
      <c r="D11" s="2" t="str">
        <f>Dim_WBS!D8</f>
        <v>Subcontractor</v>
      </c>
      <c r="E11" s="63">
        <f>_xlfn.MINIFS(Fact_Baseline_PV!$A:$A,Fact_Baseline_PV!$B:$B,A11)</f>
        <v>46174</v>
      </c>
      <c r="F11" s="63">
        <f>_xlfn.MAXIFS(Fact_Baseline_PV!$A:$A,Fact_Baseline_PV!$B:$B,A11)+6</f>
        <v>46201</v>
      </c>
      <c r="G11" s="64">
        <f t="shared" si="0"/>
        <v>28</v>
      </c>
      <c r="H11" s="66">
        <f>Dim_WBS!E8</f>
        <v>36000</v>
      </c>
      <c r="I11" s="66">
        <f>SUMIFS(Fact_Baseline_PV!$C:$C,Fact_Baseline_PV!$B:$B,A11,Fact_Baseline_PV!$A:$A,"&lt;="&amp;Setup!$B$9)</f>
        <v>36000</v>
      </c>
      <c r="J11" s="66">
        <f>SUMIFS(Fact_Actual_Costs!$D:$D,Fact_Actual_Costs!$B:$B,A11,Fact_Actual_Costs!$A:$A,"&lt;="&amp;Setup!$B$9)</f>
        <v>17476.8</v>
      </c>
      <c r="K11" s="65" cm="1">
        <f t="array" ref="K11">IFERROR(LOOKUP(2,1/(Fact_Physical_Progress!$B$2:$B$35=A11)/(Fact_Physical_Progress!$A$2:$A$35&lt;=Setup!$B$9),Fact_Physical_Progress!$C$2:$C$35),0)</f>
        <v>0.4</v>
      </c>
      <c r="L11" s="66">
        <f t="shared" si="1"/>
        <v>14400</v>
      </c>
      <c r="M11" s="66">
        <f t="shared" si="2"/>
        <v>-21600</v>
      </c>
      <c r="N11" s="66">
        <f t="shared" si="3"/>
        <v>-3076.7999999999993</v>
      </c>
      <c r="O11" s="67">
        <f t="shared" si="4"/>
        <v>0.4</v>
      </c>
      <c r="P11" s="67">
        <f t="shared" si="5"/>
        <v>0.82394946443284811</v>
      </c>
      <c r="Q11" s="66">
        <f t="shared" si="6"/>
        <v>43692</v>
      </c>
      <c r="R11" s="66">
        <f t="shared" si="7"/>
        <v>26215.200000000001</v>
      </c>
      <c r="S11" s="66">
        <f t="shared" si="8"/>
        <v>-7692</v>
      </c>
      <c r="T11" s="2" t="str">
        <f>IF(OR(N11&lt;0,P11&lt;Setup!$B$12,O11&lt;Setup!$B$12),"Red",IF(OR(P11&lt;Setup!$B$13,O11&lt;Setup!$B$13),"Amber","Green"))</f>
        <v>Red</v>
      </c>
    </row>
    <row r="12" spans="1:20" x14ac:dyDescent="0.35">
      <c r="A12" s="2" t="str">
        <f>Dim_WBS!A9</f>
        <v>WBS-08</v>
      </c>
      <c r="B12" s="2">
        <f>Dim_WBS!B9</f>
        <v>8</v>
      </c>
      <c r="C12" s="2" t="str">
        <f>Dim_WBS!C9</f>
        <v>Partitions &amp; Drywall</v>
      </c>
      <c r="D12" s="2" t="str">
        <f>Dim_WBS!D9</f>
        <v>Subcontractor</v>
      </c>
      <c r="E12" s="63">
        <f>_xlfn.MINIFS(Fact_Baseline_PV!$A:$A,Fact_Baseline_PV!$B:$B,A12)</f>
        <v>46181</v>
      </c>
      <c r="F12" s="63">
        <f>_xlfn.MAXIFS(Fact_Baseline_PV!$A:$A,Fact_Baseline_PV!$B:$B,A12)+6</f>
        <v>46208</v>
      </c>
      <c r="G12" s="64">
        <f t="shared" si="0"/>
        <v>28</v>
      </c>
      <c r="H12" s="66">
        <f>Dim_WBS!E9</f>
        <v>28000</v>
      </c>
      <c r="I12" s="66">
        <f>SUMIFS(Fact_Baseline_PV!$C:$C,Fact_Baseline_PV!$B:$B,A12,Fact_Baseline_PV!$A:$A,"&lt;="&amp;Setup!$B$9)</f>
        <v>28000</v>
      </c>
      <c r="J12" s="66">
        <f>SUMIFS(Fact_Actual_Costs!$D:$D,Fact_Actual_Costs!$B:$B,A12,Fact_Actual_Costs!$A:$A,"&lt;="&amp;Setup!$B$9)</f>
        <v>7099.2</v>
      </c>
      <c r="K12" s="65" cm="1">
        <f t="array" ref="K12">IFERROR(LOOKUP(2,1/(Fact_Physical_Progress!$B$2:$B$35=A12)/(Fact_Physical_Progress!$A$2:$A$35&lt;=Setup!$B$9),Fact_Physical_Progress!$C$2:$C$35),0)</f>
        <v>0.24885699999999999</v>
      </c>
      <c r="L12" s="66">
        <f t="shared" si="1"/>
        <v>6967.9960000000001</v>
      </c>
      <c r="M12" s="66">
        <f t="shared" si="2"/>
        <v>-21032.004000000001</v>
      </c>
      <c r="N12" s="66">
        <f t="shared" si="3"/>
        <v>-131.20399999999972</v>
      </c>
      <c r="O12" s="67">
        <f t="shared" si="4"/>
        <v>0.24885699999999999</v>
      </c>
      <c r="P12" s="67">
        <f t="shared" si="5"/>
        <v>0.98151848095560068</v>
      </c>
      <c r="Q12" s="66">
        <f t="shared" si="6"/>
        <v>28527.226479464109</v>
      </c>
      <c r="R12" s="66">
        <f t="shared" si="7"/>
        <v>21428.026479464108</v>
      </c>
      <c r="S12" s="66">
        <f t="shared" si="8"/>
        <v>-527.22647946410871</v>
      </c>
      <c r="T12" s="2" t="str">
        <f>IF(OR(N12&lt;0,P12&lt;Setup!$B$12,O12&lt;Setup!$B$12),"Red",IF(OR(P12&lt;Setup!$B$13,O12&lt;Setup!$B$13),"Amber","Green"))</f>
        <v>Red</v>
      </c>
    </row>
    <row r="13" spans="1:20" x14ac:dyDescent="0.35">
      <c r="A13" s="2" t="str">
        <f>Dim_WBS!A10</f>
        <v>WBS-09</v>
      </c>
      <c r="B13" s="2">
        <f>Dim_WBS!B10</f>
        <v>9</v>
      </c>
      <c r="C13" s="2" t="str">
        <f>Dim_WBS!C10</f>
        <v>Flooring</v>
      </c>
      <c r="D13" s="2" t="str">
        <f>Dim_WBS!D10</f>
        <v>Material</v>
      </c>
      <c r="E13" s="63">
        <f>_xlfn.MINIFS(Fact_Baseline_PV!$A:$A,Fact_Baseline_PV!$B:$B,A13)</f>
        <v>46195</v>
      </c>
      <c r="F13" s="63">
        <f>_xlfn.MAXIFS(Fact_Baseline_PV!$A:$A,Fact_Baseline_PV!$B:$B,A13)+6</f>
        <v>46215</v>
      </c>
      <c r="G13" s="64">
        <f t="shared" si="0"/>
        <v>21</v>
      </c>
      <c r="H13" s="66">
        <f>Dim_WBS!E10</f>
        <v>35750</v>
      </c>
      <c r="I13" s="66">
        <f>SUMIFS(Fact_Baseline_PV!$C:$C,Fact_Baseline_PV!$B:$B,A13,Fact_Baseline_PV!$A:$A,"&lt;="&amp;Setup!$B$9)</f>
        <v>23833.34</v>
      </c>
      <c r="J13" s="66">
        <f>SUMIFS(Fact_Actual_Costs!$D:$D,Fact_Actual_Costs!$B:$B,A13,Fact_Actual_Costs!$A:$A,"&lt;="&amp;Setup!$B$9)</f>
        <v>0</v>
      </c>
      <c r="K13" s="65" cm="1">
        <f t="array" ref="K13">IFERROR(LOOKUP(2,1/(Fact_Physical_Progress!$B$2:$B$35=A13)/(Fact_Physical_Progress!$A$2:$A$35&lt;=Setup!$B$9),Fact_Physical_Progress!$C$2:$C$35),0)</f>
        <v>0</v>
      </c>
      <c r="L13" s="66">
        <f t="shared" si="1"/>
        <v>0</v>
      </c>
      <c r="M13" s="66">
        <f t="shared" si="2"/>
        <v>-23833.34</v>
      </c>
      <c r="N13" s="66">
        <f t="shared" si="3"/>
        <v>0</v>
      </c>
      <c r="O13" s="67">
        <f t="shared" si="4"/>
        <v>0</v>
      </c>
      <c r="P13" s="67">
        <f t="shared" si="5"/>
        <v>1</v>
      </c>
      <c r="Q13" s="66">
        <f t="shared" si="6"/>
        <v>35750</v>
      </c>
      <c r="R13" s="66">
        <f t="shared" si="7"/>
        <v>35750</v>
      </c>
      <c r="S13" s="66">
        <f t="shared" si="8"/>
        <v>0</v>
      </c>
      <c r="T13" s="2" t="str">
        <f>IF(OR(N13&lt;0,P13&lt;Setup!$B$12,O13&lt;Setup!$B$12),"Red",IF(OR(P13&lt;Setup!$B$13,O13&lt;Setup!$B$13),"Amber","Green"))</f>
        <v>Red</v>
      </c>
    </row>
    <row r="14" spans="1:20" x14ac:dyDescent="0.35">
      <c r="A14" s="2" t="str">
        <f>Dim_WBS!A11</f>
        <v>WBS-10</v>
      </c>
      <c r="B14" s="2">
        <f>Dim_WBS!B11</f>
        <v>10</v>
      </c>
      <c r="C14" s="2" t="str">
        <f>Dim_WBS!C11</f>
        <v>Fixtures &amp; Furniture</v>
      </c>
      <c r="D14" s="2" t="str">
        <f>Dim_WBS!D11</f>
        <v>Material</v>
      </c>
      <c r="E14" s="63">
        <f>_xlfn.MINIFS(Fact_Baseline_PV!$A:$A,Fact_Baseline_PV!$B:$B,A14)</f>
        <v>46202</v>
      </c>
      <c r="F14" s="63">
        <f>_xlfn.MAXIFS(Fact_Baseline_PV!$A:$A,Fact_Baseline_PV!$B:$B,A14)+6</f>
        <v>46222</v>
      </c>
      <c r="G14" s="64">
        <f t="shared" si="0"/>
        <v>21</v>
      </c>
      <c r="H14" s="66">
        <f>Dim_WBS!E11</f>
        <v>30000</v>
      </c>
      <c r="I14" s="66">
        <f>SUMIFS(Fact_Baseline_PV!$C:$C,Fact_Baseline_PV!$B:$B,A14,Fact_Baseline_PV!$A:$A,"&lt;="&amp;Setup!$B$9)</f>
        <v>10000</v>
      </c>
      <c r="J14" s="66">
        <f>SUMIFS(Fact_Actual_Costs!$D:$D,Fact_Actual_Costs!$B:$B,A14,Fact_Actual_Costs!$A:$A,"&lt;="&amp;Setup!$B$9)</f>
        <v>0</v>
      </c>
      <c r="K14" s="65" cm="1">
        <f t="array" ref="K14">IFERROR(LOOKUP(2,1/(Fact_Physical_Progress!$B$2:$B$35=A14)/(Fact_Physical_Progress!$A$2:$A$35&lt;=Setup!$B$9),Fact_Physical_Progress!$C$2:$C$35),0)</f>
        <v>0</v>
      </c>
      <c r="L14" s="66">
        <f t="shared" si="1"/>
        <v>0</v>
      </c>
      <c r="M14" s="66">
        <f t="shared" si="2"/>
        <v>-10000</v>
      </c>
      <c r="N14" s="66">
        <f t="shared" si="3"/>
        <v>0</v>
      </c>
      <c r="O14" s="67">
        <f t="shared" si="4"/>
        <v>0</v>
      </c>
      <c r="P14" s="67">
        <f t="shared" si="5"/>
        <v>1</v>
      </c>
      <c r="Q14" s="66">
        <f t="shared" si="6"/>
        <v>30000</v>
      </c>
      <c r="R14" s="66">
        <f t="shared" si="7"/>
        <v>30000</v>
      </c>
      <c r="S14" s="66">
        <f t="shared" si="8"/>
        <v>0</v>
      </c>
      <c r="T14" s="2" t="str">
        <f>IF(OR(N14&lt;0,P14&lt;Setup!$B$12,O14&lt;Setup!$B$12),"Red",IF(OR(P14&lt;Setup!$B$13,O14&lt;Setup!$B$13),"Amber","Green"))</f>
        <v>Red</v>
      </c>
    </row>
    <row r="15" spans="1:20" x14ac:dyDescent="0.35">
      <c r="A15" s="2" t="str">
        <f>Dim_WBS!A12</f>
        <v>WBS-11</v>
      </c>
      <c r="B15" s="2">
        <f>Dim_WBS!B12</f>
        <v>11</v>
      </c>
      <c r="C15" s="2" t="str">
        <f>Dim_WBS!C12</f>
        <v>Testing / Commissioning</v>
      </c>
      <c r="D15" s="2" t="str">
        <f>Dim_WBS!D12</f>
        <v>Labor</v>
      </c>
      <c r="E15" s="63">
        <f>_xlfn.MINIFS(Fact_Baseline_PV!$A:$A,Fact_Baseline_PV!$B:$B,A15)</f>
        <v>46216</v>
      </c>
      <c r="F15" s="63">
        <f>_xlfn.MAXIFS(Fact_Baseline_PV!$A:$A,Fact_Baseline_PV!$B:$B,A15)+6</f>
        <v>46229</v>
      </c>
      <c r="G15" s="64">
        <f t="shared" si="0"/>
        <v>14</v>
      </c>
      <c r="H15" s="66">
        <f>Dim_WBS!E12</f>
        <v>8400</v>
      </c>
      <c r="I15" s="66">
        <f>SUMIFS(Fact_Baseline_PV!$C:$C,Fact_Baseline_PV!$B:$B,A15,Fact_Baseline_PV!$A:$A,"&lt;="&amp;Setup!$B$9)</f>
        <v>0</v>
      </c>
      <c r="J15" s="66">
        <f>SUMIFS(Fact_Actual_Costs!$D:$D,Fact_Actual_Costs!$B:$B,A15,Fact_Actual_Costs!$A:$A,"&lt;="&amp;Setup!$B$9)</f>
        <v>0</v>
      </c>
      <c r="K15" s="65" cm="1">
        <f t="array" ref="K15">IFERROR(LOOKUP(2,1/(Fact_Physical_Progress!$B$2:$B$35=A15)/(Fact_Physical_Progress!$A$2:$A$35&lt;=Setup!$B$9),Fact_Physical_Progress!$C$2:$C$35),0)</f>
        <v>0</v>
      </c>
      <c r="L15" s="66">
        <f t="shared" si="1"/>
        <v>0</v>
      </c>
      <c r="M15" s="66">
        <f t="shared" si="2"/>
        <v>0</v>
      </c>
      <c r="N15" s="66">
        <f t="shared" si="3"/>
        <v>0</v>
      </c>
      <c r="O15" s="67">
        <f t="shared" si="4"/>
        <v>1</v>
      </c>
      <c r="P15" s="67">
        <f t="shared" si="5"/>
        <v>1</v>
      </c>
      <c r="Q15" s="66">
        <f t="shared" si="6"/>
        <v>8400</v>
      </c>
      <c r="R15" s="66">
        <f t="shared" si="7"/>
        <v>8400</v>
      </c>
      <c r="S15" s="66">
        <f t="shared" si="8"/>
        <v>0</v>
      </c>
      <c r="T15" s="2" t="str">
        <f>IF(OR(N15&lt;0,P15&lt;Setup!$B$12,O15&lt;Setup!$B$12),"Red",IF(OR(P15&lt;Setup!$B$13,O15&lt;Setup!$B$13),"Amber","Green"))</f>
        <v>Green</v>
      </c>
    </row>
    <row r="16" spans="1:20" x14ac:dyDescent="0.35">
      <c r="A16" s="2" t="str">
        <f>Dim_WBS!A13</f>
        <v>WBS-12</v>
      </c>
      <c r="B16" s="2">
        <f>Dim_WBS!B13</f>
        <v>12</v>
      </c>
      <c r="C16" s="2" t="str">
        <f>Dim_WBS!C13</f>
        <v>Handover &amp; Closeout</v>
      </c>
      <c r="D16" s="2" t="str">
        <f>Dim_WBS!D13</f>
        <v>Labor</v>
      </c>
      <c r="E16" s="63">
        <f>_xlfn.MINIFS(Fact_Baseline_PV!$A:$A,Fact_Baseline_PV!$B:$B,A16)</f>
        <v>46223</v>
      </c>
      <c r="F16" s="63">
        <f>_xlfn.MAXIFS(Fact_Baseline_PV!$A:$A,Fact_Baseline_PV!$B:$B,A16)+6</f>
        <v>46229</v>
      </c>
      <c r="G16" s="64">
        <f t="shared" si="0"/>
        <v>7</v>
      </c>
      <c r="H16" s="66">
        <f>Dim_WBS!E13</f>
        <v>3600</v>
      </c>
      <c r="I16" s="66">
        <f>SUMIFS(Fact_Baseline_PV!$C:$C,Fact_Baseline_PV!$B:$B,A16,Fact_Baseline_PV!$A:$A,"&lt;="&amp;Setup!$B$9)</f>
        <v>0</v>
      </c>
      <c r="J16" s="66">
        <f>SUMIFS(Fact_Actual_Costs!$D:$D,Fact_Actual_Costs!$B:$B,A16,Fact_Actual_Costs!$A:$A,"&lt;="&amp;Setup!$B$9)</f>
        <v>0</v>
      </c>
      <c r="K16" s="65" cm="1">
        <f t="array" ref="K16">IFERROR(LOOKUP(2,1/(Fact_Physical_Progress!$B$2:$B$35=A16)/(Fact_Physical_Progress!$A$2:$A$35&lt;=Setup!$B$9),Fact_Physical_Progress!$C$2:$C$35),0)</f>
        <v>0</v>
      </c>
      <c r="L16" s="66">
        <f t="shared" si="1"/>
        <v>0</v>
      </c>
      <c r="M16" s="66">
        <f t="shared" si="2"/>
        <v>0</v>
      </c>
      <c r="N16" s="66">
        <f t="shared" si="3"/>
        <v>0</v>
      </c>
      <c r="O16" s="67">
        <f t="shared" si="4"/>
        <v>1</v>
      </c>
      <c r="P16" s="67">
        <f t="shared" si="5"/>
        <v>1</v>
      </c>
      <c r="Q16" s="66">
        <f t="shared" si="6"/>
        <v>3600</v>
      </c>
      <c r="R16" s="66">
        <f t="shared" si="7"/>
        <v>3600</v>
      </c>
      <c r="S16" s="66">
        <f t="shared" si="8"/>
        <v>0</v>
      </c>
      <c r="T16" s="2" t="str">
        <f>IF(OR(N16&lt;0,P16&lt;Setup!$B$12,O16&lt;Setup!$B$12),"Red",IF(OR(P16&lt;Setup!$B$13,O16&lt;Setup!$B$13),"Amber","Green"))</f>
        <v>Green</v>
      </c>
    </row>
    <row r="17" spans="1:20" x14ac:dyDescent="0.35">
      <c r="A17" s="73" t="s">
        <v>62</v>
      </c>
      <c r="B17" s="73"/>
      <c r="C17" s="73"/>
      <c r="D17" s="73"/>
      <c r="E17" s="74"/>
      <c r="F17" s="74"/>
      <c r="G17" s="75">
        <f>MAX(F5:F16)-MIN(E5:E16)+1</f>
        <v>84</v>
      </c>
      <c r="H17" s="76">
        <f>SUM(H5:H16)</f>
        <v>268650</v>
      </c>
      <c r="I17" s="76">
        <f>SUM(I5:I16)</f>
        <v>220233.34</v>
      </c>
      <c r="J17" s="76">
        <f>SUM(J5:J16)</f>
        <v>141985.44</v>
      </c>
      <c r="K17" s="77">
        <f>SUMPRODUCT(H5:H16,K5:K16)/SUM(H5:H16)</f>
        <v>0.48936533035548119</v>
      </c>
      <c r="L17" s="76">
        <f>SUM(L5:L16)</f>
        <v>131467.99600000001</v>
      </c>
      <c r="M17" s="76">
        <f>SUM(M5:M16)</f>
        <v>-88765.343999999997</v>
      </c>
      <c r="N17" s="76">
        <f>SUM(N5:N16)</f>
        <v>-10517.443999999996</v>
      </c>
      <c r="O17" s="78">
        <f t="shared" si="4"/>
        <v>0.59694865454976076</v>
      </c>
      <c r="P17" s="78">
        <f t="shared" si="5"/>
        <v>0.92592589775402334</v>
      </c>
      <c r="Q17" s="76">
        <f t="shared" si="6"/>
        <v>290142.00882776058</v>
      </c>
      <c r="R17" s="76">
        <f t="shared" si="7"/>
        <v>148156.56882776058</v>
      </c>
      <c r="S17" s="76">
        <f t="shared" si="8"/>
        <v>-21492.008827760583</v>
      </c>
      <c r="T17" s="73" t="str">
        <f>IF(OR(N17&lt;0,P17&lt;Setup!$B$12,O17&lt;Setup!$B$12),"Red",IF(OR(P17&lt;Setup!$B$13,O17&lt;Setup!$B$13),"Amber","Green"))</f>
        <v>Red</v>
      </c>
    </row>
  </sheetData>
  <mergeCells count="2">
    <mergeCell ref="A1:P1"/>
    <mergeCell ref="A2:P2"/>
  </mergeCells>
  <conditionalFormatting sqref="M5:N17">
    <cfRule type="cellIs" dxfId="77" priority="7" operator="lessThan">
      <formula>0</formula>
    </cfRule>
    <cfRule type="cellIs" dxfId="76" priority="8" operator="greaterThanOrEqual">
      <formula>0</formula>
    </cfRule>
  </conditionalFormatting>
  <conditionalFormatting sqref="O5:P17">
    <cfRule type="cellIs" dxfId="75" priority="4" operator="lessThan">
      <formula>0.95</formula>
    </cfRule>
    <cfRule type="cellIs" dxfId="74" priority="5" operator="between">
      <formula>0.95</formula>
      <formula>0.999999</formula>
    </cfRule>
    <cfRule type="cellIs" dxfId="73" priority="6" operator="greaterThanOrEqual">
      <formula>1</formula>
    </cfRule>
  </conditionalFormatting>
  <conditionalFormatting sqref="T5:T17">
    <cfRule type="containsText" dxfId="72" priority="1" operator="containsText" text="Green">
      <formula>NOT(ISERROR(SEARCH("Green",T5)))</formula>
    </cfRule>
    <cfRule type="containsText" dxfId="71" priority="2" operator="containsText" text="Amber">
      <formula>NOT(ISERROR(SEARCH("Amber",T5)))</formula>
    </cfRule>
    <cfRule type="containsText" dxfId="70" priority="3" operator="containsText" text="Red">
      <formula>NOT(ISERROR(SEARCH("Red",T5)))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2D4D-6ED2-486E-9CB0-1D4D44F7ECDE}">
  <sheetPr>
    <tabColor rgb="FF70AD47"/>
  </sheetPr>
  <dimension ref="A1:J21"/>
  <sheetViews>
    <sheetView showGridLines="0" workbookViewId="0">
      <selection activeCell="L7" sqref="L7"/>
    </sheetView>
  </sheetViews>
  <sheetFormatPr defaultRowHeight="14.5" x14ac:dyDescent="0.35"/>
  <cols>
    <col min="1" max="1" width="21.81640625" customWidth="1"/>
    <col min="2" max="2" width="34.54296875" customWidth="1"/>
    <col min="3" max="4" width="13.6328125" customWidth="1"/>
    <col min="5" max="7" width="15.453125" customWidth="1"/>
    <col min="8" max="9" width="38.1796875" customWidth="1"/>
    <col min="10" max="10" width="16.36328125" customWidth="1"/>
  </cols>
  <sheetData>
    <row r="1" spans="1:10" ht="23.5" x14ac:dyDescent="0.55000000000000004">
      <c r="A1" s="122" t="s">
        <v>513</v>
      </c>
      <c r="B1" s="122"/>
      <c r="C1" s="122"/>
      <c r="D1" s="122"/>
      <c r="E1" s="122"/>
      <c r="F1" s="122"/>
      <c r="G1" s="122"/>
      <c r="H1" s="122"/>
      <c r="I1" s="122"/>
      <c r="J1" s="122"/>
    </row>
    <row r="2" spans="1:10" x14ac:dyDescent="0.35">
      <c r="A2" s="123" t="s">
        <v>514</v>
      </c>
      <c r="B2" s="123"/>
      <c r="C2" s="123"/>
      <c r="D2" s="123"/>
      <c r="E2" s="123"/>
      <c r="F2" s="123"/>
      <c r="G2" s="123"/>
      <c r="H2" s="123"/>
      <c r="I2" s="123"/>
      <c r="J2" s="123"/>
    </row>
    <row r="4" spans="1:10" x14ac:dyDescent="0.35">
      <c r="A4" s="62" t="s">
        <v>515</v>
      </c>
      <c r="B4" s="62" t="s">
        <v>516</v>
      </c>
      <c r="C4" s="62" t="s">
        <v>19</v>
      </c>
      <c r="D4" s="62" t="s">
        <v>21</v>
      </c>
      <c r="E4" s="62" t="s">
        <v>517</v>
      </c>
      <c r="F4" s="62" t="s">
        <v>518</v>
      </c>
      <c r="G4" s="62" t="s">
        <v>396</v>
      </c>
      <c r="H4" s="62" t="s">
        <v>519</v>
      </c>
      <c r="I4" s="62" t="s">
        <v>520</v>
      </c>
      <c r="J4" s="62" t="s">
        <v>521</v>
      </c>
    </row>
    <row r="5" spans="1:10" x14ac:dyDescent="0.35">
      <c r="A5" s="2" t="str">
        <f>Dim_WBS!D2</f>
        <v>Labor</v>
      </c>
      <c r="B5" s="2" t="str">
        <f>Dim_WBS!C2</f>
        <v>Project Management</v>
      </c>
      <c r="C5" s="2" t="str">
        <f>Dim_WBS!A2</f>
        <v>WBS-01</v>
      </c>
      <c r="D5" s="2" t="str">
        <f>Dim_WBS!D2</f>
        <v>Labor</v>
      </c>
      <c r="E5" s="4" t="s">
        <v>522</v>
      </c>
      <c r="F5" s="2"/>
      <c r="G5" s="2"/>
      <c r="H5" s="71"/>
      <c r="I5" s="71" t="s">
        <v>523</v>
      </c>
      <c r="J5" s="2">
        <f>IFERROR(MATCH(C5,'Task Plan'!A:A,0),"")</f>
        <v>5</v>
      </c>
    </row>
    <row r="6" spans="1:10" x14ac:dyDescent="0.35">
      <c r="A6" s="2" t="str">
        <f>Dim_WBS!D3</f>
        <v>Labor</v>
      </c>
      <c r="B6" s="2" t="str">
        <f>Dim_WBS!C3</f>
        <v>Site Survey &amp; Mobilization</v>
      </c>
      <c r="C6" s="2" t="str">
        <f>Dim_WBS!A3</f>
        <v>WBS-02</v>
      </c>
      <c r="D6" s="2" t="str">
        <f>Dim_WBS!D3</f>
        <v>Labor</v>
      </c>
      <c r="E6" s="4" t="s">
        <v>522</v>
      </c>
      <c r="F6" s="2"/>
      <c r="G6" s="2"/>
      <c r="H6" s="71"/>
      <c r="I6" s="71" t="s">
        <v>523</v>
      </c>
      <c r="J6" s="2">
        <f>IFERROR(MATCH(C6,'Task Plan'!A:A,0),"")</f>
        <v>6</v>
      </c>
    </row>
    <row r="7" spans="1:10" x14ac:dyDescent="0.35">
      <c r="A7" s="2" t="str">
        <f>Dim_WBS!D4</f>
        <v>Labor</v>
      </c>
      <c r="B7" s="2" t="str">
        <f>Dim_WBS!C4</f>
        <v>Design &amp; Engineering</v>
      </c>
      <c r="C7" s="2" t="str">
        <f>Dim_WBS!A4</f>
        <v>WBS-03</v>
      </c>
      <c r="D7" s="2" t="str">
        <f>Dim_WBS!D4</f>
        <v>Labor</v>
      </c>
      <c r="E7" s="4" t="s">
        <v>522</v>
      </c>
      <c r="F7" s="2"/>
      <c r="G7" s="2"/>
      <c r="H7" s="71"/>
      <c r="I7" s="71" t="s">
        <v>523</v>
      </c>
      <c r="J7" s="2">
        <f>IFERROR(MATCH(C7,'Task Plan'!A:A,0),"")</f>
        <v>7</v>
      </c>
    </row>
    <row r="8" spans="1:10" x14ac:dyDescent="0.35">
      <c r="A8" s="2" t="str">
        <f>Dim_WBS!D5</f>
        <v>Material</v>
      </c>
      <c r="B8" s="2" t="str">
        <f>Dim_WBS!C5</f>
        <v>Procurement - Materials</v>
      </c>
      <c r="C8" s="2" t="str">
        <f>Dim_WBS!A5</f>
        <v>WBS-04</v>
      </c>
      <c r="D8" s="2" t="str">
        <f>Dim_WBS!D5</f>
        <v>Material</v>
      </c>
      <c r="E8" s="4" t="s">
        <v>522</v>
      </c>
      <c r="F8" s="2"/>
      <c r="G8" s="2"/>
      <c r="H8" s="71"/>
      <c r="I8" s="71" t="s">
        <v>523</v>
      </c>
      <c r="J8" s="2">
        <f>IFERROR(MATCH(C8,'Task Plan'!A:A,0),"")</f>
        <v>8</v>
      </c>
    </row>
    <row r="9" spans="1:10" x14ac:dyDescent="0.35">
      <c r="A9" s="2" t="str">
        <f>Dim_WBS!D6</f>
        <v>Labor</v>
      </c>
      <c r="B9" s="2" t="str">
        <f>Dim_WBS!C6</f>
        <v>Demolition &amp; Prep</v>
      </c>
      <c r="C9" s="2" t="str">
        <f>Dim_WBS!A6</f>
        <v>WBS-05</v>
      </c>
      <c r="D9" s="2" t="str">
        <f>Dim_WBS!D6</f>
        <v>Labor</v>
      </c>
      <c r="E9" s="4" t="s">
        <v>522</v>
      </c>
      <c r="F9" s="2"/>
      <c r="G9" s="2"/>
      <c r="H9" s="71"/>
      <c r="I9" s="71" t="s">
        <v>523</v>
      </c>
      <c r="J9" s="2">
        <f>IFERROR(MATCH(C9,'Task Plan'!A:A,0),"")</f>
        <v>9</v>
      </c>
    </row>
    <row r="10" spans="1:10" x14ac:dyDescent="0.35">
      <c r="A10" s="2" t="str">
        <f>Dim_WBS!D7</f>
        <v>Labor</v>
      </c>
      <c r="B10" s="2" t="str">
        <f>Dim_WBS!C7</f>
        <v>Electrical Rough-In</v>
      </c>
      <c r="C10" s="2" t="str">
        <f>Dim_WBS!A7</f>
        <v>WBS-06</v>
      </c>
      <c r="D10" s="2" t="str">
        <f>Dim_WBS!D7</f>
        <v>Labor</v>
      </c>
      <c r="E10" s="4" t="s">
        <v>522</v>
      </c>
      <c r="F10" s="2"/>
      <c r="G10" s="2"/>
      <c r="H10" s="71"/>
      <c r="I10" s="71" t="s">
        <v>523</v>
      </c>
      <c r="J10" s="2">
        <f>IFERROR(MATCH(C10,'Task Plan'!A:A,0),"")</f>
        <v>10</v>
      </c>
    </row>
    <row r="11" spans="1:10" x14ac:dyDescent="0.35">
      <c r="A11" s="2" t="str">
        <f>Dim_WBS!D8</f>
        <v>Subcontractor</v>
      </c>
      <c r="B11" s="2" t="str">
        <f>Dim_WBS!C8</f>
        <v>HVAC Installation</v>
      </c>
      <c r="C11" s="2" t="str">
        <f>Dim_WBS!A8</f>
        <v>WBS-07</v>
      </c>
      <c r="D11" s="2" t="str">
        <f>Dim_WBS!D8</f>
        <v>Subcontractor</v>
      </c>
      <c r="E11" s="4" t="s">
        <v>522</v>
      </c>
      <c r="F11" s="2"/>
      <c r="G11" s="2"/>
      <c r="H11" s="71"/>
      <c r="I11" s="71" t="s">
        <v>523</v>
      </c>
      <c r="J11" s="2">
        <f>IFERROR(MATCH(C11,'Task Plan'!A:A,0),"")</f>
        <v>11</v>
      </c>
    </row>
    <row r="12" spans="1:10" x14ac:dyDescent="0.35">
      <c r="A12" s="2" t="str">
        <f>Dim_WBS!D9</f>
        <v>Subcontractor</v>
      </c>
      <c r="B12" s="2" t="str">
        <f>Dim_WBS!C9</f>
        <v>Partitions &amp; Drywall</v>
      </c>
      <c r="C12" s="2" t="str">
        <f>Dim_WBS!A9</f>
        <v>WBS-08</v>
      </c>
      <c r="D12" s="2" t="str">
        <f>Dim_WBS!D9</f>
        <v>Subcontractor</v>
      </c>
      <c r="E12" s="4" t="s">
        <v>522</v>
      </c>
      <c r="F12" s="2"/>
      <c r="G12" s="2"/>
      <c r="H12" s="71"/>
      <c r="I12" s="71" t="s">
        <v>523</v>
      </c>
      <c r="J12" s="2">
        <f>IFERROR(MATCH(C12,'Task Plan'!A:A,0),"")</f>
        <v>12</v>
      </c>
    </row>
    <row r="13" spans="1:10" x14ac:dyDescent="0.35">
      <c r="A13" s="2" t="str">
        <f>Dim_WBS!D10</f>
        <v>Material</v>
      </c>
      <c r="B13" s="2" t="str">
        <f>Dim_WBS!C10</f>
        <v>Flooring</v>
      </c>
      <c r="C13" s="2" t="str">
        <f>Dim_WBS!A10</f>
        <v>WBS-09</v>
      </c>
      <c r="D13" s="2" t="str">
        <f>Dim_WBS!D10</f>
        <v>Material</v>
      </c>
      <c r="E13" s="4" t="s">
        <v>522</v>
      </c>
      <c r="F13" s="2"/>
      <c r="G13" s="2"/>
      <c r="H13" s="71"/>
      <c r="I13" s="71" t="s">
        <v>523</v>
      </c>
      <c r="J13" s="2">
        <f>IFERROR(MATCH(C13,'Task Plan'!A:A,0),"")</f>
        <v>13</v>
      </c>
    </row>
    <row r="14" spans="1:10" x14ac:dyDescent="0.35">
      <c r="A14" s="2" t="str">
        <f>Dim_WBS!D11</f>
        <v>Material</v>
      </c>
      <c r="B14" s="2" t="str">
        <f>Dim_WBS!C11</f>
        <v>Fixtures &amp; Furniture</v>
      </c>
      <c r="C14" s="2" t="str">
        <f>Dim_WBS!A11</f>
        <v>WBS-10</v>
      </c>
      <c r="D14" s="2" t="str">
        <f>Dim_WBS!D11</f>
        <v>Material</v>
      </c>
      <c r="E14" s="4" t="s">
        <v>522</v>
      </c>
      <c r="F14" s="2"/>
      <c r="G14" s="2"/>
      <c r="H14" s="71"/>
      <c r="I14" s="71" t="s">
        <v>523</v>
      </c>
      <c r="J14" s="2">
        <f>IFERROR(MATCH(C14,'Task Plan'!A:A,0),"")</f>
        <v>14</v>
      </c>
    </row>
    <row r="15" spans="1:10" x14ac:dyDescent="0.35">
      <c r="A15" s="2" t="str">
        <f>Dim_WBS!D12</f>
        <v>Labor</v>
      </c>
      <c r="B15" s="2" t="str">
        <f>Dim_WBS!C12</f>
        <v>Testing / Commissioning</v>
      </c>
      <c r="C15" s="2" t="str">
        <f>Dim_WBS!A12</f>
        <v>WBS-11</v>
      </c>
      <c r="D15" s="2" t="str">
        <f>Dim_WBS!D12</f>
        <v>Labor</v>
      </c>
      <c r="E15" s="4" t="s">
        <v>522</v>
      </c>
      <c r="F15" s="2"/>
      <c r="G15" s="2"/>
      <c r="H15" s="71"/>
      <c r="I15" s="71" t="s">
        <v>523</v>
      </c>
      <c r="J15" s="2">
        <f>IFERROR(MATCH(C15,'Task Plan'!A:A,0),"")</f>
        <v>15</v>
      </c>
    </row>
    <row r="16" spans="1:10" x14ac:dyDescent="0.35">
      <c r="A16" s="2" t="str">
        <f>Dim_WBS!D13</f>
        <v>Labor</v>
      </c>
      <c r="B16" s="2" t="str">
        <f>Dim_WBS!C13</f>
        <v>Handover &amp; Closeout</v>
      </c>
      <c r="C16" s="2" t="str">
        <f>Dim_WBS!A13</f>
        <v>WBS-12</v>
      </c>
      <c r="D16" s="2" t="str">
        <f>Dim_WBS!D13</f>
        <v>Labor</v>
      </c>
      <c r="E16" s="4" t="s">
        <v>522</v>
      </c>
      <c r="F16" s="2"/>
      <c r="G16" s="2"/>
      <c r="H16" s="71"/>
      <c r="I16" s="71" t="s">
        <v>523</v>
      </c>
      <c r="J16" s="2">
        <f>IFERROR(MATCH(C16,'Task Plan'!A:A,0),"")</f>
        <v>16</v>
      </c>
    </row>
    <row r="17" spans="1:10" x14ac:dyDescent="0.35">
      <c r="A17" s="5" t="s">
        <v>524</v>
      </c>
      <c r="B17" s="5"/>
      <c r="C17" s="5"/>
      <c r="D17" s="5"/>
      <c r="E17" s="5"/>
      <c r="F17" s="5"/>
      <c r="G17" s="5"/>
      <c r="H17" s="91"/>
      <c r="I17" s="91" t="s">
        <v>525</v>
      </c>
      <c r="J17" s="5"/>
    </row>
    <row r="18" spans="1:10" x14ac:dyDescent="0.35">
      <c r="A18" s="5" t="s">
        <v>524</v>
      </c>
      <c r="B18" s="5"/>
      <c r="C18" s="5"/>
      <c r="D18" s="5"/>
      <c r="E18" s="5"/>
      <c r="F18" s="5"/>
      <c r="G18" s="5"/>
      <c r="H18" s="91"/>
      <c r="I18" s="91" t="s">
        <v>525</v>
      </c>
      <c r="J18" s="5"/>
    </row>
    <row r="21" spans="1:10" ht="72.5" x14ac:dyDescent="0.35">
      <c r="A21" s="2" t="s">
        <v>526</v>
      </c>
      <c r="B21" s="71" t="s">
        <v>527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A1:P47"/>
  <sheetViews>
    <sheetView showGridLines="0" zoomScaleNormal="100" workbookViewId="0"/>
  </sheetViews>
  <sheetFormatPr defaultRowHeight="14.5" x14ac:dyDescent="0.35"/>
  <cols>
    <col min="1" max="1" width="39.6328125" customWidth="1"/>
    <col min="2" max="2" width="21.26953125" bestFit="1" customWidth="1"/>
    <col min="3" max="3" width="12" bestFit="1" customWidth="1"/>
    <col min="4" max="4" width="26.26953125" bestFit="1" customWidth="1"/>
    <col min="5" max="5" width="16.7265625" bestFit="1" customWidth="1"/>
    <col min="6" max="6" width="14.453125" bestFit="1" customWidth="1"/>
    <col min="7" max="7" width="28.90625" bestFit="1" customWidth="1"/>
    <col min="8" max="8" width="18.36328125" bestFit="1" customWidth="1"/>
    <col min="9" max="9" width="9.90625" bestFit="1" customWidth="1"/>
    <col min="10" max="10" width="20" bestFit="1" customWidth="1"/>
    <col min="11" max="12" width="4.36328125" bestFit="1" customWidth="1"/>
    <col min="13" max="13" width="9.90625" bestFit="1" customWidth="1"/>
    <col min="14" max="14" width="10.7265625" bestFit="1" customWidth="1"/>
    <col min="15" max="15" width="9.54296875" bestFit="1" customWidth="1"/>
    <col min="16" max="16" width="33.26953125" bestFit="1" customWidth="1"/>
  </cols>
  <sheetData>
    <row r="1" spans="1:16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x14ac:dyDescent="0.35">
      <c r="A2" s="31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x14ac:dyDescent="0.3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55"/>
      <c r="O3" s="55"/>
      <c r="P3" s="55"/>
    </row>
    <row r="4" spans="1:16" x14ac:dyDescent="0.35">
      <c r="A4" s="32" t="s">
        <v>2</v>
      </c>
      <c r="B4" s="33">
        <v>46203</v>
      </c>
      <c r="C4" s="30"/>
      <c r="D4" s="32" t="s">
        <v>3</v>
      </c>
      <c r="E4" s="34">
        <f>MATCH(B4,EVM!B5:B16,1)</f>
        <v>8</v>
      </c>
      <c r="F4" s="30"/>
      <c r="G4" s="32" t="s">
        <v>4</v>
      </c>
      <c r="H4" s="35" t="s">
        <v>5</v>
      </c>
      <c r="I4" s="30"/>
      <c r="J4" s="30"/>
      <c r="K4" s="30"/>
      <c r="L4" s="30"/>
      <c r="M4" s="26"/>
      <c r="N4" s="20" t="s">
        <v>129</v>
      </c>
      <c r="O4" s="20" t="s">
        <v>130</v>
      </c>
      <c r="P4" s="20" t="s">
        <v>131</v>
      </c>
    </row>
    <row r="5" spans="1:16" x14ac:dyDescent="0.3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26"/>
      <c r="N5" s="21" t="s">
        <v>132</v>
      </c>
      <c r="O5" s="22" t="s">
        <v>133</v>
      </c>
      <c r="P5" s="22" t="s">
        <v>140</v>
      </c>
    </row>
    <row r="6" spans="1:16" x14ac:dyDescent="0.35">
      <c r="A6" s="36" t="s">
        <v>6</v>
      </c>
      <c r="B6" s="30"/>
      <c r="C6" s="30"/>
      <c r="D6" s="36" t="s">
        <v>7</v>
      </c>
      <c r="E6" s="30"/>
      <c r="F6" s="30"/>
      <c r="G6" s="36" t="s">
        <v>8</v>
      </c>
      <c r="H6" s="30"/>
      <c r="I6" s="30"/>
      <c r="J6" s="36" t="s">
        <v>9</v>
      </c>
      <c r="K6" s="30"/>
      <c r="L6" s="30"/>
      <c r="M6" s="26"/>
      <c r="N6" s="23" t="s">
        <v>134</v>
      </c>
      <c r="O6" s="22" t="s">
        <v>135</v>
      </c>
      <c r="P6" s="22" t="s">
        <v>141</v>
      </c>
    </row>
    <row r="7" spans="1:16" x14ac:dyDescent="0.35">
      <c r="A7" s="128">
        <f>Setup!B11</f>
        <v>268650</v>
      </c>
      <c r="B7" s="129"/>
      <c r="C7" s="129"/>
      <c r="D7" s="128">
        <f>'Task Plan'!I17</f>
        <v>220233.34</v>
      </c>
      <c r="E7" s="129"/>
      <c r="F7" s="129"/>
      <c r="G7" s="128">
        <f>'Task Plan'!J17</f>
        <v>141985.44</v>
      </c>
      <c r="H7" s="129"/>
      <c r="I7" s="129"/>
      <c r="J7" s="128">
        <f>'Task Plan'!L17</f>
        <v>131467.99600000001</v>
      </c>
      <c r="K7" s="129"/>
      <c r="L7" s="129"/>
      <c r="M7" s="26"/>
      <c r="N7" s="24" t="s">
        <v>137</v>
      </c>
      <c r="O7" s="22" t="s">
        <v>138</v>
      </c>
      <c r="P7" s="22" t="s">
        <v>142</v>
      </c>
    </row>
    <row r="8" spans="1:16" x14ac:dyDescent="0.3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48"/>
      <c r="O8" s="48"/>
      <c r="P8" s="48"/>
    </row>
    <row r="9" spans="1:16" x14ac:dyDescent="0.35">
      <c r="A9" s="47" t="s">
        <v>10</v>
      </c>
      <c r="B9" s="47"/>
      <c r="C9" s="47"/>
      <c r="D9" s="47" t="s">
        <v>11</v>
      </c>
      <c r="E9" s="47"/>
      <c r="F9" s="47"/>
      <c r="G9" s="47" t="s">
        <v>12</v>
      </c>
      <c r="H9" s="47"/>
      <c r="I9" s="47"/>
      <c r="J9" s="47" t="s">
        <v>13</v>
      </c>
      <c r="K9" s="47"/>
      <c r="L9" s="47"/>
      <c r="M9" s="30"/>
      <c r="N9" s="30"/>
      <c r="O9" s="30"/>
      <c r="P9" s="30"/>
    </row>
    <row r="10" spans="1:16" x14ac:dyDescent="0.35">
      <c r="A10" s="128">
        <f>'Task Plan'!N17</f>
        <v>-10517.443999999996</v>
      </c>
      <c r="B10" s="130"/>
      <c r="C10" s="131"/>
      <c r="D10" s="128">
        <f>'Task Plan'!M17</f>
        <v>-88765.343999999997</v>
      </c>
      <c r="E10" s="130"/>
      <c r="F10" s="131"/>
      <c r="G10" s="135">
        <f>'Task Plan'!P17</f>
        <v>0.92592589775402334</v>
      </c>
      <c r="H10" s="136"/>
      <c r="I10" s="137"/>
      <c r="J10" s="135">
        <f>'Task Plan'!O17</f>
        <v>0.59694865454976076</v>
      </c>
      <c r="K10" s="136"/>
      <c r="L10" s="136"/>
      <c r="M10" s="25"/>
      <c r="N10" s="30"/>
      <c r="O10" s="30"/>
      <c r="P10" s="30"/>
    </row>
    <row r="11" spans="1:16" x14ac:dyDescent="0.3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30"/>
      <c r="N11" s="30"/>
      <c r="O11" s="30"/>
      <c r="P11" s="30"/>
    </row>
    <row r="12" spans="1:16" x14ac:dyDescent="0.35">
      <c r="A12" s="47" t="s">
        <v>14</v>
      </c>
      <c r="B12" s="47"/>
      <c r="C12" s="47"/>
      <c r="D12" s="47" t="s">
        <v>15</v>
      </c>
      <c r="E12" s="47"/>
      <c r="F12" s="47"/>
      <c r="G12" s="47" t="s">
        <v>16</v>
      </c>
      <c r="H12" s="47"/>
      <c r="I12" s="47"/>
      <c r="J12" s="47" t="s">
        <v>17</v>
      </c>
      <c r="K12" s="47"/>
      <c r="L12" s="47"/>
      <c r="M12" s="30"/>
      <c r="N12" s="30"/>
      <c r="O12" s="30"/>
      <c r="P12" s="30"/>
    </row>
    <row r="13" spans="1:16" x14ac:dyDescent="0.35">
      <c r="A13" s="132">
        <f>'Task Plan'!Q17</f>
        <v>290142.00882776058</v>
      </c>
      <c r="B13" s="133"/>
      <c r="C13" s="134"/>
      <c r="D13" s="132">
        <f>'Task Plan'!R17</f>
        <v>148156.56882776058</v>
      </c>
      <c r="E13" s="133"/>
      <c r="F13" s="134"/>
      <c r="G13" s="128">
        <f>'Task Plan'!S17</f>
        <v>-21492.008827760583</v>
      </c>
      <c r="H13" s="130"/>
      <c r="I13" s="131"/>
      <c r="J13" s="138">
        <f>'Task Plan'!K17</f>
        <v>0.48936533035548119</v>
      </c>
      <c r="K13" s="139"/>
      <c r="L13" s="139"/>
      <c r="M13" s="25"/>
      <c r="N13" s="30"/>
      <c r="O13" s="30"/>
      <c r="P13" s="30"/>
    </row>
    <row r="14" spans="1:16" x14ac:dyDescent="0.3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30"/>
      <c r="N14" s="30"/>
      <c r="O14" s="30"/>
      <c r="P14" s="30"/>
    </row>
    <row r="15" spans="1:16" x14ac:dyDescent="0.35">
      <c r="A15" s="29" t="s">
        <v>18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spans="1:16" x14ac:dyDescent="0.3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1:16" x14ac:dyDescent="0.35">
      <c r="A17" s="38" t="s">
        <v>19</v>
      </c>
      <c r="B17" s="38" t="s">
        <v>20</v>
      </c>
      <c r="C17" s="38" t="s">
        <v>21</v>
      </c>
      <c r="D17" s="39" t="s">
        <v>22</v>
      </c>
      <c r="E17" s="39" t="s">
        <v>23</v>
      </c>
      <c r="F17" s="39" t="s">
        <v>24</v>
      </c>
      <c r="G17" s="53" t="s">
        <v>25</v>
      </c>
      <c r="H17" s="39" t="s">
        <v>26</v>
      </c>
      <c r="I17" s="53" t="s">
        <v>27</v>
      </c>
      <c r="J17" s="53" t="s">
        <v>28</v>
      </c>
      <c r="K17" s="53" t="s">
        <v>29</v>
      </c>
      <c r="L17" s="53" t="s">
        <v>30</v>
      </c>
      <c r="M17" s="39" t="s">
        <v>31</v>
      </c>
      <c r="N17" s="39" t="s">
        <v>32</v>
      </c>
      <c r="O17" s="53" t="s">
        <v>33</v>
      </c>
      <c r="P17" s="54" t="s">
        <v>34</v>
      </c>
    </row>
    <row r="18" spans="1:16" x14ac:dyDescent="0.35">
      <c r="A18" s="34" t="str">
        <f>'Task Plan'!A5</f>
        <v>WBS-01</v>
      </c>
      <c r="B18" s="34" t="str">
        <f>'Task Plan'!C5</f>
        <v>Project Management</v>
      </c>
      <c r="C18" s="34" t="str">
        <f>'Task Plan'!D5</f>
        <v>Labor</v>
      </c>
      <c r="D18" s="40">
        <f>'Task Plan'!H5</f>
        <v>18000</v>
      </c>
      <c r="E18" s="40">
        <f>'Task Plan'!I5</f>
        <v>13500</v>
      </c>
      <c r="F18" s="49">
        <f>'Task Plan'!J5</f>
        <v>9600</v>
      </c>
      <c r="G18" s="12">
        <f>'Task Plan'!K5</f>
        <v>0.5</v>
      </c>
      <c r="H18" s="27">
        <f>'Task Plan'!L5</f>
        <v>9000</v>
      </c>
      <c r="I18" s="13">
        <f>'Task Plan'!N5</f>
        <v>-600</v>
      </c>
      <c r="J18" s="13">
        <f>'Task Plan'!M5</f>
        <v>-4500</v>
      </c>
      <c r="K18" s="14">
        <f>'Task Plan'!P5</f>
        <v>0.9375</v>
      </c>
      <c r="L18" s="14">
        <f>'Task Plan'!O5</f>
        <v>0.66666666666666663</v>
      </c>
      <c r="M18" s="51">
        <f>'Task Plan'!Q5</f>
        <v>19200</v>
      </c>
      <c r="N18" s="49">
        <f>'Task Plan'!R5</f>
        <v>9600</v>
      </c>
      <c r="O18" s="13">
        <f>'Task Plan'!S5</f>
        <v>-1200</v>
      </c>
      <c r="P18" s="15" t="str">
        <f>IF('Task Plan'!T5="Red","🔴 Overrun",IF('Task Plan'!T5="Amber","🟡 Warning","On Track"))</f>
        <v>🔴 Overrun</v>
      </c>
    </row>
    <row r="19" spans="1:16" x14ac:dyDescent="0.35">
      <c r="A19" s="34" t="str">
        <f>'Task Plan'!A6</f>
        <v>WBS-02</v>
      </c>
      <c r="B19" s="34" t="str">
        <f>'Task Plan'!C6</f>
        <v>Site Survey &amp; Mobilization</v>
      </c>
      <c r="C19" s="34" t="str">
        <f>'Task Plan'!D6</f>
        <v>Labor</v>
      </c>
      <c r="D19" s="40">
        <f>'Task Plan'!H6</f>
        <v>8500</v>
      </c>
      <c r="E19" s="40">
        <f>'Task Plan'!I6</f>
        <v>8500</v>
      </c>
      <c r="F19" s="49">
        <f>'Task Plan'!J6</f>
        <v>8700</v>
      </c>
      <c r="G19" s="12">
        <f>'Task Plan'!K6</f>
        <v>1</v>
      </c>
      <c r="H19" s="27">
        <f>'Task Plan'!L6</f>
        <v>8500</v>
      </c>
      <c r="I19" s="13">
        <f>'Task Plan'!N6</f>
        <v>-200</v>
      </c>
      <c r="J19" s="13">
        <f>'Task Plan'!M6</f>
        <v>0</v>
      </c>
      <c r="K19" s="14">
        <f>'Task Plan'!P6</f>
        <v>0.97701149425287359</v>
      </c>
      <c r="L19" s="14">
        <f>'Task Plan'!O6</f>
        <v>1</v>
      </c>
      <c r="M19" s="51">
        <f>'Task Plan'!Q6</f>
        <v>8700</v>
      </c>
      <c r="N19" s="49">
        <f>'Task Plan'!R6</f>
        <v>0</v>
      </c>
      <c r="O19" s="13">
        <f>'Task Plan'!S6</f>
        <v>-200</v>
      </c>
      <c r="P19" s="15" t="str">
        <f>IF('Task Plan'!T6="Red","🔴 Overrun",IF('Task Plan'!T6="Amber","🟡 Warning","On Track"))</f>
        <v>🔴 Overrun</v>
      </c>
    </row>
    <row r="20" spans="1:16" x14ac:dyDescent="0.35">
      <c r="A20" s="34" t="str">
        <f>'Task Plan'!A7</f>
        <v>WBS-03</v>
      </c>
      <c r="B20" s="34" t="str">
        <f>'Task Plan'!C7</f>
        <v>Design &amp; Engineering</v>
      </c>
      <c r="C20" s="34" t="str">
        <f>'Task Plan'!D7</f>
        <v>Labor</v>
      </c>
      <c r="D20" s="40">
        <f>'Task Plan'!H7</f>
        <v>19200</v>
      </c>
      <c r="E20" s="40">
        <f>'Task Plan'!I7</f>
        <v>19200</v>
      </c>
      <c r="F20" s="49">
        <f>'Task Plan'!J7</f>
        <v>18195.04</v>
      </c>
      <c r="G20" s="12">
        <f>'Task Plan'!K7</f>
        <v>1</v>
      </c>
      <c r="H20" s="27">
        <f>'Task Plan'!L7</f>
        <v>19200</v>
      </c>
      <c r="I20" s="13">
        <f>'Task Plan'!N7</f>
        <v>1004.9599999999991</v>
      </c>
      <c r="J20" s="13">
        <f>'Task Plan'!M7</f>
        <v>0</v>
      </c>
      <c r="K20" s="14">
        <f>'Task Plan'!P7</f>
        <v>1.055232634827953</v>
      </c>
      <c r="L20" s="14">
        <f>'Task Plan'!O7</f>
        <v>1</v>
      </c>
      <c r="M20" s="51">
        <f>'Task Plan'!Q7</f>
        <v>18195.04</v>
      </c>
      <c r="N20" s="49">
        <f>'Task Plan'!R7</f>
        <v>0</v>
      </c>
      <c r="O20" s="13">
        <f>'Task Plan'!S7</f>
        <v>1004.9599999999991</v>
      </c>
      <c r="P20" s="15" t="str">
        <f>IF('Task Plan'!T7="Red","🔴 Overrun",IF('Task Plan'!T7="Amber","🟡 Warning","On Track"))</f>
        <v>On Track</v>
      </c>
    </row>
    <row r="21" spans="1:16" x14ac:dyDescent="0.35">
      <c r="A21" s="34" t="str">
        <f>'Task Plan'!A8</f>
        <v>WBS-04</v>
      </c>
      <c r="B21" s="34" t="str">
        <f>'Task Plan'!C8</f>
        <v>Procurement - Materials</v>
      </c>
      <c r="C21" s="34" t="str">
        <f>'Task Plan'!D8</f>
        <v>Material</v>
      </c>
      <c r="D21" s="40">
        <f>'Task Plan'!H8</f>
        <v>42000</v>
      </c>
      <c r="E21" s="40">
        <f>'Task Plan'!I8</f>
        <v>42000</v>
      </c>
      <c r="F21" s="49">
        <f>'Task Plan'!J8</f>
        <v>41300</v>
      </c>
      <c r="G21" s="12">
        <f>'Task Plan'!K8</f>
        <v>1</v>
      </c>
      <c r="H21" s="27">
        <f>'Task Plan'!L8</f>
        <v>42000</v>
      </c>
      <c r="I21" s="13">
        <f>'Task Plan'!N8</f>
        <v>700</v>
      </c>
      <c r="J21" s="13">
        <f>'Task Plan'!M8</f>
        <v>0</v>
      </c>
      <c r="K21" s="14">
        <f>'Task Plan'!P8</f>
        <v>1.0169491525423728</v>
      </c>
      <c r="L21" s="14">
        <f>'Task Plan'!O8</f>
        <v>1</v>
      </c>
      <c r="M21" s="51">
        <f>'Task Plan'!Q8</f>
        <v>41300</v>
      </c>
      <c r="N21" s="49">
        <f>'Task Plan'!R8</f>
        <v>0</v>
      </c>
      <c r="O21" s="13">
        <f>'Task Plan'!S8</f>
        <v>700</v>
      </c>
      <c r="P21" s="15" t="str">
        <f>IF('Task Plan'!T8="Red","🔴 Overrun",IF('Task Plan'!T8="Amber","🟡 Warning","On Track"))</f>
        <v>On Track</v>
      </c>
    </row>
    <row r="22" spans="1:16" x14ac:dyDescent="0.35">
      <c r="A22" s="34" t="str">
        <f>'Task Plan'!A9</f>
        <v>WBS-05</v>
      </c>
      <c r="B22" s="34" t="str">
        <f>'Task Plan'!C9</f>
        <v>Demolition &amp; Prep</v>
      </c>
      <c r="C22" s="34" t="str">
        <f>'Task Plan'!D9</f>
        <v>Labor</v>
      </c>
      <c r="D22" s="40">
        <f>'Task Plan'!H9</f>
        <v>13200</v>
      </c>
      <c r="E22" s="40">
        <f>'Task Plan'!I9</f>
        <v>13200</v>
      </c>
      <c r="F22" s="49">
        <f>'Task Plan'!J9</f>
        <v>13408.159999999998</v>
      </c>
      <c r="G22" s="12">
        <f>'Task Plan'!K9</f>
        <v>1</v>
      </c>
      <c r="H22" s="27">
        <f>'Task Plan'!L9</f>
        <v>13200</v>
      </c>
      <c r="I22" s="13">
        <f>'Task Plan'!N9</f>
        <v>-208.15999999999804</v>
      </c>
      <c r="J22" s="13">
        <f>'Task Plan'!M9</f>
        <v>0</v>
      </c>
      <c r="K22" s="14">
        <f>'Task Plan'!P9</f>
        <v>0.98447512559516015</v>
      </c>
      <c r="L22" s="14">
        <f>'Task Plan'!O9</f>
        <v>1</v>
      </c>
      <c r="M22" s="51">
        <f>'Task Plan'!Q9</f>
        <v>13408.159999999998</v>
      </c>
      <c r="N22" s="49">
        <f>'Task Plan'!R9</f>
        <v>0</v>
      </c>
      <c r="O22" s="13">
        <f>'Task Plan'!S9</f>
        <v>-208.15999999999804</v>
      </c>
      <c r="P22" s="15" t="str">
        <f>IF('Task Plan'!T9="Red","🔴 Overrun",IF('Task Plan'!T9="Amber","🟡 Warning","On Track"))</f>
        <v>🔴 Overrun</v>
      </c>
    </row>
    <row r="23" spans="1:16" x14ac:dyDescent="0.35">
      <c r="A23" s="34" t="str">
        <f>'Task Plan'!A10</f>
        <v>WBS-06</v>
      </c>
      <c r="B23" s="34" t="str">
        <f>'Task Plan'!C10</f>
        <v>Electrical Rough-In</v>
      </c>
      <c r="C23" s="34" t="str">
        <f>'Task Plan'!D10</f>
        <v>Labor</v>
      </c>
      <c r="D23" s="40">
        <f>'Task Plan'!H10</f>
        <v>26000</v>
      </c>
      <c r="E23" s="40">
        <f>'Task Plan'!I10</f>
        <v>26000</v>
      </c>
      <c r="F23" s="49">
        <f>'Task Plan'!J10</f>
        <v>26206.239999999998</v>
      </c>
      <c r="G23" s="12">
        <f>'Task Plan'!K10</f>
        <v>0.7</v>
      </c>
      <c r="H23" s="27">
        <f>'Task Plan'!L10</f>
        <v>18200</v>
      </c>
      <c r="I23" s="13">
        <f>'Task Plan'!N10</f>
        <v>-8006.239999999998</v>
      </c>
      <c r="J23" s="13">
        <f>'Task Plan'!M10</f>
        <v>-7800</v>
      </c>
      <c r="K23" s="14">
        <f>'Task Plan'!P10</f>
        <v>0.69449108303976459</v>
      </c>
      <c r="L23" s="14">
        <f>'Task Plan'!O10</f>
        <v>0.7</v>
      </c>
      <c r="M23" s="51">
        <f>'Task Plan'!Q10</f>
        <v>37437.485714285714</v>
      </c>
      <c r="N23" s="49">
        <f>'Task Plan'!R10</f>
        <v>11231.245714285717</v>
      </c>
      <c r="O23" s="13">
        <f>'Task Plan'!S10</f>
        <v>-11437.485714285714</v>
      </c>
      <c r="P23" s="15" t="str">
        <f>IF('Task Plan'!T10="Red","🔴 Overrun",IF('Task Plan'!T10="Amber","🟡 Warning","On Track"))</f>
        <v>🔴 Overrun</v>
      </c>
    </row>
    <row r="24" spans="1:16" x14ac:dyDescent="0.35">
      <c r="A24" s="34" t="str">
        <f>'Task Plan'!A11</f>
        <v>WBS-07</v>
      </c>
      <c r="B24" s="34" t="str">
        <f>'Task Plan'!C11</f>
        <v>HVAC Installation</v>
      </c>
      <c r="C24" s="34" t="str">
        <f>'Task Plan'!D11</f>
        <v>Subcontractor</v>
      </c>
      <c r="D24" s="40">
        <f>'Task Plan'!H11</f>
        <v>36000</v>
      </c>
      <c r="E24" s="40">
        <f>'Task Plan'!I11</f>
        <v>36000</v>
      </c>
      <c r="F24" s="49">
        <f>'Task Plan'!J11</f>
        <v>17476.8</v>
      </c>
      <c r="G24" s="12">
        <f>'Task Plan'!K11</f>
        <v>0.4</v>
      </c>
      <c r="H24" s="27">
        <f>'Task Plan'!L11</f>
        <v>14400</v>
      </c>
      <c r="I24" s="13">
        <f>'Task Plan'!N11</f>
        <v>-3076.7999999999993</v>
      </c>
      <c r="J24" s="13">
        <f>'Task Plan'!M11</f>
        <v>-21600</v>
      </c>
      <c r="K24" s="14">
        <f>'Task Plan'!P11</f>
        <v>0.82394946443284811</v>
      </c>
      <c r="L24" s="14">
        <f>'Task Plan'!O11</f>
        <v>0.4</v>
      </c>
      <c r="M24" s="51">
        <f>'Task Plan'!Q11</f>
        <v>43692</v>
      </c>
      <c r="N24" s="49">
        <f>'Task Plan'!R11</f>
        <v>26215.200000000001</v>
      </c>
      <c r="O24" s="13">
        <f>'Task Plan'!S11</f>
        <v>-7692</v>
      </c>
      <c r="P24" s="15" t="str">
        <f>IF('Task Plan'!T11="Red","🔴 Overrun",IF('Task Plan'!T11="Amber","🟡 Warning","On Track"))</f>
        <v>🔴 Overrun</v>
      </c>
    </row>
    <row r="25" spans="1:16" x14ac:dyDescent="0.35">
      <c r="A25" s="34" t="str">
        <f>'Task Plan'!A12</f>
        <v>WBS-08</v>
      </c>
      <c r="B25" s="34" t="str">
        <f>'Task Plan'!C12</f>
        <v>Partitions &amp; Drywall</v>
      </c>
      <c r="C25" s="34" t="str">
        <f>'Task Plan'!D12</f>
        <v>Subcontractor</v>
      </c>
      <c r="D25" s="40">
        <f>'Task Plan'!H12</f>
        <v>28000</v>
      </c>
      <c r="E25" s="40">
        <f>'Task Plan'!I12</f>
        <v>28000</v>
      </c>
      <c r="F25" s="49">
        <f>'Task Plan'!J12</f>
        <v>7099.2</v>
      </c>
      <c r="G25" s="12">
        <f>'Task Plan'!K12</f>
        <v>0.24885699999999999</v>
      </c>
      <c r="H25" s="27">
        <f>'Task Plan'!L12</f>
        <v>6967.9960000000001</v>
      </c>
      <c r="I25" s="13">
        <f>'Task Plan'!N12</f>
        <v>-131.20399999999972</v>
      </c>
      <c r="J25" s="13">
        <f>'Task Plan'!M12</f>
        <v>-21032.004000000001</v>
      </c>
      <c r="K25" s="14">
        <f>'Task Plan'!P12</f>
        <v>0.98151848095560068</v>
      </c>
      <c r="L25" s="14">
        <f>'Task Plan'!O12</f>
        <v>0.24885699999999999</v>
      </c>
      <c r="M25" s="51">
        <f>'Task Plan'!Q12</f>
        <v>28527.226479464109</v>
      </c>
      <c r="N25" s="49">
        <f>'Task Plan'!R12</f>
        <v>21428.026479464108</v>
      </c>
      <c r="O25" s="13">
        <f>'Task Plan'!S12</f>
        <v>-527.22647946410871</v>
      </c>
      <c r="P25" s="15" t="str">
        <f>IF('Task Plan'!T12="Red","🔴 Overrun",IF('Task Plan'!T12="Amber","🟡 Warning","On Track"))</f>
        <v>🔴 Overrun</v>
      </c>
    </row>
    <row r="26" spans="1:16" x14ac:dyDescent="0.35">
      <c r="A26" s="34" t="str">
        <f>'Task Plan'!A13</f>
        <v>WBS-09</v>
      </c>
      <c r="B26" s="34" t="str">
        <f>'Task Plan'!C13</f>
        <v>Flooring</v>
      </c>
      <c r="C26" s="34" t="str">
        <f>'Task Plan'!D13</f>
        <v>Material</v>
      </c>
      <c r="D26" s="40">
        <f>'Task Plan'!H13</f>
        <v>35750</v>
      </c>
      <c r="E26" s="40">
        <f>'Task Plan'!I13</f>
        <v>23833.34</v>
      </c>
      <c r="F26" s="49">
        <f>'Task Plan'!J13</f>
        <v>0</v>
      </c>
      <c r="G26" s="12">
        <f>'Task Plan'!K13</f>
        <v>0</v>
      </c>
      <c r="H26" s="27">
        <f>'Task Plan'!L13</f>
        <v>0</v>
      </c>
      <c r="I26" s="13">
        <f>'Task Plan'!N13</f>
        <v>0</v>
      </c>
      <c r="J26" s="13">
        <f>'Task Plan'!M13</f>
        <v>-23833.34</v>
      </c>
      <c r="K26" s="14">
        <f>'Task Plan'!P13</f>
        <v>1</v>
      </c>
      <c r="L26" s="14">
        <f>'Task Plan'!O13</f>
        <v>0</v>
      </c>
      <c r="M26" s="51">
        <f>'Task Plan'!Q13</f>
        <v>35750</v>
      </c>
      <c r="N26" s="49">
        <f>'Task Plan'!R13</f>
        <v>35750</v>
      </c>
      <c r="O26" s="13">
        <f>'Task Plan'!S13</f>
        <v>0</v>
      </c>
      <c r="P26" s="15" t="str">
        <f>IF('Task Plan'!T13="Red","🔴 Overrun",IF('Task Plan'!T13="Amber","🟡 Warning","On Track"))</f>
        <v>🔴 Overrun</v>
      </c>
    </row>
    <row r="27" spans="1:16" x14ac:dyDescent="0.35">
      <c r="A27" s="34" t="str">
        <f>'Task Plan'!A14</f>
        <v>WBS-10</v>
      </c>
      <c r="B27" s="34" t="str">
        <f>'Task Plan'!C14</f>
        <v>Fixtures &amp; Furniture</v>
      </c>
      <c r="C27" s="34" t="str">
        <f>'Task Plan'!D14</f>
        <v>Material</v>
      </c>
      <c r="D27" s="40">
        <f>'Task Plan'!H14</f>
        <v>30000</v>
      </c>
      <c r="E27" s="40">
        <f>'Task Plan'!I14</f>
        <v>10000</v>
      </c>
      <c r="F27" s="49">
        <f>'Task Plan'!J14</f>
        <v>0</v>
      </c>
      <c r="G27" s="12">
        <f>'Task Plan'!K14</f>
        <v>0</v>
      </c>
      <c r="H27" s="27">
        <f>'Task Plan'!L14</f>
        <v>0</v>
      </c>
      <c r="I27" s="13">
        <f>'Task Plan'!N14</f>
        <v>0</v>
      </c>
      <c r="J27" s="13">
        <f>'Task Plan'!M14</f>
        <v>-10000</v>
      </c>
      <c r="K27" s="14">
        <f>'Task Plan'!P14</f>
        <v>1</v>
      </c>
      <c r="L27" s="14">
        <f>'Task Plan'!O14</f>
        <v>0</v>
      </c>
      <c r="M27" s="51">
        <f>'Task Plan'!Q14</f>
        <v>30000</v>
      </c>
      <c r="N27" s="49">
        <f>'Task Plan'!R14</f>
        <v>30000</v>
      </c>
      <c r="O27" s="13">
        <f>'Task Plan'!S14</f>
        <v>0</v>
      </c>
      <c r="P27" s="15" t="str">
        <f>IF('Task Plan'!T14="Red","🔴 Overrun",IF('Task Plan'!T14="Amber","🟡 Warning","On Track"))</f>
        <v>🔴 Overrun</v>
      </c>
    </row>
    <row r="28" spans="1:16" x14ac:dyDescent="0.35">
      <c r="A28" s="34" t="str">
        <f>'Task Plan'!A15</f>
        <v>WBS-11</v>
      </c>
      <c r="B28" s="34" t="str">
        <f>'Task Plan'!C15</f>
        <v>Testing / Commissioning</v>
      </c>
      <c r="C28" s="34" t="str">
        <f>'Task Plan'!D15</f>
        <v>Labor</v>
      </c>
      <c r="D28" s="40">
        <f>'Task Plan'!H15</f>
        <v>8400</v>
      </c>
      <c r="E28" s="40">
        <f>'Task Plan'!I15</f>
        <v>0</v>
      </c>
      <c r="F28" s="49">
        <f>'Task Plan'!J15</f>
        <v>0</v>
      </c>
      <c r="G28" s="12">
        <f>'Task Plan'!K15</f>
        <v>0</v>
      </c>
      <c r="H28" s="27">
        <f>'Task Plan'!L15</f>
        <v>0</v>
      </c>
      <c r="I28" s="13">
        <f>'Task Plan'!N15</f>
        <v>0</v>
      </c>
      <c r="J28" s="13">
        <f>'Task Plan'!M15</f>
        <v>0</v>
      </c>
      <c r="K28" s="14">
        <f>'Task Plan'!P15</f>
        <v>1</v>
      </c>
      <c r="L28" s="14">
        <f>'Task Plan'!O15</f>
        <v>1</v>
      </c>
      <c r="M28" s="51">
        <f>'Task Plan'!Q15</f>
        <v>8400</v>
      </c>
      <c r="N28" s="49">
        <f>'Task Plan'!R15</f>
        <v>8400</v>
      </c>
      <c r="O28" s="13">
        <f>'Task Plan'!S15</f>
        <v>0</v>
      </c>
      <c r="P28" s="15" t="str">
        <f>IF('Task Plan'!T15="Red","🔴 Overrun",IF('Task Plan'!T15="Amber","🟡 Warning","On Track"))</f>
        <v>On Track</v>
      </c>
    </row>
    <row r="29" spans="1:16" x14ac:dyDescent="0.35">
      <c r="A29" s="34" t="str">
        <f>'Task Plan'!A16</f>
        <v>WBS-12</v>
      </c>
      <c r="B29" s="34" t="str">
        <f>'Task Plan'!C16</f>
        <v>Handover &amp; Closeout</v>
      </c>
      <c r="C29" s="34" t="str">
        <f>'Task Plan'!D16</f>
        <v>Labor</v>
      </c>
      <c r="D29" s="40">
        <f>'Task Plan'!H16</f>
        <v>3600</v>
      </c>
      <c r="E29" s="40">
        <f>'Task Plan'!I16</f>
        <v>0</v>
      </c>
      <c r="F29" s="49">
        <f>'Task Plan'!J16</f>
        <v>0</v>
      </c>
      <c r="G29" s="12">
        <f>'Task Plan'!K16</f>
        <v>0</v>
      </c>
      <c r="H29" s="27">
        <f>'Task Plan'!L16</f>
        <v>0</v>
      </c>
      <c r="I29" s="13">
        <f>'Task Plan'!N16</f>
        <v>0</v>
      </c>
      <c r="J29" s="13">
        <f>'Task Plan'!M16</f>
        <v>0</v>
      </c>
      <c r="K29" s="14">
        <f>'Task Plan'!P16</f>
        <v>1</v>
      </c>
      <c r="L29" s="14">
        <f>'Task Plan'!O16</f>
        <v>1</v>
      </c>
      <c r="M29" s="51">
        <f>'Task Plan'!Q16</f>
        <v>3600</v>
      </c>
      <c r="N29" s="49">
        <f>'Task Plan'!R16</f>
        <v>3600</v>
      </c>
      <c r="O29" s="13">
        <f>'Task Plan'!S16</f>
        <v>0</v>
      </c>
      <c r="P29" s="15" t="str">
        <f>IF('Task Plan'!T16="Red","🔴 Overrun",IF('Task Plan'!T16="Amber","🟡 Warning","On Track"))</f>
        <v>On Track</v>
      </c>
    </row>
    <row r="30" spans="1:16" x14ac:dyDescent="0.35">
      <c r="A30" s="41" t="s">
        <v>62</v>
      </c>
      <c r="B30" s="42"/>
      <c r="C30" s="42"/>
      <c r="D30" s="17">
        <f>'Task Plan'!H17</f>
        <v>268650</v>
      </c>
      <c r="E30" s="17">
        <f>'Task Plan'!I17</f>
        <v>220233.34</v>
      </c>
      <c r="F30" s="50">
        <f>'Task Plan'!J17</f>
        <v>141985.44</v>
      </c>
      <c r="G30" s="16">
        <f>'Task Plan'!K17</f>
        <v>0.48936533035548119</v>
      </c>
      <c r="H30" s="28">
        <f>'Task Plan'!L17</f>
        <v>131467.99600000001</v>
      </c>
      <c r="I30" s="17">
        <f>'Task Plan'!N17</f>
        <v>-10517.443999999996</v>
      </c>
      <c r="J30" s="17">
        <f>'Task Plan'!M17</f>
        <v>-88765.343999999997</v>
      </c>
      <c r="K30" s="18">
        <f>'Task Plan'!P17</f>
        <v>0.92592589775402334</v>
      </c>
      <c r="L30" s="18">
        <f>'Task Plan'!O17</f>
        <v>0.59694865454976076</v>
      </c>
      <c r="M30" s="52">
        <f>'Task Plan'!Q17</f>
        <v>290142.00882776058</v>
      </c>
      <c r="N30" s="50">
        <f>'Task Plan'!R17</f>
        <v>148156.56882776058</v>
      </c>
      <c r="O30" s="17">
        <f>'Task Plan'!S17</f>
        <v>-21492.008827760583</v>
      </c>
      <c r="P30" s="19" t="str">
        <f>IF('Task Plan'!T17="Red","🔴 Overrun",IF('Task Plan'!T17="Amber","🟡 Warning","On Track"))</f>
        <v>🔴 Overrun</v>
      </c>
    </row>
    <row r="31" spans="1:16" x14ac:dyDescent="0.35">
      <c r="A31" s="30"/>
      <c r="B31" s="30"/>
      <c r="C31" s="30"/>
      <c r="D31" s="30"/>
      <c r="E31" s="30"/>
      <c r="F31" s="30"/>
      <c r="G31" s="48"/>
      <c r="H31" s="30"/>
      <c r="I31" s="48"/>
      <c r="J31" s="48"/>
      <c r="K31" s="48"/>
      <c r="L31" s="48"/>
      <c r="M31" s="30"/>
      <c r="N31" s="30"/>
      <c r="O31" s="48"/>
      <c r="P31" s="48"/>
    </row>
    <row r="32" spans="1:16" x14ac:dyDescent="0.3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</row>
    <row r="33" spans="1:16" x14ac:dyDescent="0.35">
      <c r="A33" s="29" t="s">
        <v>63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</row>
    <row r="34" spans="1:16" x14ac:dyDescent="0.3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</row>
    <row r="35" spans="1:16" x14ac:dyDescent="0.35">
      <c r="A35" s="39" t="s">
        <v>64</v>
      </c>
      <c r="B35" s="38" t="s">
        <v>65</v>
      </c>
      <c r="C35" s="39" t="s">
        <v>66</v>
      </c>
      <c r="D35" s="39" t="s">
        <v>67</v>
      </c>
      <c r="E35" s="39" t="s">
        <v>68</v>
      </c>
      <c r="F35" s="39" t="s">
        <v>69</v>
      </c>
      <c r="G35" s="39" t="s">
        <v>70</v>
      </c>
      <c r="H35" s="39" t="s">
        <v>27</v>
      </c>
      <c r="I35" s="39" t="s">
        <v>28</v>
      </c>
      <c r="J35" s="39" t="s">
        <v>29</v>
      </c>
      <c r="K35" s="39" t="s">
        <v>30</v>
      </c>
      <c r="L35" s="30"/>
      <c r="M35" s="30"/>
      <c r="N35" s="30"/>
      <c r="O35" s="30"/>
      <c r="P35" s="30"/>
    </row>
    <row r="36" spans="1:16" x14ac:dyDescent="0.35">
      <c r="A36" s="43">
        <v>1</v>
      </c>
      <c r="B36" s="33">
        <v>46146</v>
      </c>
      <c r="C36" s="44">
        <f>SUMIFS(Fact_Baseline_PV!C:C, Fact_Baseline_PV!A:A, B36)</f>
        <v>16400</v>
      </c>
      <c r="D36" s="44">
        <f>SUM(C$36:C36)</f>
        <v>16400</v>
      </c>
      <c r="E36" s="44">
        <f>SUMIFS(Fact_Actual_Costs!D:D, Fact_Actual_Costs!A:A, "&gt;="&amp;B36, Fact_Actual_Costs!A:A, "&lt;="&amp;B36+6)</f>
        <v>16295.04</v>
      </c>
      <c r="F36" s="44">
        <f>SUM(E$36:E36)</f>
        <v>16295.04</v>
      </c>
      <c r="G36" s="44">
        <f>SUMPRODUCT(Dim_WBS!$E$2:$E$13, SUMIFS(Fact_Physical_Progress!$C$2:$C$100, Fact_Physical_Progress!$B$2:$B$100, Dim_WBS!$A$2:$A$13, Fact_Physical_Progress!$A$2:$A$100, "&lt;="&amp;B36+4))</f>
        <v>15087.994000000001</v>
      </c>
      <c r="H36" s="44">
        <f t="shared" ref="H36:H47" si="0">G36-F36</f>
        <v>-1207.0460000000003</v>
      </c>
      <c r="I36" s="44">
        <f t="shared" ref="I36:I47" si="1">G36-D36</f>
        <v>-1312.0059999999994</v>
      </c>
      <c r="J36" s="45">
        <f t="shared" ref="J36:J47" si="2">IF(F36&gt;0, G36/F36, 1)</f>
        <v>0.92592555771572205</v>
      </c>
      <c r="K36" s="45">
        <f t="shared" ref="K36:K47" si="3">IF(D36&gt;0, G36/D36, 1)</f>
        <v>0.91999963414634145</v>
      </c>
      <c r="L36" s="30"/>
      <c r="M36" s="30"/>
      <c r="N36" s="30"/>
      <c r="O36" s="30"/>
      <c r="P36" s="30"/>
    </row>
    <row r="37" spans="1:16" x14ac:dyDescent="0.35">
      <c r="A37" s="43">
        <v>2</v>
      </c>
      <c r="B37" s="33">
        <v>46153</v>
      </c>
      <c r="C37" s="44">
        <f>SUMIFS(Fact_Baseline_PV!C:C, Fact_Baseline_PV!A:A, B37)</f>
        <v>22800</v>
      </c>
      <c r="D37" s="44">
        <f>SUM(C$36:C37)</f>
        <v>39200</v>
      </c>
      <c r="E37" s="44">
        <f>SUMIFS(Fact_Actual_Costs!D:D, Fact_Actual_Costs!A:A, "&gt;="&amp;B37, Fact_Actual_Costs!A:A, "&lt;="&amp;B37+6)</f>
        <v>22654.079999999998</v>
      </c>
      <c r="F37" s="44">
        <f>SUM(E$36:E37)</f>
        <v>38949.119999999995</v>
      </c>
      <c r="G37" s="44">
        <f>SUMPRODUCT(Dim_WBS!$E$2:$E$13, SUMIFS(Fact_Physical_Progress!$C$2:$C$100, Fact_Physical_Progress!$B$2:$B$100, Dim_WBS!$A$2:$A$13, Fact_Physical_Progress!$A$2:$A$100, "&lt;="&amp;B37+4))</f>
        <v>51151.997600000002</v>
      </c>
      <c r="H37" s="44">
        <f t="shared" si="0"/>
        <v>12202.877600000007</v>
      </c>
      <c r="I37" s="44">
        <f t="shared" si="1"/>
        <v>11951.997600000002</v>
      </c>
      <c r="J37" s="45">
        <f t="shared" si="2"/>
        <v>1.3133030373985346</v>
      </c>
      <c r="K37" s="45">
        <f t="shared" si="3"/>
        <v>1.3048978979591837</v>
      </c>
      <c r="L37" s="30"/>
      <c r="M37" s="30"/>
      <c r="N37" s="30"/>
      <c r="O37" s="30"/>
      <c r="P37" s="30"/>
    </row>
    <row r="38" spans="1:16" x14ac:dyDescent="0.35">
      <c r="A38" s="43">
        <v>3</v>
      </c>
      <c r="B38" s="33">
        <v>46160</v>
      </c>
      <c r="C38" s="44">
        <f>SUMIFS(Fact_Baseline_PV!C:C, Fact_Baseline_PV!A:A, B38)</f>
        <v>22800</v>
      </c>
      <c r="D38" s="44">
        <f>SUM(C$36:C38)</f>
        <v>62000</v>
      </c>
      <c r="E38" s="44">
        <f>SUMIFS(Fact_Actual_Costs!D:D, Fact_Actual_Costs!A:A, "&gt;="&amp;B38, Fact_Actual_Costs!A:A, "&lt;="&amp;B38+6)</f>
        <v>22654.079999999998</v>
      </c>
      <c r="F38" s="44">
        <f>SUM(E$36:E38)</f>
        <v>61603.199999999997</v>
      </c>
      <c r="G38" s="44">
        <f>SUMPRODUCT(Dim_WBS!$E$2:$E$13, SUMIFS(Fact_Physical_Progress!$C$2:$C$100, Fact_Physical_Progress!$B$2:$B$100, Dim_WBS!$A$2:$A$13, Fact_Physical_Progress!$A$2:$A$100, "&lt;="&amp;B38+4))</f>
        <v>108191.9976</v>
      </c>
      <c r="H38" s="44">
        <f t="shared" si="0"/>
        <v>46588.797600000005</v>
      </c>
      <c r="I38" s="44">
        <f t="shared" si="1"/>
        <v>46191.997600000002</v>
      </c>
      <c r="J38" s="45">
        <f t="shared" si="2"/>
        <v>1.7562723624746768</v>
      </c>
      <c r="K38" s="45">
        <f t="shared" si="3"/>
        <v>1.7450322193548387</v>
      </c>
      <c r="L38" s="30"/>
      <c r="M38" s="30"/>
      <c r="N38" s="30"/>
      <c r="O38" s="30"/>
      <c r="P38" s="30"/>
    </row>
    <row r="39" spans="1:16" x14ac:dyDescent="0.35">
      <c r="A39" s="43">
        <v>4</v>
      </c>
      <c r="B39" s="33">
        <v>46167</v>
      </c>
      <c r="C39" s="44">
        <f>SUMIFS(Fact_Baseline_PV!C:C, Fact_Baseline_PV!A:A, B39)</f>
        <v>25066.67</v>
      </c>
      <c r="D39" s="44">
        <f>SUM(C$36:C39)</f>
        <v>87066.67</v>
      </c>
      <c r="E39" s="44">
        <f>SUMIFS(Fact_Actual_Costs!D:D, Fact_Actual_Costs!A:A, "&gt;="&amp;B39, Fact_Actual_Costs!A:A, "&lt;="&amp;B39+6)</f>
        <v>24906.240000000002</v>
      </c>
      <c r="F39" s="44">
        <f>SUM(E$36:E39)</f>
        <v>86509.440000000002</v>
      </c>
      <c r="G39" s="44">
        <f>SUMPRODUCT(Dim_WBS!$E$2:$E$13, SUMIFS(Fact_Physical_Progress!$C$2:$C$100, Fact_Physical_Progress!$B$2:$B$100, Dim_WBS!$A$2:$A$13, Fact_Physical_Progress!$A$2:$A$100, "&lt;="&amp;B39+4))</f>
        <v>188293.32560000001</v>
      </c>
      <c r="H39" s="44">
        <f t="shared" si="0"/>
        <v>101783.88560000001</v>
      </c>
      <c r="I39" s="44">
        <f t="shared" si="1"/>
        <v>101226.65560000001</v>
      </c>
      <c r="J39" s="45">
        <f t="shared" si="2"/>
        <v>2.1765639171863786</v>
      </c>
      <c r="K39" s="45">
        <f t="shared" si="3"/>
        <v>2.1626338253202979</v>
      </c>
      <c r="L39" s="30"/>
      <c r="M39" s="30"/>
      <c r="N39" s="30"/>
      <c r="O39" s="30"/>
      <c r="P39" s="30"/>
    </row>
    <row r="40" spans="1:16" x14ac:dyDescent="0.35">
      <c r="A40" s="43">
        <v>5</v>
      </c>
      <c r="B40" s="33">
        <v>46174</v>
      </c>
      <c r="C40" s="44">
        <f>SUMIFS(Fact_Baseline_PV!C:C, Fact_Baseline_PV!A:A, B40)</f>
        <v>29666.67</v>
      </c>
      <c r="D40" s="44">
        <f>SUM(C$36:C40)</f>
        <v>116733.34</v>
      </c>
      <c r="E40" s="44">
        <f>SUMIFS(Fact_Actual_Costs!D:D, Fact_Actual_Costs!A:A, "&gt;="&amp;B40, Fact_Actual_Costs!A:A, "&lt;="&amp;B40+6)</f>
        <v>29476.800000000003</v>
      </c>
      <c r="F40" s="44">
        <f>SUM(E$36:E40)</f>
        <v>115986.24000000001</v>
      </c>
      <c r="G40" s="44">
        <f>SUMPRODUCT(Dim_WBS!$E$2:$E$13, SUMIFS(Fact_Physical_Progress!$C$2:$C$100, Fact_Physical_Progress!$B$2:$B$100, Dim_WBS!$A$2:$A$13, Fact_Physical_Progress!$A$2:$A$100, "&lt;="&amp;B40+4))</f>
        <v>295687.99959999998</v>
      </c>
      <c r="H40" s="44">
        <f t="shared" si="0"/>
        <v>179701.75959999999</v>
      </c>
      <c r="I40" s="44">
        <f t="shared" si="1"/>
        <v>178954.65959999998</v>
      </c>
      <c r="J40" s="45">
        <f t="shared" si="2"/>
        <v>2.5493368834096182</v>
      </c>
      <c r="K40" s="45">
        <f t="shared" si="3"/>
        <v>2.5330209826944041</v>
      </c>
      <c r="L40" s="30"/>
      <c r="M40" s="30"/>
      <c r="N40" s="30"/>
      <c r="O40" s="30"/>
      <c r="P40" s="30"/>
    </row>
    <row r="41" spans="1:16" x14ac:dyDescent="0.35">
      <c r="A41" s="43">
        <v>6</v>
      </c>
      <c r="B41" s="33">
        <v>46181</v>
      </c>
      <c r="C41" s="44">
        <f>SUMIFS(Fact_Baseline_PV!C:C, Fact_Baseline_PV!A:A, B41)</f>
        <v>26166.66</v>
      </c>
      <c r="D41" s="44">
        <f>SUM(C$36:C41)</f>
        <v>142900</v>
      </c>
      <c r="E41" s="44">
        <f>SUMIFS(Fact_Actual_Costs!D:D, Fact_Actual_Costs!A:A, "&gt;="&amp;B41, Fact_Actual_Costs!A:A, "&lt;="&amp;B41+6)</f>
        <v>25999.200000000001</v>
      </c>
      <c r="F41" s="44">
        <f>SUM(E$36:E41)</f>
        <v>141985.44</v>
      </c>
      <c r="G41" s="44">
        <f>SUMPRODUCT(Dim_WBS!$E$2:$E$13, SUMIFS(Fact_Physical_Progress!$C$2:$C$100, Fact_Physical_Progress!$B$2:$B$100, Dim_WBS!$A$2:$A$13, Fact_Physical_Progress!$A$2:$A$100, "&lt;="&amp;B41+4))</f>
        <v>427155.99559999997</v>
      </c>
      <c r="H41" s="44">
        <f t="shared" si="0"/>
        <v>285170.55559999996</v>
      </c>
      <c r="I41" s="44">
        <f t="shared" si="1"/>
        <v>284255.99559999997</v>
      </c>
      <c r="J41" s="45">
        <f t="shared" si="2"/>
        <v>3.0084492860676417</v>
      </c>
      <c r="K41" s="45">
        <f t="shared" si="3"/>
        <v>2.9891952106368089</v>
      </c>
      <c r="L41" s="30"/>
      <c r="M41" s="30"/>
      <c r="N41" s="30"/>
      <c r="O41" s="30"/>
      <c r="P41" s="30"/>
    </row>
    <row r="42" spans="1:16" x14ac:dyDescent="0.35">
      <c r="A42" s="43">
        <v>7</v>
      </c>
      <c r="B42" s="33">
        <v>46188</v>
      </c>
      <c r="C42" s="44">
        <f>SUMIFS(Fact_Baseline_PV!C:C, Fact_Baseline_PV!A:A, B42)</f>
        <v>17500</v>
      </c>
      <c r="D42" s="44">
        <f>SUM(C$36:C42)</f>
        <v>160400</v>
      </c>
      <c r="E42" s="44">
        <f>SUMIFS(Fact_Actual_Costs!D:D, Fact_Actual_Costs!A:A, "&gt;="&amp;B42, Fact_Actual_Costs!A:A, "&lt;="&amp;B42+6)</f>
        <v>0</v>
      </c>
      <c r="F42" s="44">
        <f>SUM(E$36:E42)</f>
        <v>141985.44</v>
      </c>
      <c r="G42" s="44">
        <f>SUMPRODUCT(Dim_WBS!$E$2:$E$13, SUMIFS(Fact_Physical_Progress!$C$2:$C$100, Fact_Physical_Progress!$B$2:$B$100, Dim_WBS!$A$2:$A$13, Fact_Physical_Progress!$A$2:$A$100, "&lt;="&amp;B42+4))</f>
        <v>427155.99559999997</v>
      </c>
      <c r="H42" s="44">
        <f t="shared" si="0"/>
        <v>285170.55559999996</v>
      </c>
      <c r="I42" s="44">
        <f t="shared" si="1"/>
        <v>266755.99559999997</v>
      </c>
      <c r="J42" s="45">
        <f t="shared" si="2"/>
        <v>3.0084492860676417</v>
      </c>
      <c r="K42" s="45">
        <f t="shared" si="3"/>
        <v>2.6630673042394011</v>
      </c>
      <c r="L42" s="30"/>
      <c r="M42" s="30"/>
      <c r="N42" s="30"/>
      <c r="O42" s="30"/>
      <c r="P42" s="30"/>
    </row>
    <row r="43" spans="1:16" x14ac:dyDescent="0.35">
      <c r="A43" s="43">
        <v>8</v>
      </c>
      <c r="B43" s="33">
        <v>46195</v>
      </c>
      <c r="C43" s="44">
        <f>SUMIFS(Fact_Baseline_PV!C:C, Fact_Baseline_PV!A:A, B43)</f>
        <v>29416.67</v>
      </c>
      <c r="D43" s="44">
        <f>SUM(C$36:C43)</f>
        <v>189816.66999999998</v>
      </c>
      <c r="E43" s="44">
        <f>SUMIFS(Fact_Actual_Costs!D:D, Fact_Actual_Costs!A:A, "&gt;="&amp;B43, Fact_Actual_Costs!A:A, "&lt;="&amp;B43+6)</f>
        <v>0</v>
      </c>
      <c r="F43" s="44">
        <f>SUM(E$36:E43)</f>
        <v>141985.44</v>
      </c>
      <c r="G43" s="44">
        <f>SUMPRODUCT(Dim_WBS!$E$2:$E$13, SUMIFS(Fact_Physical_Progress!$C$2:$C$100, Fact_Physical_Progress!$B$2:$B$100, Dim_WBS!$A$2:$A$13, Fact_Physical_Progress!$A$2:$A$100, "&lt;="&amp;B43+4))</f>
        <v>427155.99559999997</v>
      </c>
      <c r="H43" s="44">
        <f t="shared" si="0"/>
        <v>285170.55559999996</v>
      </c>
      <c r="I43" s="44">
        <f t="shared" si="1"/>
        <v>237339.32559999998</v>
      </c>
      <c r="J43" s="45">
        <f t="shared" si="2"/>
        <v>3.0084492860676417</v>
      </c>
      <c r="K43" s="45">
        <f t="shared" si="3"/>
        <v>2.2503608118296459</v>
      </c>
      <c r="L43" s="30"/>
      <c r="M43" s="30"/>
      <c r="N43" s="30"/>
      <c r="O43" s="30"/>
      <c r="P43" s="30"/>
    </row>
    <row r="44" spans="1:16" x14ac:dyDescent="0.35">
      <c r="A44" s="43">
        <v>9</v>
      </c>
      <c r="B44" s="33">
        <v>46202</v>
      </c>
      <c r="C44" s="44">
        <f>SUMIFS(Fact_Baseline_PV!C:C, Fact_Baseline_PV!A:A, B44)</f>
        <v>30416.67</v>
      </c>
      <c r="D44" s="44">
        <f>SUM(C$36:C44)</f>
        <v>220233.33999999997</v>
      </c>
      <c r="E44" s="44">
        <f>SUMIFS(Fact_Actual_Costs!D:D, Fact_Actual_Costs!A:A, "&gt;="&amp;B44, Fact_Actual_Costs!A:A, "&lt;="&amp;B44+6)</f>
        <v>0</v>
      </c>
      <c r="F44" s="44">
        <f>SUM(E$36:E44)</f>
        <v>141985.44</v>
      </c>
      <c r="G44" s="44">
        <f>SUMPRODUCT(Dim_WBS!$E$2:$E$13, SUMIFS(Fact_Physical_Progress!$C$2:$C$100, Fact_Physical_Progress!$B$2:$B$100, Dim_WBS!$A$2:$A$13, Fact_Physical_Progress!$A$2:$A$100, "&lt;="&amp;B44+4))</f>
        <v>427155.99559999997</v>
      </c>
      <c r="H44" s="44">
        <f t="shared" si="0"/>
        <v>285170.55559999996</v>
      </c>
      <c r="I44" s="44">
        <f t="shared" si="1"/>
        <v>206922.6556</v>
      </c>
      <c r="J44" s="45">
        <f t="shared" si="2"/>
        <v>3.0084492860676417</v>
      </c>
      <c r="K44" s="45">
        <f t="shared" si="3"/>
        <v>1.939560992899622</v>
      </c>
      <c r="L44" s="30"/>
      <c r="M44" s="30"/>
      <c r="N44" s="30"/>
      <c r="O44" s="30"/>
      <c r="P44" s="30"/>
    </row>
    <row r="45" spans="1:16" x14ac:dyDescent="0.35">
      <c r="A45" s="43">
        <v>10</v>
      </c>
      <c r="B45" s="33">
        <v>46209</v>
      </c>
      <c r="C45" s="44">
        <f>SUMIFS(Fact_Baseline_PV!C:C, Fact_Baseline_PV!A:A, B45)</f>
        <v>23416.66</v>
      </c>
      <c r="D45" s="44">
        <f>SUM(C$36:C45)</f>
        <v>243649.99999999997</v>
      </c>
      <c r="E45" s="44">
        <f>SUMIFS(Fact_Actual_Costs!D:D, Fact_Actual_Costs!A:A, "&gt;="&amp;B45, Fact_Actual_Costs!A:A, "&lt;="&amp;B45+6)</f>
        <v>0</v>
      </c>
      <c r="F45" s="44">
        <f>SUM(E$36:E45)</f>
        <v>141985.44</v>
      </c>
      <c r="G45" s="44">
        <f>SUMPRODUCT(Dim_WBS!$E$2:$E$13, SUMIFS(Fact_Physical_Progress!$C$2:$C$100, Fact_Physical_Progress!$B$2:$B$100, Dim_WBS!$A$2:$A$13, Fact_Physical_Progress!$A$2:$A$100, "&lt;="&amp;B45+4))</f>
        <v>427155.99559999997</v>
      </c>
      <c r="H45" s="44">
        <f t="shared" si="0"/>
        <v>285170.55559999996</v>
      </c>
      <c r="I45" s="44">
        <f t="shared" si="1"/>
        <v>183505.99559999999</v>
      </c>
      <c r="J45" s="45">
        <f t="shared" si="2"/>
        <v>3.0084492860676417</v>
      </c>
      <c r="K45" s="45">
        <f t="shared" si="3"/>
        <v>1.7531540964498256</v>
      </c>
      <c r="L45" s="30"/>
      <c r="M45" s="30"/>
      <c r="N45" s="30"/>
      <c r="O45" s="30"/>
      <c r="P45" s="30"/>
    </row>
    <row r="46" spans="1:16" x14ac:dyDescent="0.35">
      <c r="A46" s="43">
        <v>11</v>
      </c>
      <c r="B46" s="33">
        <v>46216</v>
      </c>
      <c r="C46" s="44">
        <f>SUMIFS(Fact_Baseline_PV!C:C, Fact_Baseline_PV!A:A, B46)</f>
        <v>15700</v>
      </c>
      <c r="D46" s="44">
        <f>SUM(C$36:C46)</f>
        <v>259349.99999999997</v>
      </c>
      <c r="E46" s="44">
        <f>SUMIFS(Fact_Actual_Costs!D:D, Fact_Actual_Costs!A:A, "&gt;="&amp;B46, Fact_Actual_Costs!A:A, "&lt;="&amp;B46+6)</f>
        <v>0</v>
      </c>
      <c r="F46" s="44">
        <f>SUM(E$36:E46)</f>
        <v>141985.44</v>
      </c>
      <c r="G46" s="44">
        <f>SUMPRODUCT(Dim_WBS!$E$2:$E$13, SUMIFS(Fact_Physical_Progress!$C$2:$C$100, Fact_Physical_Progress!$B$2:$B$100, Dim_WBS!$A$2:$A$13, Fact_Physical_Progress!$A$2:$A$100, "&lt;="&amp;B46+4))</f>
        <v>427155.99559999997</v>
      </c>
      <c r="H46" s="44">
        <f t="shared" si="0"/>
        <v>285170.55559999996</v>
      </c>
      <c r="I46" s="44">
        <f t="shared" si="1"/>
        <v>167805.99559999999</v>
      </c>
      <c r="J46" s="45">
        <f t="shared" si="2"/>
        <v>3.0084492860676417</v>
      </c>
      <c r="K46" s="45">
        <f t="shared" si="3"/>
        <v>1.6470252384808175</v>
      </c>
      <c r="L46" s="30"/>
      <c r="M46" s="30"/>
      <c r="N46" s="30"/>
      <c r="O46" s="30"/>
      <c r="P46" s="30"/>
    </row>
    <row r="47" spans="1:16" x14ac:dyDescent="0.35">
      <c r="A47" s="43">
        <v>12</v>
      </c>
      <c r="B47" s="33">
        <v>46223</v>
      </c>
      <c r="C47" s="44">
        <f>SUMIFS(Fact_Baseline_PV!C:C, Fact_Baseline_PV!A:A, B47)</f>
        <v>9300</v>
      </c>
      <c r="D47" s="44">
        <f>SUM(C$36:C47)</f>
        <v>268650</v>
      </c>
      <c r="E47" s="44">
        <f>SUMIFS(Fact_Actual_Costs!D:D, Fact_Actual_Costs!A:A, "&gt;="&amp;B47, Fact_Actual_Costs!A:A, "&lt;="&amp;B47+6)</f>
        <v>0</v>
      </c>
      <c r="F47" s="44">
        <f>SUM(E$36:E47)</f>
        <v>141985.44</v>
      </c>
      <c r="G47" s="44">
        <f>SUMPRODUCT(Dim_WBS!$E$2:$E$13, SUMIFS(Fact_Physical_Progress!$C$2:$C$100, Fact_Physical_Progress!$B$2:$B$100, Dim_WBS!$A$2:$A$13, Fact_Physical_Progress!$A$2:$A$100, "&lt;="&amp;B47+4))</f>
        <v>427155.99559999997</v>
      </c>
      <c r="H47" s="44">
        <f t="shared" si="0"/>
        <v>285170.55559999996</v>
      </c>
      <c r="I47" s="44">
        <f t="shared" si="1"/>
        <v>158505.99559999997</v>
      </c>
      <c r="J47" s="45">
        <f t="shared" si="2"/>
        <v>3.0084492860676417</v>
      </c>
      <c r="K47" s="45">
        <f t="shared" si="3"/>
        <v>1.5900092894100128</v>
      </c>
      <c r="L47" s="30"/>
      <c r="M47" s="30"/>
      <c r="N47" s="30"/>
      <c r="O47" s="30"/>
      <c r="P47" s="30"/>
    </row>
  </sheetData>
  <mergeCells count="12">
    <mergeCell ref="J7:L7"/>
    <mergeCell ref="A10:C10"/>
    <mergeCell ref="A13:C13"/>
    <mergeCell ref="G10:I10"/>
    <mergeCell ref="D13:F13"/>
    <mergeCell ref="J10:L10"/>
    <mergeCell ref="G13:I13"/>
    <mergeCell ref="J13:L13"/>
    <mergeCell ref="D7:F7"/>
    <mergeCell ref="A7:C7"/>
    <mergeCell ref="G7:I7"/>
    <mergeCell ref="D10:F10"/>
  </mergeCells>
  <conditionalFormatting sqref="A10:F10">
    <cfRule type="cellIs" dxfId="69" priority="1" operator="lessThan">
      <formula>0</formula>
    </cfRule>
    <cfRule type="cellIs" dxfId="68" priority="2" operator="greaterThanOrEqual">
      <formula>0</formula>
    </cfRule>
  </conditionalFormatting>
  <conditionalFormatting sqref="G18:G30">
    <cfRule type="cellIs" dxfId="67" priority="23" operator="lessThan">
      <formula>0.5</formula>
    </cfRule>
    <cfRule type="cellIs" dxfId="66" priority="24" operator="between">
      <formula>0.5</formula>
      <formula>0.799999</formula>
    </cfRule>
    <cfRule type="cellIs" dxfId="65" priority="25" operator="greaterThanOrEqual">
      <formula>0.8</formula>
    </cfRule>
  </conditionalFormatting>
  <conditionalFormatting sqref="G13:I13">
    <cfRule type="cellIs" dxfId="64" priority="5" operator="lessThan">
      <formula>0</formula>
    </cfRule>
    <cfRule type="cellIs" dxfId="63" priority="6" operator="greaterThanOrEqual">
      <formula>0</formula>
    </cfRule>
  </conditionalFormatting>
  <conditionalFormatting sqref="G10:L10">
    <cfRule type="cellIs" dxfId="62" priority="11" operator="lessThan">
      <formula>0.95</formula>
    </cfRule>
    <cfRule type="cellIs" dxfId="61" priority="12" operator="between">
      <formula>0.95</formula>
      <formula>0.999999</formula>
    </cfRule>
    <cfRule type="cellIs" dxfId="60" priority="13" operator="greaterThanOrEqual">
      <formula>1</formula>
    </cfRule>
  </conditionalFormatting>
  <conditionalFormatting sqref="I18:J30">
    <cfRule type="cellIs" dxfId="59" priority="7" operator="lessThan">
      <formula>0</formula>
    </cfRule>
    <cfRule type="cellIs" dxfId="58" priority="8" operator="greaterThanOrEqual">
      <formula>0</formula>
    </cfRule>
  </conditionalFormatting>
  <conditionalFormatting sqref="J13:L13">
    <cfRule type="cellIs" dxfId="57" priority="20" operator="lessThan">
      <formula>0.5</formula>
    </cfRule>
    <cfRule type="cellIs" dxfId="56" priority="21" operator="between">
      <formula>0.5</formula>
      <formula>0.799999</formula>
    </cfRule>
    <cfRule type="cellIs" dxfId="55" priority="22" operator="greaterThanOrEqual">
      <formula>0.8</formula>
    </cfRule>
  </conditionalFormatting>
  <conditionalFormatting sqref="K18:L30">
    <cfRule type="cellIs" dxfId="54" priority="17" operator="lessThan">
      <formula>0.95</formula>
    </cfRule>
    <cfRule type="cellIs" dxfId="53" priority="18" operator="between">
      <formula>0.95</formula>
      <formula>0.999999</formula>
    </cfRule>
    <cfRule type="cellIs" dxfId="52" priority="19" operator="greaterThanOrEqual">
      <formula>1</formula>
    </cfRule>
  </conditionalFormatting>
  <conditionalFormatting sqref="O18:O30">
    <cfRule type="cellIs" dxfId="51" priority="9" operator="lessThan">
      <formula>0</formula>
    </cfRule>
    <cfRule type="cellIs" dxfId="50" priority="10" operator="greaterThanOrEqual">
      <formula>0</formula>
    </cfRule>
  </conditionalFormatting>
  <conditionalFormatting sqref="P18:P30">
    <cfRule type="containsText" dxfId="49" priority="26" operator="containsText" text="Overrun">
      <formula>NOT(ISERROR(SEARCH("Overrun",P18)))</formula>
    </cfRule>
    <cfRule type="containsText" dxfId="48" priority="27" operator="containsText" text="Warning">
      <formula>NOT(ISERROR(SEARCH("Warning",P18)))</formula>
    </cfRule>
    <cfRule type="containsText" dxfId="47" priority="28" operator="containsText" text="On Track">
      <formula>NOT(ISERROR(SEARCH("On Track",P18)))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BEC5-AB7D-4F83-A31F-4D67489F7963}">
  <sheetPr>
    <tabColor rgb="FF70AD47"/>
  </sheetPr>
  <dimension ref="A1:Z35"/>
  <sheetViews>
    <sheetView showGridLines="0" workbookViewId="0">
      <selection activeCell="L7" sqref="L7"/>
    </sheetView>
  </sheetViews>
  <sheetFormatPr defaultRowHeight="14.5" x14ac:dyDescent="0.35"/>
  <cols>
    <col min="1" max="1" width="12.7265625" customWidth="1"/>
    <col min="2" max="2" width="30.90625" customWidth="1"/>
    <col min="3" max="3" width="19.08984375" customWidth="1"/>
    <col min="4" max="4" width="11.81640625" customWidth="1"/>
    <col min="5" max="16" width="10.90625" customWidth="1"/>
    <col min="17" max="22" width="14.54296875" customWidth="1"/>
    <col min="23" max="24" width="25.453125" customWidth="1"/>
    <col min="25" max="26" width="5.453125" customWidth="1"/>
  </cols>
  <sheetData>
    <row r="1" spans="1:26" ht="23.5" x14ac:dyDescent="0.55000000000000004">
      <c r="A1" s="122" t="s">
        <v>528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x14ac:dyDescent="0.35">
      <c r="A2" s="123" t="s">
        <v>529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4" spans="1:26" x14ac:dyDescent="0.35">
      <c r="A4" s="62" t="s">
        <v>19</v>
      </c>
      <c r="B4" s="62" t="s">
        <v>148</v>
      </c>
      <c r="C4" s="62" t="s">
        <v>530</v>
      </c>
      <c r="D4" s="62" t="s">
        <v>531</v>
      </c>
      <c r="E4" s="62" t="s">
        <v>532</v>
      </c>
      <c r="F4" s="62" t="s">
        <v>533</v>
      </c>
      <c r="G4" s="62" t="s">
        <v>534</v>
      </c>
      <c r="H4" s="62" t="s">
        <v>535</v>
      </c>
      <c r="I4" s="62" t="s">
        <v>536</v>
      </c>
      <c r="J4" s="62" t="s">
        <v>537</v>
      </c>
      <c r="K4" s="62" t="s">
        <v>538</v>
      </c>
      <c r="L4" s="62" t="s">
        <v>539</v>
      </c>
      <c r="M4" s="62" t="s">
        <v>540</v>
      </c>
      <c r="N4" s="62" t="s">
        <v>541</v>
      </c>
      <c r="O4" s="62" t="s">
        <v>542</v>
      </c>
      <c r="P4" s="62" t="s">
        <v>543</v>
      </c>
      <c r="Q4" s="62" t="s">
        <v>544</v>
      </c>
      <c r="R4" s="62" t="s">
        <v>75</v>
      </c>
      <c r="S4" s="62" t="s">
        <v>545</v>
      </c>
      <c r="T4" s="62" t="s">
        <v>546</v>
      </c>
      <c r="U4" s="62" t="s">
        <v>29</v>
      </c>
      <c r="V4" s="62" t="s">
        <v>153</v>
      </c>
      <c r="W4" s="62" t="s">
        <v>547</v>
      </c>
      <c r="X4" s="62" t="s">
        <v>519</v>
      </c>
      <c r="Y4" s="62"/>
      <c r="Z4" s="62"/>
    </row>
    <row r="5" spans="1:26" x14ac:dyDescent="0.35">
      <c r="A5" s="2" t="str">
        <f>Dim_WBS!A2</f>
        <v>WBS-01</v>
      </c>
      <c r="B5" s="2" t="str">
        <f>Dim_WBS!C2</f>
        <v>Project Management</v>
      </c>
      <c r="C5" s="2" t="str">
        <f>Dim_WBS!D2</f>
        <v>Labor</v>
      </c>
      <c r="D5" s="2" t="s">
        <v>548</v>
      </c>
      <c r="E5" s="67">
        <f>SUMIFS(Fact_Actual_Costs!$E$2:$E$100,Fact_Actual_Costs!$B$2:$B$100,$A5,Fact_Actual_Costs!$A$2:$A$100,"&gt;="&amp;MIN(Fact_Baseline_PV!$A$2:$A$44)+(0*7),Fact_Actual_Costs!$A$2:$A$100,"&lt;"&amp;MIN(Fact_Baseline_PV!$A$2:$A$44)+((0+1)*7))</f>
        <v>1.05</v>
      </c>
      <c r="F5" s="67">
        <f>SUMIFS(Fact_Actual_Costs!$E$2:$E$100,Fact_Actual_Costs!$B$2:$B$100,$A5,Fact_Actual_Costs!$A$2:$A$100,"&gt;="&amp;MIN(Fact_Baseline_PV!$A$2:$A$44)+(1*7),Fact_Actual_Costs!$A$2:$A$100,"&lt;"&amp;MIN(Fact_Baseline_PV!$A$2:$A$44)+((1+1)*7))</f>
        <v>1.05</v>
      </c>
      <c r="G5" s="67">
        <f>SUMIFS(Fact_Actual_Costs!$E$2:$E$100,Fact_Actual_Costs!$B$2:$B$100,$A5,Fact_Actual_Costs!$A$2:$A$100,"&gt;="&amp;MIN(Fact_Baseline_PV!$A$2:$A$44)+(2*7),Fact_Actual_Costs!$A$2:$A$100,"&lt;"&amp;MIN(Fact_Baseline_PV!$A$2:$A$44)+((2+1)*7))</f>
        <v>1.05</v>
      </c>
      <c r="H5" s="67">
        <f>SUMIFS(Fact_Actual_Costs!$E$2:$E$100,Fact_Actual_Costs!$B$2:$B$100,$A5,Fact_Actual_Costs!$A$2:$A$100,"&gt;="&amp;MIN(Fact_Baseline_PV!$A$2:$A$44)+(3*7),Fact_Actual_Costs!$A$2:$A$100,"&lt;"&amp;MIN(Fact_Baseline_PV!$A$2:$A$44)+((3+1)*7))</f>
        <v>1.05</v>
      </c>
      <c r="I5" s="67">
        <f>SUMIFS(Fact_Actual_Costs!$E$2:$E$100,Fact_Actual_Costs!$B$2:$B$100,$A5,Fact_Actual_Costs!$A$2:$A$100,"&gt;="&amp;MIN(Fact_Baseline_PV!$A$2:$A$44)+(4*7),Fact_Actual_Costs!$A$2:$A$100,"&lt;"&amp;MIN(Fact_Baseline_PV!$A$2:$A$44)+((4+1)*7))</f>
        <v>1.05</v>
      </c>
      <c r="J5" s="67">
        <f>SUMIFS(Fact_Actual_Costs!$E$2:$E$100,Fact_Actual_Costs!$B$2:$B$100,$A5,Fact_Actual_Costs!$A$2:$A$100,"&gt;="&amp;MIN(Fact_Baseline_PV!$A$2:$A$44)+(5*7),Fact_Actual_Costs!$A$2:$A$100,"&lt;"&amp;MIN(Fact_Baseline_PV!$A$2:$A$44)+((5+1)*7))</f>
        <v>1.05</v>
      </c>
      <c r="K5" s="67">
        <f>SUMIFS(Fact_Actual_Costs!$E$2:$E$100,Fact_Actual_Costs!$B$2:$B$100,$A5,Fact_Actual_Costs!$A$2:$A$100,"&gt;="&amp;MIN(Fact_Baseline_PV!$A$2:$A$44)+(6*7),Fact_Actual_Costs!$A$2:$A$100,"&lt;"&amp;MIN(Fact_Baseline_PV!$A$2:$A$44)+((6+1)*7))</f>
        <v>0</v>
      </c>
      <c r="L5" s="67">
        <f>SUMIFS(Fact_Actual_Costs!$E$2:$E$100,Fact_Actual_Costs!$B$2:$B$100,$A5,Fact_Actual_Costs!$A$2:$A$100,"&gt;="&amp;MIN(Fact_Baseline_PV!$A$2:$A$44)+(7*7),Fact_Actual_Costs!$A$2:$A$100,"&lt;"&amp;MIN(Fact_Baseline_PV!$A$2:$A$44)+((7+1)*7))</f>
        <v>0</v>
      </c>
      <c r="M5" s="67">
        <f>SUMIFS(Fact_Actual_Costs!$E$2:$E$100,Fact_Actual_Costs!$B$2:$B$100,$A5,Fact_Actual_Costs!$A$2:$A$100,"&gt;="&amp;MIN(Fact_Baseline_PV!$A$2:$A$44)+(8*7),Fact_Actual_Costs!$A$2:$A$100,"&lt;"&amp;MIN(Fact_Baseline_PV!$A$2:$A$44)+((8+1)*7))</f>
        <v>0</v>
      </c>
      <c r="N5" s="67">
        <f>SUMIFS(Fact_Actual_Costs!$E$2:$E$100,Fact_Actual_Costs!$B$2:$B$100,$A5,Fact_Actual_Costs!$A$2:$A$100,"&gt;="&amp;MIN(Fact_Baseline_PV!$A$2:$A$44)+(9*7),Fact_Actual_Costs!$A$2:$A$100,"&lt;"&amp;MIN(Fact_Baseline_PV!$A$2:$A$44)+((9+1)*7))</f>
        <v>0</v>
      </c>
      <c r="O5" s="67">
        <f>SUMIFS(Fact_Actual_Costs!$E$2:$E$100,Fact_Actual_Costs!$B$2:$B$100,$A5,Fact_Actual_Costs!$A$2:$A$100,"&gt;="&amp;MIN(Fact_Baseline_PV!$A$2:$A$44)+(10*7),Fact_Actual_Costs!$A$2:$A$100,"&lt;"&amp;MIN(Fact_Baseline_PV!$A$2:$A$44)+((10+1)*7))</f>
        <v>0</v>
      </c>
      <c r="P5" s="67">
        <f>SUMIFS(Fact_Actual_Costs!$E$2:$E$100,Fact_Actual_Costs!$B$2:$B$100,$A5,Fact_Actual_Costs!$A$2:$A$100,"&gt;="&amp;MIN(Fact_Baseline_PV!$A$2:$A$44)+(11*7),Fact_Actual_Costs!$A$2:$A$100,"&lt;"&amp;MIN(Fact_Baseline_PV!$A$2:$A$44)+((11+1)*7))</f>
        <v>0</v>
      </c>
      <c r="Q5" s="67">
        <f t="shared" ref="Q5:Q28" si="0">SUM(E5:P5)</f>
        <v>6.3</v>
      </c>
      <c r="R5" s="66">
        <f>VLOOKUP(A5,Dim_WBS!$A$2:$E$13,5,FALSE)</f>
        <v>18000</v>
      </c>
      <c r="S5" s="66">
        <f>SUMIFS(Fact_Actual_Costs!$D$2:$D$100,Fact_Actual_Costs!$B$2:$B$100,A5,Fact_Actual_Costs!$A$2:$A$100,"&lt;="&amp;Setup!$B$9)</f>
        <v>9600</v>
      </c>
      <c r="T5" s="66">
        <f t="shared" ref="T5:T28" si="1">R5-S5</f>
        <v>8400</v>
      </c>
      <c r="U5" s="67">
        <f>IFERROR((R5*VLOOKUP(A5,'Task Plan'!$A$5:$K$16,11,FALSE))/S5,1)</f>
        <v>0.9375</v>
      </c>
      <c r="V5" s="2" t="str">
        <f>IF(U5&lt;Setup!$B$12,"Red",IF(U5&lt;Setup!$B$13,"Amber","Green"))</f>
        <v>Red</v>
      </c>
      <c r="W5" s="2" t="s">
        <v>430</v>
      </c>
      <c r="X5" s="2" t="s">
        <v>549</v>
      </c>
      <c r="Y5" s="2"/>
      <c r="Z5" s="2"/>
    </row>
    <row r="6" spans="1:26" x14ac:dyDescent="0.35">
      <c r="A6" s="2" t="str">
        <f>Dim_WBS!A2</f>
        <v>WBS-01</v>
      </c>
      <c r="B6" s="2" t="str">
        <f>Dim_WBS!C2</f>
        <v>Project Management</v>
      </c>
      <c r="C6" s="2" t="str">
        <f>Dim_WBS!D2</f>
        <v>Labor</v>
      </c>
      <c r="D6" s="2" t="s">
        <v>550</v>
      </c>
      <c r="E6" s="67">
        <f>SUMIFS(Fact_Actual_Costs!$D$2:$D$100,Fact_Actual_Costs!$B$2:$B$100,$A6,Fact_Actual_Costs!$A$2:$A$100,"&gt;="&amp;MIN(Fact_Baseline_PV!$A$2:$A$44)+(0*7),Fact_Actual_Costs!$A$2:$A$100,"&lt;"&amp;MIN(Fact_Baseline_PV!$A$2:$A$44)+((0+1)*7))</f>
        <v>1600</v>
      </c>
      <c r="F6" s="67">
        <f>SUMIFS(Fact_Actual_Costs!$D$2:$D$100,Fact_Actual_Costs!$B$2:$B$100,$A6,Fact_Actual_Costs!$A$2:$A$100,"&gt;="&amp;MIN(Fact_Baseline_PV!$A$2:$A$44)+(1*7),Fact_Actual_Costs!$A$2:$A$100,"&lt;"&amp;MIN(Fact_Baseline_PV!$A$2:$A$44)+((1+1)*7))</f>
        <v>1600</v>
      </c>
      <c r="G6" s="67">
        <f>SUMIFS(Fact_Actual_Costs!$D$2:$D$100,Fact_Actual_Costs!$B$2:$B$100,$A6,Fact_Actual_Costs!$A$2:$A$100,"&gt;="&amp;MIN(Fact_Baseline_PV!$A$2:$A$44)+(2*7),Fact_Actual_Costs!$A$2:$A$100,"&lt;"&amp;MIN(Fact_Baseline_PV!$A$2:$A$44)+((2+1)*7))</f>
        <v>1600</v>
      </c>
      <c r="H6" s="67">
        <f>SUMIFS(Fact_Actual_Costs!$D$2:$D$100,Fact_Actual_Costs!$B$2:$B$100,$A6,Fact_Actual_Costs!$A$2:$A$100,"&gt;="&amp;MIN(Fact_Baseline_PV!$A$2:$A$44)+(3*7),Fact_Actual_Costs!$A$2:$A$100,"&lt;"&amp;MIN(Fact_Baseline_PV!$A$2:$A$44)+((3+1)*7))</f>
        <v>1600</v>
      </c>
      <c r="I6" s="67">
        <f>SUMIFS(Fact_Actual_Costs!$D$2:$D$100,Fact_Actual_Costs!$B$2:$B$100,$A6,Fact_Actual_Costs!$A$2:$A$100,"&gt;="&amp;MIN(Fact_Baseline_PV!$A$2:$A$44)+(4*7),Fact_Actual_Costs!$A$2:$A$100,"&lt;"&amp;MIN(Fact_Baseline_PV!$A$2:$A$44)+((4+1)*7))</f>
        <v>1600</v>
      </c>
      <c r="J6" s="67">
        <f>SUMIFS(Fact_Actual_Costs!$D$2:$D$100,Fact_Actual_Costs!$B$2:$B$100,$A6,Fact_Actual_Costs!$A$2:$A$100,"&gt;="&amp;MIN(Fact_Baseline_PV!$A$2:$A$44)+(5*7),Fact_Actual_Costs!$A$2:$A$100,"&lt;"&amp;MIN(Fact_Baseline_PV!$A$2:$A$44)+((5+1)*7))</f>
        <v>1600</v>
      </c>
      <c r="K6" s="67">
        <f>SUMIFS(Fact_Actual_Costs!$D$2:$D$100,Fact_Actual_Costs!$B$2:$B$100,$A6,Fact_Actual_Costs!$A$2:$A$100,"&gt;="&amp;MIN(Fact_Baseline_PV!$A$2:$A$44)+(6*7),Fact_Actual_Costs!$A$2:$A$100,"&lt;"&amp;MIN(Fact_Baseline_PV!$A$2:$A$44)+((6+1)*7))</f>
        <v>0</v>
      </c>
      <c r="L6" s="67">
        <f>SUMIFS(Fact_Actual_Costs!$D$2:$D$100,Fact_Actual_Costs!$B$2:$B$100,$A6,Fact_Actual_Costs!$A$2:$A$100,"&gt;="&amp;MIN(Fact_Baseline_PV!$A$2:$A$44)+(7*7),Fact_Actual_Costs!$A$2:$A$100,"&lt;"&amp;MIN(Fact_Baseline_PV!$A$2:$A$44)+((7+1)*7))</f>
        <v>0</v>
      </c>
      <c r="M6" s="67">
        <f>SUMIFS(Fact_Actual_Costs!$D$2:$D$100,Fact_Actual_Costs!$B$2:$B$100,$A6,Fact_Actual_Costs!$A$2:$A$100,"&gt;="&amp;MIN(Fact_Baseline_PV!$A$2:$A$44)+(8*7),Fact_Actual_Costs!$A$2:$A$100,"&lt;"&amp;MIN(Fact_Baseline_PV!$A$2:$A$44)+((8+1)*7))</f>
        <v>0</v>
      </c>
      <c r="N6" s="67">
        <f>SUMIFS(Fact_Actual_Costs!$D$2:$D$100,Fact_Actual_Costs!$B$2:$B$100,$A6,Fact_Actual_Costs!$A$2:$A$100,"&gt;="&amp;MIN(Fact_Baseline_PV!$A$2:$A$44)+(9*7),Fact_Actual_Costs!$A$2:$A$100,"&lt;"&amp;MIN(Fact_Baseline_PV!$A$2:$A$44)+((9+1)*7))</f>
        <v>0</v>
      </c>
      <c r="O6" s="67">
        <f>SUMIFS(Fact_Actual_Costs!$D$2:$D$100,Fact_Actual_Costs!$B$2:$B$100,$A6,Fact_Actual_Costs!$A$2:$A$100,"&gt;="&amp;MIN(Fact_Baseline_PV!$A$2:$A$44)+(10*7),Fact_Actual_Costs!$A$2:$A$100,"&lt;"&amp;MIN(Fact_Baseline_PV!$A$2:$A$44)+((10+1)*7))</f>
        <v>0</v>
      </c>
      <c r="P6" s="67">
        <f>SUMIFS(Fact_Actual_Costs!$D$2:$D$100,Fact_Actual_Costs!$B$2:$B$100,$A6,Fact_Actual_Costs!$A$2:$A$100,"&gt;="&amp;MIN(Fact_Baseline_PV!$A$2:$A$44)+(11*7),Fact_Actual_Costs!$A$2:$A$100,"&lt;"&amp;MIN(Fact_Baseline_PV!$A$2:$A$44)+((11+1)*7))</f>
        <v>0</v>
      </c>
      <c r="Q6" s="67">
        <f t="shared" si="0"/>
        <v>9600</v>
      </c>
      <c r="R6" s="66">
        <f>VLOOKUP(A6,Dim_WBS!$A$2:$E$13,5,FALSE)</f>
        <v>18000</v>
      </c>
      <c r="S6" s="66">
        <f>SUMIFS(Fact_Actual_Costs!$D$2:$D$100,Fact_Actual_Costs!$B$2:$B$100,A6,Fact_Actual_Costs!$A$2:$A$100,"&lt;="&amp;Setup!$B$9)</f>
        <v>9600</v>
      </c>
      <c r="T6" s="66">
        <f t="shared" si="1"/>
        <v>8400</v>
      </c>
      <c r="U6" s="67">
        <f>IFERROR((R6*VLOOKUP(A6,'Task Plan'!$A$5:$K$16,11,FALSE))/S6,1)</f>
        <v>0.9375</v>
      </c>
      <c r="V6" s="2" t="str">
        <f>IF(U6&lt;Setup!$B$12,"Red",IF(U6&lt;Setup!$B$13,"Amber","Green"))</f>
        <v>Red</v>
      </c>
      <c r="W6" s="2" t="s">
        <v>430</v>
      </c>
      <c r="X6" s="2" t="s">
        <v>551</v>
      </c>
      <c r="Y6" s="2"/>
      <c r="Z6" s="2"/>
    </row>
    <row r="7" spans="1:26" x14ac:dyDescent="0.35">
      <c r="A7" s="2" t="str">
        <f>Dim_WBS!A3</f>
        <v>WBS-02</v>
      </c>
      <c r="B7" s="2" t="str">
        <f>Dim_WBS!C3</f>
        <v>Site Survey &amp; Mobilization</v>
      </c>
      <c r="C7" s="2" t="str">
        <f>Dim_WBS!D3</f>
        <v>Labor</v>
      </c>
      <c r="D7" s="2" t="s">
        <v>548</v>
      </c>
      <c r="E7" s="67">
        <f>SUMIFS(Fact_Actual_Costs!$E$2:$E$100,Fact_Actual_Costs!$B$2:$B$100,$A7,Fact_Actual_Costs!$A$2:$A$100,"&gt;="&amp;MIN(Fact_Baseline_PV!$A$2:$A$44)+(0*7),Fact_Actual_Costs!$A$2:$A$100,"&lt;"&amp;MIN(Fact_Baseline_PV!$A$2:$A$44)+((0+1)*7))</f>
        <v>3.95</v>
      </c>
      <c r="F7" s="67">
        <f>SUMIFS(Fact_Actual_Costs!$E$2:$E$100,Fact_Actual_Costs!$B$2:$B$100,$A7,Fact_Actual_Costs!$A$2:$A$100,"&gt;="&amp;MIN(Fact_Baseline_PV!$A$2:$A$44)+(1*7),Fact_Actual_Costs!$A$2:$A$100,"&lt;"&amp;MIN(Fact_Baseline_PV!$A$2:$A$44)+((1+1)*7))</f>
        <v>0</v>
      </c>
      <c r="G7" s="67">
        <f>SUMIFS(Fact_Actual_Costs!$E$2:$E$100,Fact_Actual_Costs!$B$2:$B$100,$A7,Fact_Actual_Costs!$A$2:$A$100,"&gt;="&amp;MIN(Fact_Baseline_PV!$A$2:$A$44)+(2*7),Fact_Actual_Costs!$A$2:$A$100,"&lt;"&amp;MIN(Fact_Baseline_PV!$A$2:$A$44)+((2+1)*7))</f>
        <v>0</v>
      </c>
      <c r="H7" s="67">
        <f>SUMIFS(Fact_Actual_Costs!$E$2:$E$100,Fact_Actual_Costs!$B$2:$B$100,$A7,Fact_Actual_Costs!$A$2:$A$100,"&gt;="&amp;MIN(Fact_Baseline_PV!$A$2:$A$44)+(3*7),Fact_Actual_Costs!$A$2:$A$100,"&lt;"&amp;MIN(Fact_Baseline_PV!$A$2:$A$44)+((3+1)*7))</f>
        <v>0</v>
      </c>
      <c r="I7" s="67">
        <f>SUMIFS(Fact_Actual_Costs!$E$2:$E$100,Fact_Actual_Costs!$B$2:$B$100,$A7,Fact_Actual_Costs!$A$2:$A$100,"&gt;="&amp;MIN(Fact_Baseline_PV!$A$2:$A$44)+(4*7),Fact_Actual_Costs!$A$2:$A$100,"&lt;"&amp;MIN(Fact_Baseline_PV!$A$2:$A$44)+((4+1)*7))</f>
        <v>0</v>
      </c>
      <c r="J7" s="67">
        <f>SUMIFS(Fact_Actual_Costs!$E$2:$E$100,Fact_Actual_Costs!$B$2:$B$100,$A7,Fact_Actual_Costs!$A$2:$A$100,"&gt;="&amp;MIN(Fact_Baseline_PV!$A$2:$A$44)+(5*7),Fact_Actual_Costs!$A$2:$A$100,"&lt;"&amp;MIN(Fact_Baseline_PV!$A$2:$A$44)+((5+1)*7))</f>
        <v>0</v>
      </c>
      <c r="K7" s="67">
        <f>SUMIFS(Fact_Actual_Costs!$E$2:$E$100,Fact_Actual_Costs!$B$2:$B$100,$A7,Fact_Actual_Costs!$A$2:$A$100,"&gt;="&amp;MIN(Fact_Baseline_PV!$A$2:$A$44)+(6*7),Fact_Actual_Costs!$A$2:$A$100,"&lt;"&amp;MIN(Fact_Baseline_PV!$A$2:$A$44)+((6+1)*7))</f>
        <v>0</v>
      </c>
      <c r="L7" s="67">
        <f>SUMIFS(Fact_Actual_Costs!$E$2:$E$100,Fact_Actual_Costs!$B$2:$B$100,$A7,Fact_Actual_Costs!$A$2:$A$100,"&gt;="&amp;MIN(Fact_Baseline_PV!$A$2:$A$44)+(7*7),Fact_Actual_Costs!$A$2:$A$100,"&lt;"&amp;MIN(Fact_Baseline_PV!$A$2:$A$44)+((7+1)*7))</f>
        <v>0</v>
      </c>
      <c r="M7" s="67">
        <f>SUMIFS(Fact_Actual_Costs!$E$2:$E$100,Fact_Actual_Costs!$B$2:$B$100,$A7,Fact_Actual_Costs!$A$2:$A$100,"&gt;="&amp;MIN(Fact_Baseline_PV!$A$2:$A$44)+(8*7),Fact_Actual_Costs!$A$2:$A$100,"&lt;"&amp;MIN(Fact_Baseline_PV!$A$2:$A$44)+((8+1)*7))</f>
        <v>0</v>
      </c>
      <c r="N7" s="67">
        <f>SUMIFS(Fact_Actual_Costs!$E$2:$E$100,Fact_Actual_Costs!$B$2:$B$100,$A7,Fact_Actual_Costs!$A$2:$A$100,"&gt;="&amp;MIN(Fact_Baseline_PV!$A$2:$A$44)+(9*7),Fact_Actual_Costs!$A$2:$A$100,"&lt;"&amp;MIN(Fact_Baseline_PV!$A$2:$A$44)+((9+1)*7))</f>
        <v>0</v>
      </c>
      <c r="O7" s="67">
        <f>SUMIFS(Fact_Actual_Costs!$E$2:$E$100,Fact_Actual_Costs!$B$2:$B$100,$A7,Fact_Actual_Costs!$A$2:$A$100,"&gt;="&amp;MIN(Fact_Baseline_PV!$A$2:$A$44)+(10*7),Fact_Actual_Costs!$A$2:$A$100,"&lt;"&amp;MIN(Fact_Baseline_PV!$A$2:$A$44)+((10+1)*7))</f>
        <v>0</v>
      </c>
      <c r="P7" s="67">
        <f>SUMIFS(Fact_Actual_Costs!$E$2:$E$100,Fact_Actual_Costs!$B$2:$B$100,$A7,Fact_Actual_Costs!$A$2:$A$100,"&gt;="&amp;MIN(Fact_Baseline_PV!$A$2:$A$44)+(11*7),Fact_Actual_Costs!$A$2:$A$100,"&lt;"&amp;MIN(Fact_Baseline_PV!$A$2:$A$44)+((11+1)*7))</f>
        <v>0</v>
      </c>
      <c r="Q7" s="67">
        <f t="shared" si="0"/>
        <v>3.95</v>
      </c>
      <c r="R7" s="66">
        <f>VLOOKUP(A7,Dim_WBS!$A$2:$E$13,5,FALSE)</f>
        <v>8500</v>
      </c>
      <c r="S7" s="66">
        <f>SUMIFS(Fact_Actual_Costs!$D$2:$D$100,Fact_Actual_Costs!$B$2:$B$100,A7,Fact_Actual_Costs!$A$2:$A$100,"&lt;="&amp;Setup!$B$9)</f>
        <v>8700</v>
      </c>
      <c r="T7" s="66">
        <f t="shared" si="1"/>
        <v>-200</v>
      </c>
      <c r="U7" s="67">
        <f>IFERROR((R7*VLOOKUP(A7,'Task Plan'!$A$5:$K$16,11,FALSE))/S7,1)</f>
        <v>0.97701149425287359</v>
      </c>
      <c r="V7" s="2" t="str">
        <f>IF(U7&lt;Setup!$B$12,"Red",IF(U7&lt;Setup!$B$13,"Amber","Green"))</f>
        <v>Amber</v>
      </c>
      <c r="W7" s="2" t="s">
        <v>430</v>
      </c>
      <c r="X7" s="2" t="s">
        <v>549</v>
      </c>
      <c r="Y7" s="2"/>
      <c r="Z7" s="2"/>
    </row>
    <row r="8" spans="1:26" x14ac:dyDescent="0.35">
      <c r="A8" s="2" t="str">
        <f>Dim_WBS!A3</f>
        <v>WBS-02</v>
      </c>
      <c r="B8" s="2" t="str">
        <f>Dim_WBS!C3</f>
        <v>Site Survey &amp; Mobilization</v>
      </c>
      <c r="C8" s="2" t="str">
        <f>Dim_WBS!D3</f>
        <v>Labor</v>
      </c>
      <c r="D8" s="2" t="s">
        <v>550</v>
      </c>
      <c r="E8" s="67">
        <f>SUMIFS(Fact_Actual_Costs!$D$2:$D$100,Fact_Actual_Costs!$B$2:$B$100,$A8,Fact_Actual_Costs!$A$2:$A$100,"&gt;="&amp;MIN(Fact_Baseline_PV!$A$2:$A$44)+(0*7),Fact_Actual_Costs!$A$2:$A$100,"&lt;"&amp;MIN(Fact_Baseline_PV!$A$2:$A$44)+((0+1)*7))</f>
        <v>8700</v>
      </c>
      <c r="F8" s="67">
        <f>SUMIFS(Fact_Actual_Costs!$D$2:$D$100,Fact_Actual_Costs!$B$2:$B$100,$A8,Fact_Actual_Costs!$A$2:$A$100,"&gt;="&amp;MIN(Fact_Baseline_PV!$A$2:$A$44)+(1*7),Fact_Actual_Costs!$A$2:$A$100,"&lt;"&amp;MIN(Fact_Baseline_PV!$A$2:$A$44)+((1+1)*7))</f>
        <v>0</v>
      </c>
      <c r="G8" s="67">
        <f>SUMIFS(Fact_Actual_Costs!$D$2:$D$100,Fact_Actual_Costs!$B$2:$B$100,$A8,Fact_Actual_Costs!$A$2:$A$100,"&gt;="&amp;MIN(Fact_Baseline_PV!$A$2:$A$44)+(2*7),Fact_Actual_Costs!$A$2:$A$100,"&lt;"&amp;MIN(Fact_Baseline_PV!$A$2:$A$44)+((2+1)*7))</f>
        <v>0</v>
      </c>
      <c r="H8" s="67">
        <f>SUMIFS(Fact_Actual_Costs!$D$2:$D$100,Fact_Actual_Costs!$B$2:$B$100,$A8,Fact_Actual_Costs!$A$2:$A$100,"&gt;="&amp;MIN(Fact_Baseline_PV!$A$2:$A$44)+(3*7),Fact_Actual_Costs!$A$2:$A$100,"&lt;"&amp;MIN(Fact_Baseline_PV!$A$2:$A$44)+((3+1)*7))</f>
        <v>0</v>
      </c>
      <c r="I8" s="67">
        <f>SUMIFS(Fact_Actual_Costs!$D$2:$D$100,Fact_Actual_Costs!$B$2:$B$100,$A8,Fact_Actual_Costs!$A$2:$A$100,"&gt;="&amp;MIN(Fact_Baseline_PV!$A$2:$A$44)+(4*7),Fact_Actual_Costs!$A$2:$A$100,"&lt;"&amp;MIN(Fact_Baseline_PV!$A$2:$A$44)+((4+1)*7))</f>
        <v>0</v>
      </c>
      <c r="J8" s="67">
        <f>SUMIFS(Fact_Actual_Costs!$D$2:$D$100,Fact_Actual_Costs!$B$2:$B$100,$A8,Fact_Actual_Costs!$A$2:$A$100,"&gt;="&amp;MIN(Fact_Baseline_PV!$A$2:$A$44)+(5*7),Fact_Actual_Costs!$A$2:$A$100,"&lt;"&amp;MIN(Fact_Baseline_PV!$A$2:$A$44)+((5+1)*7))</f>
        <v>0</v>
      </c>
      <c r="K8" s="67">
        <f>SUMIFS(Fact_Actual_Costs!$D$2:$D$100,Fact_Actual_Costs!$B$2:$B$100,$A8,Fact_Actual_Costs!$A$2:$A$100,"&gt;="&amp;MIN(Fact_Baseline_PV!$A$2:$A$44)+(6*7),Fact_Actual_Costs!$A$2:$A$100,"&lt;"&amp;MIN(Fact_Baseline_PV!$A$2:$A$44)+((6+1)*7))</f>
        <v>0</v>
      </c>
      <c r="L8" s="67">
        <f>SUMIFS(Fact_Actual_Costs!$D$2:$D$100,Fact_Actual_Costs!$B$2:$B$100,$A8,Fact_Actual_Costs!$A$2:$A$100,"&gt;="&amp;MIN(Fact_Baseline_PV!$A$2:$A$44)+(7*7),Fact_Actual_Costs!$A$2:$A$100,"&lt;"&amp;MIN(Fact_Baseline_PV!$A$2:$A$44)+((7+1)*7))</f>
        <v>0</v>
      </c>
      <c r="M8" s="67">
        <f>SUMIFS(Fact_Actual_Costs!$D$2:$D$100,Fact_Actual_Costs!$B$2:$B$100,$A8,Fact_Actual_Costs!$A$2:$A$100,"&gt;="&amp;MIN(Fact_Baseline_PV!$A$2:$A$44)+(8*7),Fact_Actual_Costs!$A$2:$A$100,"&lt;"&amp;MIN(Fact_Baseline_PV!$A$2:$A$44)+((8+1)*7))</f>
        <v>0</v>
      </c>
      <c r="N8" s="67">
        <f>SUMIFS(Fact_Actual_Costs!$D$2:$D$100,Fact_Actual_Costs!$B$2:$B$100,$A8,Fact_Actual_Costs!$A$2:$A$100,"&gt;="&amp;MIN(Fact_Baseline_PV!$A$2:$A$44)+(9*7),Fact_Actual_Costs!$A$2:$A$100,"&lt;"&amp;MIN(Fact_Baseline_PV!$A$2:$A$44)+((9+1)*7))</f>
        <v>0</v>
      </c>
      <c r="O8" s="67">
        <f>SUMIFS(Fact_Actual_Costs!$D$2:$D$100,Fact_Actual_Costs!$B$2:$B$100,$A8,Fact_Actual_Costs!$A$2:$A$100,"&gt;="&amp;MIN(Fact_Baseline_PV!$A$2:$A$44)+(10*7),Fact_Actual_Costs!$A$2:$A$100,"&lt;"&amp;MIN(Fact_Baseline_PV!$A$2:$A$44)+((10+1)*7))</f>
        <v>0</v>
      </c>
      <c r="P8" s="67">
        <f>SUMIFS(Fact_Actual_Costs!$D$2:$D$100,Fact_Actual_Costs!$B$2:$B$100,$A8,Fact_Actual_Costs!$A$2:$A$100,"&gt;="&amp;MIN(Fact_Baseline_PV!$A$2:$A$44)+(11*7),Fact_Actual_Costs!$A$2:$A$100,"&lt;"&amp;MIN(Fact_Baseline_PV!$A$2:$A$44)+((11+1)*7))</f>
        <v>0</v>
      </c>
      <c r="Q8" s="67">
        <f t="shared" si="0"/>
        <v>8700</v>
      </c>
      <c r="R8" s="66">
        <f>VLOOKUP(A8,Dim_WBS!$A$2:$E$13,5,FALSE)</f>
        <v>8500</v>
      </c>
      <c r="S8" s="66">
        <f>SUMIFS(Fact_Actual_Costs!$D$2:$D$100,Fact_Actual_Costs!$B$2:$B$100,A8,Fact_Actual_Costs!$A$2:$A$100,"&lt;="&amp;Setup!$B$9)</f>
        <v>8700</v>
      </c>
      <c r="T8" s="66">
        <f t="shared" si="1"/>
        <v>-200</v>
      </c>
      <c r="U8" s="67">
        <f>IFERROR((R8*VLOOKUP(A8,'Task Plan'!$A$5:$K$16,11,FALSE))/S8,1)</f>
        <v>0.97701149425287359</v>
      </c>
      <c r="V8" s="2" t="str">
        <f>IF(U8&lt;Setup!$B$12,"Red",IF(U8&lt;Setup!$B$13,"Amber","Green"))</f>
        <v>Amber</v>
      </c>
      <c r="W8" s="2" t="s">
        <v>430</v>
      </c>
      <c r="X8" s="2" t="s">
        <v>551</v>
      </c>
      <c r="Y8" s="2"/>
      <c r="Z8" s="2"/>
    </row>
    <row r="9" spans="1:26" x14ac:dyDescent="0.35">
      <c r="A9" s="2" t="str">
        <f>Dim_WBS!A4</f>
        <v>WBS-03</v>
      </c>
      <c r="B9" s="2" t="str">
        <f>Dim_WBS!C4</f>
        <v>Design &amp; Engineering</v>
      </c>
      <c r="C9" s="2" t="str">
        <f>Dim_WBS!D4</f>
        <v>Labor</v>
      </c>
      <c r="D9" s="2" t="s">
        <v>548</v>
      </c>
      <c r="E9" s="67">
        <f>SUMIFS(Fact_Actual_Costs!$E$2:$E$100,Fact_Actual_Costs!$B$2:$B$100,$A9,Fact_Actual_Costs!$A$2:$A$100,"&gt;="&amp;MIN(Fact_Baseline_PV!$A$2:$A$44)+(0*7),Fact_Actual_Costs!$A$2:$A$100,"&lt;"&amp;MIN(Fact_Baseline_PV!$A$2:$A$44)+((0+1)*7))</f>
        <v>2.5</v>
      </c>
      <c r="F9" s="67">
        <f>SUMIFS(Fact_Actual_Costs!$E$2:$E$100,Fact_Actual_Costs!$B$2:$B$100,$A9,Fact_Actual_Costs!$A$2:$A$100,"&gt;="&amp;MIN(Fact_Baseline_PV!$A$2:$A$44)+(1*7),Fact_Actual_Costs!$A$2:$A$100,"&lt;"&amp;MIN(Fact_Baseline_PV!$A$2:$A$44)+((1+1)*7))</f>
        <v>2.5</v>
      </c>
      <c r="G9" s="67">
        <f>SUMIFS(Fact_Actual_Costs!$E$2:$E$100,Fact_Actual_Costs!$B$2:$B$100,$A9,Fact_Actual_Costs!$A$2:$A$100,"&gt;="&amp;MIN(Fact_Baseline_PV!$A$2:$A$44)+(2*7),Fact_Actual_Costs!$A$2:$A$100,"&lt;"&amp;MIN(Fact_Baseline_PV!$A$2:$A$44)+((2+1)*7))</f>
        <v>2.6</v>
      </c>
      <c r="H9" s="67">
        <f>SUMIFS(Fact_Actual_Costs!$E$2:$E$100,Fact_Actual_Costs!$B$2:$B$100,$A9,Fact_Actual_Costs!$A$2:$A$100,"&gt;="&amp;MIN(Fact_Baseline_PV!$A$2:$A$44)+(3*7),Fact_Actual_Costs!$A$2:$A$100,"&lt;"&amp;MIN(Fact_Baseline_PV!$A$2:$A$44)+((3+1)*7))</f>
        <v>0</v>
      </c>
      <c r="I9" s="67">
        <f>SUMIFS(Fact_Actual_Costs!$E$2:$E$100,Fact_Actual_Costs!$B$2:$B$100,$A9,Fact_Actual_Costs!$A$2:$A$100,"&gt;="&amp;MIN(Fact_Baseline_PV!$A$2:$A$44)+(4*7),Fact_Actual_Costs!$A$2:$A$100,"&lt;"&amp;MIN(Fact_Baseline_PV!$A$2:$A$44)+((4+1)*7))</f>
        <v>0</v>
      </c>
      <c r="J9" s="67">
        <f>SUMIFS(Fact_Actual_Costs!$E$2:$E$100,Fact_Actual_Costs!$B$2:$B$100,$A9,Fact_Actual_Costs!$A$2:$A$100,"&gt;="&amp;MIN(Fact_Baseline_PV!$A$2:$A$44)+(5*7),Fact_Actual_Costs!$A$2:$A$100,"&lt;"&amp;MIN(Fact_Baseline_PV!$A$2:$A$44)+((5+1)*7))</f>
        <v>0</v>
      </c>
      <c r="K9" s="67">
        <f>SUMIFS(Fact_Actual_Costs!$E$2:$E$100,Fact_Actual_Costs!$B$2:$B$100,$A9,Fact_Actual_Costs!$A$2:$A$100,"&gt;="&amp;MIN(Fact_Baseline_PV!$A$2:$A$44)+(6*7),Fact_Actual_Costs!$A$2:$A$100,"&lt;"&amp;MIN(Fact_Baseline_PV!$A$2:$A$44)+((6+1)*7))</f>
        <v>0</v>
      </c>
      <c r="L9" s="67">
        <f>SUMIFS(Fact_Actual_Costs!$E$2:$E$100,Fact_Actual_Costs!$B$2:$B$100,$A9,Fact_Actual_Costs!$A$2:$A$100,"&gt;="&amp;MIN(Fact_Baseline_PV!$A$2:$A$44)+(7*7),Fact_Actual_Costs!$A$2:$A$100,"&lt;"&amp;MIN(Fact_Baseline_PV!$A$2:$A$44)+((7+1)*7))</f>
        <v>0</v>
      </c>
      <c r="M9" s="67">
        <f>SUMIFS(Fact_Actual_Costs!$E$2:$E$100,Fact_Actual_Costs!$B$2:$B$100,$A9,Fact_Actual_Costs!$A$2:$A$100,"&gt;="&amp;MIN(Fact_Baseline_PV!$A$2:$A$44)+(8*7),Fact_Actual_Costs!$A$2:$A$100,"&lt;"&amp;MIN(Fact_Baseline_PV!$A$2:$A$44)+((8+1)*7))</f>
        <v>0</v>
      </c>
      <c r="N9" s="67">
        <f>SUMIFS(Fact_Actual_Costs!$E$2:$E$100,Fact_Actual_Costs!$B$2:$B$100,$A9,Fact_Actual_Costs!$A$2:$A$100,"&gt;="&amp;MIN(Fact_Baseline_PV!$A$2:$A$44)+(9*7),Fact_Actual_Costs!$A$2:$A$100,"&lt;"&amp;MIN(Fact_Baseline_PV!$A$2:$A$44)+((9+1)*7))</f>
        <v>0</v>
      </c>
      <c r="O9" s="67">
        <f>SUMIFS(Fact_Actual_Costs!$E$2:$E$100,Fact_Actual_Costs!$B$2:$B$100,$A9,Fact_Actual_Costs!$A$2:$A$100,"&gt;="&amp;MIN(Fact_Baseline_PV!$A$2:$A$44)+(10*7),Fact_Actual_Costs!$A$2:$A$100,"&lt;"&amp;MIN(Fact_Baseline_PV!$A$2:$A$44)+((10+1)*7))</f>
        <v>0</v>
      </c>
      <c r="P9" s="67">
        <f>SUMIFS(Fact_Actual_Costs!$E$2:$E$100,Fact_Actual_Costs!$B$2:$B$100,$A9,Fact_Actual_Costs!$A$2:$A$100,"&gt;="&amp;MIN(Fact_Baseline_PV!$A$2:$A$44)+(11*7),Fact_Actual_Costs!$A$2:$A$100,"&lt;"&amp;MIN(Fact_Baseline_PV!$A$2:$A$44)+((11+1)*7))</f>
        <v>0</v>
      </c>
      <c r="Q9" s="67">
        <f t="shared" si="0"/>
        <v>7.6</v>
      </c>
      <c r="R9" s="66">
        <f>VLOOKUP(A9,Dim_WBS!$A$2:$E$13,5,FALSE)</f>
        <v>19200</v>
      </c>
      <c r="S9" s="66">
        <f>SUMIFS(Fact_Actual_Costs!$D$2:$D$100,Fact_Actual_Costs!$B$2:$B$100,A9,Fact_Actual_Costs!$A$2:$A$100,"&lt;="&amp;Setup!$B$9)</f>
        <v>18195.04</v>
      </c>
      <c r="T9" s="66">
        <f t="shared" si="1"/>
        <v>1004.9599999999991</v>
      </c>
      <c r="U9" s="67">
        <f>IFERROR((R9*VLOOKUP(A9,'Task Plan'!$A$5:$K$16,11,FALSE))/S9,1)</f>
        <v>1.055232634827953</v>
      </c>
      <c r="V9" s="2" t="str">
        <f>IF(U9&lt;Setup!$B$12,"Red",IF(U9&lt;Setup!$B$13,"Amber","Green"))</f>
        <v>Green</v>
      </c>
      <c r="W9" s="2" t="s">
        <v>430</v>
      </c>
      <c r="X9" s="2" t="s">
        <v>549</v>
      </c>
      <c r="Y9" s="2"/>
      <c r="Z9" s="2"/>
    </row>
    <row r="10" spans="1:26" x14ac:dyDescent="0.35">
      <c r="A10" s="2" t="str">
        <f>Dim_WBS!A4</f>
        <v>WBS-03</v>
      </c>
      <c r="B10" s="2" t="str">
        <f>Dim_WBS!C4</f>
        <v>Design &amp; Engineering</v>
      </c>
      <c r="C10" s="2" t="str">
        <f>Dim_WBS!D4</f>
        <v>Labor</v>
      </c>
      <c r="D10" s="2" t="s">
        <v>550</v>
      </c>
      <c r="E10" s="67">
        <f>SUMIFS(Fact_Actual_Costs!$D$2:$D$100,Fact_Actual_Costs!$B$2:$B$100,$A10,Fact_Actual_Costs!$A$2:$A$100,"&gt;="&amp;MIN(Fact_Baseline_PV!$A$2:$A$44)+(0*7),Fact_Actual_Costs!$A$2:$A$100,"&lt;"&amp;MIN(Fact_Baseline_PV!$A$2:$A$44)+((0+1)*7))</f>
        <v>5995.04</v>
      </c>
      <c r="F10" s="67">
        <f>SUMIFS(Fact_Actual_Costs!$D$2:$D$100,Fact_Actual_Costs!$B$2:$B$100,$A10,Fact_Actual_Costs!$A$2:$A$100,"&gt;="&amp;MIN(Fact_Baseline_PV!$A$2:$A$44)+(1*7),Fact_Actual_Costs!$A$2:$A$100,"&lt;"&amp;MIN(Fact_Baseline_PV!$A$2:$A$44)+((1+1)*7))</f>
        <v>6000</v>
      </c>
      <c r="G10" s="67">
        <f>SUMIFS(Fact_Actual_Costs!$D$2:$D$100,Fact_Actual_Costs!$B$2:$B$100,$A10,Fact_Actual_Costs!$A$2:$A$100,"&gt;="&amp;MIN(Fact_Baseline_PV!$A$2:$A$44)+(2*7),Fact_Actual_Costs!$A$2:$A$100,"&lt;"&amp;MIN(Fact_Baseline_PV!$A$2:$A$44)+((2+1)*7))</f>
        <v>6200</v>
      </c>
      <c r="H10" s="67">
        <f>SUMIFS(Fact_Actual_Costs!$D$2:$D$100,Fact_Actual_Costs!$B$2:$B$100,$A10,Fact_Actual_Costs!$A$2:$A$100,"&gt;="&amp;MIN(Fact_Baseline_PV!$A$2:$A$44)+(3*7),Fact_Actual_Costs!$A$2:$A$100,"&lt;"&amp;MIN(Fact_Baseline_PV!$A$2:$A$44)+((3+1)*7))</f>
        <v>0</v>
      </c>
      <c r="I10" s="67">
        <f>SUMIFS(Fact_Actual_Costs!$D$2:$D$100,Fact_Actual_Costs!$B$2:$B$100,$A10,Fact_Actual_Costs!$A$2:$A$100,"&gt;="&amp;MIN(Fact_Baseline_PV!$A$2:$A$44)+(4*7),Fact_Actual_Costs!$A$2:$A$100,"&lt;"&amp;MIN(Fact_Baseline_PV!$A$2:$A$44)+((4+1)*7))</f>
        <v>0</v>
      </c>
      <c r="J10" s="67">
        <f>SUMIFS(Fact_Actual_Costs!$D$2:$D$100,Fact_Actual_Costs!$B$2:$B$100,$A10,Fact_Actual_Costs!$A$2:$A$100,"&gt;="&amp;MIN(Fact_Baseline_PV!$A$2:$A$44)+(5*7),Fact_Actual_Costs!$A$2:$A$100,"&lt;"&amp;MIN(Fact_Baseline_PV!$A$2:$A$44)+((5+1)*7))</f>
        <v>0</v>
      </c>
      <c r="K10" s="67">
        <f>SUMIFS(Fact_Actual_Costs!$D$2:$D$100,Fact_Actual_Costs!$B$2:$B$100,$A10,Fact_Actual_Costs!$A$2:$A$100,"&gt;="&amp;MIN(Fact_Baseline_PV!$A$2:$A$44)+(6*7),Fact_Actual_Costs!$A$2:$A$100,"&lt;"&amp;MIN(Fact_Baseline_PV!$A$2:$A$44)+((6+1)*7))</f>
        <v>0</v>
      </c>
      <c r="L10" s="67">
        <f>SUMIFS(Fact_Actual_Costs!$D$2:$D$100,Fact_Actual_Costs!$B$2:$B$100,$A10,Fact_Actual_Costs!$A$2:$A$100,"&gt;="&amp;MIN(Fact_Baseline_PV!$A$2:$A$44)+(7*7),Fact_Actual_Costs!$A$2:$A$100,"&lt;"&amp;MIN(Fact_Baseline_PV!$A$2:$A$44)+((7+1)*7))</f>
        <v>0</v>
      </c>
      <c r="M10" s="67">
        <f>SUMIFS(Fact_Actual_Costs!$D$2:$D$100,Fact_Actual_Costs!$B$2:$B$100,$A10,Fact_Actual_Costs!$A$2:$A$100,"&gt;="&amp;MIN(Fact_Baseline_PV!$A$2:$A$44)+(8*7),Fact_Actual_Costs!$A$2:$A$100,"&lt;"&amp;MIN(Fact_Baseline_PV!$A$2:$A$44)+((8+1)*7))</f>
        <v>0</v>
      </c>
      <c r="N10" s="67">
        <f>SUMIFS(Fact_Actual_Costs!$D$2:$D$100,Fact_Actual_Costs!$B$2:$B$100,$A10,Fact_Actual_Costs!$A$2:$A$100,"&gt;="&amp;MIN(Fact_Baseline_PV!$A$2:$A$44)+(9*7),Fact_Actual_Costs!$A$2:$A$100,"&lt;"&amp;MIN(Fact_Baseline_PV!$A$2:$A$44)+((9+1)*7))</f>
        <v>0</v>
      </c>
      <c r="O10" s="67">
        <f>SUMIFS(Fact_Actual_Costs!$D$2:$D$100,Fact_Actual_Costs!$B$2:$B$100,$A10,Fact_Actual_Costs!$A$2:$A$100,"&gt;="&amp;MIN(Fact_Baseline_PV!$A$2:$A$44)+(10*7),Fact_Actual_Costs!$A$2:$A$100,"&lt;"&amp;MIN(Fact_Baseline_PV!$A$2:$A$44)+((10+1)*7))</f>
        <v>0</v>
      </c>
      <c r="P10" s="67">
        <f>SUMIFS(Fact_Actual_Costs!$D$2:$D$100,Fact_Actual_Costs!$B$2:$B$100,$A10,Fact_Actual_Costs!$A$2:$A$100,"&gt;="&amp;MIN(Fact_Baseline_PV!$A$2:$A$44)+(11*7),Fact_Actual_Costs!$A$2:$A$100,"&lt;"&amp;MIN(Fact_Baseline_PV!$A$2:$A$44)+((11+1)*7))</f>
        <v>0</v>
      </c>
      <c r="Q10" s="67">
        <f t="shared" si="0"/>
        <v>18195.04</v>
      </c>
      <c r="R10" s="66">
        <f>VLOOKUP(A10,Dim_WBS!$A$2:$E$13,5,FALSE)</f>
        <v>19200</v>
      </c>
      <c r="S10" s="66">
        <f>SUMIFS(Fact_Actual_Costs!$D$2:$D$100,Fact_Actual_Costs!$B$2:$B$100,A10,Fact_Actual_Costs!$A$2:$A$100,"&lt;="&amp;Setup!$B$9)</f>
        <v>18195.04</v>
      </c>
      <c r="T10" s="66">
        <f t="shared" si="1"/>
        <v>1004.9599999999991</v>
      </c>
      <c r="U10" s="67">
        <f>IFERROR((R10*VLOOKUP(A10,'Task Plan'!$A$5:$K$16,11,FALSE))/S10,1)</f>
        <v>1.055232634827953</v>
      </c>
      <c r="V10" s="2" t="str">
        <f>IF(U10&lt;Setup!$B$12,"Red",IF(U10&lt;Setup!$B$13,"Amber","Green"))</f>
        <v>Green</v>
      </c>
      <c r="W10" s="2" t="s">
        <v>430</v>
      </c>
      <c r="X10" s="2" t="s">
        <v>551</v>
      </c>
      <c r="Y10" s="2"/>
      <c r="Z10" s="2"/>
    </row>
    <row r="11" spans="1:26" x14ac:dyDescent="0.35">
      <c r="A11" s="2" t="str">
        <f>Dim_WBS!A5</f>
        <v>WBS-04</v>
      </c>
      <c r="B11" s="2" t="str">
        <f>Dim_WBS!C5</f>
        <v>Procurement - Materials</v>
      </c>
      <c r="C11" s="2" t="str">
        <f>Dim_WBS!D5</f>
        <v>Material</v>
      </c>
      <c r="D11" s="2" t="s">
        <v>548</v>
      </c>
      <c r="E11" s="67">
        <f>SUMIFS(Fact_Actual_Costs!$E$2:$E$100,Fact_Actual_Costs!$B$2:$B$100,$A11,Fact_Actual_Costs!$A$2:$A$100,"&gt;="&amp;MIN(Fact_Baseline_PV!$A$2:$A$44)+(0*7),Fact_Actual_Costs!$A$2:$A$100,"&lt;"&amp;MIN(Fact_Baseline_PV!$A$2:$A$44)+((0+1)*7))</f>
        <v>0</v>
      </c>
      <c r="F11" s="67">
        <f>SUMIFS(Fact_Actual_Costs!$E$2:$E$100,Fact_Actual_Costs!$B$2:$B$100,$A11,Fact_Actual_Costs!$A$2:$A$100,"&gt;="&amp;MIN(Fact_Baseline_PV!$A$2:$A$44)+(1*7),Fact_Actual_Costs!$A$2:$A$100,"&lt;"&amp;MIN(Fact_Baseline_PV!$A$2:$A$44)+((1+1)*7))</f>
        <v>0</v>
      </c>
      <c r="G11" s="67">
        <f>SUMIFS(Fact_Actual_Costs!$E$2:$E$100,Fact_Actual_Costs!$B$2:$B$100,$A11,Fact_Actual_Costs!$A$2:$A$100,"&gt;="&amp;MIN(Fact_Baseline_PV!$A$2:$A$44)+(2*7),Fact_Actual_Costs!$A$2:$A$100,"&lt;"&amp;MIN(Fact_Baseline_PV!$A$2:$A$44)+((2+1)*7))</f>
        <v>0</v>
      </c>
      <c r="H11" s="67">
        <f>SUMIFS(Fact_Actual_Costs!$E$2:$E$100,Fact_Actual_Costs!$B$2:$B$100,$A11,Fact_Actual_Costs!$A$2:$A$100,"&gt;="&amp;MIN(Fact_Baseline_PV!$A$2:$A$44)+(3*7),Fact_Actual_Costs!$A$2:$A$100,"&lt;"&amp;MIN(Fact_Baseline_PV!$A$2:$A$44)+((3+1)*7))</f>
        <v>0</v>
      </c>
      <c r="I11" s="67">
        <f>SUMIFS(Fact_Actual_Costs!$E$2:$E$100,Fact_Actual_Costs!$B$2:$B$100,$A11,Fact_Actual_Costs!$A$2:$A$100,"&gt;="&amp;MIN(Fact_Baseline_PV!$A$2:$A$44)+(4*7),Fact_Actual_Costs!$A$2:$A$100,"&lt;"&amp;MIN(Fact_Baseline_PV!$A$2:$A$44)+((4+1)*7))</f>
        <v>0</v>
      </c>
      <c r="J11" s="67">
        <f>SUMIFS(Fact_Actual_Costs!$E$2:$E$100,Fact_Actual_Costs!$B$2:$B$100,$A11,Fact_Actual_Costs!$A$2:$A$100,"&gt;="&amp;MIN(Fact_Baseline_PV!$A$2:$A$44)+(5*7),Fact_Actual_Costs!$A$2:$A$100,"&lt;"&amp;MIN(Fact_Baseline_PV!$A$2:$A$44)+((5+1)*7))</f>
        <v>0</v>
      </c>
      <c r="K11" s="67">
        <f>SUMIFS(Fact_Actual_Costs!$E$2:$E$100,Fact_Actual_Costs!$B$2:$B$100,$A11,Fact_Actual_Costs!$A$2:$A$100,"&gt;="&amp;MIN(Fact_Baseline_PV!$A$2:$A$44)+(6*7),Fact_Actual_Costs!$A$2:$A$100,"&lt;"&amp;MIN(Fact_Baseline_PV!$A$2:$A$44)+((6+1)*7))</f>
        <v>0</v>
      </c>
      <c r="L11" s="67">
        <f>SUMIFS(Fact_Actual_Costs!$E$2:$E$100,Fact_Actual_Costs!$B$2:$B$100,$A11,Fact_Actual_Costs!$A$2:$A$100,"&gt;="&amp;MIN(Fact_Baseline_PV!$A$2:$A$44)+(7*7),Fact_Actual_Costs!$A$2:$A$100,"&lt;"&amp;MIN(Fact_Baseline_PV!$A$2:$A$44)+((7+1)*7))</f>
        <v>0</v>
      </c>
      <c r="M11" s="67">
        <f>SUMIFS(Fact_Actual_Costs!$E$2:$E$100,Fact_Actual_Costs!$B$2:$B$100,$A11,Fact_Actual_Costs!$A$2:$A$100,"&gt;="&amp;MIN(Fact_Baseline_PV!$A$2:$A$44)+(8*7),Fact_Actual_Costs!$A$2:$A$100,"&lt;"&amp;MIN(Fact_Baseline_PV!$A$2:$A$44)+((8+1)*7))</f>
        <v>0</v>
      </c>
      <c r="N11" s="67">
        <f>SUMIFS(Fact_Actual_Costs!$E$2:$E$100,Fact_Actual_Costs!$B$2:$B$100,$A11,Fact_Actual_Costs!$A$2:$A$100,"&gt;="&amp;MIN(Fact_Baseline_PV!$A$2:$A$44)+(9*7),Fact_Actual_Costs!$A$2:$A$100,"&lt;"&amp;MIN(Fact_Baseline_PV!$A$2:$A$44)+((9+1)*7))</f>
        <v>0</v>
      </c>
      <c r="O11" s="67">
        <f>SUMIFS(Fact_Actual_Costs!$E$2:$E$100,Fact_Actual_Costs!$B$2:$B$100,$A11,Fact_Actual_Costs!$A$2:$A$100,"&gt;="&amp;MIN(Fact_Baseline_PV!$A$2:$A$44)+(10*7),Fact_Actual_Costs!$A$2:$A$100,"&lt;"&amp;MIN(Fact_Baseline_PV!$A$2:$A$44)+((10+1)*7))</f>
        <v>0</v>
      </c>
      <c r="P11" s="67">
        <f>SUMIFS(Fact_Actual_Costs!$E$2:$E$100,Fact_Actual_Costs!$B$2:$B$100,$A11,Fact_Actual_Costs!$A$2:$A$100,"&gt;="&amp;MIN(Fact_Baseline_PV!$A$2:$A$44)+(11*7),Fact_Actual_Costs!$A$2:$A$100,"&lt;"&amp;MIN(Fact_Baseline_PV!$A$2:$A$44)+((11+1)*7))</f>
        <v>0</v>
      </c>
      <c r="Q11" s="67">
        <f t="shared" si="0"/>
        <v>0</v>
      </c>
      <c r="R11" s="66">
        <f>VLOOKUP(A11,Dim_WBS!$A$2:$E$13,5,FALSE)</f>
        <v>42000</v>
      </c>
      <c r="S11" s="66">
        <f>SUMIFS(Fact_Actual_Costs!$D$2:$D$100,Fact_Actual_Costs!$B$2:$B$100,A11,Fact_Actual_Costs!$A$2:$A$100,"&lt;="&amp;Setup!$B$9)</f>
        <v>41300</v>
      </c>
      <c r="T11" s="66">
        <f t="shared" si="1"/>
        <v>700</v>
      </c>
      <c r="U11" s="67">
        <f>IFERROR((R11*VLOOKUP(A11,'Task Plan'!$A$5:$K$16,11,FALSE))/S11,1)</f>
        <v>1.0169491525423728</v>
      </c>
      <c r="V11" s="2" t="str">
        <f>IF(U11&lt;Setup!$B$12,"Red",IF(U11&lt;Setup!$B$13,"Amber","Green"))</f>
        <v>Green</v>
      </c>
      <c r="W11" s="2" t="s">
        <v>430</v>
      </c>
      <c r="X11" s="2" t="s">
        <v>549</v>
      </c>
      <c r="Y11" s="2"/>
      <c r="Z11" s="2"/>
    </row>
    <row r="12" spans="1:26" x14ac:dyDescent="0.35">
      <c r="A12" s="2" t="str">
        <f>Dim_WBS!A5</f>
        <v>WBS-04</v>
      </c>
      <c r="B12" s="2" t="str">
        <f>Dim_WBS!C5</f>
        <v>Procurement - Materials</v>
      </c>
      <c r="C12" s="2" t="str">
        <f>Dim_WBS!D5</f>
        <v>Material</v>
      </c>
      <c r="D12" s="2" t="s">
        <v>550</v>
      </c>
      <c r="E12" s="67">
        <f>SUMIFS(Fact_Actual_Costs!$D$2:$D$100,Fact_Actual_Costs!$B$2:$B$100,$A12,Fact_Actual_Costs!$A$2:$A$100,"&gt;="&amp;MIN(Fact_Baseline_PV!$A$2:$A$44)+(0*7),Fact_Actual_Costs!$A$2:$A$100,"&lt;"&amp;MIN(Fact_Baseline_PV!$A$2:$A$44)+((0+1)*7))</f>
        <v>0</v>
      </c>
      <c r="F12" s="67">
        <f>SUMIFS(Fact_Actual_Costs!$D$2:$D$100,Fact_Actual_Costs!$B$2:$B$100,$A12,Fact_Actual_Costs!$A$2:$A$100,"&gt;="&amp;MIN(Fact_Baseline_PV!$A$2:$A$44)+(1*7),Fact_Actual_Costs!$A$2:$A$100,"&lt;"&amp;MIN(Fact_Baseline_PV!$A$2:$A$44)+((1+1)*7))</f>
        <v>10500</v>
      </c>
      <c r="G12" s="67">
        <f>SUMIFS(Fact_Actual_Costs!$D$2:$D$100,Fact_Actual_Costs!$B$2:$B$100,$A12,Fact_Actual_Costs!$A$2:$A$100,"&gt;="&amp;MIN(Fact_Baseline_PV!$A$2:$A$44)+(2*7),Fact_Actual_Costs!$A$2:$A$100,"&lt;"&amp;MIN(Fact_Baseline_PV!$A$2:$A$44)+((2+1)*7))</f>
        <v>10200</v>
      </c>
      <c r="H12" s="67">
        <f>SUMIFS(Fact_Actual_Costs!$D$2:$D$100,Fact_Actual_Costs!$B$2:$B$100,$A12,Fact_Actual_Costs!$A$2:$A$100,"&gt;="&amp;MIN(Fact_Baseline_PV!$A$2:$A$44)+(3*7),Fact_Actual_Costs!$A$2:$A$100,"&lt;"&amp;MIN(Fact_Baseline_PV!$A$2:$A$44)+((3+1)*7))</f>
        <v>10200</v>
      </c>
      <c r="I12" s="67">
        <f>SUMIFS(Fact_Actual_Costs!$D$2:$D$100,Fact_Actual_Costs!$B$2:$B$100,$A12,Fact_Actual_Costs!$A$2:$A$100,"&gt;="&amp;MIN(Fact_Baseline_PV!$A$2:$A$44)+(4*7),Fact_Actual_Costs!$A$2:$A$100,"&lt;"&amp;MIN(Fact_Baseline_PV!$A$2:$A$44)+((4+1)*7))</f>
        <v>10400</v>
      </c>
      <c r="J12" s="67">
        <f>SUMIFS(Fact_Actual_Costs!$D$2:$D$100,Fact_Actual_Costs!$B$2:$B$100,$A12,Fact_Actual_Costs!$A$2:$A$100,"&gt;="&amp;MIN(Fact_Baseline_PV!$A$2:$A$44)+(5*7),Fact_Actual_Costs!$A$2:$A$100,"&lt;"&amp;MIN(Fact_Baseline_PV!$A$2:$A$44)+((5+1)*7))</f>
        <v>0</v>
      </c>
      <c r="K12" s="67">
        <f>SUMIFS(Fact_Actual_Costs!$D$2:$D$100,Fact_Actual_Costs!$B$2:$B$100,$A12,Fact_Actual_Costs!$A$2:$A$100,"&gt;="&amp;MIN(Fact_Baseline_PV!$A$2:$A$44)+(6*7),Fact_Actual_Costs!$A$2:$A$100,"&lt;"&amp;MIN(Fact_Baseline_PV!$A$2:$A$44)+((6+1)*7))</f>
        <v>0</v>
      </c>
      <c r="L12" s="67">
        <f>SUMIFS(Fact_Actual_Costs!$D$2:$D$100,Fact_Actual_Costs!$B$2:$B$100,$A12,Fact_Actual_Costs!$A$2:$A$100,"&gt;="&amp;MIN(Fact_Baseline_PV!$A$2:$A$44)+(7*7),Fact_Actual_Costs!$A$2:$A$100,"&lt;"&amp;MIN(Fact_Baseline_PV!$A$2:$A$44)+((7+1)*7))</f>
        <v>0</v>
      </c>
      <c r="M12" s="67">
        <f>SUMIFS(Fact_Actual_Costs!$D$2:$D$100,Fact_Actual_Costs!$B$2:$B$100,$A12,Fact_Actual_Costs!$A$2:$A$100,"&gt;="&amp;MIN(Fact_Baseline_PV!$A$2:$A$44)+(8*7),Fact_Actual_Costs!$A$2:$A$100,"&lt;"&amp;MIN(Fact_Baseline_PV!$A$2:$A$44)+((8+1)*7))</f>
        <v>0</v>
      </c>
      <c r="N12" s="67">
        <f>SUMIFS(Fact_Actual_Costs!$D$2:$D$100,Fact_Actual_Costs!$B$2:$B$100,$A12,Fact_Actual_Costs!$A$2:$A$100,"&gt;="&amp;MIN(Fact_Baseline_PV!$A$2:$A$44)+(9*7),Fact_Actual_Costs!$A$2:$A$100,"&lt;"&amp;MIN(Fact_Baseline_PV!$A$2:$A$44)+((9+1)*7))</f>
        <v>0</v>
      </c>
      <c r="O12" s="67">
        <f>SUMIFS(Fact_Actual_Costs!$D$2:$D$100,Fact_Actual_Costs!$B$2:$B$100,$A12,Fact_Actual_Costs!$A$2:$A$100,"&gt;="&amp;MIN(Fact_Baseline_PV!$A$2:$A$44)+(10*7),Fact_Actual_Costs!$A$2:$A$100,"&lt;"&amp;MIN(Fact_Baseline_PV!$A$2:$A$44)+((10+1)*7))</f>
        <v>0</v>
      </c>
      <c r="P12" s="67">
        <f>SUMIFS(Fact_Actual_Costs!$D$2:$D$100,Fact_Actual_Costs!$B$2:$B$100,$A12,Fact_Actual_Costs!$A$2:$A$100,"&gt;="&amp;MIN(Fact_Baseline_PV!$A$2:$A$44)+(11*7),Fact_Actual_Costs!$A$2:$A$100,"&lt;"&amp;MIN(Fact_Baseline_PV!$A$2:$A$44)+((11+1)*7))</f>
        <v>0</v>
      </c>
      <c r="Q12" s="67">
        <f t="shared" si="0"/>
        <v>41300</v>
      </c>
      <c r="R12" s="66">
        <f>VLOOKUP(A12,Dim_WBS!$A$2:$E$13,5,FALSE)</f>
        <v>42000</v>
      </c>
      <c r="S12" s="66">
        <f>SUMIFS(Fact_Actual_Costs!$D$2:$D$100,Fact_Actual_Costs!$B$2:$B$100,A12,Fact_Actual_Costs!$A$2:$A$100,"&lt;="&amp;Setup!$B$9)</f>
        <v>41300</v>
      </c>
      <c r="T12" s="66">
        <f t="shared" si="1"/>
        <v>700</v>
      </c>
      <c r="U12" s="67">
        <f>IFERROR((R12*VLOOKUP(A12,'Task Plan'!$A$5:$K$16,11,FALSE))/S12,1)</f>
        <v>1.0169491525423728</v>
      </c>
      <c r="V12" s="2" t="str">
        <f>IF(U12&lt;Setup!$B$12,"Red",IF(U12&lt;Setup!$B$13,"Amber","Green"))</f>
        <v>Green</v>
      </c>
      <c r="W12" s="2" t="s">
        <v>430</v>
      </c>
      <c r="X12" s="2" t="s">
        <v>551</v>
      </c>
      <c r="Y12" s="2"/>
      <c r="Z12" s="2"/>
    </row>
    <row r="13" spans="1:26" x14ac:dyDescent="0.35">
      <c r="A13" s="2" t="str">
        <f>Dim_WBS!A6</f>
        <v>WBS-05</v>
      </c>
      <c r="B13" s="2" t="str">
        <f>Dim_WBS!C6</f>
        <v>Demolition &amp; Prep</v>
      </c>
      <c r="C13" s="2" t="str">
        <f>Dim_WBS!D6</f>
        <v>Labor</v>
      </c>
      <c r="D13" s="2" t="s">
        <v>548</v>
      </c>
      <c r="E13" s="67">
        <f>SUMIFS(Fact_Actual_Costs!$E$2:$E$100,Fact_Actual_Costs!$B$2:$B$100,$A13,Fact_Actual_Costs!$A$2:$A$100,"&gt;="&amp;MIN(Fact_Baseline_PV!$A$2:$A$44)+(0*7),Fact_Actual_Costs!$A$2:$A$100,"&lt;"&amp;MIN(Fact_Baseline_PV!$A$2:$A$44)+((0+1)*7))</f>
        <v>0</v>
      </c>
      <c r="F13" s="67">
        <f>SUMIFS(Fact_Actual_Costs!$E$2:$E$100,Fact_Actual_Costs!$B$2:$B$100,$A13,Fact_Actual_Costs!$A$2:$A$100,"&gt;="&amp;MIN(Fact_Baseline_PV!$A$2:$A$44)+(1*7),Fact_Actual_Costs!$A$2:$A$100,"&lt;"&amp;MIN(Fact_Baseline_PV!$A$2:$A$44)+((1+1)*7))</f>
        <v>2.0499999999999998</v>
      </c>
      <c r="G13" s="67">
        <f>SUMIFS(Fact_Actual_Costs!$E$2:$E$100,Fact_Actual_Costs!$B$2:$B$100,$A13,Fact_Actual_Costs!$A$2:$A$100,"&gt;="&amp;MIN(Fact_Baseline_PV!$A$2:$A$44)+(2*7),Fact_Actual_Costs!$A$2:$A$100,"&lt;"&amp;MIN(Fact_Baseline_PV!$A$2:$A$44)+((2+1)*7))</f>
        <v>2.1</v>
      </c>
      <c r="H13" s="67">
        <f>SUMIFS(Fact_Actual_Costs!$E$2:$E$100,Fact_Actual_Costs!$B$2:$B$100,$A13,Fact_Actual_Costs!$A$2:$A$100,"&gt;="&amp;MIN(Fact_Baseline_PV!$A$2:$A$44)+(3*7),Fact_Actual_Costs!$A$2:$A$100,"&lt;"&amp;MIN(Fact_Baseline_PV!$A$2:$A$44)+((3+1)*7))</f>
        <v>1.9</v>
      </c>
      <c r="I13" s="67">
        <f>SUMIFS(Fact_Actual_Costs!$E$2:$E$100,Fact_Actual_Costs!$B$2:$B$100,$A13,Fact_Actual_Costs!$A$2:$A$100,"&gt;="&amp;MIN(Fact_Baseline_PV!$A$2:$A$44)+(4*7),Fact_Actual_Costs!$A$2:$A$100,"&lt;"&amp;MIN(Fact_Baseline_PV!$A$2:$A$44)+((4+1)*7))</f>
        <v>0</v>
      </c>
      <c r="J13" s="67">
        <f>SUMIFS(Fact_Actual_Costs!$E$2:$E$100,Fact_Actual_Costs!$B$2:$B$100,$A13,Fact_Actual_Costs!$A$2:$A$100,"&gt;="&amp;MIN(Fact_Baseline_PV!$A$2:$A$44)+(5*7),Fact_Actual_Costs!$A$2:$A$100,"&lt;"&amp;MIN(Fact_Baseline_PV!$A$2:$A$44)+((5+1)*7))</f>
        <v>0</v>
      </c>
      <c r="K13" s="67">
        <f>SUMIFS(Fact_Actual_Costs!$E$2:$E$100,Fact_Actual_Costs!$B$2:$B$100,$A13,Fact_Actual_Costs!$A$2:$A$100,"&gt;="&amp;MIN(Fact_Baseline_PV!$A$2:$A$44)+(6*7),Fact_Actual_Costs!$A$2:$A$100,"&lt;"&amp;MIN(Fact_Baseline_PV!$A$2:$A$44)+((6+1)*7))</f>
        <v>0</v>
      </c>
      <c r="L13" s="67">
        <f>SUMIFS(Fact_Actual_Costs!$E$2:$E$100,Fact_Actual_Costs!$B$2:$B$100,$A13,Fact_Actual_Costs!$A$2:$A$100,"&gt;="&amp;MIN(Fact_Baseline_PV!$A$2:$A$44)+(7*7),Fact_Actual_Costs!$A$2:$A$100,"&lt;"&amp;MIN(Fact_Baseline_PV!$A$2:$A$44)+((7+1)*7))</f>
        <v>0</v>
      </c>
      <c r="M13" s="67">
        <f>SUMIFS(Fact_Actual_Costs!$E$2:$E$100,Fact_Actual_Costs!$B$2:$B$100,$A13,Fact_Actual_Costs!$A$2:$A$100,"&gt;="&amp;MIN(Fact_Baseline_PV!$A$2:$A$44)+(8*7),Fact_Actual_Costs!$A$2:$A$100,"&lt;"&amp;MIN(Fact_Baseline_PV!$A$2:$A$44)+((8+1)*7))</f>
        <v>0</v>
      </c>
      <c r="N13" s="67">
        <f>SUMIFS(Fact_Actual_Costs!$E$2:$E$100,Fact_Actual_Costs!$B$2:$B$100,$A13,Fact_Actual_Costs!$A$2:$A$100,"&gt;="&amp;MIN(Fact_Baseline_PV!$A$2:$A$44)+(9*7),Fact_Actual_Costs!$A$2:$A$100,"&lt;"&amp;MIN(Fact_Baseline_PV!$A$2:$A$44)+((9+1)*7))</f>
        <v>0</v>
      </c>
      <c r="O13" s="67">
        <f>SUMIFS(Fact_Actual_Costs!$E$2:$E$100,Fact_Actual_Costs!$B$2:$B$100,$A13,Fact_Actual_Costs!$A$2:$A$100,"&gt;="&amp;MIN(Fact_Baseline_PV!$A$2:$A$44)+(10*7),Fact_Actual_Costs!$A$2:$A$100,"&lt;"&amp;MIN(Fact_Baseline_PV!$A$2:$A$44)+((10+1)*7))</f>
        <v>0</v>
      </c>
      <c r="P13" s="67">
        <f>SUMIFS(Fact_Actual_Costs!$E$2:$E$100,Fact_Actual_Costs!$B$2:$B$100,$A13,Fact_Actual_Costs!$A$2:$A$100,"&gt;="&amp;MIN(Fact_Baseline_PV!$A$2:$A$44)+(11*7),Fact_Actual_Costs!$A$2:$A$100,"&lt;"&amp;MIN(Fact_Baseline_PV!$A$2:$A$44)+((11+1)*7))</f>
        <v>0</v>
      </c>
      <c r="Q13" s="67">
        <f t="shared" si="0"/>
        <v>6.0500000000000007</v>
      </c>
      <c r="R13" s="66">
        <f>VLOOKUP(A13,Dim_WBS!$A$2:$E$13,5,FALSE)</f>
        <v>13200</v>
      </c>
      <c r="S13" s="66">
        <f>SUMIFS(Fact_Actual_Costs!$D$2:$D$100,Fact_Actual_Costs!$B$2:$B$100,A13,Fact_Actual_Costs!$A$2:$A$100,"&lt;="&amp;Setup!$B$9)</f>
        <v>13408.159999999998</v>
      </c>
      <c r="T13" s="66">
        <f t="shared" si="1"/>
        <v>-208.15999999999804</v>
      </c>
      <c r="U13" s="67">
        <f>IFERROR((R13*VLOOKUP(A13,'Task Plan'!$A$5:$K$16,11,FALSE))/S13,1)</f>
        <v>0.98447512559516015</v>
      </c>
      <c r="V13" s="2" t="str">
        <f>IF(U13&lt;Setup!$B$12,"Red",IF(U13&lt;Setup!$B$13,"Amber","Green"))</f>
        <v>Amber</v>
      </c>
      <c r="W13" s="2" t="s">
        <v>430</v>
      </c>
      <c r="X13" s="2" t="s">
        <v>549</v>
      </c>
      <c r="Y13" s="2"/>
      <c r="Z13" s="2"/>
    </row>
    <row r="14" spans="1:26" x14ac:dyDescent="0.35">
      <c r="A14" s="2" t="str">
        <f>Dim_WBS!A6</f>
        <v>WBS-05</v>
      </c>
      <c r="B14" s="2" t="str">
        <f>Dim_WBS!C6</f>
        <v>Demolition &amp; Prep</v>
      </c>
      <c r="C14" s="2" t="str">
        <f>Dim_WBS!D6</f>
        <v>Labor</v>
      </c>
      <c r="D14" s="2" t="s">
        <v>550</v>
      </c>
      <c r="E14" s="67">
        <f>SUMIFS(Fact_Actual_Costs!$D$2:$D$100,Fact_Actual_Costs!$B$2:$B$100,$A14,Fact_Actual_Costs!$A$2:$A$100,"&gt;="&amp;MIN(Fact_Baseline_PV!$A$2:$A$44)+(0*7),Fact_Actual_Costs!$A$2:$A$100,"&lt;"&amp;MIN(Fact_Baseline_PV!$A$2:$A$44)+((0+1)*7))</f>
        <v>0</v>
      </c>
      <c r="F14" s="67">
        <f>SUMIFS(Fact_Actual_Costs!$D$2:$D$100,Fact_Actual_Costs!$B$2:$B$100,$A14,Fact_Actual_Costs!$A$2:$A$100,"&gt;="&amp;MIN(Fact_Baseline_PV!$A$2:$A$44)+(1*7),Fact_Actual_Costs!$A$2:$A$100,"&lt;"&amp;MIN(Fact_Baseline_PV!$A$2:$A$44)+((1+1)*7))</f>
        <v>4554.08</v>
      </c>
      <c r="G14" s="67">
        <f>SUMIFS(Fact_Actual_Costs!$D$2:$D$100,Fact_Actual_Costs!$B$2:$B$100,$A14,Fact_Actual_Costs!$A$2:$A$100,"&gt;="&amp;MIN(Fact_Baseline_PV!$A$2:$A$44)+(2*7),Fact_Actual_Costs!$A$2:$A$100,"&lt;"&amp;MIN(Fact_Baseline_PV!$A$2:$A$44)+((2+1)*7))</f>
        <v>4654.08</v>
      </c>
      <c r="H14" s="67">
        <f>SUMIFS(Fact_Actual_Costs!$D$2:$D$100,Fact_Actual_Costs!$B$2:$B$100,$A14,Fact_Actual_Costs!$A$2:$A$100,"&gt;="&amp;MIN(Fact_Baseline_PV!$A$2:$A$44)+(3*7),Fact_Actual_Costs!$A$2:$A$100,"&lt;"&amp;MIN(Fact_Baseline_PV!$A$2:$A$44)+((3+1)*7))</f>
        <v>4200</v>
      </c>
      <c r="I14" s="67">
        <f>SUMIFS(Fact_Actual_Costs!$D$2:$D$100,Fact_Actual_Costs!$B$2:$B$100,$A14,Fact_Actual_Costs!$A$2:$A$100,"&gt;="&amp;MIN(Fact_Baseline_PV!$A$2:$A$44)+(4*7),Fact_Actual_Costs!$A$2:$A$100,"&lt;"&amp;MIN(Fact_Baseline_PV!$A$2:$A$44)+((4+1)*7))</f>
        <v>0</v>
      </c>
      <c r="J14" s="67">
        <f>SUMIFS(Fact_Actual_Costs!$D$2:$D$100,Fact_Actual_Costs!$B$2:$B$100,$A14,Fact_Actual_Costs!$A$2:$A$100,"&gt;="&amp;MIN(Fact_Baseline_PV!$A$2:$A$44)+(5*7),Fact_Actual_Costs!$A$2:$A$100,"&lt;"&amp;MIN(Fact_Baseline_PV!$A$2:$A$44)+((5+1)*7))</f>
        <v>0</v>
      </c>
      <c r="K14" s="67">
        <f>SUMIFS(Fact_Actual_Costs!$D$2:$D$100,Fact_Actual_Costs!$B$2:$B$100,$A14,Fact_Actual_Costs!$A$2:$A$100,"&gt;="&amp;MIN(Fact_Baseline_PV!$A$2:$A$44)+(6*7),Fact_Actual_Costs!$A$2:$A$100,"&lt;"&amp;MIN(Fact_Baseline_PV!$A$2:$A$44)+((6+1)*7))</f>
        <v>0</v>
      </c>
      <c r="L14" s="67">
        <f>SUMIFS(Fact_Actual_Costs!$D$2:$D$100,Fact_Actual_Costs!$B$2:$B$100,$A14,Fact_Actual_Costs!$A$2:$A$100,"&gt;="&amp;MIN(Fact_Baseline_PV!$A$2:$A$44)+(7*7),Fact_Actual_Costs!$A$2:$A$100,"&lt;"&amp;MIN(Fact_Baseline_PV!$A$2:$A$44)+((7+1)*7))</f>
        <v>0</v>
      </c>
      <c r="M14" s="67">
        <f>SUMIFS(Fact_Actual_Costs!$D$2:$D$100,Fact_Actual_Costs!$B$2:$B$100,$A14,Fact_Actual_Costs!$A$2:$A$100,"&gt;="&amp;MIN(Fact_Baseline_PV!$A$2:$A$44)+(8*7),Fact_Actual_Costs!$A$2:$A$100,"&lt;"&amp;MIN(Fact_Baseline_PV!$A$2:$A$44)+((8+1)*7))</f>
        <v>0</v>
      </c>
      <c r="N14" s="67">
        <f>SUMIFS(Fact_Actual_Costs!$D$2:$D$100,Fact_Actual_Costs!$B$2:$B$100,$A14,Fact_Actual_Costs!$A$2:$A$100,"&gt;="&amp;MIN(Fact_Baseline_PV!$A$2:$A$44)+(9*7),Fact_Actual_Costs!$A$2:$A$100,"&lt;"&amp;MIN(Fact_Baseline_PV!$A$2:$A$44)+((9+1)*7))</f>
        <v>0</v>
      </c>
      <c r="O14" s="67">
        <f>SUMIFS(Fact_Actual_Costs!$D$2:$D$100,Fact_Actual_Costs!$B$2:$B$100,$A14,Fact_Actual_Costs!$A$2:$A$100,"&gt;="&amp;MIN(Fact_Baseline_PV!$A$2:$A$44)+(10*7),Fact_Actual_Costs!$A$2:$A$100,"&lt;"&amp;MIN(Fact_Baseline_PV!$A$2:$A$44)+((10+1)*7))</f>
        <v>0</v>
      </c>
      <c r="P14" s="67">
        <f>SUMIFS(Fact_Actual_Costs!$D$2:$D$100,Fact_Actual_Costs!$B$2:$B$100,$A14,Fact_Actual_Costs!$A$2:$A$100,"&gt;="&amp;MIN(Fact_Baseline_PV!$A$2:$A$44)+(11*7),Fact_Actual_Costs!$A$2:$A$100,"&lt;"&amp;MIN(Fact_Baseline_PV!$A$2:$A$44)+((11+1)*7))</f>
        <v>0</v>
      </c>
      <c r="Q14" s="67">
        <f t="shared" si="0"/>
        <v>13408.16</v>
      </c>
      <c r="R14" s="66">
        <f>VLOOKUP(A14,Dim_WBS!$A$2:$E$13,5,FALSE)</f>
        <v>13200</v>
      </c>
      <c r="S14" s="66">
        <f>SUMIFS(Fact_Actual_Costs!$D$2:$D$100,Fact_Actual_Costs!$B$2:$B$100,A14,Fact_Actual_Costs!$A$2:$A$100,"&lt;="&amp;Setup!$B$9)</f>
        <v>13408.159999999998</v>
      </c>
      <c r="T14" s="66">
        <f t="shared" si="1"/>
        <v>-208.15999999999804</v>
      </c>
      <c r="U14" s="67">
        <f>IFERROR((R14*VLOOKUP(A14,'Task Plan'!$A$5:$K$16,11,FALSE))/S14,1)</f>
        <v>0.98447512559516015</v>
      </c>
      <c r="V14" s="2" t="str">
        <f>IF(U14&lt;Setup!$B$12,"Red",IF(U14&lt;Setup!$B$13,"Amber","Green"))</f>
        <v>Amber</v>
      </c>
      <c r="W14" s="2" t="s">
        <v>430</v>
      </c>
      <c r="X14" s="2" t="s">
        <v>551</v>
      </c>
      <c r="Y14" s="2"/>
      <c r="Z14" s="2"/>
    </row>
    <row r="15" spans="1:26" x14ac:dyDescent="0.35">
      <c r="A15" s="2" t="str">
        <f>Dim_WBS!A7</f>
        <v>WBS-06</v>
      </c>
      <c r="B15" s="2" t="str">
        <f>Dim_WBS!C7</f>
        <v>Electrical Rough-In</v>
      </c>
      <c r="C15" s="2" t="str">
        <f>Dim_WBS!D7</f>
        <v>Labor</v>
      </c>
      <c r="D15" s="2" t="s">
        <v>548</v>
      </c>
      <c r="E15" s="67">
        <f>SUMIFS(Fact_Actual_Costs!$E$2:$E$100,Fact_Actual_Costs!$B$2:$B$100,$A15,Fact_Actual_Costs!$A$2:$A$100,"&gt;="&amp;MIN(Fact_Baseline_PV!$A$2:$A$44)+(0*7),Fact_Actual_Costs!$A$2:$A$100,"&lt;"&amp;MIN(Fact_Baseline_PV!$A$2:$A$44)+((0+1)*7))</f>
        <v>0</v>
      </c>
      <c r="F15" s="67">
        <f>SUMIFS(Fact_Actual_Costs!$E$2:$E$100,Fact_Actual_Costs!$B$2:$B$100,$A15,Fact_Actual_Costs!$A$2:$A$100,"&gt;="&amp;MIN(Fact_Baseline_PV!$A$2:$A$44)+(1*7),Fact_Actual_Costs!$A$2:$A$100,"&lt;"&amp;MIN(Fact_Baseline_PV!$A$2:$A$44)+((1+1)*7))</f>
        <v>0</v>
      </c>
      <c r="G15" s="67">
        <f>SUMIFS(Fact_Actual_Costs!$E$2:$E$100,Fact_Actual_Costs!$B$2:$B$100,$A15,Fact_Actual_Costs!$A$2:$A$100,"&gt;="&amp;MIN(Fact_Baseline_PV!$A$2:$A$44)+(2*7),Fact_Actual_Costs!$A$2:$A$100,"&lt;"&amp;MIN(Fact_Baseline_PV!$A$2:$A$44)+((2+1)*7))</f>
        <v>0</v>
      </c>
      <c r="H15" s="67">
        <f>SUMIFS(Fact_Actual_Costs!$E$2:$E$100,Fact_Actual_Costs!$B$2:$B$100,$A15,Fact_Actual_Costs!$A$2:$A$100,"&gt;="&amp;MIN(Fact_Baseline_PV!$A$2:$A$44)+(3*7),Fact_Actual_Costs!$A$2:$A$100,"&lt;"&amp;MIN(Fact_Baseline_PV!$A$2:$A$44)+((3+1)*7))</f>
        <v>3.4499999999999997</v>
      </c>
      <c r="I15" s="67">
        <f>SUMIFS(Fact_Actual_Costs!$E$2:$E$100,Fact_Actual_Costs!$B$2:$B$100,$A15,Fact_Actual_Costs!$A$2:$A$100,"&gt;="&amp;MIN(Fact_Baseline_PV!$A$2:$A$44)+(4*7),Fact_Actual_Costs!$A$2:$A$100,"&lt;"&amp;MIN(Fact_Baseline_PV!$A$2:$A$44)+((4+1)*7))</f>
        <v>3.4000000000000004</v>
      </c>
      <c r="J15" s="67">
        <f>SUMIFS(Fact_Actual_Costs!$E$2:$E$100,Fact_Actual_Costs!$B$2:$B$100,$A15,Fact_Actual_Costs!$A$2:$A$100,"&gt;="&amp;MIN(Fact_Baseline_PV!$A$2:$A$44)+(5*7),Fact_Actual_Costs!$A$2:$A$100,"&lt;"&amp;MIN(Fact_Baseline_PV!$A$2:$A$44)+((5+1)*7))</f>
        <v>3.25</v>
      </c>
      <c r="K15" s="67">
        <f>SUMIFS(Fact_Actual_Costs!$E$2:$E$100,Fact_Actual_Costs!$B$2:$B$100,$A15,Fact_Actual_Costs!$A$2:$A$100,"&gt;="&amp;MIN(Fact_Baseline_PV!$A$2:$A$44)+(6*7),Fact_Actual_Costs!$A$2:$A$100,"&lt;"&amp;MIN(Fact_Baseline_PV!$A$2:$A$44)+((6+1)*7))</f>
        <v>0</v>
      </c>
      <c r="L15" s="67">
        <f>SUMIFS(Fact_Actual_Costs!$E$2:$E$100,Fact_Actual_Costs!$B$2:$B$100,$A15,Fact_Actual_Costs!$A$2:$A$100,"&gt;="&amp;MIN(Fact_Baseline_PV!$A$2:$A$44)+(7*7),Fact_Actual_Costs!$A$2:$A$100,"&lt;"&amp;MIN(Fact_Baseline_PV!$A$2:$A$44)+((7+1)*7))</f>
        <v>0</v>
      </c>
      <c r="M15" s="67">
        <f>SUMIFS(Fact_Actual_Costs!$E$2:$E$100,Fact_Actual_Costs!$B$2:$B$100,$A15,Fact_Actual_Costs!$A$2:$A$100,"&gt;="&amp;MIN(Fact_Baseline_PV!$A$2:$A$44)+(8*7),Fact_Actual_Costs!$A$2:$A$100,"&lt;"&amp;MIN(Fact_Baseline_PV!$A$2:$A$44)+((8+1)*7))</f>
        <v>0</v>
      </c>
      <c r="N15" s="67">
        <f>SUMIFS(Fact_Actual_Costs!$E$2:$E$100,Fact_Actual_Costs!$B$2:$B$100,$A15,Fact_Actual_Costs!$A$2:$A$100,"&gt;="&amp;MIN(Fact_Baseline_PV!$A$2:$A$44)+(9*7),Fact_Actual_Costs!$A$2:$A$100,"&lt;"&amp;MIN(Fact_Baseline_PV!$A$2:$A$44)+((9+1)*7))</f>
        <v>0</v>
      </c>
      <c r="O15" s="67">
        <f>SUMIFS(Fact_Actual_Costs!$E$2:$E$100,Fact_Actual_Costs!$B$2:$B$100,$A15,Fact_Actual_Costs!$A$2:$A$100,"&gt;="&amp;MIN(Fact_Baseline_PV!$A$2:$A$44)+(10*7),Fact_Actual_Costs!$A$2:$A$100,"&lt;"&amp;MIN(Fact_Baseline_PV!$A$2:$A$44)+((10+1)*7))</f>
        <v>0</v>
      </c>
      <c r="P15" s="67">
        <f>SUMIFS(Fact_Actual_Costs!$E$2:$E$100,Fact_Actual_Costs!$B$2:$B$100,$A15,Fact_Actual_Costs!$A$2:$A$100,"&gt;="&amp;MIN(Fact_Baseline_PV!$A$2:$A$44)+(11*7),Fact_Actual_Costs!$A$2:$A$100,"&lt;"&amp;MIN(Fact_Baseline_PV!$A$2:$A$44)+((11+1)*7))</f>
        <v>0</v>
      </c>
      <c r="Q15" s="67">
        <f t="shared" si="0"/>
        <v>10.1</v>
      </c>
      <c r="R15" s="66">
        <f>VLOOKUP(A15,Dim_WBS!$A$2:$E$13,5,FALSE)</f>
        <v>26000</v>
      </c>
      <c r="S15" s="66">
        <f>SUMIFS(Fact_Actual_Costs!$D$2:$D$100,Fact_Actual_Costs!$B$2:$B$100,A15,Fact_Actual_Costs!$A$2:$A$100,"&lt;="&amp;Setup!$B$9)</f>
        <v>26206.239999999998</v>
      </c>
      <c r="T15" s="66">
        <f t="shared" si="1"/>
        <v>-206.23999999999796</v>
      </c>
      <c r="U15" s="67">
        <f>IFERROR((R15*VLOOKUP(A15,'Task Plan'!$A$5:$K$16,11,FALSE))/S15,1)</f>
        <v>0.69449108303976459</v>
      </c>
      <c r="V15" s="2" t="str">
        <f>IF(U15&lt;Setup!$B$12,"Red",IF(U15&lt;Setup!$B$13,"Amber","Green"))</f>
        <v>Red</v>
      </c>
      <c r="W15" s="2" t="s">
        <v>430</v>
      </c>
      <c r="X15" s="2" t="s">
        <v>549</v>
      </c>
      <c r="Y15" s="2"/>
      <c r="Z15" s="2"/>
    </row>
    <row r="16" spans="1:26" x14ac:dyDescent="0.35">
      <c r="A16" s="2" t="str">
        <f>Dim_WBS!A7</f>
        <v>WBS-06</v>
      </c>
      <c r="B16" s="2" t="str">
        <f>Dim_WBS!C7</f>
        <v>Electrical Rough-In</v>
      </c>
      <c r="C16" s="2" t="str">
        <f>Dim_WBS!D7</f>
        <v>Labor</v>
      </c>
      <c r="D16" s="2" t="s">
        <v>550</v>
      </c>
      <c r="E16" s="67">
        <f>SUMIFS(Fact_Actual_Costs!$D$2:$D$100,Fact_Actual_Costs!$B$2:$B$100,$A16,Fact_Actual_Costs!$A$2:$A$100,"&gt;="&amp;MIN(Fact_Baseline_PV!$A$2:$A$44)+(0*7),Fact_Actual_Costs!$A$2:$A$100,"&lt;"&amp;MIN(Fact_Baseline_PV!$A$2:$A$44)+((0+1)*7))</f>
        <v>0</v>
      </c>
      <c r="F16" s="67">
        <f>SUMIFS(Fact_Actual_Costs!$D$2:$D$100,Fact_Actual_Costs!$B$2:$B$100,$A16,Fact_Actual_Costs!$A$2:$A$100,"&gt;="&amp;MIN(Fact_Baseline_PV!$A$2:$A$44)+(1*7),Fact_Actual_Costs!$A$2:$A$100,"&lt;"&amp;MIN(Fact_Baseline_PV!$A$2:$A$44)+((1+1)*7))</f>
        <v>0</v>
      </c>
      <c r="G16" s="67">
        <f>SUMIFS(Fact_Actual_Costs!$D$2:$D$100,Fact_Actual_Costs!$B$2:$B$100,$A16,Fact_Actual_Costs!$A$2:$A$100,"&gt;="&amp;MIN(Fact_Baseline_PV!$A$2:$A$44)+(2*7),Fact_Actual_Costs!$A$2:$A$100,"&lt;"&amp;MIN(Fact_Baseline_PV!$A$2:$A$44)+((2+1)*7))</f>
        <v>0</v>
      </c>
      <c r="H16" s="67">
        <f>SUMIFS(Fact_Actual_Costs!$D$2:$D$100,Fact_Actual_Costs!$B$2:$B$100,$A16,Fact_Actual_Costs!$A$2:$A$100,"&gt;="&amp;MIN(Fact_Baseline_PV!$A$2:$A$44)+(3*7),Fact_Actual_Costs!$A$2:$A$100,"&lt;"&amp;MIN(Fact_Baseline_PV!$A$2:$A$44)+((3+1)*7))</f>
        <v>8906.24</v>
      </c>
      <c r="I16" s="67">
        <f>SUMIFS(Fact_Actual_Costs!$D$2:$D$100,Fact_Actual_Costs!$B$2:$B$100,$A16,Fact_Actual_Costs!$A$2:$A$100,"&gt;="&amp;MIN(Fact_Baseline_PV!$A$2:$A$44)+(4*7),Fact_Actual_Costs!$A$2:$A$100,"&lt;"&amp;MIN(Fact_Baseline_PV!$A$2:$A$44)+((4+1)*7))</f>
        <v>8800</v>
      </c>
      <c r="J16" s="67">
        <f>SUMIFS(Fact_Actual_Costs!$D$2:$D$100,Fact_Actual_Costs!$B$2:$B$100,$A16,Fact_Actual_Costs!$A$2:$A$100,"&gt;="&amp;MIN(Fact_Baseline_PV!$A$2:$A$44)+(5*7),Fact_Actual_Costs!$A$2:$A$100,"&lt;"&amp;MIN(Fact_Baseline_PV!$A$2:$A$44)+((5+1)*7))</f>
        <v>8500</v>
      </c>
      <c r="K16" s="67">
        <f>SUMIFS(Fact_Actual_Costs!$D$2:$D$100,Fact_Actual_Costs!$B$2:$B$100,$A16,Fact_Actual_Costs!$A$2:$A$100,"&gt;="&amp;MIN(Fact_Baseline_PV!$A$2:$A$44)+(6*7),Fact_Actual_Costs!$A$2:$A$100,"&lt;"&amp;MIN(Fact_Baseline_PV!$A$2:$A$44)+((6+1)*7))</f>
        <v>0</v>
      </c>
      <c r="L16" s="67">
        <f>SUMIFS(Fact_Actual_Costs!$D$2:$D$100,Fact_Actual_Costs!$B$2:$B$100,$A16,Fact_Actual_Costs!$A$2:$A$100,"&gt;="&amp;MIN(Fact_Baseline_PV!$A$2:$A$44)+(7*7),Fact_Actual_Costs!$A$2:$A$100,"&lt;"&amp;MIN(Fact_Baseline_PV!$A$2:$A$44)+((7+1)*7))</f>
        <v>0</v>
      </c>
      <c r="M16" s="67">
        <f>SUMIFS(Fact_Actual_Costs!$D$2:$D$100,Fact_Actual_Costs!$B$2:$B$100,$A16,Fact_Actual_Costs!$A$2:$A$100,"&gt;="&amp;MIN(Fact_Baseline_PV!$A$2:$A$44)+(8*7),Fact_Actual_Costs!$A$2:$A$100,"&lt;"&amp;MIN(Fact_Baseline_PV!$A$2:$A$44)+((8+1)*7))</f>
        <v>0</v>
      </c>
      <c r="N16" s="67">
        <f>SUMIFS(Fact_Actual_Costs!$D$2:$D$100,Fact_Actual_Costs!$B$2:$B$100,$A16,Fact_Actual_Costs!$A$2:$A$100,"&gt;="&amp;MIN(Fact_Baseline_PV!$A$2:$A$44)+(9*7),Fact_Actual_Costs!$A$2:$A$100,"&lt;"&amp;MIN(Fact_Baseline_PV!$A$2:$A$44)+((9+1)*7))</f>
        <v>0</v>
      </c>
      <c r="O16" s="67">
        <f>SUMIFS(Fact_Actual_Costs!$D$2:$D$100,Fact_Actual_Costs!$B$2:$B$100,$A16,Fact_Actual_Costs!$A$2:$A$100,"&gt;="&amp;MIN(Fact_Baseline_PV!$A$2:$A$44)+(10*7),Fact_Actual_Costs!$A$2:$A$100,"&lt;"&amp;MIN(Fact_Baseline_PV!$A$2:$A$44)+((10+1)*7))</f>
        <v>0</v>
      </c>
      <c r="P16" s="67">
        <f>SUMIFS(Fact_Actual_Costs!$D$2:$D$100,Fact_Actual_Costs!$B$2:$B$100,$A16,Fact_Actual_Costs!$A$2:$A$100,"&gt;="&amp;MIN(Fact_Baseline_PV!$A$2:$A$44)+(11*7),Fact_Actual_Costs!$A$2:$A$100,"&lt;"&amp;MIN(Fact_Baseline_PV!$A$2:$A$44)+((11+1)*7))</f>
        <v>0</v>
      </c>
      <c r="Q16" s="67">
        <f t="shared" si="0"/>
        <v>26206.239999999998</v>
      </c>
      <c r="R16" s="66">
        <f>VLOOKUP(A16,Dim_WBS!$A$2:$E$13,5,FALSE)</f>
        <v>26000</v>
      </c>
      <c r="S16" s="66">
        <f>SUMIFS(Fact_Actual_Costs!$D$2:$D$100,Fact_Actual_Costs!$B$2:$B$100,A16,Fact_Actual_Costs!$A$2:$A$100,"&lt;="&amp;Setup!$B$9)</f>
        <v>26206.239999999998</v>
      </c>
      <c r="T16" s="66">
        <f t="shared" si="1"/>
        <v>-206.23999999999796</v>
      </c>
      <c r="U16" s="67">
        <f>IFERROR((R16*VLOOKUP(A16,'Task Plan'!$A$5:$K$16,11,FALSE))/S16,1)</f>
        <v>0.69449108303976459</v>
      </c>
      <c r="V16" s="2" t="str">
        <f>IF(U16&lt;Setup!$B$12,"Red",IF(U16&lt;Setup!$B$13,"Amber","Green"))</f>
        <v>Red</v>
      </c>
      <c r="W16" s="2" t="s">
        <v>430</v>
      </c>
      <c r="X16" s="2" t="s">
        <v>551</v>
      </c>
      <c r="Y16" s="2"/>
      <c r="Z16" s="2"/>
    </row>
    <row r="17" spans="1:26" x14ac:dyDescent="0.35">
      <c r="A17" s="2" t="str">
        <f>Dim_WBS!A8</f>
        <v>WBS-07</v>
      </c>
      <c r="B17" s="2" t="str">
        <f>Dim_WBS!C8</f>
        <v>HVAC Installation</v>
      </c>
      <c r="C17" s="2" t="str">
        <f>Dim_WBS!D8</f>
        <v>Subcontractor</v>
      </c>
      <c r="D17" s="2" t="s">
        <v>548</v>
      </c>
      <c r="E17" s="67">
        <f>SUMIFS(Fact_Actual_Costs!$E$2:$E$100,Fact_Actual_Costs!$B$2:$B$100,$A17,Fact_Actual_Costs!$A$2:$A$100,"&gt;="&amp;MIN(Fact_Baseline_PV!$A$2:$A$44)+(0*7),Fact_Actual_Costs!$A$2:$A$100,"&lt;"&amp;MIN(Fact_Baseline_PV!$A$2:$A$44)+((0+1)*7))</f>
        <v>0</v>
      </c>
      <c r="F17" s="67">
        <f>SUMIFS(Fact_Actual_Costs!$E$2:$E$100,Fact_Actual_Costs!$B$2:$B$100,$A17,Fact_Actual_Costs!$A$2:$A$100,"&gt;="&amp;MIN(Fact_Baseline_PV!$A$2:$A$44)+(1*7),Fact_Actual_Costs!$A$2:$A$100,"&lt;"&amp;MIN(Fact_Baseline_PV!$A$2:$A$44)+((1+1)*7))</f>
        <v>0</v>
      </c>
      <c r="G17" s="67">
        <f>SUMIFS(Fact_Actual_Costs!$E$2:$E$100,Fact_Actual_Costs!$B$2:$B$100,$A17,Fact_Actual_Costs!$A$2:$A$100,"&gt;="&amp;MIN(Fact_Baseline_PV!$A$2:$A$44)+(2*7),Fact_Actual_Costs!$A$2:$A$100,"&lt;"&amp;MIN(Fact_Baseline_PV!$A$2:$A$44)+((2+1)*7))</f>
        <v>0</v>
      </c>
      <c r="H17" s="67">
        <f>SUMIFS(Fact_Actual_Costs!$E$2:$E$100,Fact_Actual_Costs!$B$2:$B$100,$A17,Fact_Actual_Costs!$A$2:$A$100,"&gt;="&amp;MIN(Fact_Baseline_PV!$A$2:$A$44)+(3*7),Fact_Actual_Costs!$A$2:$A$100,"&lt;"&amp;MIN(Fact_Baseline_PV!$A$2:$A$44)+((3+1)*7))</f>
        <v>0</v>
      </c>
      <c r="I17" s="67">
        <f>SUMIFS(Fact_Actual_Costs!$E$2:$E$100,Fact_Actual_Costs!$B$2:$B$100,$A17,Fact_Actual_Costs!$A$2:$A$100,"&gt;="&amp;MIN(Fact_Baseline_PV!$A$2:$A$44)+(4*7),Fact_Actual_Costs!$A$2:$A$100,"&lt;"&amp;MIN(Fact_Baseline_PV!$A$2:$A$44)+((4+1)*7))</f>
        <v>0</v>
      </c>
      <c r="J17" s="67">
        <f>SUMIFS(Fact_Actual_Costs!$E$2:$E$100,Fact_Actual_Costs!$B$2:$B$100,$A17,Fact_Actual_Costs!$A$2:$A$100,"&gt;="&amp;MIN(Fact_Baseline_PV!$A$2:$A$44)+(5*7),Fact_Actual_Costs!$A$2:$A$100,"&lt;"&amp;MIN(Fact_Baseline_PV!$A$2:$A$44)+((5+1)*7))</f>
        <v>0</v>
      </c>
      <c r="K17" s="67">
        <f>SUMIFS(Fact_Actual_Costs!$E$2:$E$100,Fact_Actual_Costs!$B$2:$B$100,$A17,Fact_Actual_Costs!$A$2:$A$100,"&gt;="&amp;MIN(Fact_Baseline_PV!$A$2:$A$44)+(6*7),Fact_Actual_Costs!$A$2:$A$100,"&lt;"&amp;MIN(Fact_Baseline_PV!$A$2:$A$44)+((6+1)*7))</f>
        <v>0</v>
      </c>
      <c r="L17" s="67">
        <f>SUMIFS(Fact_Actual_Costs!$E$2:$E$100,Fact_Actual_Costs!$B$2:$B$100,$A17,Fact_Actual_Costs!$A$2:$A$100,"&gt;="&amp;MIN(Fact_Baseline_PV!$A$2:$A$44)+(7*7),Fact_Actual_Costs!$A$2:$A$100,"&lt;"&amp;MIN(Fact_Baseline_PV!$A$2:$A$44)+((7+1)*7))</f>
        <v>0</v>
      </c>
      <c r="M17" s="67">
        <f>SUMIFS(Fact_Actual_Costs!$E$2:$E$100,Fact_Actual_Costs!$B$2:$B$100,$A17,Fact_Actual_Costs!$A$2:$A$100,"&gt;="&amp;MIN(Fact_Baseline_PV!$A$2:$A$44)+(8*7),Fact_Actual_Costs!$A$2:$A$100,"&lt;"&amp;MIN(Fact_Baseline_PV!$A$2:$A$44)+((8+1)*7))</f>
        <v>0</v>
      </c>
      <c r="N17" s="67">
        <f>SUMIFS(Fact_Actual_Costs!$E$2:$E$100,Fact_Actual_Costs!$B$2:$B$100,$A17,Fact_Actual_Costs!$A$2:$A$100,"&gt;="&amp;MIN(Fact_Baseline_PV!$A$2:$A$44)+(9*7),Fact_Actual_Costs!$A$2:$A$100,"&lt;"&amp;MIN(Fact_Baseline_PV!$A$2:$A$44)+((9+1)*7))</f>
        <v>0</v>
      </c>
      <c r="O17" s="67">
        <f>SUMIFS(Fact_Actual_Costs!$E$2:$E$100,Fact_Actual_Costs!$B$2:$B$100,$A17,Fact_Actual_Costs!$A$2:$A$100,"&gt;="&amp;MIN(Fact_Baseline_PV!$A$2:$A$44)+(10*7),Fact_Actual_Costs!$A$2:$A$100,"&lt;"&amp;MIN(Fact_Baseline_PV!$A$2:$A$44)+((10+1)*7))</f>
        <v>0</v>
      </c>
      <c r="P17" s="67">
        <f>SUMIFS(Fact_Actual_Costs!$E$2:$E$100,Fact_Actual_Costs!$B$2:$B$100,$A17,Fact_Actual_Costs!$A$2:$A$100,"&gt;="&amp;MIN(Fact_Baseline_PV!$A$2:$A$44)+(11*7),Fact_Actual_Costs!$A$2:$A$100,"&lt;"&amp;MIN(Fact_Baseline_PV!$A$2:$A$44)+((11+1)*7))</f>
        <v>0</v>
      </c>
      <c r="Q17" s="67">
        <f t="shared" si="0"/>
        <v>0</v>
      </c>
      <c r="R17" s="66">
        <f>VLOOKUP(A17,Dim_WBS!$A$2:$E$13,5,FALSE)</f>
        <v>36000</v>
      </c>
      <c r="S17" s="66">
        <f>SUMIFS(Fact_Actual_Costs!$D$2:$D$100,Fact_Actual_Costs!$B$2:$B$100,A17,Fact_Actual_Costs!$A$2:$A$100,"&lt;="&amp;Setup!$B$9)</f>
        <v>17476.8</v>
      </c>
      <c r="T17" s="66">
        <f t="shared" si="1"/>
        <v>18523.2</v>
      </c>
      <c r="U17" s="67">
        <f>IFERROR((R17*VLOOKUP(A17,'Task Plan'!$A$5:$K$16,11,FALSE))/S17,1)</f>
        <v>0.82394946443284811</v>
      </c>
      <c r="V17" s="2" t="str">
        <f>IF(U17&lt;Setup!$B$12,"Red",IF(U17&lt;Setup!$B$13,"Amber","Green"))</f>
        <v>Red</v>
      </c>
      <c r="W17" s="2" t="s">
        <v>430</v>
      </c>
      <c r="X17" s="2" t="s">
        <v>549</v>
      </c>
      <c r="Y17" s="2"/>
      <c r="Z17" s="2"/>
    </row>
    <row r="18" spans="1:26" x14ac:dyDescent="0.35">
      <c r="A18" s="2" t="str">
        <f>Dim_WBS!A8</f>
        <v>WBS-07</v>
      </c>
      <c r="B18" s="2" t="str">
        <f>Dim_WBS!C8</f>
        <v>HVAC Installation</v>
      </c>
      <c r="C18" s="2" t="str">
        <f>Dim_WBS!D8</f>
        <v>Subcontractor</v>
      </c>
      <c r="D18" s="2" t="s">
        <v>550</v>
      </c>
      <c r="E18" s="67">
        <f>SUMIFS(Fact_Actual_Costs!$D$2:$D$100,Fact_Actual_Costs!$B$2:$B$100,$A18,Fact_Actual_Costs!$A$2:$A$100,"&gt;="&amp;MIN(Fact_Baseline_PV!$A$2:$A$44)+(0*7),Fact_Actual_Costs!$A$2:$A$100,"&lt;"&amp;MIN(Fact_Baseline_PV!$A$2:$A$44)+((0+1)*7))</f>
        <v>0</v>
      </c>
      <c r="F18" s="67">
        <f>SUMIFS(Fact_Actual_Costs!$D$2:$D$100,Fact_Actual_Costs!$B$2:$B$100,$A18,Fact_Actual_Costs!$A$2:$A$100,"&gt;="&amp;MIN(Fact_Baseline_PV!$A$2:$A$44)+(1*7),Fact_Actual_Costs!$A$2:$A$100,"&lt;"&amp;MIN(Fact_Baseline_PV!$A$2:$A$44)+((1+1)*7))</f>
        <v>0</v>
      </c>
      <c r="G18" s="67">
        <f>SUMIFS(Fact_Actual_Costs!$D$2:$D$100,Fact_Actual_Costs!$B$2:$B$100,$A18,Fact_Actual_Costs!$A$2:$A$100,"&gt;="&amp;MIN(Fact_Baseline_PV!$A$2:$A$44)+(2*7),Fact_Actual_Costs!$A$2:$A$100,"&lt;"&amp;MIN(Fact_Baseline_PV!$A$2:$A$44)+((2+1)*7))</f>
        <v>0</v>
      </c>
      <c r="H18" s="67">
        <f>SUMIFS(Fact_Actual_Costs!$D$2:$D$100,Fact_Actual_Costs!$B$2:$B$100,$A18,Fact_Actual_Costs!$A$2:$A$100,"&gt;="&amp;MIN(Fact_Baseline_PV!$A$2:$A$44)+(3*7),Fact_Actual_Costs!$A$2:$A$100,"&lt;"&amp;MIN(Fact_Baseline_PV!$A$2:$A$44)+((3+1)*7))</f>
        <v>0</v>
      </c>
      <c r="I18" s="67">
        <f>SUMIFS(Fact_Actual_Costs!$D$2:$D$100,Fact_Actual_Costs!$B$2:$B$100,$A18,Fact_Actual_Costs!$A$2:$A$100,"&gt;="&amp;MIN(Fact_Baseline_PV!$A$2:$A$44)+(4*7),Fact_Actual_Costs!$A$2:$A$100,"&lt;"&amp;MIN(Fact_Baseline_PV!$A$2:$A$44)+((4+1)*7))</f>
        <v>8676.7999999999993</v>
      </c>
      <c r="J18" s="67">
        <f>SUMIFS(Fact_Actual_Costs!$D$2:$D$100,Fact_Actual_Costs!$B$2:$B$100,$A18,Fact_Actual_Costs!$A$2:$A$100,"&gt;="&amp;MIN(Fact_Baseline_PV!$A$2:$A$44)+(5*7),Fact_Actual_Costs!$A$2:$A$100,"&lt;"&amp;MIN(Fact_Baseline_PV!$A$2:$A$44)+((5+1)*7))</f>
        <v>8800</v>
      </c>
      <c r="K18" s="67">
        <f>SUMIFS(Fact_Actual_Costs!$D$2:$D$100,Fact_Actual_Costs!$B$2:$B$100,$A18,Fact_Actual_Costs!$A$2:$A$100,"&gt;="&amp;MIN(Fact_Baseline_PV!$A$2:$A$44)+(6*7),Fact_Actual_Costs!$A$2:$A$100,"&lt;"&amp;MIN(Fact_Baseline_PV!$A$2:$A$44)+((6+1)*7))</f>
        <v>0</v>
      </c>
      <c r="L18" s="67">
        <f>SUMIFS(Fact_Actual_Costs!$D$2:$D$100,Fact_Actual_Costs!$B$2:$B$100,$A18,Fact_Actual_Costs!$A$2:$A$100,"&gt;="&amp;MIN(Fact_Baseline_PV!$A$2:$A$44)+(7*7),Fact_Actual_Costs!$A$2:$A$100,"&lt;"&amp;MIN(Fact_Baseline_PV!$A$2:$A$44)+((7+1)*7))</f>
        <v>0</v>
      </c>
      <c r="M18" s="67">
        <f>SUMIFS(Fact_Actual_Costs!$D$2:$D$100,Fact_Actual_Costs!$B$2:$B$100,$A18,Fact_Actual_Costs!$A$2:$A$100,"&gt;="&amp;MIN(Fact_Baseline_PV!$A$2:$A$44)+(8*7),Fact_Actual_Costs!$A$2:$A$100,"&lt;"&amp;MIN(Fact_Baseline_PV!$A$2:$A$44)+((8+1)*7))</f>
        <v>0</v>
      </c>
      <c r="N18" s="67">
        <f>SUMIFS(Fact_Actual_Costs!$D$2:$D$100,Fact_Actual_Costs!$B$2:$B$100,$A18,Fact_Actual_Costs!$A$2:$A$100,"&gt;="&amp;MIN(Fact_Baseline_PV!$A$2:$A$44)+(9*7),Fact_Actual_Costs!$A$2:$A$100,"&lt;"&amp;MIN(Fact_Baseline_PV!$A$2:$A$44)+((9+1)*7))</f>
        <v>0</v>
      </c>
      <c r="O18" s="67">
        <f>SUMIFS(Fact_Actual_Costs!$D$2:$D$100,Fact_Actual_Costs!$B$2:$B$100,$A18,Fact_Actual_Costs!$A$2:$A$100,"&gt;="&amp;MIN(Fact_Baseline_PV!$A$2:$A$44)+(10*7),Fact_Actual_Costs!$A$2:$A$100,"&lt;"&amp;MIN(Fact_Baseline_PV!$A$2:$A$44)+((10+1)*7))</f>
        <v>0</v>
      </c>
      <c r="P18" s="67">
        <f>SUMIFS(Fact_Actual_Costs!$D$2:$D$100,Fact_Actual_Costs!$B$2:$B$100,$A18,Fact_Actual_Costs!$A$2:$A$100,"&gt;="&amp;MIN(Fact_Baseline_PV!$A$2:$A$44)+(11*7),Fact_Actual_Costs!$A$2:$A$100,"&lt;"&amp;MIN(Fact_Baseline_PV!$A$2:$A$44)+((11+1)*7))</f>
        <v>0</v>
      </c>
      <c r="Q18" s="67">
        <f t="shared" si="0"/>
        <v>17476.8</v>
      </c>
      <c r="R18" s="66">
        <f>VLOOKUP(A18,Dim_WBS!$A$2:$E$13,5,FALSE)</f>
        <v>36000</v>
      </c>
      <c r="S18" s="66">
        <f>SUMIFS(Fact_Actual_Costs!$D$2:$D$100,Fact_Actual_Costs!$B$2:$B$100,A18,Fact_Actual_Costs!$A$2:$A$100,"&lt;="&amp;Setup!$B$9)</f>
        <v>17476.8</v>
      </c>
      <c r="T18" s="66">
        <f t="shared" si="1"/>
        <v>18523.2</v>
      </c>
      <c r="U18" s="67">
        <f>IFERROR((R18*VLOOKUP(A18,'Task Plan'!$A$5:$K$16,11,FALSE))/S18,1)</f>
        <v>0.82394946443284811</v>
      </c>
      <c r="V18" s="2" t="str">
        <f>IF(U18&lt;Setup!$B$12,"Red",IF(U18&lt;Setup!$B$13,"Amber","Green"))</f>
        <v>Red</v>
      </c>
      <c r="W18" s="2" t="s">
        <v>430</v>
      </c>
      <c r="X18" s="2" t="s">
        <v>551</v>
      </c>
      <c r="Y18" s="2"/>
      <c r="Z18" s="2"/>
    </row>
    <row r="19" spans="1:26" x14ac:dyDescent="0.35">
      <c r="A19" s="2" t="str">
        <f>Dim_WBS!A9</f>
        <v>WBS-08</v>
      </c>
      <c r="B19" s="2" t="str">
        <f>Dim_WBS!C9</f>
        <v>Partitions &amp; Drywall</v>
      </c>
      <c r="C19" s="2" t="str">
        <f>Dim_WBS!D9</f>
        <v>Subcontractor</v>
      </c>
      <c r="D19" s="2" t="s">
        <v>548</v>
      </c>
      <c r="E19" s="67">
        <f>SUMIFS(Fact_Actual_Costs!$E$2:$E$100,Fact_Actual_Costs!$B$2:$B$100,$A19,Fact_Actual_Costs!$A$2:$A$100,"&gt;="&amp;MIN(Fact_Baseline_PV!$A$2:$A$44)+(0*7),Fact_Actual_Costs!$A$2:$A$100,"&lt;"&amp;MIN(Fact_Baseline_PV!$A$2:$A$44)+((0+1)*7))</f>
        <v>0</v>
      </c>
      <c r="F19" s="67">
        <f>SUMIFS(Fact_Actual_Costs!$E$2:$E$100,Fact_Actual_Costs!$B$2:$B$100,$A19,Fact_Actual_Costs!$A$2:$A$100,"&gt;="&amp;MIN(Fact_Baseline_PV!$A$2:$A$44)+(1*7),Fact_Actual_Costs!$A$2:$A$100,"&lt;"&amp;MIN(Fact_Baseline_PV!$A$2:$A$44)+((1+1)*7))</f>
        <v>0</v>
      </c>
      <c r="G19" s="67">
        <f>SUMIFS(Fact_Actual_Costs!$E$2:$E$100,Fact_Actual_Costs!$B$2:$B$100,$A19,Fact_Actual_Costs!$A$2:$A$100,"&gt;="&amp;MIN(Fact_Baseline_PV!$A$2:$A$44)+(2*7),Fact_Actual_Costs!$A$2:$A$100,"&lt;"&amp;MIN(Fact_Baseline_PV!$A$2:$A$44)+((2+1)*7))</f>
        <v>0</v>
      </c>
      <c r="H19" s="67">
        <f>SUMIFS(Fact_Actual_Costs!$E$2:$E$100,Fact_Actual_Costs!$B$2:$B$100,$A19,Fact_Actual_Costs!$A$2:$A$100,"&gt;="&amp;MIN(Fact_Baseline_PV!$A$2:$A$44)+(3*7),Fact_Actual_Costs!$A$2:$A$100,"&lt;"&amp;MIN(Fact_Baseline_PV!$A$2:$A$44)+((3+1)*7))</f>
        <v>0</v>
      </c>
      <c r="I19" s="67">
        <f>SUMIFS(Fact_Actual_Costs!$E$2:$E$100,Fact_Actual_Costs!$B$2:$B$100,$A19,Fact_Actual_Costs!$A$2:$A$100,"&gt;="&amp;MIN(Fact_Baseline_PV!$A$2:$A$44)+(4*7),Fact_Actual_Costs!$A$2:$A$100,"&lt;"&amp;MIN(Fact_Baseline_PV!$A$2:$A$44)+((4+1)*7))</f>
        <v>0</v>
      </c>
      <c r="J19" s="67">
        <f>SUMIFS(Fact_Actual_Costs!$E$2:$E$100,Fact_Actual_Costs!$B$2:$B$100,$A19,Fact_Actual_Costs!$A$2:$A$100,"&gt;="&amp;MIN(Fact_Baseline_PV!$A$2:$A$44)+(5*7),Fact_Actual_Costs!$A$2:$A$100,"&lt;"&amp;MIN(Fact_Baseline_PV!$A$2:$A$44)+((5+1)*7))</f>
        <v>0</v>
      </c>
      <c r="K19" s="67">
        <f>SUMIFS(Fact_Actual_Costs!$E$2:$E$100,Fact_Actual_Costs!$B$2:$B$100,$A19,Fact_Actual_Costs!$A$2:$A$100,"&gt;="&amp;MIN(Fact_Baseline_PV!$A$2:$A$44)+(6*7),Fact_Actual_Costs!$A$2:$A$100,"&lt;"&amp;MIN(Fact_Baseline_PV!$A$2:$A$44)+((6+1)*7))</f>
        <v>0</v>
      </c>
      <c r="L19" s="67">
        <f>SUMIFS(Fact_Actual_Costs!$E$2:$E$100,Fact_Actual_Costs!$B$2:$B$100,$A19,Fact_Actual_Costs!$A$2:$A$100,"&gt;="&amp;MIN(Fact_Baseline_PV!$A$2:$A$44)+(7*7),Fact_Actual_Costs!$A$2:$A$100,"&lt;"&amp;MIN(Fact_Baseline_PV!$A$2:$A$44)+((7+1)*7))</f>
        <v>0</v>
      </c>
      <c r="M19" s="67">
        <f>SUMIFS(Fact_Actual_Costs!$E$2:$E$100,Fact_Actual_Costs!$B$2:$B$100,$A19,Fact_Actual_Costs!$A$2:$A$100,"&gt;="&amp;MIN(Fact_Baseline_PV!$A$2:$A$44)+(8*7),Fact_Actual_Costs!$A$2:$A$100,"&lt;"&amp;MIN(Fact_Baseline_PV!$A$2:$A$44)+((8+1)*7))</f>
        <v>0</v>
      </c>
      <c r="N19" s="67">
        <f>SUMIFS(Fact_Actual_Costs!$E$2:$E$100,Fact_Actual_Costs!$B$2:$B$100,$A19,Fact_Actual_Costs!$A$2:$A$100,"&gt;="&amp;MIN(Fact_Baseline_PV!$A$2:$A$44)+(9*7),Fact_Actual_Costs!$A$2:$A$100,"&lt;"&amp;MIN(Fact_Baseline_PV!$A$2:$A$44)+((9+1)*7))</f>
        <v>0</v>
      </c>
      <c r="O19" s="67">
        <f>SUMIFS(Fact_Actual_Costs!$E$2:$E$100,Fact_Actual_Costs!$B$2:$B$100,$A19,Fact_Actual_Costs!$A$2:$A$100,"&gt;="&amp;MIN(Fact_Baseline_PV!$A$2:$A$44)+(10*7),Fact_Actual_Costs!$A$2:$A$100,"&lt;"&amp;MIN(Fact_Baseline_PV!$A$2:$A$44)+((10+1)*7))</f>
        <v>0</v>
      </c>
      <c r="P19" s="67">
        <f>SUMIFS(Fact_Actual_Costs!$E$2:$E$100,Fact_Actual_Costs!$B$2:$B$100,$A19,Fact_Actual_Costs!$A$2:$A$100,"&gt;="&amp;MIN(Fact_Baseline_PV!$A$2:$A$44)+(11*7),Fact_Actual_Costs!$A$2:$A$100,"&lt;"&amp;MIN(Fact_Baseline_PV!$A$2:$A$44)+((11+1)*7))</f>
        <v>0</v>
      </c>
      <c r="Q19" s="67">
        <f t="shared" si="0"/>
        <v>0</v>
      </c>
      <c r="R19" s="66">
        <f>VLOOKUP(A19,Dim_WBS!$A$2:$E$13,5,FALSE)</f>
        <v>28000</v>
      </c>
      <c r="S19" s="66">
        <f>SUMIFS(Fact_Actual_Costs!$D$2:$D$100,Fact_Actual_Costs!$B$2:$B$100,A19,Fact_Actual_Costs!$A$2:$A$100,"&lt;="&amp;Setup!$B$9)</f>
        <v>7099.2</v>
      </c>
      <c r="T19" s="66">
        <f t="shared" si="1"/>
        <v>20900.8</v>
      </c>
      <c r="U19" s="67">
        <f>IFERROR((R19*VLOOKUP(A19,'Task Plan'!$A$5:$K$16,11,FALSE))/S19,1)</f>
        <v>0.98151848095560068</v>
      </c>
      <c r="V19" s="2" t="str">
        <f>IF(U19&lt;Setup!$B$12,"Red",IF(U19&lt;Setup!$B$13,"Amber","Green"))</f>
        <v>Amber</v>
      </c>
      <c r="W19" s="2" t="s">
        <v>430</v>
      </c>
      <c r="X19" s="2" t="s">
        <v>549</v>
      </c>
      <c r="Y19" s="2"/>
      <c r="Z19" s="2"/>
    </row>
    <row r="20" spans="1:26" x14ac:dyDescent="0.35">
      <c r="A20" s="2" t="str">
        <f>Dim_WBS!A9</f>
        <v>WBS-08</v>
      </c>
      <c r="B20" s="2" t="str">
        <f>Dim_WBS!C9</f>
        <v>Partitions &amp; Drywall</v>
      </c>
      <c r="C20" s="2" t="str">
        <f>Dim_WBS!D9</f>
        <v>Subcontractor</v>
      </c>
      <c r="D20" s="2" t="s">
        <v>550</v>
      </c>
      <c r="E20" s="67">
        <f>SUMIFS(Fact_Actual_Costs!$D$2:$D$100,Fact_Actual_Costs!$B$2:$B$100,$A20,Fact_Actual_Costs!$A$2:$A$100,"&gt;="&amp;MIN(Fact_Baseline_PV!$A$2:$A$44)+(0*7),Fact_Actual_Costs!$A$2:$A$100,"&lt;"&amp;MIN(Fact_Baseline_PV!$A$2:$A$44)+((0+1)*7))</f>
        <v>0</v>
      </c>
      <c r="F20" s="67">
        <f>SUMIFS(Fact_Actual_Costs!$D$2:$D$100,Fact_Actual_Costs!$B$2:$B$100,$A20,Fact_Actual_Costs!$A$2:$A$100,"&gt;="&amp;MIN(Fact_Baseline_PV!$A$2:$A$44)+(1*7),Fact_Actual_Costs!$A$2:$A$100,"&lt;"&amp;MIN(Fact_Baseline_PV!$A$2:$A$44)+((1+1)*7))</f>
        <v>0</v>
      </c>
      <c r="G20" s="67">
        <f>SUMIFS(Fact_Actual_Costs!$D$2:$D$100,Fact_Actual_Costs!$B$2:$B$100,$A20,Fact_Actual_Costs!$A$2:$A$100,"&gt;="&amp;MIN(Fact_Baseline_PV!$A$2:$A$44)+(2*7),Fact_Actual_Costs!$A$2:$A$100,"&lt;"&amp;MIN(Fact_Baseline_PV!$A$2:$A$44)+((2+1)*7))</f>
        <v>0</v>
      </c>
      <c r="H20" s="67">
        <f>SUMIFS(Fact_Actual_Costs!$D$2:$D$100,Fact_Actual_Costs!$B$2:$B$100,$A20,Fact_Actual_Costs!$A$2:$A$100,"&gt;="&amp;MIN(Fact_Baseline_PV!$A$2:$A$44)+(3*7),Fact_Actual_Costs!$A$2:$A$100,"&lt;"&amp;MIN(Fact_Baseline_PV!$A$2:$A$44)+((3+1)*7))</f>
        <v>0</v>
      </c>
      <c r="I20" s="67">
        <f>SUMIFS(Fact_Actual_Costs!$D$2:$D$100,Fact_Actual_Costs!$B$2:$B$100,$A20,Fact_Actual_Costs!$A$2:$A$100,"&gt;="&amp;MIN(Fact_Baseline_PV!$A$2:$A$44)+(4*7),Fact_Actual_Costs!$A$2:$A$100,"&lt;"&amp;MIN(Fact_Baseline_PV!$A$2:$A$44)+((4+1)*7))</f>
        <v>0</v>
      </c>
      <c r="J20" s="67">
        <f>SUMIFS(Fact_Actual_Costs!$D$2:$D$100,Fact_Actual_Costs!$B$2:$B$100,$A20,Fact_Actual_Costs!$A$2:$A$100,"&gt;="&amp;MIN(Fact_Baseline_PV!$A$2:$A$44)+(5*7),Fact_Actual_Costs!$A$2:$A$100,"&lt;"&amp;MIN(Fact_Baseline_PV!$A$2:$A$44)+((5+1)*7))</f>
        <v>7099.2</v>
      </c>
      <c r="K20" s="67">
        <f>SUMIFS(Fact_Actual_Costs!$D$2:$D$100,Fact_Actual_Costs!$B$2:$B$100,$A20,Fact_Actual_Costs!$A$2:$A$100,"&gt;="&amp;MIN(Fact_Baseline_PV!$A$2:$A$44)+(6*7),Fact_Actual_Costs!$A$2:$A$100,"&lt;"&amp;MIN(Fact_Baseline_PV!$A$2:$A$44)+((6+1)*7))</f>
        <v>0</v>
      </c>
      <c r="L20" s="67">
        <f>SUMIFS(Fact_Actual_Costs!$D$2:$D$100,Fact_Actual_Costs!$B$2:$B$100,$A20,Fact_Actual_Costs!$A$2:$A$100,"&gt;="&amp;MIN(Fact_Baseline_PV!$A$2:$A$44)+(7*7),Fact_Actual_Costs!$A$2:$A$100,"&lt;"&amp;MIN(Fact_Baseline_PV!$A$2:$A$44)+((7+1)*7))</f>
        <v>0</v>
      </c>
      <c r="M20" s="67">
        <f>SUMIFS(Fact_Actual_Costs!$D$2:$D$100,Fact_Actual_Costs!$B$2:$B$100,$A20,Fact_Actual_Costs!$A$2:$A$100,"&gt;="&amp;MIN(Fact_Baseline_PV!$A$2:$A$44)+(8*7),Fact_Actual_Costs!$A$2:$A$100,"&lt;"&amp;MIN(Fact_Baseline_PV!$A$2:$A$44)+((8+1)*7))</f>
        <v>0</v>
      </c>
      <c r="N20" s="67">
        <f>SUMIFS(Fact_Actual_Costs!$D$2:$D$100,Fact_Actual_Costs!$B$2:$B$100,$A20,Fact_Actual_Costs!$A$2:$A$100,"&gt;="&amp;MIN(Fact_Baseline_PV!$A$2:$A$44)+(9*7),Fact_Actual_Costs!$A$2:$A$100,"&lt;"&amp;MIN(Fact_Baseline_PV!$A$2:$A$44)+((9+1)*7))</f>
        <v>0</v>
      </c>
      <c r="O20" s="67">
        <f>SUMIFS(Fact_Actual_Costs!$D$2:$D$100,Fact_Actual_Costs!$B$2:$B$100,$A20,Fact_Actual_Costs!$A$2:$A$100,"&gt;="&amp;MIN(Fact_Baseline_PV!$A$2:$A$44)+(10*7),Fact_Actual_Costs!$A$2:$A$100,"&lt;"&amp;MIN(Fact_Baseline_PV!$A$2:$A$44)+((10+1)*7))</f>
        <v>0</v>
      </c>
      <c r="P20" s="67">
        <f>SUMIFS(Fact_Actual_Costs!$D$2:$D$100,Fact_Actual_Costs!$B$2:$B$100,$A20,Fact_Actual_Costs!$A$2:$A$100,"&gt;="&amp;MIN(Fact_Baseline_PV!$A$2:$A$44)+(11*7),Fact_Actual_Costs!$A$2:$A$100,"&lt;"&amp;MIN(Fact_Baseline_PV!$A$2:$A$44)+((11+1)*7))</f>
        <v>0</v>
      </c>
      <c r="Q20" s="67">
        <f t="shared" si="0"/>
        <v>7099.2</v>
      </c>
      <c r="R20" s="66">
        <f>VLOOKUP(A20,Dim_WBS!$A$2:$E$13,5,FALSE)</f>
        <v>28000</v>
      </c>
      <c r="S20" s="66">
        <f>SUMIFS(Fact_Actual_Costs!$D$2:$D$100,Fact_Actual_Costs!$B$2:$B$100,A20,Fact_Actual_Costs!$A$2:$A$100,"&lt;="&amp;Setup!$B$9)</f>
        <v>7099.2</v>
      </c>
      <c r="T20" s="66">
        <f t="shared" si="1"/>
        <v>20900.8</v>
      </c>
      <c r="U20" s="67">
        <f>IFERROR((R20*VLOOKUP(A20,'Task Plan'!$A$5:$K$16,11,FALSE))/S20,1)</f>
        <v>0.98151848095560068</v>
      </c>
      <c r="V20" s="2" t="str">
        <f>IF(U20&lt;Setup!$B$12,"Red",IF(U20&lt;Setup!$B$13,"Amber","Green"))</f>
        <v>Amber</v>
      </c>
      <c r="W20" s="2" t="s">
        <v>430</v>
      </c>
      <c r="X20" s="2" t="s">
        <v>551</v>
      </c>
      <c r="Y20" s="2"/>
      <c r="Z20" s="2"/>
    </row>
    <row r="21" spans="1:26" x14ac:dyDescent="0.35">
      <c r="A21" s="2" t="str">
        <f>Dim_WBS!A10</f>
        <v>WBS-09</v>
      </c>
      <c r="B21" s="2" t="str">
        <f>Dim_WBS!C10</f>
        <v>Flooring</v>
      </c>
      <c r="C21" s="2" t="str">
        <f>Dim_WBS!D10</f>
        <v>Material</v>
      </c>
      <c r="D21" s="2" t="s">
        <v>548</v>
      </c>
      <c r="E21" s="67">
        <f>SUMIFS(Fact_Actual_Costs!$E$2:$E$100,Fact_Actual_Costs!$B$2:$B$100,$A21,Fact_Actual_Costs!$A$2:$A$100,"&gt;="&amp;MIN(Fact_Baseline_PV!$A$2:$A$44)+(0*7),Fact_Actual_Costs!$A$2:$A$100,"&lt;"&amp;MIN(Fact_Baseline_PV!$A$2:$A$44)+((0+1)*7))</f>
        <v>0</v>
      </c>
      <c r="F21" s="67">
        <f>SUMIFS(Fact_Actual_Costs!$E$2:$E$100,Fact_Actual_Costs!$B$2:$B$100,$A21,Fact_Actual_Costs!$A$2:$A$100,"&gt;="&amp;MIN(Fact_Baseline_PV!$A$2:$A$44)+(1*7),Fact_Actual_Costs!$A$2:$A$100,"&lt;"&amp;MIN(Fact_Baseline_PV!$A$2:$A$44)+((1+1)*7))</f>
        <v>0</v>
      </c>
      <c r="G21" s="67">
        <f>SUMIFS(Fact_Actual_Costs!$E$2:$E$100,Fact_Actual_Costs!$B$2:$B$100,$A21,Fact_Actual_Costs!$A$2:$A$100,"&gt;="&amp;MIN(Fact_Baseline_PV!$A$2:$A$44)+(2*7),Fact_Actual_Costs!$A$2:$A$100,"&lt;"&amp;MIN(Fact_Baseline_PV!$A$2:$A$44)+((2+1)*7))</f>
        <v>0</v>
      </c>
      <c r="H21" s="67">
        <f>SUMIFS(Fact_Actual_Costs!$E$2:$E$100,Fact_Actual_Costs!$B$2:$B$100,$A21,Fact_Actual_Costs!$A$2:$A$100,"&gt;="&amp;MIN(Fact_Baseline_PV!$A$2:$A$44)+(3*7),Fact_Actual_Costs!$A$2:$A$100,"&lt;"&amp;MIN(Fact_Baseline_PV!$A$2:$A$44)+((3+1)*7))</f>
        <v>0</v>
      </c>
      <c r="I21" s="67">
        <f>SUMIFS(Fact_Actual_Costs!$E$2:$E$100,Fact_Actual_Costs!$B$2:$B$100,$A21,Fact_Actual_Costs!$A$2:$A$100,"&gt;="&amp;MIN(Fact_Baseline_PV!$A$2:$A$44)+(4*7),Fact_Actual_Costs!$A$2:$A$100,"&lt;"&amp;MIN(Fact_Baseline_PV!$A$2:$A$44)+((4+1)*7))</f>
        <v>0</v>
      </c>
      <c r="J21" s="67">
        <f>SUMIFS(Fact_Actual_Costs!$E$2:$E$100,Fact_Actual_Costs!$B$2:$B$100,$A21,Fact_Actual_Costs!$A$2:$A$100,"&gt;="&amp;MIN(Fact_Baseline_PV!$A$2:$A$44)+(5*7),Fact_Actual_Costs!$A$2:$A$100,"&lt;"&amp;MIN(Fact_Baseline_PV!$A$2:$A$44)+((5+1)*7))</f>
        <v>0</v>
      </c>
      <c r="K21" s="67">
        <f>SUMIFS(Fact_Actual_Costs!$E$2:$E$100,Fact_Actual_Costs!$B$2:$B$100,$A21,Fact_Actual_Costs!$A$2:$A$100,"&gt;="&amp;MIN(Fact_Baseline_PV!$A$2:$A$44)+(6*7),Fact_Actual_Costs!$A$2:$A$100,"&lt;"&amp;MIN(Fact_Baseline_PV!$A$2:$A$44)+((6+1)*7))</f>
        <v>0</v>
      </c>
      <c r="L21" s="67">
        <f>SUMIFS(Fact_Actual_Costs!$E$2:$E$100,Fact_Actual_Costs!$B$2:$B$100,$A21,Fact_Actual_Costs!$A$2:$A$100,"&gt;="&amp;MIN(Fact_Baseline_PV!$A$2:$A$44)+(7*7),Fact_Actual_Costs!$A$2:$A$100,"&lt;"&amp;MIN(Fact_Baseline_PV!$A$2:$A$44)+((7+1)*7))</f>
        <v>0</v>
      </c>
      <c r="M21" s="67">
        <f>SUMIFS(Fact_Actual_Costs!$E$2:$E$100,Fact_Actual_Costs!$B$2:$B$100,$A21,Fact_Actual_Costs!$A$2:$A$100,"&gt;="&amp;MIN(Fact_Baseline_PV!$A$2:$A$44)+(8*7),Fact_Actual_Costs!$A$2:$A$100,"&lt;"&amp;MIN(Fact_Baseline_PV!$A$2:$A$44)+((8+1)*7))</f>
        <v>0</v>
      </c>
      <c r="N21" s="67">
        <f>SUMIFS(Fact_Actual_Costs!$E$2:$E$100,Fact_Actual_Costs!$B$2:$B$100,$A21,Fact_Actual_Costs!$A$2:$A$100,"&gt;="&amp;MIN(Fact_Baseline_PV!$A$2:$A$44)+(9*7),Fact_Actual_Costs!$A$2:$A$100,"&lt;"&amp;MIN(Fact_Baseline_PV!$A$2:$A$44)+((9+1)*7))</f>
        <v>0</v>
      </c>
      <c r="O21" s="67">
        <f>SUMIFS(Fact_Actual_Costs!$E$2:$E$100,Fact_Actual_Costs!$B$2:$B$100,$A21,Fact_Actual_Costs!$A$2:$A$100,"&gt;="&amp;MIN(Fact_Baseline_PV!$A$2:$A$44)+(10*7),Fact_Actual_Costs!$A$2:$A$100,"&lt;"&amp;MIN(Fact_Baseline_PV!$A$2:$A$44)+((10+1)*7))</f>
        <v>0</v>
      </c>
      <c r="P21" s="67">
        <f>SUMIFS(Fact_Actual_Costs!$E$2:$E$100,Fact_Actual_Costs!$B$2:$B$100,$A21,Fact_Actual_Costs!$A$2:$A$100,"&gt;="&amp;MIN(Fact_Baseline_PV!$A$2:$A$44)+(11*7),Fact_Actual_Costs!$A$2:$A$100,"&lt;"&amp;MIN(Fact_Baseline_PV!$A$2:$A$44)+((11+1)*7))</f>
        <v>0</v>
      </c>
      <c r="Q21" s="67">
        <f t="shared" si="0"/>
        <v>0</v>
      </c>
      <c r="R21" s="66">
        <f>VLOOKUP(A21,Dim_WBS!$A$2:$E$13,5,FALSE)</f>
        <v>35750</v>
      </c>
      <c r="S21" s="66">
        <f>SUMIFS(Fact_Actual_Costs!$D$2:$D$100,Fact_Actual_Costs!$B$2:$B$100,A21,Fact_Actual_Costs!$A$2:$A$100,"&lt;="&amp;Setup!$B$9)</f>
        <v>0</v>
      </c>
      <c r="T21" s="66">
        <f t="shared" si="1"/>
        <v>35750</v>
      </c>
      <c r="U21" s="67">
        <f>IFERROR((R21*VLOOKUP(A21,'Task Plan'!$A$5:$K$16,11,FALSE))/S21,1)</f>
        <v>1</v>
      </c>
      <c r="V21" s="2" t="str">
        <f>IF(U21&lt;Setup!$B$12,"Red",IF(U21&lt;Setup!$B$13,"Amber","Green"))</f>
        <v>Green</v>
      </c>
      <c r="W21" s="2" t="s">
        <v>430</v>
      </c>
      <c r="X21" s="2" t="s">
        <v>549</v>
      </c>
      <c r="Y21" s="2"/>
      <c r="Z21" s="2"/>
    </row>
    <row r="22" spans="1:26" x14ac:dyDescent="0.35">
      <c r="A22" s="2" t="str">
        <f>Dim_WBS!A10</f>
        <v>WBS-09</v>
      </c>
      <c r="B22" s="2" t="str">
        <f>Dim_WBS!C10</f>
        <v>Flooring</v>
      </c>
      <c r="C22" s="2" t="str">
        <f>Dim_WBS!D10</f>
        <v>Material</v>
      </c>
      <c r="D22" s="2" t="s">
        <v>550</v>
      </c>
      <c r="E22" s="67">
        <f>SUMIFS(Fact_Actual_Costs!$D$2:$D$100,Fact_Actual_Costs!$B$2:$B$100,$A22,Fact_Actual_Costs!$A$2:$A$100,"&gt;="&amp;MIN(Fact_Baseline_PV!$A$2:$A$44)+(0*7),Fact_Actual_Costs!$A$2:$A$100,"&lt;"&amp;MIN(Fact_Baseline_PV!$A$2:$A$44)+((0+1)*7))</f>
        <v>0</v>
      </c>
      <c r="F22" s="67">
        <f>SUMIFS(Fact_Actual_Costs!$D$2:$D$100,Fact_Actual_Costs!$B$2:$B$100,$A22,Fact_Actual_Costs!$A$2:$A$100,"&gt;="&amp;MIN(Fact_Baseline_PV!$A$2:$A$44)+(1*7),Fact_Actual_Costs!$A$2:$A$100,"&lt;"&amp;MIN(Fact_Baseline_PV!$A$2:$A$44)+((1+1)*7))</f>
        <v>0</v>
      </c>
      <c r="G22" s="67">
        <f>SUMIFS(Fact_Actual_Costs!$D$2:$D$100,Fact_Actual_Costs!$B$2:$B$100,$A22,Fact_Actual_Costs!$A$2:$A$100,"&gt;="&amp;MIN(Fact_Baseline_PV!$A$2:$A$44)+(2*7),Fact_Actual_Costs!$A$2:$A$100,"&lt;"&amp;MIN(Fact_Baseline_PV!$A$2:$A$44)+((2+1)*7))</f>
        <v>0</v>
      </c>
      <c r="H22" s="67">
        <f>SUMIFS(Fact_Actual_Costs!$D$2:$D$100,Fact_Actual_Costs!$B$2:$B$100,$A22,Fact_Actual_Costs!$A$2:$A$100,"&gt;="&amp;MIN(Fact_Baseline_PV!$A$2:$A$44)+(3*7),Fact_Actual_Costs!$A$2:$A$100,"&lt;"&amp;MIN(Fact_Baseline_PV!$A$2:$A$44)+((3+1)*7))</f>
        <v>0</v>
      </c>
      <c r="I22" s="67">
        <f>SUMIFS(Fact_Actual_Costs!$D$2:$D$100,Fact_Actual_Costs!$B$2:$B$100,$A22,Fact_Actual_Costs!$A$2:$A$100,"&gt;="&amp;MIN(Fact_Baseline_PV!$A$2:$A$44)+(4*7),Fact_Actual_Costs!$A$2:$A$100,"&lt;"&amp;MIN(Fact_Baseline_PV!$A$2:$A$44)+((4+1)*7))</f>
        <v>0</v>
      </c>
      <c r="J22" s="67">
        <f>SUMIFS(Fact_Actual_Costs!$D$2:$D$100,Fact_Actual_Costs!$B$2:$B$100,$A22,Fact_Actual_Costs!$A$2:$A$100,"&gt;="&amp;MIN(Fact_Baseline_PV!$A$2:$A$44)+(5*7),Fact_Actual_Costs!$A$2:$A$100,"&lt;"&amp;MIN(Fact_Baseline_PV!$A$2:$A$44)+((5+1)*7))</f>
        <v>0</v>
      </c>
      <c r="K22" s="67">
        <f>SUMIFS(Fact_Actual_Costs!$D$2:$D$100,Fact_Actual_Costs!$B$2:$B$100,$A22,Fact_Actual_Costs!$A$2:$A$100,"&gt;="&amp;MIN(Fact_Baseline_PV!$A$2:$A$44)+(6*7),Fact_Actual_Costs!$A$2:$A$100,"&lt;"&amp;MIN(Fact_Baseline_PV!$A$2:$A$44)+((6+1)*7))</f>
        <v>0</v>
      </c>
      <c r="L22" s="67">
        <f>SUMIFS(Fact_Actual_Costs!$D$2:$D$100,Fact_Actual_Costs!$B$2:$B$100,$A22,Fact_Actual_Costs!$A$2:$A$100,"&gt;="&amp;MIN(Fact_Baseline_PV!$A$2:$A$44)+(7*7),Fact_Actual_Costs!$A$2:$A$100,"&lt;"&amp;MIN(Fact_Baseline_PV!$A$2:$A$44)+((7+1)*7))</f>
        <v>0</v>
      </c>
      <c r="M22" s="67">
        <f>SUMIFS(Fact_Actual_Costs!$D$2:$D$100,Fact_Actual_Costs!$B$2:$B$100,$A22,Fact_Actual_Costs!$A$2:$A$100,"&gt;="&amp;MIN(Fact_Baseline_PV!$A$2:$A$44)+(8*7),Fact_Actual_Costs!$A$2:$A$100,"&lt;"&amp;MIN(Fact_Baseline_PV!$A$2:$A$44)+((8+1)*7))</f>
        <v>0</v>
      </c>
      <c r="N22" s="67">
        <f>SUMIFS(Fact_Actual_Costs!$D$2:$D$100,Fact_Actual_Costs!$B$2:$B$100,$A22,Fact_Actual_Costs!$A$2:$A$100,"&gt;="&amp;MIN(Fact_Baseline_PV!$A$2:$A$44)+(9*7),Fact_Actual_Costs!$A$2:$A$100,"&lt;"&amp;MIN(Fact_Baseline_PV!$A$2:$A$44)+((9+1)*7))</f>
        <v>0</v>
      </c>
      <c r="O22" s="67">
        <f>SUMIFS(Fact_Actual_Costs!$D$2:$D$100,Fact_Actual_Costs!$B$2:$B$100,$A22,Fact_Actual_Costs!$A$2:$A$100,"&gt;="&amp;MIN(Fact_Baseline_PV!$A$2:$A$44)+(10*7),Fact_Actual_Costs!$A$2:$A$100,"&lt;"&amp;MIN(Fact_Baseline_PV!$A$2:$A$44)+((10+1)*7))</f>
        <v>0</v>
      </c>
      <c r="P22" s="67">
        <f>SUMIFS(Fact_Actual_Costs!$D$2:$D$100,Fact_Actual_Costs!$B$2:$B$100,$A22,Fact_Actual_Costs!$A$2:$A$100,"&gt;="&amp;MIN(Fact_Baseline_PV!$A$2:$A$44)+(11*7),Fact_Actual_Costs!$A$2:$A$100,"&lt;"&amp;MIN(Fact_Baseline_PV!$A$2:$A$44)+((11+1)*7))</f>
        <v>0</v>
      </c>
      <c r="Q22" s="67">
        <f t="shared" si="0"/>
        <v>0</v>
      </c>
      <c r="R22" s="66">
        <f>VLOOKUP(A22,Dim_WBS!$A$2:$E$13,5,FALSE)</f>
        <v>35750</v>
      </c>
      <c r="S22" s="66">
        <f>SUMIFS(Fact_Actual_Costs!$D$2:$D$100,Fact_Actual_Costs!$B$2:$B$100,A22,Fact_Actual_Costs!$A$2:$A$100,"&lt;="&amp;Setup!$B$9)</f>
        <v>0</v>
      </c>
      <c r="T22" s="66">
        <f t="shared" si="1"/>
        <v>35750</v>
      </c>
      <c r="U22" s="67">
        <f>IFERROR((R22*VLOOKUP(A22,'Task Plan'!$A$5:$K$16,11,FALSE))/S22,1)</f>
        <v>1</v>
      </c>
      <c r="V22" s="2" t="str">
        <f>IF(U22&lt;Setup!$B$12,"Red",IF(U22&lt;Setup!$B$13,"Amber","Green"))</f>
        <v>Green</v>
      </c>
      <c r="W22" s="2" t="s">
        <v>430</v>
      </c>
      <c r="X22" s="2" t="s">
        <v>551</v>
      </c>
      <c r="Y22" s="2"/>
      <c r="Z22" s="2"/>
    </row>
    <row r="23" spans="1:26" x14ac:dyDescent="0.35">
      <c r="A23" s="2" t="str">
        <f>Dim_WBS!A11</f>
        <v>WBS-10</v>
      </c>
      <c r="B23" s="2" t="str">
        <f>Dim_WBS!C11</f>
        <v>Fixtures &amp; Furniture</v>
      </c>
      <c r="C23" s="2" t="str">
        <f>Dim_WBS!D11</f>
        <v>Material</v>
      </c>
      <c r="D23" s="2" t="s">
        <v>548</v>
      </c>
      <c r="E23" s="67">
        <f>SUMIFS(Fact_Actual_Costs!$E$2:$E$100,Fact_Actual_Costs!$B$2:$B$100,$A23,Fact_Actual_Costs!$A$2:$A$100,"&gt;="&amp;MIN(Fact_Baseline_PV!$A$2:$A$44)+(0*7),Fact_Actual_Costs!$A$2:$A$100,"&lt;"&amp;MIN(Fact_Baseline_PV!$A$2:$A$44)+((0+1)*7))</f>
        <v>0</v>
      </c>
      <c r="F23" s="67">
        <f>SUMIFS(Fact_Actual_Costs!$E$2:$E$100,Fact_Actual_Costs!$B$2:$B$100,$A23,Fact_Actual_Costs!$A$2:$A$100,"&gt;="&amp;MIN(Fact_Baseline_PV!$A$2:$A$44)+(1*7),Fact_Actual_Costs!$A$2:$A$100,"&lt;"&amp;MIN(Fact_Baseline_PV!$A$2:$A$44)+((1+1)*7))</f>
        <v>0</v>
      </c>
      <c r="G23" s="67">
        <f>SUMIFS(Fact_Actual_Costs!$E$2:$E$100,Fact_Actual_Costs!$B$2:$B$100,$A23,Fact_Actual_Costs!$A$2:$A$100,"&gt;="&amp;MIN(Fact_Baseline_PV!$A$2:$A$44)+(2*7),Fact_Actual_Costs!$A$2:$A$100,"&lt;"&amp;MIN(Fact_Baseline_PV!$A$2:$A$44)+((2+1)*7))</f>
        <v>0</v>
      </c>
      <c r="H23" s="67">
        <f>SUMIFS(Fact_Actual_Costs!$E$2:$E$100,Fact_Actual_Costs!$B$2:$B$100,$A23,Fact_Actual_Costs!$A$2:$A$100,"&gt;="&amp;MIN(Fact_Baseline_PV!$A$2:$A$44)+(3*7),Fact_Actual_Costs!$A$2:$A$100,"&lt;"&amp;MIN(Fact_Baseline_PV!$A$2:$A$44)+((3+1)*7))</f>
        <v>0</v>
      </c>
      <c r="I23" s="67">
        <f>SUMIFS(Fact_Actual_Costs!$E$2:$E$100,Fact_Actual_Costs!$B$2:$B$100,$A23,Fact_Actual_Costs!$A$2:$A$100,"&gt;="&amp;MIN(Fact_Baseline_PV!$A$2:$A$44)+(4*7),Fact_Actual_Costs!$A$2:$A$100,"&lt;"&amp;MIN(Fact_Baseline_PV!$A$2:$A$44)+((4+1)*7))</f>
        <v>0</v>
      </c>
      <c r="J23" s="67">
        <f>SUMIFS(Fact_Actual_Costs!$E$2:$E$100,Fact_Actual_Costs!$B$2:$B$100,$A23,Fact_Actual_Costs!$A$2:$A$100,"&gt;="&amp;MIN(Fact_Baseline_PV!$A$2:$A$44)+(5*7),Fact_Actual_Costs!$A$2:$A$100,"&lt;"&amp;MIN(Fact_Baseline_PV!$A$2:$A$44)+((5+1)*7))</f>
        <v>0</v>
      </c>
      <c r="K23" s="67">
        <f>SUMIFS(Fact_Actual_Costs!$E$2:$E$100,Fact_Actual_Costs!$B$2:$B$100,$A23,Fact_Actual_Costs!$A$2:$A$100,"&gt;="&amp;MIN(Fact_Baseline_PV!$A$2:$A$44)+(6*7),Fact_Actual_Costs!$A$2:$A$100,"&lt;"&amp;MIN(Fact_Baseline_PV!$A$2:$A$44)+((6+1)*7))</f>
        <v>0</v>
      </c>
      <c r="L23" s="67">
        <f>SUMIFS(Fact_Actual_Costs!$E$2:$E$100,Fact_Actual_Costs!$B$2:$B$100,$A23,Fact_Actual_Costs!$A$2:$A$100,"&gt;="&amp;MIN(Fact_Baseline_PV!$A$2:$A$44)+(7*7),Fact_Actual_Costs!$A$2:$A$100,"&lt;"&amp;MIN(Fact_Baseline_PV!$A$2:$A$44)+((7+1)*7))</f>
        <v>0</v>
      </c>
      <c r="M23" s="67">
        <f>SUMIFS(Fact_Actual_Costs!$E$2:$E$100,Fact_Actual_Costs!$B$2:$B$100,$A23,Fact_Actual_Costs!$A$2:$A$100,"&gt;="&amp;MIN(Fact_Baseline_PV!$A$2:$A$44)+(8*7),Fact_Actual_Costs!$A$2:$A$100,"&lt;"&amp;MIN(Fact_Baseline_PV!$A$2:$A$44)+((8+1)*7))</f>
        <v>0</v>
      </c>
      <c r="N23" s="67">
        <f>SUMIFS(Fact_Actual_Costs!$E$2:$E$100,Fact_Actual_Costs!$B$2:$B$100,$A23,Fact_Actual_Costs!$A$2:$A$100,"&gt;="&amp;MIN(Fact_Baseline_PV!$A$2:$A$44)+(9*7),Fact_Actual_Costs!$A$2:$A$100,"&lt;"&amp;MIN(Fact_Baseline_PV!$A$2:$A$44)+((9+1)*7))</f>
        <v>0</v>
      </c>
      <c r="O23" s="67">
        <f>SUMIFS(Fact_Actual_Costs!$E$2:$E$100,Fact_Actual_Costs!$B$2:$B$100,$A23,Fact_Actual_Costs!$A$2:$A$100,"&gt;="&amp;MIN(Fact_Baseline_PV!$A$2:$A$44)+(10*7),Fact_Actual_Costs!$A$2:$A$100,"&lt;"&amp;MIN(Fact_Baseline_PV!$A$2:$A$44)+((10+1)*7))</f>
        <v>0</v>
      </c>
      <c r="P23" s="67">
        <f>SUMIFS(Fact_Actual_Costs!$E$2:$E$100,Fact_Actual_Costs!$B$2:$B$100,$A23,Fact_Actual_Costs!$A$2:$A$100,"&gt;="&amp;MIN(Fact_Baseline_PV!$A$2:$A$44)+(11*7),Fact_Actual_Costs!$A$2:$A$100,"&lt;"&amp;MIN(Fact_Baseline_PV!$A$2:$A$44)+((11+1)*7))</f>
        <v>0</v>
      </c>
      <c r="Q23" s="67">
        <f t="shared" si="0"/>
        <v>0</v>
      </c>
      <c r="R23" s="66">
        <f>VLOOKUP(A23,Dim_WBS!$A$2:$E$13,5,FALSE)</f>
        <v>30000</v>
      </c>
      <c r="S23" s="66">
        <f>SUMIFS(Fact_Actual_Costs!$D$2:$D$100,Fact_Actual_Costs!$B$2:$B$100,A23,Fact_Actual_Costs!$A$2:$A$100,"&lt;="&amp;Setup!$B$9)</f>
        <v>0</v>
      </c>
      <c r="T23" s="66">
        <f t="shared" si="1"/>
        <v>30000</v>
      </c>
      <c r="U23" s="67">
        <f>IFERROR((R23*VLOOKUP(A23,'Task Plan'!$A$5:$K$16,11,FALSE))/S23,1)</f>
        <v>1</v>
      </c>
      <c r="V23" s="2" t="str">
        <f>IF(U23&lt;Setup!$B$12,"Red",IF(U23&lt;Setup!$B$13,"Amber","Green"))</f>
        <v>Green</v>
      </c>
      <c r="W23" s="2" t="s">
        <v>430</v>
      </c>
      <c r="X23" s="2" t="s">
        <v>549</v>
      </c>
      <c r="Y23" s="2"/>
      <c r="Z23" s="2"/>
    </row>
    <row r="24" spans="1:26" x14ac:dyDescent="0.35">
      <c r="A24" s="2" t="str">
        <f>Dim_WBS!A11</f>
        <v>WBS-10</v>
      </c>
      <c r="B24" s="2" t="str">
        <f>Dim_WBS!C11</f>
        <v>Fixtures &amp; Furniture</v>
      </c>
      <c r="C24" s="2" t="str">
        <f>Dim_WBS!D11</f>
        <v>Material</v>
      </c>
      <c r="D24" s="2" t="s">
        <v>550</v>
      </c>
      <c r="E24" s="67">
        <f>SUMIFS(Fact_Actual_Costs!$D$2:$D$100,Fact_Actual_Costs!$B$2:$B$100,$A24,Fact_Actual_Costs!$A$2:$A$100,"&gt;="&amp;MIN(Fact_Baseline_PV!$A$2:$A$44)+(0*7),Fact_Actual_Costs!$A$2:$A$100,"&lt;"&amp;MIN(Fact_Baseline_PV!$A$2:$A$44)+((0+1)*7))</f>
        <v>0</v>
      </c>
      <c r="F24" s="67">
        <f>SUMIFS(Fact_Actual_Costs!$D$2:$D$100,Fact_Actual_Costs!$B$2:$B$100,$A24,Fact_Actual_Costs!$A$2:$A$100,"&gt;="&amp;MIN(Fact_Baseline_PV!$A$2:$A$44)+(1*7),Fact_Actual_Costs!$A$2:$A$100,"&lt;"&amp;MIN(Fact_Baseline_PV!$A$2:$A$44)+((1+1)*7))</f>
        <v>0</v>
      </c>
      <c r="G24" s="67">
        <f>SUMIFS(Fact_Actual_Costs!$D$2:$D$100,Fact_Actual_Costs!$B$2:$B$100,$A24,Fact_Actual_Costs!$A$2:$A$100,"&gt;="&amp;MIN(Fact_Baseline_PV!$A$2:$A$44)+(2*7),Fact_Actual_Costs!$A$2:$A$100,"&lt;"&amp;MIN(Fact_Baseline_PV!$A$2:$A$44)+((2+1)*7))</f>
        <v>0</v>
      </c>
      <c r="H24" s="67">
        <f>SUMIFS(Fact_Actual_Costs!$D$2:$D$100,Fact_Actual_Costs!$B$2:$B$100,$A24,Fact_Actual_Costs!$A$2:$A$100,"&gt;="&amp;MIN(Fact_Baseline_PV!$A$2:$A$44)+(3*7),Fact_Actual_Costs!$A$2:$A$100,"&lt;"&amp;MIN(Fact_Baseline_PV!$A$2:$A$44)+((3+1)*7))</f>
        <v>0</v>
      </c>
      <c r="I24" s="67">
        <f>SUMIFS(Fact_Actual_Costs!$D$2:$D$100,Fact_Actual_Costs!$B$2:$B$100,$A24,Fact_Actual_Costs!$A$2:$A$100,"&gt;="&amp;MIN(Fact_Baseline_PV!$A$2:$A$44)+(4*7),Fact_Actual_Costs!$A$2:$A$100,"&lt;"&amp;MIN(Fact_Baseline_PV!$A$2:$A$44)+((4+1)*7))</f>
        <v>0</v>
      </c>
      <c r="J24" s="67">
        <f>SUMIFS(Fact_Actual_Costs!$D$2:$D$100,Fact_Actual_Costs!$B$2:$B$100,$A24,Fact_Actual_Costs!$A$2:$A$100,"&gt;="&amp;MIN(Fact_Baseline_PV!$A$2:$A$44)+(5*7),Fact_Actual_Costs!$A$2:$A$100,"&lt;"&amp;MIN(Fact_Baseline_PV!$A$2:$A$44)+((5+1)*7))</f>
        <v>0</v>
      </c>
      <c r="K24" s="67">
        <f>SUMIFS(Fact_Actual_Costs!$D$2:$D$100,Fact_Actual_Costs!$B$2:$B$100,$A24,Fact_Actual_Costs!$A$2:$A$100,"&gt;="&amp;MIN(Fact_Baseline_PV!$A$2:$A$44)+(6*7),Fact_Actual_Costs!$A$2:$A$100,"&lt;"&amp;MIN(Fact_Baseline_PV!$A$2:$A$44)+((6+1)*7))</f>
        <v>0</v>
      </c>
      <c r="L24" s="67">
        <f>SUMIFS(Fact_Actual_Costs!$D$2:$D$100,Fact_Actual_Costs!$B$2:$B$100,$A24,Fact_Actual_Costs!$A$2:$A$100,"&gt;="&amp;MIN(Fact_Baseline_PV!$A$2:$A$44)+(7*7),Fact_Actual_Costs!$A$2:$A$100,"&lt;"&amp;MIN(Fact_Baseline_PV!$A$2:$A$44)+((7+1)*7))</f>
        <v>0</v>
      </c>
      <c r="M24" s="67">
        <f>SUMIFS(Fact_Actual_Costs!$D$2:$D$100,Fact_Actual_Costs!$B$2:$B$100,$A24,Fact_Actual_Costs!$A$2:$A$100,"&gt;="&amp;MIN(Fact_Baseline_PV!$A$2:$A$44)+(8*7),Fact_Actual_Costs!$A$2:$A$100,"&lt;"&amp;MIN(Fact_Baseline_PV!$A$2:$A$44)+((8+1)*7))</f>
        <v>0</v>
      </c>
      <c r="N24" s="67">
        <f>SUMIFS(Fact_Actual_Costs!$D$2:$D$100,Fact_Actual_Costs!$B$2:$B$100,$A24,Fact_Actual_Costs!$A$2:$A$100,"&gt;="&amp;MIN(Fact_Baseline_PV!$A$2:$A$44)+(9*7),Fact_Actual_Costs!$A$2:$A$100,"&lt;"&amp;MIN(Fact_Baseline_PV!$A$2:$A$44)+((9+1)*7))</f>
        <v>0</v>
      </c>
      <c r="O24" s="67">
        <f>SUMIFS(Fact_Actual_Costs!$D$2:$D$100,Fact_Actual_Costs!$B$2:$B$100,$A24,Fact_Actual_Costs!$A$2:$A$100,"&gt;="&amp;MIN(Fact_Baseline_PV!$A$2:$A$44)+(10*7),Fact_Actual_Costs!$A$2:$A$100,"&lt;"&amp;MIN(Fact_Baseline_PV!$A$2:$A$44)+((10+1)*7))</f>
        <v>0</v>
      </c>
      <c r="P24" s="67">
        <f>SUMIFS(Fact_Actual_Costs!$D$2:$D$100,Fact_Actual_Costs!$B$2:$B$100,$A24,Fact_Actual_Costs!$A$2:$A$100,"&gt;="&amp;MIN(Fact_Baseline_PV!$A$2:$A$44)+(11*7),Fact_Actual_Costs!$A$2:$A$100,"&lt;"&amp;MIN(Fact_Baseline_PV!$A$2:$A$44)+((11+1)*7))</f>
        <v>0</v>
      </c>
      <c r="Q24" s="67">
        <f t="shared" si="0"/>
        <v>0</v>
      </c>
      <c r="R24" s="66">
        <f>VLOOKUP(A24,Dim_WBS!$A$2:$E$13,5,FALSE)</f>
        <v>30000</v>
      </c>
      <c r="S24" s="66">
        <f>SUMIFS(Fact_Actual_Costs!$D$2:$D$100,Fact_Actual_Costs!$B$2:$B$100,A24,Fact_Actual_Costs!$A$2:$A$100,"&lt;="&amp;Setup!$B$9)</f>
        <v>0</v>
      </c>
      <c r="T24" s="66">
        <f t="shared" si="1"/>
        <v>30000</v>
      </c>
      <c r="U24" s="67">
        <f>IFERROR((R24*VLOOKUP(A24,'Task Plan'!$A$5:$K$16,11,FALSE))/S24,1)</f>
        <v>1</v>
      </c>
      <c r="V24" s="2" t="str">
        <f>IF(U24&lt;Setup!$B$12,"Red",IF(U24&lt;Setup!$B$13,"Amber","Green"))</f>
        <v>Green</v>
      </c>
      <c r="W24" s="2" t="s">
        <v>430</v>
      </c>
      <c r="X24" s="2" t="s">
        <v>551</v>
      </c>
      <c r="Y24" s="2"/>
      <c r="Z24" s="2"/>
    </row>
    <row r="25" spans="1:26" x14ac:dyDescent="0.35">
      <c r="A25" s="2" t="str">
        <f>Dim_WBS!A12</f>
        <v>WBS-11</v>
      </c>
      <c r="B25" s="2" t="str">
        <f>Dim_WBS!C12</f>
        <v>Testing / Commissioning</v>
      </c>
      <c r="C25" s="2" t="str">
        <f>Dim_WBS!D12</f>
        <v>Labor</v>
      </c>
      <c r="D25" s="2" t="s">
        <v>548</v>
      </c>
      <c r="E25" s="67">
        <f>SUMIFS(Fact_Actual_Costs!$E$2:$E$100,Fact_Actual_Costs!$B$2:$B$100,$A25,Fact_Actual_Costs!$A$2:$A$100,"&gt;="&amp;MIN(Fact_Baseline_PV!$A$2:$A$44)+(0*7),Fact_Actual_Costs!$A$2:$A$100,"&lt;"&amp;MIN(Fact_Baseline_PV!$A$2:$A$44)+((0+1)*7))</f>
        <v>0</v>
      </c>
      <c r="F25" s="67">
        <f>SUMIFS(Fact_Actual_Costs!$E$2:$E$100,Fact_Actual_Costs!$B$2:$B$100,$A25,Fact_Actual_Costs!$A$2:$A$100,"&gt;="&amp;MIN(Fact_Baseline_PV!$A$2:$A$44)+(1*7),Fact_Actual_Costs!$A$2:$A$100,"&lt;"&amp;MIN(Fact_Baseline_PV!$A$2:$A$44)+((1+1)*7))</f>
        <v>0</v>
      </c>
      <c r="G25" s="67">
        <f>SUMIFS(Fact_Actual_Costs!$E$2:$E$100,Fact_Actual_Costs!$B$2:$B$100,$A25,Fact_Actual_Costs!$A$2:$A$100,"&gt;="&amp;MIN(Fact_Baseline_PV!$A$2:$A$44)+(2*7),Fact_Actual_Costs!$A$2:$A$100,"&lt;"&amp;MIN(Fact_Baseline_PV!$A$2:$A$44)+((2+1)*7))</f>
        <v>0</v>
      </c>
      <c r="H25" s="67">
        <f>SUMIFS(Fact_Actual_Costs!$E$2:$E$100,Fact_Actual_Costs!$B$2:$B$100,$A25,Fact_Actual_Costs!$A$2:$A$100,"&gt;="&amp;MIN(Fact_Baseline_PV!$A$2:$A$44)+(3*7),Fact_Actual_Costs!$A$2:$A$100,"&lt;"&amp;MIN(Fact_Baseline_PV!$A$2:$A$44)+((3+1)*7))</f>
        <v>0</v>
      </c>
      <c r="I25" s="67">
        <f>SUMIFS(Fact_Actual_Costs!$E$2:$E$100,Fact_Actual_Costs!$B$2:$B$100,$A25,Fact_Actual_Costs!$A$2:$A$100,"&gt;="&amp;MIN(Fact_Baseline_PV!$A$2:$A$44)+(4*7),Fact_Actual_Costs!$A$2:$A$100,"&lt;"&amp;MIN(Fact_Baseline_PV!$A$2:$A$44)+((4+1)*7))</f>
        <v>0</v>
      </c>
      <c r="J25" s="67">
        <f>SUMIFS(Fact_Actual_Costs!$E$2:$E$100,Fact_Actual_Costs!$B$2:$B$100,$A25,Fact_Actual_Costs!$A$2:$A$100,"&gt;="&amp;MIN(Fact_Baseline_PV!$A$2:$A$44)+(5*7),Fact_Actual_Costs!$A$2:$A$100,"&lt;"&amp;MIN(Fact_Baseline_PV!$A$2:$A$44)+((5+1)*7))</f>
        <v>0</v>
      </c>
      <c r="K25" s="67">
        <f>SUMIFS(Fact_Actual_Costs!$E$2:$E$100,Fact_Actual_Costs!$B$2:$B$100,$A25,Fact_Actual_Costs!$A$2:$A$100,"&gt;="&amp;MIN(Fact_Baseline_PV!$A$2:$A$44)+(6*7),Fact_Actual_Costs!$A$2:$A$100,"&lt;"&amp;MIN(Fact_Baseline_PV!$A$2:$A$44)+((6+1)*7))</f>
        <v>0</v>
      </c>
      <c r="L25" s="67">
        <f>SUMIFS(Fact_Actual_Costs!$E$2:$E$100,Fact_Actual_Costs!$B$2:$B$100,$A25,Fact_Actual_Costs!$A$2:$A$100,"&gt;="&amp;MIN(Fact_Baseline_PV!$A$2:$A$44)+(7*7),Fact_Actual_Costs!$A$2:$A$100,"&lt;"&amp;MIN(Fact_Baseline_PV!$A$2:$A$44)+((7+1)*7))</f>
        <v>0</v>
      </c>
      <c r="M25" s="67">
        <f>SUMIFS(Fact_Actual_Costs!$E$2:$E$100,Fact_Actual_Costs!$B$2:$B$100,$A25,Fact_Actual_Costs!$A$2:$A$100,"&gt;="&amp;MIN(Fact_Baseline_PV!$A$2:$A$44)+(8*7),Fact_Actual_Costs!$A$2:$A$100,"&lt;"&amp;MIN(Fact_Baseline_PV!$A$2:$A$44)+((8+1)*7))</f>
        <v>0</v>
      </c>
      <c r="N25" s="67">
        <f>SUMIFS(Fact_Actual_Costs!$E$2:$E$100,Fact_Actual_Costs!$B$2:$B$100,$A25,Fact_Actual_Costs!$A$2:$A$100,"&gt;="&amp;MIN(Fact_Baseline_PV!$A$2:$A$44)+(9*7),Fact_Actual_Costs!$A$2:$A$100,"&lt;"&amp;MIN(Fact_Baseline_PV!$A$2:$A$44)+((9+1)*7))</f>
        <v>0</v>
      </c>
      <c r="O25" s="67">
        <f>SUMIFS(Fact_Actual_Costs!$E$2:$E$100,Fact_Actual_Costs!$B$2:$B$100,$A25,Fact_Actual_Costs!$A$2:$A$100,"&gt;="&amp;MIN(Fact_Baseline_PV!$A$2:$A$44)+(10*7),Fact_Actual_Costs!$A$2:$A$100,"&lt;"&amp;MIN(Fact_Baseline_PV!$A$2:$A$44)+((10+1)*7))</f>
        <v>0</v>
      </c>
      <c r="P25" s="67">
        <f>SUMIFS(Fact_Actual_Costs!$E$2:$E$100,Fact_Actual_Costs!$B$2:$B$100,$A25,Fact_Actual_Costs!$A$2:$A$100,"&gt;="&amp;MIN(Fact_Baseline_PV!$A$2:$A$44)+(11*7),Fact_Actual_Costs!$A$2:$A$100,"&lt;"&amp;MIN(Fact_Baseline_PV!$A$2:$A$44)+((11+1)*7))</f>
        <v>0</v>
      </c>
      <c r="Q25" s="67">
        <f t="shared" si="0"/>
        <v>0</v>
      </c>
      <c r="R25" s="66">
        <f>VLOOKUP(A25,Dim_WBS!$A$2:$E$13,5,FALSE)</f>
        <v>8400</v>
      </c>
      <c r="S25" s="66">
        <f>SUMIFS(Fact_Actual_Costs!$D$2:$D$100,Fact_Actual_Costs!$B$2:$B$100,A25,Fact_Actual_Costs!$A$2:$A$100,"&lt;="&amp;Setup!$B$9)</f>
        <v>0</v>
      </c>
      <c r="T25" s="66">
        <f t="shared" si="1"/>
        <v>8400</v>
      </c>
      <c r="U25" s="67">
        <f>IFERROR((R25*VLOOKUP(A25,'Task Plan'!$A$5:$K$16,11,FALSE))/S25,1)</f>
        <v>1</v>
      </c>
      <c r="V25" s="2" t="str">
        <f>IF(U25&lt;Setup!$B$12,"Red",IF(U25&lt;Setup!$B$13,"Amber","Green"))</f>
        <v>Green</v>
      </c>
      <c r="W25" s="2" t="s">
        <v>430</v>
      </c>
      <c r="X25" s="2" t="s">
        <v>549</v>
      </c>
      <c r="Y25" s="2"/>
      <c r="Z25" s="2"/>
    </row>
    <row r="26" spans="1:26" x14ac:dyDescent="0.35">
      <c r="A26" s="2" t="str">
        <f>Dim_WBS!A12</f>
        <v>WBS-11</v>
      </c>
      <c r="B26" s="2" t="str">
        <f>Dim_WBS!C12</f>
        <v>Testing / Commissioning</v>
      </c>
      <c r="C26" s="2" t="str">
        <f>Dim_WBS!D12</f>
        <v>Labor</v>
      </c>
      <c r="D26" s="2" t="s">
        <v>550</v>
      </c>
      <c r="E26" s="67">
        <f>SUMIFS(Fact_Actual_Costs!$D$2:$D$100,Fact_Actual_Costs!$B$2:$B$100,$A26,Fact_Actual_Costs!$A$2:$A$100,"&gt;="&amp;MIN(Fact_Baseline_PV!$A$2:$A$44)+(0*7),Fact_Actual_Costs!$A$2:$A$100,"&lt;"&amp;MIN(Fact_Baseline_PV!$A$2:$A$44)+((0+1)*7))</f>
        <v>0</v>
      </c>
      <c r="F26" s="67">
        <f>SUMIFS(Fact_Actual_Costs!$D$2:$D$100,Fact_Actual_Costs!$B$2:$B$100,$A26,Fact_Actual_Costs!$A$2:$A$100,"&gt;="&amp;MIN(Fact_Baseline_PV!$A$2:$A$44)+(1*7),Fact_Actual_Costs!$A$2:$A$100,"&lt;"&amp;MIN(Fact_Baseline_PV!$A$2:$A$44)+((1+1)*7))</f>
        <v>0</v>
      </c>
      <c r="G26" s="67">
        <f>SUMIFS(Fact_Actual_Costs!$D$2:$D$100,Fact_Actual_Costs!$B$2:$B$100,$A26,Fact_Actual_Costs!$A$2:$A$100,"&gt;="&amp;MIN(Fact_Baseline_PV!$A$2:$A$44)+(2*7),Fact_Actual_Costs!$A$2:$A$100,"&lt;"&amp;MIN(Fact_Baseline_PV!$A$2:$A$44)+((2+1)*7))</f>
        <v>0</v>
      </c>
      <c r="H26" s="67">
        <f>SUMIFS(Fact_Actual_Costs!$D$2:$D$100,Fact_Actual_Costs!$B$2:$B$100,$A26,Fact_Actual_Costs!$A$2:$A$100,"&gt;="&amp;MIN(Fact_Baseline_PV!$A$2:$A$44)+(3*7),Fact_Actual_Costs!$A$2:$A$100,"&lt;"&amp;MIN(Fact_Baseline_PV!$A$2:$A$44)+((3+1)*7))</f>
        <v>0</v>
      </c>
      <c r="I26" s="67">
        <f>SUMIFS(Fact_Actual_Costs!$D$2:$D$100,Fact_Actual_Costs!$B$2:$B$100,$A26,Fact_Actual_Costs!$A$2:$A$100,"&gt;="&amp;MIN(Fact_Baseline_PV!$A$2:$A$44)+(4*7),Fact_Actual_Costs!$A$2:$A$100,"&lt;"&amp;MIN(Fact_Baseline_PV!$A$2:$A$44)+((4+1)*7))</f>
        <v>0</v>
      </c>
      <c r="J26" s="67">
        <f>SUMIFS(Fact_Actual_Costs!$D$2:$D$100,Fact_Actual_Costs!$B$2:$B$100,$A26,Fact_Actual_Costs!$A$2:$A$100,"&gt;="&amp;MIN(Fact_Baseline_PV!$A$2:$A$44)+(5*7),Fact_Actual_Costs!$A$2:$A$100,"&lt;"&amp;MIN(Fact_Baseline_PV!$A$2:$A$44)+((5+1)*7))</f>
        <v>0</v>
      </c>
      <c r="K26" s="67">
        <f>SUMIFS(Fact_Actual_Costs!$D$2:$D$100,Fact_Actual_Costs!$B$2:$B$100,$A26,Fact_Actual_Costs!$A$2:$A$100,"&gt;="&amp;MIN(Fact_Baseline_PV!$A$2:$A$44)+(6*7),Fact_Actual_Costs!$A$2:$A$100,"&lt;"&amp;MIN(Fact_Baseline_PV!$A$2:$A$44)+((6+1)*7))</f>
        <v>0</v>
      </c>
      <c r="L26" s="67">
        <f>SUMIFS(Fact_Actual_Costs!$D$2:$D$100,Fact_Actual_Costs!$B$2:$B$100,$A26,Fact_Actual_Costs!$A$2:$A$100,"&gt;="&amp;MIN(Fact_Baseline_PV!$A$2:$A$44)+(7*7),Fact_Actual_Costs!$A$2:$A$100,"&lt;"&amp;MIN(Fact_Baseline_PV!$A$2:$A$44)+((7+1)*7))</f>
        <v>0</v>
      </c>
      <c r="M26" s="67">
        <f>SUMIFS(Fact_Actual_Costs!$D$2:$D$100,Fact_Actual_Costs!$B$2:$B$100,$A26,Fact_Actual_Costs!$A$2:$A$100,"&gt;="&amp;MIN(Fact_Baseline_PV!$A$2:$A$44)+(8*7),Fact_Actual_Costs!$A$2:$A$100,"&lt;"&amp;MIN(Fact_Baseline_PV!$A$2:$A$44)+((8+1)*7))</f>
        <v>0</v>
      </c>
      <c r="N26" s="67">
        <f>SUMIFS(Fact_Actual_Costs!$D$2:$D$100,Fact_Actual_Costs!$B$2:$B$100,$A26,Fact_Actual_Costs!$A$2:$A$100,"&gt;="&amp;MIN(Fact_Baseline_PV!$A$2:$A$44)+(9*7),Fact_Actual_Costs!$A$2:$A$100,"&lt;"&amp;MIN(Fact_Baseline_PV!$A$2:$A$44)+((9+1)*7))</f>
        <v>0</v>
      </c>
      <c r="O26" s="67">
        <f>SUMIFS(Fact_Actual_Costs!$D$2:$D$100,Fact_Actual_Costs!$B$2:$B$100,$A26,Fact_Actual_Costs!$A$2:$A$100,"&gt;="&amp;MIN(Fact_Baseline_PV!$A$2:$A$44)+(10*7),Fact_Actual_Costs!$A$2:$A$100,"&lt;"&amp;MIN(Fact_Baseline_PV!$A$2:$A$44)+((10+1)*7))</f>
        <v>0</v>
      </c>
      <c r="P26" s="67">
        <f>SUMIFS(Fact_Actual_Costs!$D$2:$D$100,Fact_Actual_Costs!$B$2:$B$100,$A26,Fact_Actual_Costs!$A$2:$A$100,"&gt;="&amp;MIN(Fact_Baseline_PV!$A$2:$A$44)+(11*7),Fact_Actual_Costs!$A$2:$A$100,"&lt;"&amp;MIN(Fact_Baseline_PV!$A$2:$A$44)+((11+1)*7))</f>
        <v>0</v>
      </c>
      <c r="Q26" s="67">
        <f t="shared" si="0"/>
        <v>0</v>
      </c>
      <c r="R26" s="66">
        <f>VLOOKUP(A26,Dim_WBS!$A$2:$E$13,5,FALSE)</f>
        <v>8400</v>
      </c>
      <c r="S26" s="66">
        <f>SUMIFS(Fact_Actual_Costs!$D$2:$D$100,Fact_Actual_Costs!$B$2:$B$100,A26,Fact_Actual_Costs!$A$2:$A$100,"&lt;="&amp;Setup!$B$9)</f>
        <v>0</v>
      </c>
      <c r="T26" s="66">
        <f t="shared" si="1"/>
        <v>8400</v>
      </c>
      <c r="U26" s="67">
        <f>IFERROR((R26*VLOOKUP(A26,'Task Plan'!$A$5:$K$16,11,FALSE))/S26,1)</f>
        <v>1</v>
      </c>
      <c r="V26" s="2" t="str">
        <f>IF(U26&lt;Setup!$B$12,"Red",IF(U26&lt;Setup!$B$13,"Amber","Green"))</f>
        <v>Green</v>
      </c>
      <c r="W26" s="2" t="s">
        <v>430</v>
      </c>
      <c r="X26" s="2" t="s">
        <v>551</v>
      </c>
      <c r="Y26" s="2"/>
      <c r="Z26" s="2"/>
    </row>
    <row r="27" spans="1:26" x14ac:dyDescent="0.35">
      <c r="A27" s="2" t="str">
        <f>Dim_WBS!A13</f>
        <v>WBS-12</v>
      </c>
      <c r="B27" s="2" t="str">
        <f>Dim_WBS!C13</f>
        <v>Handover &amp; Closeout</v>
      </c>
      <c r="C27" s="2" t="str">
        <f>Dim_WBS!D13</f>
        <v>Labor</v>
      </c>
      <c r="D27" s="2" t="s">
        <v>548</v>
      </c>
      <c r="E27" s="67">
        <f>SUMIFS(Fact_Actual_Costs!$E$2:$E$100,Fact_Actual_Costs!$B$2:$B$100,$A27,Fact_Actual_Costs!$A$2:$A$100,"&gt;="&amp;MIN(Fact_Baseline_PV!$A$2:$A$44)+(0*7),Fact_Actual_Costs!$A$2:$A$100,"&lt;"&amp;MIN(Fact_Baseline_PV!$A$2:$A$44)+((0+1)*7))</f>
        <v>0</v>
      </c>
      <c r="F27" s="67">
        <f>SUMIFS(Fact_Actual_Costs!$E$2:$E$100,Fact_Actual_Costs!$B$2:$B$100,$A27,Fact_Actual_Costs!$A$2:$A$100,"&gt;="&amp;MIN(Fact_Baseline_PV!$A$2:$A$44)+(1*7),Fact_Actual_Costs!$A$2:$A$100,"&lt;"&amp;MIN(Fact_Baseline_PV!$A$2:$A$44)+((1+1)*7))</f>
        <v>0</v>
      </c>
      <c r="G27" s="67">
        <f>SUMIFS(Fact_Actual_Costs!$E$2:$E$100,Fact_Actual_Costs!$B$2:$B$100,$A27,Fact_Actual_Costs!$A$2:$A$100,"&gt;="&amp;MIN(Fact_Baseline_PV!$A$2:$A$44)+(2*7),Fact_Actual_Costs!$A$2:$A$100,"&lt;"&amp;MIN(Fact_Baseline_PV!$A$2:$A$44)+((2+1)*7))</f>
        <v>0</v>
      </c>
      <c r="H27" s="67">
        <f>SUMIFS(Fact_Actual_Costs!$E$2:$E$100,Fact_Actual_Costs!$B$2:$B$100,$A27,Fact_Actual_Costs!$A$2:$A$100,"&gt;="&amp;MIN(Fact_Baseline_PV!$A$2:$A$44)+(3*7),Fact_Actual_Costs!$A$2:$A$100,"&lt;"&amp;MIN(Fact_Baseline_PV!$A$2:$A$44)+((3+1)*7))</f>
        <v>0</v>
      </c>
      <c r="I27" s="67">
        <f>SUMIFS(Fact_Actual_Costs!$E$2:$E$100,Fact_Actual_Costs!$B$2:$B$100,$A27,Fact_Actual_Costs!$A$2:$A$100,"&gt;="&amp;MIN(Fact_Baseline_PV!$A$2:$A$44)+(4*7),Fact_Actual_Costs!$A$2:$A$100,"&lt;"&amp;MIN(Fact_Baseline_PV!$A$2:$A$44)+((4+1)*7))</f>
        <v>0</v>
      </c>
      <c r="J27" s="67">
        <f>SUMIFS(Fact_Actual_Costs!$E$2:$E$100,Fact_Actual_Costs!$B$2:$B$100,$A27,Fact_Actual_Costs!$A$2:$A$100,"&gt;="&amp;MIN(Fact_Baseline_PV!$A$2:$A$44)+(5*7),Fact_Actual_Costs!$A$2:$A$100,"&lt;"&amp;MIN(Fact_Baseline_PV!$A$2:$A$44)+((5+1)*7))</f>
        <v>0</v>
      </c>
      <c r="K27" s="67">
        <f>SUMIFS(Fact_Actual_Costs!$E$2:$E$100,Fact_Actual_Costs!$B$2:$B$100,$A27,Fact_Actual_Costs!$A$2:$A$100,"&gt;="&amp;MIN(Fact_Baseline_PV!$A$2:$A$44)+(6*7),Fact_Actual_Costs!$A$2:$A$100,"&lt;"&amp;MIN(Fact_Baseline_PV!$A$2:$A$44)+((6+1)*7))</f>
        <v>0</v>
      </c>
      <c r="L27" s="67">
        <f>SUMIFS(Fact_Actual_Costs!$E$2:$E$100,Fact_Actual_Costs!$B$2:$B$100,$A27,Fact_Actual_Costs!$A$2:$A$100,"&gt;="&amp;MIN(Fact_Baseline_PV!$A$2:$A$44)+(7*7),Fact_Actual_Costs!$A$2:$A$100,"&lt;"&amp;MIN(Fact_Baseline_PV!$A$2:$A$44)+((7+1)*7))</f>
        <v>0</v>
      </c>
      <c r="M27" s="67">
        <f>SUMIFS(Fact_Actual_Costs!$E$2:$E$100,Fact_Actual_Costs!$B$2:$B$100,$A27,Fact_Actual_Costs!$A$2:$A$100,"&gt;="&amp;MIN(Fact_Baseline_PV!$A$2:$A$44)+(8*7),Fact_Actual_Costs!$A$2:$A$100,"&lt;"&amp;MIN(Fact_Baseline_PV!$A$2:$A$44)+((8+1)*7))</f>
        <v>0</v>
      </c>
      <c r="N27" s="67">
        <f>SUMIFS(Fact_Actual_Costs!$E$2:$E$100,Fact_Actual_Costs!$B$2:$B$100,$A27,Fact_Actual_Costs!$A$2:$A$100,"&gt;="&amp;MIN(Fact_Baseline_PV!$A$2:$A$44)+(9*7),Fact_Actual_Costs!$A$2:$A$100,"&lt;"&amp;MIN(Fact_Baseline_PV!$A$2:$A$44)+((9+1)*7))</f>
        <v>0</v>
      </c>
      <c r="O27" s="67">
        <f>SUMIFS(Fact_Actual_Costs!$E$2:$E$100,Fact_Actual_Costs!$B$2:$B$100,$A27,Fact_Actual_Costs!$A$2:$A$100,"&gt;="&amp;MIN(Fact_Baseline_PV!$A$2:$A$44)+(10*7),Fact_Actual_Costs!$A$2:$A$100,"&lt;"&amp;MIN(Fact_Baseline_PV!$A$2:$A$44)+((10+1)*7))</f>
        <v>0</v>
      </c>
      <c r="P27" s="67">
        <f>SUMIFS(Fact_Actual_Costs!$E$2:$E$100,Fact_Actual_Costs!$B$2:$B$100,$A27,Fact_Actual_Costs!$A$2:$A$100,"&gt;="&amp;MIN(Fact_Baseline_PV!$A$2:$A$44)+(11*7),Fact_Actual_Costs!$A$2:$A$100,"&lt;"&amp;MIN(Fact_Baseline_PV!$A$2:$A$44)+((11+1)*7))</f>
        <v>0</v>
      </c>
      <c r="Q27" s="67">
        <f t="shared" si="0"/>
        <v>0</v>
      </c>
      <c r="R27" s="66">
        <f>VLOOKUP(A27,Dim_WBS!$A$2:$E$13,5,FALSE)</f>
        <v>3600</v>
      </c>
      <c r="S27" s="66">
        <f>SUMIFS(Fact_Actual_Costs!$D$2:$D$100,Fact_Actual_Costs!$B$2:$B$100,A27,Fact_Actual_Costs!$A$2:$A$100,"&lt;="&amp;Setup!$B$9)</f>
        <v>0</v>
      </c>
      <c r="T27" s="66">
        <f t="shared" si="1"/>
        <v>3600</v>
      </c>
      <c r="U27" s="67">
        <f>IFERROR((R27*VLOOKUP(A27,'Task Plan'!$A$5:$K$16,11,FALSE))/S27,1)</f>
        <v>1</v>
      </c>
      <c r="V27" s="2" t="str">
        <f>IF(U27&lt;Setup!$B$12,"Red",IF(U27&lt;Setup!$B$13,"Amber","Green"))</f>
        <v>Green</v>
      </c>
      <c r="W27" s="2" t="s">
        <v>430</v>
      </c>
      <c r="X27" s="2" t="s">
        <v>549</v>
      </c>
      <c r="Y27" s="2"/>
      <c r="Z27" s="2"/>
    </row>
    <row r="28" spans="1:26" x14ac:dyDescent="0.35">
      <c r="A28" s="2" t="str">
        <f>Dim_WBS!A13</f>
        <v>WBS-12</v>
      </c>
      <c r="B28" s="2" t="str">
        <f>Dim_WBS!C13</f>
        <v>Handover &amp; Closeout</v>
      </c>
      <c r="C28" s="2" t="str">
        <f>Dim_WBS!D13</f>
        <v>Labor</v>
      </c>
      <c r="D28" s="2" t="s">
        <v>550</v>
      </c>
      <c r="E28" s="67">
        <f>SUMIFS(Fact_Actual_Costs!$D$2:$D$100,Fact_Actual_Costs!$B$2:$B$100,$A28,Fact_Actual_Costs!$A$2:$A$100,"&gt;="&amp;MIN(Fact_Baseline_PV!$A$2:$A$44)+(0*7),Fact_Actual_Costs!$A$2:$A$100,"&lt;"&amp;MIN(Fact_Baseline_PV!$A$2:$A$44)+((0+1)*7))</f>
        <v>0</v>
      </c>
      <c r="F28" s="67">
        <f>SUMIFS(Fact_Actual_Costs!$D$2:$D$100,Fact_Actual_Costs!$B$2:$B$100,$A28,Fact_Actual_Costs!$A$2:$A$100,"&gt;="&amp;MIN(Fact_Baseline_PV!$A$2:$A$44)+(1*7),Fact_Actual_Costs!$A$2:$A$100,"&lt;"&amp;MIN(Fact_Baseline_PV!$A$2:$A$44)+((1+1)*7))</f>
        <v>0</v>
      </c>
      <c r="G28" s="67">
        <f>SUMIFS(Fact_Actual_Costs!$D$2:$D$100,Fact_Actual_Costs!$B$2:$B$100,$A28,Fact_Actual_Costs!$A$2:$A$100,"&gt;="&amp;MIN(Fact_Baseline_PV!$A$2:$A$44)+(2*7),Fact_Actual_Costs!$A$2:$A$100,"&lt;"&amp;MIN(Fact_Baseline_PV!$A$2:$A$44)+((2+1)*7))</f>
        <v>0</v>
      </c>
      <c r="H28" s="67">
        <f>SUMIFS(Fact_Actual_Costs!$D$2:$D$100,Fact_Actual_Costs!$B$2:$B$100,$A28,Fact_Actual_Costs!$A$2:$A$100,"&gt;="&amp;MIN(Fact_Baseline_PV!$A$2:$A$44)+(3*7),Fact_Actual_Costs!$A$2:$A$100,"&lt;"&amp;MIN(Fact_Baseline_PV!$A$2:$A$44)+((3+1)*7))</f>
        <v>0</v>
      </c>
      <c r="I28" s="67">
        <f>SUMIFS(Fact_Actual_Costs!$D$2:$D$100,Fact_Actual_Costs!$B$2:$B$100,$A28,Fact_Actual_Costs!$A$2:$A$100,"&gt;="&amp;MIN(Fact_Baseline_PV!$A$2:$A$44)+(4*7),Fact_Actual_Costs!$A$2:$A$100,"&lt;"&amp;MIN(Fact_Baseline_PV!$A$2:$A$44)+((4+1)*7))</f>
        <v>0</v>
      </c>
      <c r="J28" s="67">
        <f>SUMIFS(Fact_Actual_Costs!$D$2:$D$100,Fact_Actual_Costs!$B$2:$B$100,$A28,Fact_Actual_Costs!$A$2:$A$100,"&gt;="&amp;MIN(Fact_Baseline_PV!$A$2:$A$44)+(5*7),Fact_Actual_Costs!$A$2:$A$100,"&lt;"&amp;MIN(Fact_Baseline_PV!$A$2:$A$44)+((5+1)*7))</f>
        <v>0</v>
      </c>
      <c r="K28" s="67">
        <f>SUMIFS(Fact_Actual_Costs!$D$2:$D$100,Fact_Actual_Costs!$B$2:$B$100,$A28,Fact_Actual_Costs!$A$2:$A$100,"&gt;="&amp;MIN(Fact_Baseline_PV!$A$2:$A$44)+(6*7),Fact_Actual_Costs!$A$2:$A$100,"&lt;"&amp;MIN(Fact_Baseline_PV!$A$2:$A$44)+((6+1)*7))</f>
        <v>0</v>
      </c>
      <c r="L28" s="67">
        <f>SUMIFS(Fact_Actual_Costs!$D$2:$D$100,Fact_Actual_Costs!$B$2:$B$100,$A28,Fact_Actual_Costs!$A$2:$A$100,"&gt;="&amp;MIN(Fact_Baseline_PV!$A$2:$A$44)+(7*7),Fact_Actual_Costs!$A$2:$A$100,"&lt;"&amp;MIN(Fact_Baseline_PV!$A$2:$A$44)+((7+1)*7))</f>
        <v>0</v>
      </c>
      <c r="M28" s="67">
        <f>SUMIFS(Fact_Actual_Costs!$D$2:$D$100,Fact_Actual_Costs!$B$2:$B$100,$A28,Fact_Actual_Costs!$A$2:$A$100,"&gt;="&amp;MIN(Fact_Baseline_PV!$A$2:$A$44)+(8*7),Fact_Actual_Costs!$A$2:$A$100,"&lt;"&amp;MIN(Fact_Baseline_PV!$A$2:$A$44)+((8+1)*7))</f>
        <v>0</v>
      </c>
      <c r="N28" s="67">
        <f>SUMIFS(Fact_Actual_Costs!$D$2:$D$100,Fact_Actual_Costs!$B$2:$B$100,$A28,Fact_Actual_Costs!$A$2:$A$100,"&gt;="&amp;MIN(Fact_Baseline_PV!$A$2:$A$44)+(9*7),Fact_Actual_Costs!$A$2:$A$100,"&lt;"&amp;MIN(Fact_Baseline_PV!$A$2:$A$44)+((9+1)*7))</f>
        <v>0</v>
      </c>
      <c r="O28" s="67">
        <f>SUMIFS(Fact_Actual_Costs!$D$2:$D$100,Fact_Actual_Costs!$B$2:$B$100,$A28,Fact_Actual_Costs!$A$2:$A$100,"&gt;="&amp;MIN(Fact_Baseline_PV!$A$2:$A$44)+(10*7),Fact_Actual_Costs!$A$2:$A$100,"&lt;"&amp;MIN(Fact_Baseline_PV!$A$2:$A$44)+((10+1)*7))</f>
        <v>0</v>
      </c>
      <c r="P28" s="67">
        <f>SUMIFS(Fact_Actual_Costs!$D$2:$D$100,Fact_Actual_Costs!$B$2:$B$100,$A28,Fact_Actual_Costs!$A$2:$A$100,"&gt;="&amp;MIN(Fact_Baseline_PV!$A$2:$A$44)+(11*7),Fact_Actual_Costs!$A$2:$A$100,"&lt;"&amp;MIN(Fact_Baseline_PV!$A$2:$A$44)+((11+1)*7))</f>
        <v>0</v>
      </c>
      <c r="Q28" s="67">
        <f t="shared" si="0"/>
        <v>0</v>
      </c>
      <c r="R28" s="66">
        <f>VLOOKUP(A28,Dim_WBS!$A$2:$E$13,5,FALSE)</f>
        <v>3600</v>
      </c>
      <c r="S28" s="66">
        <f>SUMIFS(Fact_Actual_Costs!$D$2:$D$100,Fact_Actual_Costs!$B$2:$B$100,A28,Fact_Actual_Costs!$A$2:$A$100,"&lt;="&amp;Setup!$B$9)</f>
        <v>0</v>
      </c>
      <c r="T28" s="66">
        <f t="shared" si="1"/>
        <v>3600</v>
      </c>
      <c r="U28" s="67">
        <f>IFERROR((R28*VLOOKUP(A28,'Task Plan'!$A$5:$K$16,11,FALSE))/S28,1)</f>
        <v>1</v>
      </c>
      <c r="V28" s="2" t="str">
        <f>IF(U28&lt;Setup!$B$12,"Red",IF(U28&lt;Setup!$B$13,"Amber","Green"))</f>
        <v>Green</v>
      </c>
      <c r="W28" s="2" t="s">
        <v>430</v>
      </c>
      <c r="X28" s="2" t="s">
        <v>551</v>
      </c>
      <c r="Y28" s="2"/>
      <c r="Z28" s="2"/>
    </row>
    <row r="31" spans="1:26" x14ac:dyDescent="0.35">
      <c r="A31" s="62" t="s">
        <v>552</v>
      </c>
      <c r="B31" s="92">
        <v>46143</v>
      </c>
      <c r="C31" s="92">
        <v>46174</v>
      </c>
      <c r="D31" s="92">
        <v>46204</v>
      </c>
      <c r="E31" s="92">
        <v>46235</v>
      </c>
      <c r="F31" s="92">
        <v>46266</v>
      </c>
      <c r="G31" s="92">
        <v>46296</v>
      </c>
      <c r="H31" s="92">
        <v>46327</v>
      </c>
      <c r="I31" s="92">
        <v>46357</v>
      </c>
      <c r="J31" s="62" t="s">
        <v>544</v>
      </c>
      <c r="K31" s="62" t="s">
        <v>211</v>
      </c>
      <c r="L31" s="62" t="s">
        <v>187</v>
      </c>
      <c r="M31" s="62"/>
      <c r="N31" s="62"/>
    </row>
    <row r="32" spans="1:26" x14ac:dyDescent="0.35">
      <c r="A32" s="2" t="s">
        <v>553</v>
      </c>
      <c r="B32" s="66">
        <f>SUMIFS(Fact_Baseline_PV!$C$2:$C$44,Fact_Baseline_PV!$A$2:$A$44,"&gt;="&amp;DATE(2026,5,1),Fact_Baseline_PV!$A$2:$A$44,"&lt;"&amp;DATE(2026,6,1))</f>
        <v>87066.67</v>
      </c>
      <c r="C32" s="66">
        <f>SUMIFS(Fact_Baseline_PV!$C$2:$C$44,Fact_Baseline_PV!$A$2:$A$44,"&gt;="&amp;DATE(2026,6,1),Fact_Baseline_PV!$A$2:$A$44,"&lt;"&amp;DATE(2026,7,1))</f>
        <v>133166.66999999998</v>
      </c>
      <c r="D32" s="66">
        <f>SUMIFS(Fact_Baseline_PV!$C$2:$C$44,Fact_Baseline_PV!$A$2:$A$44,"&gt;="&amp;DATE(2026,7,1),Fact_Baseline_PV!$A$2:$A$44,"&lt;"&amp;DATE(2026,8,1))</f>
        <v>48416.66</v>
      </c>
      <c r="E32" s="66">
        <v>0</v>
      </c>
      <c r="F32" s="66">
        <v>0</v>
      </c>
      <c r="G32" s="66">
        <v>0</v>
      </c>
      <c r="H32" s="66">
        <v>0</v>
      </c>
      <c r="I32" s="66">
        <v>0</v>
      </c>
      <c r="J32" s="66">
        <f>SUM(B32:I32)</f>
        <v>268650</v>
      </c>
      <c r="K32" s="2" t="s">
        <v>554</v>
      </c>
      <c r="L32" s="2" t="s">
        <v>555</v>
      </c>
      <c r="M32" s="2"/>
      <c r="N32" s="2"/>
    </row>
    <row r="33" spans="1:14" x14ac:dyDescent="0.35">
      <c r="A33" s="2" t="s">
        <v>314</v>
      </c>
      <c r="B33" s="66">
        <f>SUMIFS(Fact_Actual_Costs!$D$2:$D$100,Fact_Actual_Costs!$A$2:$A$100,"&gt;="&amp;DATE(2026,5,1),Fact_Actual_Costs!$A$2:$A$100,"&lt;"&amp;DATE(2026,6,1))</f>
        <v>86509.440000000017</v>
      </c>
      <c r="C33" s="66">
        <f>SUMIFS(Fact_Actual_Costs!$D$2:$D$100,Fact_Actual_Costs!$A$2:$A$100,"&gt;="&amp;DATE(2026,6,1),Fact_Actual_Costs!$A$2:$A$100,"&lt;"&amp;DATE(2026,7,1))</f>
        <v>55475.999999999985</v>
      </c>
      <c r="D33" s="66">
        <f>SUMIFS(Fact_Actual_Costs!$D$2:$D$100,Fact_Actual_Costs!$A$2:$A$100,"&gt;="&amp;DATE(2026,7,1),Fact_Actual_Costs!$A$2:$A$100,"&lt;"&amp;DATE(2026,8,1))</f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f>SUM(B33:I33)</f>
        <v>141985.44</v>
      </c>
      <c r="K33" s="2" t="s">
        <v>554</v>
      </c>
      <c r="L33" s="2" t="s">
        <v>556</v>
      </c>
      <c r="M33" s="2"/>
      <c r="N33" s="2"/>
    </row>
    <row r="34" spans="1:14" x14ac:dyDescent="0.35">
      <c r="A34" s="2" t="s">
        <v>557</v>
      </c>
      <c r="B34" s="2">
        <f>SUM(--(B32&gt;0))</f>
        <v>1</v>
      </c>
      <c r="C34" s="2">
        <f>SUM(--(C32&gt;0))</f>
        <v>1</v>
      </c>
      <c r="D34" s="2">
        <f>SUM(--(D32&gt;0))</f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f>SUM(B34:I34)</f>
        <v>3</v>
      </c>
      <c r="K34" s="2" t="s">
        <v>554</v>
      </c>
      <c r="L34" s="2" t="s">
        <v>558</v>
      </c>
      <c r="M34" s="2"/>
      <c r="N34" s="2"/>
    </row>
    <row r="35" spans="1:14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2">
    <mergeCell ref="A1:Z1"/>
    <mergeCell ref="A2:Z2"/>
  </mergeCells>
  <conditionalFormatting sqref="V5:V28">
    <cfRule type="containsText" dxfId="46" priority="1" operator="containsText" text="Green">
      <formula>NOT(ISERROR(SEARCH("Green",V5)))</formula>
    </cfRule>
    <cfRule type="containsText" dxfId="45" priority="2" operator="containsText" text="Amber">
      <formula>NOT(ISERROR(SEARCH("Amber",V5)))</formula>
    </cfRule>
    <cfRule type="containsText" dxfId="44" priority="3" operator="containsText" text="Red">
      <formula>NOT(ISERROR(SEARCH("Red",V5)))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A6A6"/>
  </sheetPr>
  <dimension ref="A1:F2"/>
  <sheetViews>
    <sheetView workbookViewId="0"/>
  </sheetViews>
  <sheetFormatPr defaultRowHeight="14.5" x14ac:dyDescent="0.35"/>
  <cols>
    <col min="1" max="1" width="9.26953125" bestFit="1" customWidth="1"/>
    <col min="2" max="2" width="12.36328125" bestFit="1" customWidth="1"/>
    <col min="3" max="4" width="10.08984375" bestFit="1" customWidth="1"/>
    <col min="5" max="5" width="9.90625" bestFit="1" customWidth="1"/>
    <col min="6" max="6" width="18.36328125" bestFit="1" customWidth="1"/>
  </cols>
  <sheetData>
    <row r="1" spans="1:6" x14ac:dyDescent="0.35">
      <c r="A1" s="37" t="s">
        <v>71</v>
      </c>
      <c r="B1" s="37" t="s">
        <v>72</v>
      </c>
      <c r="C1" s="37" t="s">
        <v>73</v>
      </c>
      <c r="D1" s="37" t="s">
        <v>74</v>
      </c>
      <c r="E1" s="37" t="s">
        <v>75</v>
      </c>
      <c r="F1" s="37" t="s">
        <v>76</v>
      </c>
    </row>
    <row r="2" spans="1:6" x14ac:dyDescent="0.35">
      <c r="A2" s="35" t="s">
        <v>77</v>
      </c>
      <c r="B2" s="35" t="s">
        <v>78</v>
      </c>
      <c r="C2" s="46">
        <v>46146</v>
      </c>
      <c r="D2" s="56">
        <v>46229</v>
      </c>
      <c r="E2" s="57">
        <v>268650</v>
      </c>
      <c r="F2" s="35" t="s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A6A6"/>
  </sheetPr>
  <dimension ref="A1:E13"/>
  <sheetViews>
    <sheetView workbookViewId="0"/>
  </sheetViews>
  <sheetFormatPr defaultRowHeight="14.5" x14ac:dyDescent="0.35"/>
  <cols>
    <col min="1" max="1" width="7.36328125" bestFit="1" customWidth="1"/>
    <col min="2" max="2" width="9.90625" bestFit="1" customWidth="1"/>
    <col min="3" max="3" width="21.26953125" bestFit="1" customWidth="1"/>
    <col min="4" max="4" width="12" bestFit="1" customWidth="1"/>
    <col min="5" max="5" width="11.7265625" bestFit="1" customWidth="1"/>
  </cols>
  <sheetData>
    <row r="1" spans="1:5" x14ac:dyDescent="0.35">
      <c r="A1" s="37" t="s">
        <v>79</v>
      </c>
      <c r="B1" s="37" t="s">
        <v>80</v>
      </c>
      <c r="C1" s="37" t="s">
        <v>81</v>
      </c>
      <c r="D1" s="37" t="s">
        <v>21</v>
      </c>
      <c r="E1" s="37" t="s">
        <v>82</v>
      </c>
    </row>
    <row r="2" spans="1:5" x14ac:dyDescent="0.35">
      <c r="A2" s="35" t="s">
        <v>35</v>
      </c>
      <c r="B2" s="35">
        <v>1</v>
      </c>
      <c r="C2" s="35" t="s">
        <v>36</v>
      </c>
      <c r="D2" s="35" t="s">
        <v>37</v>
      </c>
      <c r="E2" s="44">
        <v>18000</v>
      </c>
    </row>
    <row r="3" spans="1:5" x14ac:dyDescent="0.35">
      <c r="A3" s="35" t="s">
        <v>38</v>
      </c>
      <c r="B3" s="35">
        <v>2</v>
      </c>
      <c r="C3" s="35" t="s">
        <v>39</v>
      </c>
      <c r="D3" s="35" t="s">
        <v>37</v>
      </c>
      <c r="E3" s="44">
        <v>8500</v>
      </c>
    </row>
    <row r="4" spans="1:5" x14ac:dyDescent="0.35">
      <c r="A4" s="35" t="s">
        <v>40</v>
      </c>
      <c r="B4" s="35">
        <v>3</v>
      </c>
      <c r="C4" s="35" t="s">
        <v>41</v>
      </c>
      <c r="D4" s="35" t="s">
        <v>37</v>
      </c>
      <c r="E4" s="44">
        <v>19200</v>
      </c>
    </row>
    <row r="5" spans="1:5" x14ac:dyDescent="0.35">
      <c r="A5" s="35" t="s">
        <v>42</v>
      </c>
      <c r="B5" s="35">
        <v>4</v>
      </c>
      <c r="C5" s="35" t="s">
        <v>43</v>
      </c>
      <c r="D5" s="35" t="s">
        <v>44</v>
      </c>
      <c r="E5" s="44">
        <v>42000</v>
      </c>
    </row>
    <row r="6" spans="1:5" x14ac:dyDescent="0.35">
      <c r="A6" s="35" t="s">
        <v>45</v>
      </c>
      <c r="B6" s="35">
        <v>5</v>
      </c>
      <c r="C6" s="35" t="s">
        <v>46</v>
      </c>
      <c r="D6" s="35" t="s">
        <v>37</v>
      </c>
      <c r="E6" s="44">
        <v>13200</v>
      </c>
    </row>
    <row r="7" spans="1:5" x14ac:dyDescent="0.35">
      <c r="A7" s="35" t="s">
        <v>47</v>
      </c>
      <c r="B7" s="35">
        <v>6</v>
      </c>
      <c r="C7" s="35" t="s">
        <v>48</v>
      </c>
      <c r="D7" s="35" t="s">
        <v>37</v>
      </c>
      <c r="E7" s="44">
        <v>26000</v>
      </c>
    </row>
    <row r="8" spans="1:5" x14ac:dyDescent="0.35">
      <c r="A8" s="35" t="s">
        <v>49</v>
      </c>
      <c r="B8" s="35">
        <v>7</v>
      </c>
      <c r="C8" s="35" t="s">
        <v>50</v>
      </c>
      <c r="D8" s="35" t="s">
        <v>51</v>
      </c>
      <c r="E8" s="44">
        <v>36000</v>
      </c>
    </row>
    <row r="9" spans="1:5" x14ac:dyDescent="0.35">
      <c r="A9" s="35" t="s">
        <v>52</v>
      </c>
      <c r="B9" s="35">
        <v>8</v>
      </c>
      <c r="C9" s="35" t="s">
        <v>53</v>
      </c>
      <c r="D9" s="35" t="s">
        <v>51</v>
      </c>
      <c r="E9" s="44">
        <v>28000</v>
      </c>
    </row>
    <row r="10" spans="1:5" x14ac:dyDescent="0.35">
      <c r="A10" s="35" t="s">
        <v>54</v>
      </c>
      <c r="B10" s="35">
        <v>9</v>
      </c>
      <c r="C10" s="35" t="s">
        <v>55</v>
      </c>
      <c r="D10" s="35" t="s">
        <v>44</v>
      </c>
      <c r="E10" s="44">
        <v>35750</v>
      </c>
    </row>
    <row r="11" spans="1:5" x14ac:dyDescent="0.35">
      <c r="A11" s="35" t="s">
        <v>56</v>
      </c>
      <c r="B11" s="35">
        <v>10</v>
      </c>
      <c r="C11" s="35" t="s">
        <v>57</v>
      </c>
      <c r="D11" s="35" t="s">
        <v>44</v>
      </c>
      <c r="E11" s="44">
        <v>30000</v>
      </c>
    </row>
    <row r="12" spans="1:5" x14ac:dyDescent="0.35">
      <c r="A12" s="35" t="s">
        <v>58</v>
      </c>
      <c r="B12" s="35">
        <v>11</v>
      </c>
      <c r="C12" s="35" t="s">
        <v>59</v>
      </c>
      <c r="D12" s="35" t="s">
        <v>37</v>
      </c>
      <c r="E12" s="44">
        <v>8400</v>
      </c>
    </row>
    <row r="13" spans="1:5" x14ac:dyDescent="0.35">
      <c r="A13" s="35" t="s">
        <v>60</v>
      </c>
      <c r="B13" s="35">
        <v>12</v>
      </c>
      <c r="C13" s="35" t="s">
        <v>61</v>
      </c>
      <c r="D13" s="35" t="s">
        <v>37</v>
      </c>
      <c r="E13" s="44">
        <v>3600</v>
      </c>
    </row>
  </sheetData>
  <conditionalFormatting sqref="D2:D13">
    <cfRule type="containsText" dxfId="43" priority="4" operator="containsText" text="Labor">
      <formula>NOT(ISERROR(SEARCH("Labor",D2)))</formula>
    </cfRule>
    <cfRule type="containsText" dxfId="42" priority="5" operator="containsText" text="Material">
      <formula>NOT(ISERROR(SEARCH("Material",D2)))</formula>
    </cfRule>
    <cfRule type="containsText" dxfId="41" priority="6" operator="containsText" text="Subcontractor">
      <formula>NOT(ISERROR(SEARCH("Subcontractor",D2)))</formula>
    </cfRule>
  </conditionalFormatting>
  <conditionalFormatting sqref="E2:E13">
    <cfRule type="cellIs" dxfId="40" priority="1" operator="lessThanOrEqual">
      <formula>13200</formula>
    </cfRule>
    <cfRule type="cellIs" dxfId="39" priority="2" operator="between">
      <formula>13200</formula>
      <formula>28000</formula>
    </cfRule>
    <cfRule type="cellIs" dxfId="38" priority="3" operator="greaterThanOrEqual">
      <formula>28000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6A6A6"/>
  </sheetPr>
  <dimension ref="A1:D12"/>
  <sheetViews>
    <sheetView workbookViewId="0"/>
  </sheetViews>
  <sheetFormatPr defaultRowHeight="14.5" x14ac:dyDescent="0.35"/>
  <cols>
    <col min="1" max="1" width="11.26953125" bestFit="1" customWidth="1"/>
    <col min="2" max="2" width="16.1796875" bestFit="1" customWidth="1"/>
    <col min="3" max="3" width="11.26953125" bestFit="1" customWidth="1"/>
    <col min="4" max="4" width="11" bestFit="1" customWidth="1"/>
  </cols>
  <sheetData>
    <row r="1" spans="1:4" x14ac:dyDescent="0.35">
      <c r="A1" s="37" t="s">
        <v>83</v>
      </c>
      <c r="B1" s="37" t="s">
        <v>84</v>
      </c>
      <c r="C1" s="37" t="s">
        <v>85</v>
      </c>
      <c r="D1" s="37" t="s">
        <v>86</v>
      </c>
    </row>
    <row r="2" spans="1:4" x14ac:dyDescent="0.35">
      <c r="A2" s="35" t="s">
        <v>87</v>
      </c>
      <c r="B2" s="35" t="s">
        <v>88</v>
      </c>
      <c r="C2" s="35" t="s">
        <v>89</v>
      </c>
      <c r="D2" s="44">
        <v>1500</v>
      </c>
    </row>
    <row r="3" spans="1:4" x14ac:dyDescent="0.35">
      <c r="A3" s="35" t="s">
        <v>90</v>
      </c>
      <c r="B3" s="35" t="s">
        <v>91</v>
      </c>
      <c r="C3" s="35" t="s">
        <v>92</v>
      </c>
      <c r="D3" s="44">
        <v>2400</v>
      </c>
    </row>
    <row r="4" spans="1:4" x14ac:dyDescent="0.35">
      <c r="A4" s="35" t="s">
        <v>93</v>
      </c>
      <c r="B4" s="35" t="s">
        <v>94</v>
      </c>
      <c r="C4" s="35" t="s">
        <v>95</v>
      </c>
      <c r="D4" s="44">
        <v>2600</v>
      </c>
    </row>
    <row r="5" spans="1:4" x14ac:dyDescent="0.35">
      <c r="A5" s="35" t="s">
        <v>96</v>
      </c>
      <c r="B5" s="35" t="s">
        <v>97</v>
      </c>
      <c r="C5" s="35" t="s">
        <v>37</v>
      </c>
      <c r="D5" s="44">
        <v>2200</v>
      </c>
    </row>
    <row r="6" spans="1:4" x14ac:dyDescent="0.35">
      <c r="A6" s="35" t="s">
        <v>98</v>
      </c>
      <c r="B6" s="35" t="s">
        <v>99</v>
      </c>
      <c r="C6" s="35" t="s">
        <v>100</v>
      </c>
      <c r="D6" s="44">
        <v>2100</v>
      </c>
    </row>
    <row r="7" spans="1:4" x14ac:dyDescent="0.35">
      <c r="A7" s="35" t="s">
        <v>101</v>
      </c>
      <c r="B7" s="35" t="s">
        <v>102</v>
      </c>
      <c r="C7" s="35" t="s">
        <v>100</v>
      </c>
      <c r="D7" s="44">
        <v>1800</v>
      </c>
    </row>
    <row r="8" spans="1:4" x14ac:dyDescent="0.35">
      <c r="A8" s="35" t="s">
        <v>103</v>
      </c>
      <c r="B8" s="35" t="s">
        <v>104</v>
      </c>
      <c r="C8" s="35" t="s">
        <v>105</v>
      </c>
      <c r="D8" s="44">
        <v>0</v>
      </c>
    </row>
    <row r="9" spans="1:4" x14ac:dyDescent="0.35">
      <c r="A9" s="35" t="s">
        <v>106</v>
      </c>
      <c r="B9" s="35" t="s">
        <v>107</v>
      </c>
      <c r="C9" s="35" t="s">
        <v>108</v>
      </c>
      <c r="D9" s="44">
        <v>0</v>
      </c>
    </row>
    <row r="10" spans="1:4" x14ac:dyDescent="0.35">
      <c r="A10" s="35" t="s">
        <v>109</v>
      </c>
      <c r="B10" s="35" t="s">
        <v>110</v>
      </c>
      <c r="C10" s="35" t="s">
        <v>108</v>
      </c>
      <c r="D10" s="44">
        <v>0</v>
      </c>
    </row>
    <row r="11" spans="1:4" x14ac:dyDescent="0.35">
      <c r="A11" s="35" t="s">
        <v>111</v>
      </c>
      <c r="B11" s="35" t="s">
        <v>112</v>
      </c>
      <c r="C11" s="35" t="s">
        <v>105</v>
      </c>
      <c r="D11" s="44">
        <v>0</v>
      </c>
    </row>
    <row r="12" spans="1:4" x14ac:dyDescent="0.35">
      <c r="A12" s="35" t="s">
        <v>113</v>
      </c>
      <c r="B12" s="35" t="s">
        <v>114</v>
      </c>
      <c r="C12" s="35" t="s">
        <v>105</v>
      </c>
      <c r="D12" s="44">
        <v>0</v>
      </c>
    </row>
  </sheetData>
  <conditionalFormatting sqref="D2:D12">
    <cfRule type="cellIs" dxfId="37" priority="1" operator="equal">
      <formula>0</formula>
    </cfRule>
    <cfRule type="cellIs" dxfId="36" priority="2" operator="between">
      <formula>1</formula>
      <formula>2399.999</formula>
    </cfRule>
    <cfRule type="cellIs" dxfId="35" priority="3" operator="greaterThanOrEqual">
      <formula>2400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6A6A6"/>
  </sheetPr>
  <dimension ref="A1:G85"/>
  <sheetViews>
    <sheetView workbookViewId="0"/>
  </sheetViews>
  <sheetFormatPr defaultRowHeight="14.5" x14ac:dyDescent="0.35"/>
  <cols>
    <col min="1" max="1" width="10.08984375" bestFit="1" customWidth="1"/>
    <col min="2" max="2" width="4.81640625" bestFit="1" customWidth="1"/>
    <col min="3" max="3" width="6.26953125" bestFit="1" customWidth="1"/>
    <col min="4" max="4" width="11.81640625" bestFit="1" customWidth="1"/>
    <col min="5" max="5" width="7.36328125" bestFit="1" customWidth="1"/>
    <col min="6" max="6" width="13.1796875" bestFit="1" customWidth="1"/>
    <col min="7" max="7" width="10.81640625" bestFit="1" customWidth="1"/>
  </cols>
  <sheetData>
    <row r="1" spans="1:7" x14ac:dyDescent="0.35">
      <c r="A1" s="37" t="s">
        <v>115</v>
      </c>
      <c r="B1" s="37" t="s">
        <v>116</v>
      </c>
      <c r="C1" s="37" t="s">
        <v>117</v>
      </c>
      <c r="D1" s="37" t="s">
        <v>118</v>
      </c>
      <c r="E1" s="37" t="s">
        <v>119</v>
      </c>
      <c r="F1" s="37" t="s">
        <v>120</v>
      </c>
      <c r="G1" s="37" t="s">
        <v>121</v>
      </c>
    </row>
    <row r="2" spans="1:7" x14ac:dyDescent="0.35">
      <c r="A2" s="46">
        <v>46146</v>
      </c>
      <c r="B2" s="35">
        <v>2026</v>
      </c>
      <c r="C2" s="35">
        <v>5</v>
      </c>
      <c r="D2" s="35" t="s">
        <v>122</v>
      </c>
      <c r="E2" s="35">
        <v>2</v>
      </c>
      <c r="F2" s="35">
        <v>1</v>
      </c>
      <c r="G2" s="58">
        <v>1</v>
      </c>
    </row>
    <row r="3" spans="1:7" x14ac:dyDescent="0.35">
      <c r="A3" s="46">
        <v>46147</v>
      </c>
      <c r="B3" s="35">
        <v>2026</v>
      </c>
      <c r="C3" s="35">
        <v>5</v>
      </c>
      <c r="D3" s="35" t="s">
        <v>122</v>
      </c>
      <c r="E3" s="35">
        <v>2</v>
      </c>
      <c r="F3" s="35">
        <v>1</v>
      </c>
      <c r="G3" s="58">
        <v>1</v>
      </c>
    </row>
    <row r="4" spans="1:7" x14ac:dyDescent="0.35">
      <c r="A4" s="46">
        <v>46148</v>
      </c>
      <c r="B4" s="35">
        <v>2026</v>
      </c>
      <c r="C4" s="35">
        <v>5</v>
      </c>
      <c r="D4" s="35" t="s">
        <v>122</v>
      </c>
      <c r="E4" s="35">
        <v>2</v>
      </c>
      <c r="F4" s="35">
        <v>1</v>
      </c>
      <c r="G4" s="58">
        <v>1</v>
      </c>
    </row>
    <row r="5" spans="1:7" x14ac:dyDescent="0.35">
      <c r="A5" s="46">
        <v>46149</v>
      </c>
      <c r="B5" s="35">
        <v>2026</v>
      </c>
      <c r="C5" s="35">
        <v>5</v>
      </c>
      <c r="D5" s="35" t="s">
        <v>122</v>
      </c>
      <c r="E5" s="35">
        <v>2</v>
      </c>
      <c r="F5" s="35">
        <v>1</v>
      </c>
      <c r="G5" s="58">
        <v>1</v>
      </c>
    </row>
    <row r="6" spans="1:7" x14ac:dyDescent="0.35">
      <c r="A6" s="46">
        <v>46150</v>
      </c>
      <c r="B6" s="35">
        <v>2026</v>
      </c>
      <c r="C6" s="35">
        <v>5</v>
      </c>
      <c r="D6" s="35" t="s">
        <v>122</v>
      </c>
      <c r="E6" s="35">
        <v>2</v>
      </c>
      <c r="F6" s="35">
        <v>1</v>
      </c>
      <c r="G6" s="58">
        <v>1</v>
      </c>
    </row>
    <row r="7" spans="1:7" x14ac:dyDescent="0.35">
      <c r="A7" s="46">
        <v>46151</v>
      </c>
      <c r="B7" s="35">
        <v>2026</v>
      </c>
      <c r="C7" s="35">
        <v>5</v>
      </c>
      <c r="D7" s="35" t="s">
        <v>122</v>
      </c>
      <c r="E7" s="35">
        <v>2</v>
      </c>
      <c r="F7" s="35">
        <v>1</v>
      </c>
      <c r="G7" s="58">
        <v>0</v>
      </c>
    </row>
    <row r="8" spans="1:7" x14ac:dyDescent="0.35">
      <c r="A8" s="46">
        <v>46152</v>
      </c>
      <c r="B8" s="35">
        <v>2026</v>
      </c>
      <c r="C8" s="35">
        <v>5</v>
      </c>
      <c r="D8" s="35" t="s">
        <v>122</v>
      </c>
      <c r="E8" s="35">
        <v>2</v>
      </c>
      <c r="F8" s="35">
        <v>1</v>
      </c>
      <c r="G8" s="58">
        <v>0</v>
      </c>
    </row>
    <row r="9" spans="1:7" x14ac:dyDescent="0.35">
      <c r="A9" s="46">
        <v>46153</v>
      </c>
      <c r="B9" s="35">
        <v>2026</v>
      </c>
      <c r="C9" s="35">
        <v>5</v>
      </c>
      <c r="D9" s="35" t="s">
        <v>122</v>
      </c>
      <c r="E9" s="35">
        <v>2</v>
      </c>
      <c r="F9" s="35">
        <v>2</v>
      </c>
      <c r="G9" s="58">
        <v>1</v>
      </c>
    </row>
    <row r="10" spans="1:7" x14ac:dyDescent="0.35">
      <c r="A10" s="46">
        <v>46154</v>
      </c>
      <c r="B10" s="35">
        <v>2026</v>
      </c>
      <c r="C10" s="35">
        <v>5</v>
      </c>
      <c r="D10" s="35" t="s">
        <v>122</v>
      </c>
      <c r="E10" s="35">
        <v>2</v>
      </c>
      <c r="F10" s="35">
        <v>2</v>
      </c>
      <c r="G10" s="58">
        <v>1</v>
      </c>
    </row>
    <row r="11" spans="1:7" x14ac:dyDescent="0.35">
      <c r="A11" s="46">
        <v>46155</v>
      </c>
      <c r="B11" s="35">
        <v>2026</v>
      </c>
      <c r="C11" s="35">
        <v>5</v>
      </c>
      <c r="D11" s="35" t="s">
        <v>122</v>
      </c>
      <c r="E11" s="35">
        <v>2</v>
      </c>
      <c r="F11" s="35">
        <v>2</v>
      </c>
      <c r="G11" s="58">
        <v>1</v>
      </c>
    </row>
    <row r="12" spans="1:7" x14ac:dyDescent="0.35">
      <c r="A12" s="46">
        <v>46156</v>
      </c>
      <c r="B12" s="35">
        <v>2026</v>
      </c>
      <c r="C12" s="35">
        <v>5</v>
      </c>
      <c r="D12" s="35" t="s">
        <v>122</v>
      </c>
      <c r="E12" s="35">
        <v>2</v>
      </c>
      <c r="F12" s="35">
        <v>2</v>
      </c>
      <c r="G12" s="58">
        <v>1</v>
      </c>
    </row>
    <row r="13" spans="1:7" x14ac:dyDescent="0.35">
      <c r="A13" s="46">
        <v>46157</v>
      </c>
      <c r="B13" s="35">
        <v>2026</v>
      </c>
      <c r="C13" s="35">
        <v>5</v>
      </c>
      <c r="D13" s="35" t="s">
        <v>122</v>
      </c>
      <c r="E13" s="35">
        <v>2</v>
      </c>
      <c r="F13" s="35">
        <v>2</v>
      </c>
      <c r="G13" s="58">
        <v>1</v>
      </c>
    </row>
    <row r="14" spans="1:7" x14ac:dyDescent="0.35">
      <c r="A14" s="46">
        <v>46158</v>
      </c>
      <c r="B14" s="35">
        <v>2026</v>
      </c>
      <c r="C14" s="35">
        <v>5</v>
      </c>
      <c r="D14" s="35" t="s">
        <v>122</v>
      </c>
      <c r="E14" s="35">
        <v>2</v>
      </c>
      <c r="F14" s="35">
        <v>2</v>
      </c>
      <c r="G14" s="58">
        <v>0</v>
      </c>
    </row>
    <row r="15" spans="1:7" x14ac:dyDescent="0.35">
      <c r="A15" s="46">
        <v>46159</v>
      </c>
      <c r="B15" s="35">
        <v>2026</v>
      </c>
      <c r="C15" s="35">
        <v>5</v>
      </c>
      <c r="D15" s="35" t="s">
        <v>122</v>
      </c>
      <c r="E15" s="35">
        <v>2</v>
      </c>
      <c r="F15" s="35">
        <v>2</v>
      </c>
      <c r="G15" s="58">
        <v>0</v>
      </c>
    </row>
    <row r="16" spans="1:7" x14ac:dyDescent="0.35">
      <c r="A16" s="46">
        <v>46160</v>
      </c>
      <c r="B16" s="35">
        <v>2026</v>
      </c>
      <c r="C16" s="35">
        <v>5</v>
      </c>
      <c r="D16" s="35" t="s">
        <v>122</v>
      </c>
      <c r="E16" s="35">
        <v>2</v>
      </c>
      <c r="F16" s="35">
        <v>3</v>
      </c>
      <c r="G16" s="58">
        <v>1</v>
      </c>
    </row>
    <row r="17" spans="1:7" x14ac:dyDescent="0.35">
      <c r="A17" s="46">
        <v>46161</v>
      </c>
      <c r="B17" s="35">
        <v>2026</v>
      </c>
      <c r="C17" s="35">
        <v>5</v>
      </c>
      <c r="D17" s="35" t="s">
        <v>122</v>
      </c>
      <c r="E17" s="35">
        <v>2</v>
      </c>
      <c r="F17" s="35">
        <v>3</v>
      </c>
      <c r="G17" s="58">
        <v>1</v>
      </c>
    </row>
    <row r="18" spans="1:7" x14ac:dyDescent="0.35">
      <c r="A18" s="46">
        <v>46162</v>
      </c>
      <c r="B18" s="35">
        <v>2026</v>
      </c>
      <c r="C18" s="35">
        <v>5</v>
      </c>
      <c r="D18" s="35" t="s">
        <v>122</v>
      </c>
      <c r="E18" s="35">
        <v>2</v>
      </c>
      <c r="F18" s="35">
        <v>3</v>
      </c>
      <c r="G18" s="58">
        <v>1</v>
      </c>
    </row>
    <row r="19" spans="1:7" x14ac:dyDescent="0.35">
      <c r="A19" s="46">
        <v>46163</v>
      </c>
      <c r="B19" s="35">
        <v>2026</v>
      </c>
      <c r="C19" s="35">
        <v>5</v>
      </c>
      <c r="D19" s="35" t="s">
        <v>122</v>
      </c>
      <c r="E19" s="35">
        <v>2</v>
      </c>
      <c r="F19" s="35">
        <v>3</v>
      </c>
      <c r="G19" s="58">
        <v>1</v>
      </c>
    </row>
    <row r="20" spans="1:7" x14ac:dyDescent="0.35">
      <c r="A20" s="46">
        <v>46164</v>
      </c>
      <c r="B20" s="35">
        <v>2026</v>
      </c>
      <c r="C20" s="35">
        <v>5</v>
      </c>
      <c r="D20" s="35" t="s">
        <v>122</v>
      </c>
      <c r="E20" s="35">
        <v>2</v>
      </c>
      <c r="F20" s="35">
        <v>3</v>
      </c>
      <c r="G20" s="58">
        <v>1</v>
      </c>
    </row>
    <row r="21" spans="1:7" x14ac:dyDescent="0.35">
      <c r="A21" s="46">
        <v>46165</v>
      </c>
      <c r="B21" s="35">
        <v>2026</v>
      </c>
      <c r="C21" s="35">
        <v>5</v>
      </c>
      <c r="D21" s="35" t="s">
        <v>122</v>
      </c>
      <c r="E21" s="35">
        <v>2</v>
      </c>
      <c r="F21" s="35">
        <v>3</v>
      </c>
      <c r="G21" s="58">
        <v>0</v>
      </c>
    </row>
    <row r="22" spans="1:7" x14ac:dyDescent="0.35">
      <c r="A22" s="46">
        <v>46166</v>
      </c>
      <c r="B22" s="35">
        <v>2026</v>
      </c>
      <c r="C22" s="35">
        <v>5</v>
      </c>
      <c r="D22" s="35" t="s">
        <v>122</v>
      </c>
      <c r="E22" s="35">
        <v>2</v>
      </c>
      <c r="F22" s="35">
        <v>3</v>
      </c>
      <c r="G22" s="58">
        <v>0</v>
      </c>
    </row>
    <row r="23" spans="1:7" x14ac:dyDescent="0.35">
      <c r="A23" s="46">
        <v>46167</v>
      </c>
      <c r="B23" s="35">
        <v>2026</v>
      </c>
      <c r="C23" s="35">
        <v>5</v>
      </c>
      <c r="D23" s="35" t="s">
        <v>122</v>
      </c>
      <c r="E23" s="35">
        <v>2</v>
      </c>
      <c r="F23" s="35">
        <v>4</v>
      </c>
      <c r="G23" s="58">
        <v>1</v>
      </c>
    </row>
    <row r="24" spans="1:7" x14ac:dyDescent="0.35">
      <c r="A24" s="46">
        <v>46168</v>
      </c>
      <c r="B24" s="35">
        <v>2026</v>
      </c>
      <c r="C24" s="35">
        <v>5</v>
      </c>
      <c r="D24" s="35" t="s">
        <v>122</v>
      </c>
      <c r="E24" s="35">
        <v>2</v>
      </c>
      <c r="F24" s="35">
        <v>4</v>
      </c>
      <c r="G24" s="58">
        <v>1</v>
      </c>
    </row>
    <row r="25" spans="1:7" x14ac:dyDescent="0.35">
      <c r="A25" s="46">
        <v>46169</v>
      </c>
      <c r="B25" s="35">
        <v>2026</v>
      </c>
      <c r="C25" s="35">
        <v>5</v>
      </c>
      <c r="D25" s="35" t="s">
        <v>122</v>
      </c>
      <c r="E25" s="35">
        <v>2</v>
      </c>
      <c r="F25" s="35">
        <v>4</v>
      </c>
      <c r="G25" s="58">
        <v>1</v>
      </c>
    </row>
    <row r="26" spans="1:7" x14ac:dyDescent="0.35">
      <c r="A26" s="46">
        <v>46170</v>
      </c>
      <c r="B26" s="35">
        <v>2026</v>
      </c>
      <c r="C26" s="35">
        <v>5</v>
      </c>
      <c r="D26" s="35" t="s">
        <v>122</v>
      </c>
      <c r="E26" s="35">
        <v>2</v>
      </c>
      <c r="F26" s="35">
        <v>4</v>
      </c>
      <c r="G26" s="58">
        <v>1</v>
      </c>
    </row>
    <row r="27" spans="1:7" x14ac:dyDescent="0.35">
      <c r="A27" s="46">
        <v>46171</v>
      </c>
      <c r="B27" s="35">
        <v>2026</v>
      </c>
      <c r="C27" s="35">
        <v>5</v>
      </c>
      <c r="D27" s="35" t="s">
        <v>122</v>
      </c>
      <c r="E27" s="35">
        <v>2</v>
      </c>
      <c r="F27" s="35">
        <v>4</v>
      </c>
      <c r="G27" s="58">
        <v>1</v>
      </c>
    </row>
    <row r="28" spans="1:7" x14ac:dyDescent="0.35">
      <c r="A28" s="46">
        <v>46172</v>
      </c>
      <c r="B28" s="35">
        <v>2026</v>
      </c>
      <c r="C28" s="35">
        <v>5</v>
      </c>
      <c r="D28" s="35" t="s">
        <v>122</v>
      </c>
      <c r="E28" s="35">
        <v>2</v>
      </c>
      <c r="F28" s="35">
        <v>4</v>
      </c>
      <c r="G28" s="58">
        <v>0</v>
      </c>
    </row>
    <row r="29" spans="1:7" x14ac:dyDescent="0.35">
      <c r="A29" s="46">
        <v>46173</v>
      </c>
      <c r="B29" s="35">
        <v>2026</v>
      </c>
      <c r="C29" s="35">
        <v>5</v>
      </c>
      <c r="D29" s="35" t="s">
        <v>122</v>
      </c>
      <c r="E29" s="35">
        <v>2</v>
      </c>
      <c r="F29" s="35">
        <v>4</v>
      </c>
      <c r="G29" s="58">
        <v>0</v>
      </c>
    </row>
    <row r="30" spans="1:7" x14ac:dyDescent="0.35">
      <c r="A30" s="46">
        <v>46174</v>
      </c>
      <c r="B30" s="35">
        <v>2026</v>
      </c>
      <c r="C30" s="35">
        <v>6</v>
      </c>
      <c r="D30" s="35" t="s">
        <v>123</v>
      </c>
      <c r="E30" s="35">
        <v>2</v>
      </c>
      <c r="F30" s="35">
        <v>5</v>
      </c>
      <c r="G30" s="58">
        <v>1</v>
      </c>
    </row>
    <row r="31" spans="1:7" x14ac:dyDescent="0.35">
      <c r="A31" s="46">
        <v>46175</v>
      </c>
      <c r="B31" s="35">
        <v>2026</v>
      </c>
      <c r="C31" s="35">
        <v>6</v>
      </c>
      <c r="D31" s="35" t="s">
        <v>123</v>
      </c>
      <c r="E31" s="35">
        <v>2</v>
      </c>
      <c r="F31" s="35">
        <v>5</v>
      </c>
      <c r="G31" s="58">
        <v>1</v>
      </c>
    </row>
    <row r="32" spans="1:7" x14ac:dyDescent="0.35">
      <c r="A32" s="46">
        <v>46176</v>
      </c>
      <c r="B32" s="35">
        <v>2026</v>
      </c>
      <c r="C32" s="35">
        <v>6</v>
      </c>
      <c r="D32" s="35" t="s">
        <v>123</v>
      </c>
      <c r="E32" s="35">
        <v>2</v>
      </c>
      <c r="F32" s="35">
        <v>5</v>
      </c>
      <c r="G32" s="58">
        <v>1</v>
      </c>
    </row>
    <row r="33" spans="1:7" x14ac:dyDescent="0.35">
      <c r="A33" s="46">
        <v>46177</v>
      </c>
      <c r="B33" s="35">
        <v>2026</v>
      </c>
      <c r="C33" s="35">
        <v>6</v>
      </c>
      <c r="D33" s="35" t="s">
        <v>123</v>
      </c>
      <c r="E33" s="35">
        <v>2</v>
      </c>
      <c r="F33" s="35">
        <v>5</v>
      </c>
      <c r="G33" s="58">
        <v>1</v>
      </c>
    </row>
    <row r="34" spans="1:7" x14ac:dyDescent="0.35">
      <c r="A34" s="46">
        <v>46178</v>
      </c>
      <c r="B34" s="35">
        <v>2026</v>
      </c>
      <c r="C34" s="35">
        <v>6</v>
      </c>
      <c r="D34" s="35" t="s">
        <v>123</v>
      </c>
      <c r="E34" s="35">
        <v>2</v>
      </c>
      <c r="F34" s="35">
        <v>5</v>
      </c>
      <c r="G34" s="58">
        <v>1</v>
      </c>
    </row>
    <row r="35" spans="1:7" x14ac:dyDescent="0.35">
      <c r="A35" s="46">
        <v>46179</v>
      </c>
      <c r="B35" s="35">
        <v>2026</v>
      </c>
      <c r="C35" s="35">
        <v>6</v>
      </c>
      <c r="D35" s="35" t="s">
        <v>123</v>
      </c>
      <c r="E35" s="35">
        <v>2</v>
      </c>
      <c r="F35" s="35">
        <v>5</v>
      </c>
      <c r="G35" s="58">
        <v>0</v>
      </c>
    </row>
    <row r="36" spans="1:7" x14ac:dyDescent="0.35">
      <c r="A36" s="46">
        <v>46180</v>
      </c>
      <c r="B36" s="35">
        <v>2026</v>
      </c>
      <c r="C36" s="35">
        <v>6</v>
      </c>
      <c r="D36" s="35" t="s">
        <v>123</v>
      </c>
      <c r="E36" s="35">
        <v>2</v>
      </c>
      <c r="F36" s="35">
        <v>5</v>
      </c>
      <c r="G36" s="58">
        <v>0</v>
      </c>
    </row>
    <row r="37" spans="1:7" x14ac:dyDescent="0.35">
      <c r="A37" s="46">
        <v>46181</v>
      </c>
      <c r="B37" s="35">
        <v>2026</v>
      </c>
      <c r="C37" s="35">
        <v>6</v>
      </c>
      <c r="D37" s="35" t="s">
        <v>123</v>
      </c>
      <c r="E37" s="35">
        <v>2</v>
      </c>
      <c r="F37" s="35">
        <v>6</v>
      </c>
      <c r="G37" s="58">
        <v>1</v>
      </c>
    </row>
    <row r="38" spans="1:7" x14ac:dyDescent="0.35">
      <c r="A38" s="46">
        <v>46182</v>
      </c>
      <c r="B38" s="35">
        <v>2026</v>
      </c>
      <c r="C38" s="35">
        <v>6</v>
      </c>
      <c r="D38" s="35" t="s">
        <v>123</v>
      </c>
      <c r="E38" s="35">
        <v>2</v>
      </c>
      <c r="F38" s="35">
        <v>6</v>
      </c>
      <c r="G38" s="58">
        <v>1</v>
      </c>
    </row>
    <row r="39" spans="1:7" x14ac:dyDescent="0.35">
      <c r="A39" s="46">
        <v>46183</v>
      </c>
      <c r="B39" s="35">
        <v>2026</v>
      </c>
      <c r="C39" s="35">
        <v>6</v>
      </c>
      <c r="D39" s="35" t="s">
        <v>123</v>
      </c>
      <c r="E39" s="35">
        <v>2</v>
      </c>
      <c r="F39" s="35">
        <v>6</v>
      </c>
      <c r="G39" s="58">
        <v>1</v>
      </c>
    </row>
    <row r="40" spans="1:7" x14ac:dyDescent="0.35">
      <c r="A40" s="46">
        <v>46184</v>
      </c>
      <c r="B40" s="35">
        <v>2026</v>
      </c>
      <c r="C40" s="35">
        <v>6</v>
      </c>
      <c r="D40" s="35" t="s">
        <v>123</v>
      </c>
      <c r="E40" s="35">
        <v>2</v>
      </c>
      <c r="F40" s="35">
        <v>6</v>
      </c>
      <c r="G40" s="58">
        <v>1</v>
      </c>
    </row>
    <row r="41" spans="1:7" x14ac:dyDescent="0.35">
      <c r="A41" s="46">
        <v>46185</v>
      </c>
      <c r="B41" s="35">
        <v>2026</v>
      </c>
      <c r="C41" s="35">
        <v>6</v>
      </c>
      <c r="D41" s="35" t="s">
        <v>123</v>
      </c>
      <c r="E41" s="35">
        <v>2</v>
      </c>
      <c r="F41" s="35">
        <v>6</v>
      </c>
      <c r="G41" s="58">
        <v>1</v>
      </c>
    </row>
    <row r="42" spans="1:7" x14ac:dyDescent="0.35">
      <c r="A42" s="46">
        <v>46186</v>
      </c>
      <c r="B42" s="35">
        <v>2026</v>
      </c>
      <c r="C42" s="35">
        <v>6</v>
      </c>
      <c r="D42" s="35" t="s">
        <v>123</v>
      </c>
      <c r="E42" s="35">
        <v>2</v>
      </c>
      <c r="F42" s="35">
        <v>6</v>
      </c>
      <c r="G42" s="58">
        <v>0</v>
      </c>
    </row>
    <row r="43" spans="1:7" x14ac:dyDescent="0.35">
      <c r="A43" s="46">
        <v>46187</v>
      </c>
      <c r="B43" s="35">
        <v>2026</v>
      </c>
      <c r="C43" s="35">
        <v>6</v>
      </c>
      <c r="D43" s="35" t="s">
        <v>123</v>
      </c>
      <c r="E43" s="35">
        <v>2</v>
      </c>
      <c r="F43" s="35">
        <v>6</v>
      </c>
      <c r="G43" s="58">
        <v>0</v>
      </c>
    </row>
    <row r="44" spans="1:7" x14ac:dyDescent="0.35">
      <c r="A44" s="46">
        <v>46188</v>
      </c>
      <c r="B44" s="35">
        <v>2026</v>
      </c>
      <c r="C44" s="35">
        <v>6</v>
      </c>
      <c r="D44" s="35" t="s">
        <v>123</v>
      </c>
      <c r="E44" s="35">
        <v>2</v>
      </c>
      <c r="F44" s="35">
        <v>7</v>
      </c>
      <c r="G44" s="58">
        <v>1</v>
      </c>
    </row>
    <row r="45" spans="1:7" x14ac:dyDescent="0.35">
      <c r="A45" s="46">
        <v>46189</v>
      </c>
      <c r="B45" s="35">
        <v>2026</v>
      </c>
      <c r="C45" s="35">
        <v>6</v>
      </c>
      <c r="D45" s="35" t="s">
        <v>123</v>
      </c>
      <c r="E45" s="35">
        <v>2</v>
      </c>
      <c r="F45" s="35">
        <v>7</v>
      </c>
      <c r="G45" s="58">
        <v>1</v>
      </c>
    </row>
    <row r="46" spans="1:7" x14ac:dyDescent="0.35">
      <c r="A46" s="46">
        <v>46190</v>
      </c>
      <c r="B46" s="35">
        <v>2026</v>
      </c>
      <c r="C46" s="35">
        <v>6</v>
      </c>
      <c r="D46" s="35" t="s">
        <v>123</v>
      </c>
      <c r="E46" s="35">
        <v>2</v>
      </c>
      <c r="F46" s="35">
        <v>7</v>
      </c>
      <c r="G46" s="58">
        <v>1</v>
      </c>
    </row>
    <row r="47" spans="1:7" x14ac:dyDescent="0.35">
      <c r="A47" s="46">
        <v>46191</v>
      </c>
      <c r="B47" s="35">
        <v>2026</v>
      </c>
      <c r="C47" s="35">
        <v>6</v>
      </c>
      <c r="D47" s="35" t="s">
        <v>123</v>
      </c>
      <c r="E47" s="35">
        <v>2</v>
      </c>
      <c r="F47" s="35">
        <v>7</v>
      </c>
      <c r="G47" s="58">
        <v>1</v>
      </c>
    </row>
    <row r="48" spans="1:7" x14ac:dyDescent="0.35">
      <c r="A48" s="46">
        <v>46192</v>
      </c>
      <c r="B48" s="35">
        <v>2026</v>
      </c>
      <c r="C48" s="35">
        <v>6</v>
      </c>
      <c r="D48" s="35" t="s">
        <v>123</v>
      </c>
      <c r="E48" s="35">
        <v>2</v>
      </c>
      <c r="F48" s="35">
        <v>7</v>
      </c>
      <c r="G48" s="58">
        <v>1</v>
      </c>
    </row>
    <row r="49" spans="1:7" x14ac:dyDescent="0.35">
      <c r="A49" s="46">
        <v>46193</v>
      </c>
      <c r="B49" s="35">
        <v>2026</v>
      </c>
      <c r="C49" s="35">
        <v>6</v>
      </c>
      <c r="D49" s="35" t="s">
        <v>123</v>
      </c>
      <c r="E49" s="35">
        <v>2</v>
      </c>
      <c r="F49" s="35">
        <v>7</v>
      </c>
      <c r="G49" s="58">
        <v>0</v>
      </c>
    </row>
    <row r="50" spans="1:7" x14ac:dyDescent="0.35">
      <c r="A50" s="46">
        <v>46194</v>
      </c>
      <c r="B50" s="35">
        <v>2026</v>
      </c>
      <c r="C50" s="35">
        <v>6</v>
      </c>
      <c r="D50" s="35" t="s">
        <v>123</v>
      </c>
      <c r="E50" s="35">
        <v>2</v>
      </c>
      <c r="F50" s="35">
        <v>7</v>
      </c>
      <c r="G50" s="58">
        <v>0</v>
      </c>
    </row>
    <row r="51" spans="1:7" x14ac:dyDescent="0.35">
      <c r="A51" s="46">
        <v>46195</v>
      </c>
      <c r="B51" s="35">
        <v>2026</v>
      </c>
      <c r="C51" s="35">
        <v>6</v>
      </c>
      <c r="D51" s="35" t="s">
        <v>123</v>
      </c>
      <c r="E51" s="35">
        <v>2</v>
      </c>
      <c r="F51" s="35">
        <v>8</v>
      </c>
      <c r="G51" s="58">
        <v>1</v>
      </c>
    </row>
    <row r="52" spans="1:7" x14ac:dyDescent="0.35">
      <c r="A52" s="46">
        <v>46196</v>
      </c>
      <c r="B52" s="35">
        <v>2026</v>
      </c>
      <c r="C52" s="35">
        <v>6</v>
      </c>
      <c r="D52" s="35" t="s">
        <v>123</v>
      </c>
      <c r="E52" s="35">
        <v>2</v>
      </c>
      <c r="F52" s="35">
        <v>8</v>
      </c>
      <c r="G52" s="58">
        <v>1</v>
      </c>
    </row>
    <row r="53" spans="1:7" x14ac:dyDescent="0.35">
      <c r="A53" s="46">
        <v>46197</v>
      </c>
      <c r="B53" s="35">
        <v>2026</v>
      </c>
      <c r="C53" s="35">
        <v>6</v>
      </c>
      <c r="D53" s="35" t="s">
        <v>123</v>
      </c>
      <c r="E53" s="35">
        <v>2</v>
      </c>
      <c r="F53" s="35">
        <v>8</v>
      </c>
      <c r="G53" s="58">
        <v>1</v>
      </c>
    </row>
    <row r="54" spans="1:7" x14ac:dyDescent="0.35">
      <c r="A54" s="46">
        <v>46198</v>
      </c>
      <c r="B54" s="35">
        <v>2026</v>
      </c>
      <c r="C54" s="35">
        <v>6</v>
      </c>
      <c r="D54" s="35" t="s">
        <v>123</v>
      </c>
      <c r="E54" s="35">
        <v>2</v>
      </c>
      <c r="F54" s="35">
        <v>8</v>
      </c>
      <c r="G54" s="58">
        <v>1</v>
      </c>
    </row>
    <row r="55" spans="1:7" x14ac:dyDescent="0.35">
      <c r="A55" s="46">
        <v>46199</v>
      </c>
      <c r="B55" s="35">
        <v>2026</v>
      </c>
      <c r="C55" s="35">
        <v>6</v>
      </c>
      <c r="D55" s="35" t="s">
        <v>123</v>
      </c>
      <c r="E55" s="35">
        <v>2</v>
      </c>
      <c r="F55" s="35">
        <v>8</v>
      </c>
      <c r="G55" s="58">
        <v>1</v>
      </c>
    </row>
    <row r="56" spans="1:7" x14ac:dyDescent="0.35">
      <c r="A56" s="46">
        <v>46200</v>
      </c>
      <c r="B56" s="35">
        <v>2026</v>
      </c>
      <c r="C56" s="35">
        <v>6</v>
      </c>
      <c r="D56" s="35" t="s">
        <v>123</v>
      </c>
      <c r="E56" s="35">
        <v>2</v>
      </c>
      <c r="F56" s="35">
        <v>8</v>
      </c>
      <c r="G56" s="58">
        <v>0</v>
      </c>
    </row>
    <row r="57" spans="1:7" x14ac:dyDescent="0.35">
      <c r="A57" s="46">
        <v>46201</v>
      </c>
      <c r="B57" s="35">
        <v>2026</v>
      </c>
      <c r="C57" s="35">
        <v>6</v>
      </c>
      <c r="D57" s="35" t="s">
        <v>123</v>
      </c>
      <c r="E57" s="35">
        <v>2</v>
      </c>
      <c r="F57" s="35">
        <v>8</v>
      </c>
      <c r="G57" s="58">
        <v>0</v>
      </c>
    </row>
    <row r="58" spans="1:7" x14ac:dyDescent="0.35">
      <c r="A58" s="46">
        <v>46202</v>
      </c>
      <c r="B58" s="35">
        <v>2026</v>
      </c>
      <c r="C58" s="35">
        <v>6</v>
      </c>
      <c r="D58" s="35" t="s">
        <v>123</v>
      </c>
      <c r="E58" s="35">
        <v>2</v>
      </c>
      <c r="F58" s="35">
        <v>9</v>
      </c>
      <c r="G58" s="58">
        <v>1</v>
      </c>
    </row>
    <row r="59" spans="1:7" x14ac:dyDescent="0.35">
      <c r="A59" s="46">
        <v>46203</v>
      </c>
      <c r="B59" s="35">
        <v>2026</v>
      </c>
      <c r="C59" s="35">
        <v>6</v>
      </c>
      <c r="D59" s="35" t="s">
        <v>123</v>
      </c>
      <c r="E59" s="35">
        <v>2</v>
      </c>
      <c r="F59" s="35">
        <v>9</v>
      </c>
      <c r="G59" s="58">
        <v>1</v>
      </c>
    </row>
    <row r="60" spans="1:7" x14ac:dyDescent="0.35">
      <c r="A60" s="46">
        <v>46204</v>
      </c>
      <c r="B60" s="35">
        <v>2026</v>
      </c>
      <c r="C60" s="35">
        <v>7</v>
      </c>
      <c r="D60" s="35" t="s">
        <v>124</v>
      </c>
      <c r="E60" s="35">
        <v>3</v>
      </c>
      <c r="F60" s="35">
        <v>9</v>
      </c>
      <c r="G60" s="58">
        <v>1</v>
      </c>
    </row>
    <row r="61" spans="1:7" x14ac:dyDescent="0.35">
      <c r="A61" s="46">
        <v>46205</v>
      </c>
      <c r="B61" s="35">
        <v>2026</v>
      </c>
      <c r="C61" s="35">
        <v>7</v>
      </c>
      <c r="D61" s="35" t="s">
        <v>124</v>
      </c>
      <c r="E61" s="35">
        <v>3</v>
      </c>
      <c r="F61" s="35">
        <v>9</v>
      </c>
      <c r="G61" s="58">
        <v>1</v>
      </c>
    </row>
    <row r="62" spans="1:7" x14ac:dyDescent="0.35">
      <c r="A62" s="46">
        <v>46206</v>
      </c>
      <c r="B62" s="35">
        <v>2026</v>
      </c>
      <c r="C62" s="35">
        <v>7</v>
      </c>
      <c r="D62" s="35" t="s">
        <v>124</v>
      </c>
      <c r="E62" s="35">
        <v>3</v>
      </c>
      <c r="F62" s="35">
        <v>9</v>
      </c>
      <c r="G62" s="58">
        <v>1</v>
      </c>
    </row>
    <row r="63" spans="1:7" x14ac:dyDescent="0.35">
      <c r="A63" s="46">
        <v>46207</v>
      </c>
      <c r="B63" s="35">
        <v>2026</v>
      </c>
      <c r="C63" s="35">
        <v>7</v>
      </c>
      <c r="D63" s="35" t="s">
        <v>124</v>
      </c>
      <c r="E63" s="35">
        <v>3</v>
      </c>
      <c r="F63" s="35">
        <v>9</v>
      </c>
      <c r="G63" s="58">
        <v>0</v>
      </c>
    </row>
    <row r="64" spans="1:7" x14ac:dyDescent="0.35">
      <c r="A64" s="46">
        <v>46208</v>
      </c>
      <c r="B64" s="35">
        <v>2026</v>
      </c>
      <c r="C64" s="35">
        <v>7</v>
      </c>
      <c r="D64" s="35" t="s">
        <v>124</v>
      </c>
      <c r="E64" s="35">
        <v>3</v>
      </c>
      <c r="F64" s="35">
        <v>9</v>
      </c>
      <c r="G64" s="58">
        <v>0</v>
      </c>
    </row>
    <row r="65" spans="1:7" x14ac:dyDescent="0.35">
      <c r="A65" s="46">
        <v>46209</v>
      </c>
      <c r="B65" s="35">
        <v>2026</v>
      </c>
      <c r="C65" s="35">
        <v>7</v>
      </c>
      <c r="D65" s="35" t="s">
        <v>124</v>
      </c>
      <c r="E65" s="35">
        <v>3</v>
      </c>
      <c r="F65" s="35">
        <v>10</v>
      </c>
      <c r="G65" s="58">
        <v>1</v>
      </c>
    </row>
    <row r="66" spans="1:7" x14ac:dyDescent="0.35">
      <c r="A66" s="46">
        <v>46210</v>
      </c>
      <c r="B66" s="35">
        <v>2026</v>
      </c>
      <c r="C66" s="35">
        <v>7</v>
      </c>
      <c r="D66" s="35" t="s">
        <v>124</v>
      </c>
      <c r="E66" s="35">
        <v>3</v>
      </c>
      <c r="F66" s="35">
        <v>10</v>
      </c>
      <c r="G66" s="58">
        <v>1</v>
      </c>
    </row>
    <row r="67" spans="1:7" x14ac:dyDescent="0.35">
      <c r="A67" s="46">
        <v>46211</v>
      </c>
      <c r="B67" s="35">
        <v>2026</v>
      </c>
      <c r="C67" s="35">
        <v>7</v>
      </c>
      <c r="D67" s="35" t="s">
        <v>124</v>
      </c>
      <c r="E67" s="35">
        <v>3</v>
      </c>
      <c r="F67" s="35">
        <v>10</v>
      </c>
      <c r="G67" s="58">
        <v>1</v>
      </c>
    </row>
    <row r="68" spans="1:7" x14ac:dyDescent="0.35">
      <c r="A68" s="46">
        <v>46212</v>
      </c>
      <c r="B68" s="35">
        <v>2026</v>
      </c>
      <c r="C68" s="35">
        <v>7</v>
      </c>
      <c r="D68" s="35" t="s">
        <v>124</v>
      </c>
      <c r="E68" s="35">
        <v>3</v>
      </c>
      <c r="F68" s="35">
        <v>10</v>
      </c>
      <c r="G68" s="58">
        <v>1</v>
      </c>
    </row>
    <row r="69" spans="1:7" x14ac:dyDescent="0.35">
      <c r="A69" s="46">
        <v>46213</v>
      </c>
      <c r="B69" s="35">
        <v>2026</v>
      </c>
      <c r="C69" s="35">
        <v>7</v>
      </c>
      <c r="D69" s="35" t="s">
        <v>124</v>
      </c>
      <c r="E69" s="35">
        <v>3</v>
      </c>
      <c r="F69" s="35">
        <v>10</v>
      </c>
      <c r="G69" s="58">
        <v>1</v>
      </c>
    </row>
    <row r="70" spans="1:7" x14ac:dyDescent="0.35">
      <c r="A70" s="46">
        <v>46214</v>
      </c>
      <c r="B70" s="35">
        <v>2026</v>
      </c>
      <c r="C70" s="35">
        <v>7</v>
      </c>
      <c r="D70" s="35" t="s">
        <v>124</v>
      </c>
      <c r="E70" s="35">
        <v>3</v>
      </c>
      <c r="F70" s="35">
        <v>10</v>
      </c>
      <c r="G70" s="58">
        <v>0</v>
      </c>
    </row>
    <row r="71" spans="1:7" x14ac:dyDescent="0.35">
      <c r="A71" s="46">
        <v>46215</v>
      </c>
      <c r="B71" s="35">
        <v>2026</v>
      </c>
      <c r="C71" s="35">
        <v>7</v>
      </c>
      <c r="D71" s="35" t="s">
        <v>124</v>
      </c>
      <c r="E71" s="35">
        <v>3</v>
      </c>
      <c r="F71" s="35">
        <v>10</v>
      </c>
      <c r="G71" s="58">
        <v>0</v>
      </c>
    </row>
    <row r="72" spans="1:7" x14ac:dyDescent="0.35">
      <c r="A72" s="46">
        <v>46216</v>
      </c>
      <c r="B72" s="35">
        <v>2026</v>
      </c>
      <c r="C72" s="35">
        <v>7</v>
      </c>
      <c r="D72" s="35" t="s">
        <v>124</v>
      </c>
      <c r="E72" s="35">
        <v>3</v>
      </c>
      <c r="F72" s="35">
        <v>11</v>
      </c>
      <c r="G72" s="58">
        <v>1</v>
      </c>
    </row>
    <row r="73" spans="1:7" x14ac:dyDescent="0.35">
      <c r="A73" s="46">
        <v>46217</v>
      </c>
      <c r="B73" s="35">
        <v>2026</v>
      </c>
      <c r="C73" s="35">
        <v>7</v>
      </c>
      <c r="D73" s="35" t="s">
        <v>124</v>
      </c>
      <c r="E73" s="35">
        <v>3</v>
      </c>
      <c r="F73" s="35">
        <v>11</v>
      </c>
      <c r="G73" s="58">
        <v>1</v>
      </c>
    </row>
    <row r="74" spans="1:7" x14ac:dyDescent="0.35">
      <c r="A74" s="46">
        <v>46218</v>
      </c>
      <c r="B74" s="35">
        <v>2026</v>
      </c>
      <c r="C74" s="35">
        <v>7</v>
      </c>
      <c r="D74" s="35" t="s">
        <v>124</v>
      </c>
      <c r="E74" s="35">
        <v>3</v>
      </c>
      <c r="F74" s="35">
        <v>11</v>
      </c>
      <c r="G74" s="58">
        <v>1</v>
      </c>
    </row>
    <row r="75" spans="1:7" x14ac:dyDescent="0.35">
      <c r="A75" s="46">
        <v>46219</v>
      </c>
      <c r="B75" s="35">
        <v>2026</v>
      </c>
      <c r="C75" s="35">
        <v>7</v>
      </c>
      <c r="D75" s="35" t="s">
        <v>124</v>
      </c>
      <c r="E75" s="35">
        <v>3</v>
      </c>
      <c r="F75" s="35">
        <v>11</v>
      </c>
      <c r="G75" s="58">
        <v>1</v>
      </c>
    </row>
    <row r="76" spans="1:7" x14ac:dyDescent="0.35">
      <c r="A76" s="46">
        <v>46220</v>
      </c>
      <c r="B76" s="35">
        <v>2026</v>
      </c>
      <c r="C76" s="35">
        <v>7</v>
      </c>
      <c r="D76" s="35" t="s">
        <v>124</v>
      </c>
      <c r="E76" s="35">
        <v>3</v>
      </c>
      <c r="F76" s="35">
        <v>11</v>
      </c>
      <c r="G76" s="58">
        <v>1</v>
      </c>
    </row>
    <row r="77" spans="1:7" x14ac:dyDescent="0.35">
      <c r="A77" s="46">
        <v>46221</v>
      </c>
      <c r="B77" s="35">
        <v>2026</v>
      </c>
      <c r="C77" s="35">
        <v>7</v>
      </c>
      <c r="D77" s="35" t="s">
        <v>124</v>
      </c>
      <c r="E77" s="35">
        <v>3</v>
      </c>
      <c r="F77" s="35">
        <v>11</v>
      </c>
      <c r="G77" s="58">
        <v>0</v>
      </c>
    </row>
    <row r="78" spans="1:7" x14ac:dyDescent="0.35">
      <c r="A78" s="46">
        <v>46222</v>
      </c>
      <c r="B78" s="35">
        <v>2026</v>
      </c>
      <c r="C78" s="35">
        <v>7</v>
      </c>
      <c r="D78" s="35" t="s">
        <v>124</v>
      </c>
      <c r="E78" s="35">
        <v>3</v>
      </c>
      <c r="F78" s="35">
        <v>11</v>
      </c>
      <c r="G78" s="58">
        <v>0</v>
      </c>
    </row>
    <row r="79" spans="1:7" x14ac:dyDescent="0.35">
      <c r="A79" s="46">
        <v>46223</v>
      </c>
      <c r="B79" s="35">
        <v>2026</v>
      </c>
      <c r="C79" s="35">
        <v>7</v>
      </c>
      <c r="D79" s="35" t="s">
        <v>124</v>
      </c>
      <c r="E79" s="35">
        <v>3</v>
      </c>
      <c r="F79" s="35">
        <v>12</v>
      </c>
      <c r="G79" s="58">
        <v>1</v>
      </c>
    </row>
    <row r="80" spans="1:7" x14ac:dyDescent="0.35">
      <c r="A80" s="46">
        <v>46224</v>
      </c>
      <c r="B80" s="35">
        <v>2026</v>
      </c>
      <c r="C80" s="35">
        <v>7</v>
      </c>
      <c r="D80" s="35" t="s">
        <v>124</v>
      </c>
      <c r="E80" s="35">
        <v>3</v>
      </c>
      <c r="F80" s="35">
        <v>12</v>
      </c>
      <c r="G80" s="58">
        <v>1</v>
      </c>
    </row>
    <row r="81" spans="1:7" x14ac:dyDescent="0.35">
      <c r="A81" s="46">
        <v>46225</v>
      </c>
      <c r="B81" s="35">
        <v>2026</v>
      </c>
      <c r="C81" s="35">
        <v>7</v>
      </c>
      <c r="D81" s="35" t="s">
        <v>124</v>
      </c>
      <c r="E81" s="35">
        <v>3</v>
      </c>
      <c r="F81" s="35">
        <v>12</v>
      </c>
      <c r="G81" s="58">
        <v>1</v>
      </c>
    </row>
    <row r="82" spans="1:7" x14ac:dyDescent="0.35">
      <c r="A82" s="46">
        <v>46226</v>
      </c>
      <c r="B82" s="35">
        <v>2026</v>
      </c>
      <c r="C82" s="35">
        <v>7</v>
      </c>
      <c r="D82" s="35" t="s">
        <v>124</v>
      </c>
      <c r="E82" s="35">
        <v>3</v>
      </c>
      <c r="F82" s="35">
        <v>12</v>
      </c>
      <c r="G82" s="58">
        <v>1</v>
      </c>
    </row>
    <row r="83" spans="1:7" x14ac:dyDescent="0.35">
      <c r="A83" s="46">
        <v>46227</v>
      </c>
      <c r="B83" s="35">
        <v>2026</v>
      </c>
      <c r="C83" s="35">
        <v>7</v>
      </c>
      <c r="D83" s="35" t="s">
        <v>124</v>
      </c>
      <c r="E83" s="35">
        <v>3</v>
      </c>
      <c r="F83" s="35">
        <v>12</v>
      </c>
      <c r="G83" s="58">
        <v>1</v>
      </c>
    </row>
    <row r="84" spans="1:7" x14ac:dyDescent="0.35">
      <c r="A84" s="46">
        <v>46228</v>
      </c>
      <c r="B84" s="35">
        <v>2026</v>
      </c>
      <c r="C84" s="35">
        <v>7</v>
      </c>
      <c r="D84" s="35" t="s">
        <v>124</v>
      </c>
      <c r="E84" s="35">
        <v>3</v>
      </c>
      <c r="F84" s="35">
        <v>12</v>
      </c>
      <c r="G84" s="58">
        <v>0</v>
      </c>
    </row>
    <row r="85" spans="1:7" x14ac:dyDescent="0.35">
      <c r="A85" s="46">
        <v>46229</v>
      </c>
      <c r="B85" s="35">
        <v>2026</v>
      </c>
      <c r="C85" s="35">
        <v>7</v>
      </c>
      <c r="D85" s="35" t="s">
        <v>124</v>
      </c>
      <c r="E85" s="35">
        <v>3</v>
      </c>
      <c r="F85" s="35">
        <v>12</v>
      </c>
      <c r="G85" s="58">
        <v>0</v>
      </c>
    </row>
  </sheetData>
  <conditionalFormatting sqref="G2:G85">
    <cfRule type="cellIs" dxfId="34" priority="1" operator="equal">
      <formula>1</formula>
    </cfRule>
    <cfRule type="cellIs" dxfId="33" priority="2" operator="equal">
      <formula>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D966"/>
  </sheetPr>
  <dimension ref="A1:C44"/>
  <sheetViews>
    <sheetView workbookViewId="0"/>
  </sheetViews>
  <sheetFormatPr defaultRowHeight="14.5" x14ac:dyDescent="0.35"/>
  <cols>
    <col min="1" max="1" width="10.08984375" bestFit="1" customWidth="1"/>
    <col min="2" max="2" width="7.36328125" bestFit="1" customWidth="1"/>
    <col min="3" max="3" width="13.36328125" bestFit="1" customWidth="1"/>
  </cols>
  <sheetData>
    <row r="1" spans="1:3" x14ac:dyDescent="0.35">
      <c r="A1" s="37" t="s">
        <v>115</v>
      </c>
      <c r="B1" s="37" t="s">
        <v>79</v>
      </c>
      <c r="C1" s="37" t="s">
        <v>125</v>
      </c>
    </row>
    <row r="2" spans="1:3" x14ac:dyDescent="0.35">
      <c r="A2" s="46">
        <v>46146</v>
      </c>
      <c r="B2" s="35" t="s">
        <v>35</v>
      </c>
      <c r="C2" s="44">
        <v>1500</v>
      </c>
    </row>
    <row r="3" spans="1:3" x14ac:dyDescent="0.35">
      <c r="A3" s="46">
        <v>46153</v>
      </c>
      <c r="B3" s="35" t="s">
        <v>35</v>
      </c>
      <c r="C3" s="44">
        <v>1500</v>
      </c>
    </row>
    <row r="4" spans="1:3" x14ac:dyDescent="0.35">
      <c r="A4" s="46">
        <v>46160</v>
      </c>
      <c r="B4" s="35" t="s">
        <v>35</v>
      </c>
      <c r="C4" s="44">
        <v>1500</v>
      </c>
    </row>
    <row r="5" spans="1:3" x14ac:dyDescent="0.35">
      <c r="A5" s="46">
        <v>46167</v>
      </c>
      <c r="B5" s="35" t="s">
        <v>35</v>
      </c>
      <c r="C5" s="44">
        <v>1500</v>
      </c>
    </row>
    <row r="6" spans="1:3" x14ac:dyDescent="0.35">
      <c r="A6" s="46">
        <v>46174</v>
      </c>
      <c r="B6" s="35" t="s">
        <v>35</v>
      </c>
      <c r="C6" s="44">
        <v>1500</v>
      </c>
    </row>
    <row r="7" spans="1:3" x14ac:dyDescent="0.35">
      <c r="A7" s="46">
        <v>46181</v>
      </c>
      <c r="B7" s="35" t="s">
        <v>35</v>
      </c>
      <c r="C7" s="44">
        <v>1500</v>
      </c>
    </row>
    <row r="8" spans="1:3" x14ac:dyDescent="0.35">
      <c r="A8" s="46">
        <v>46188</v>
      </c>
      <c r="B8" s="35" t="s">
        <v>35</v>
      </c>
      <c r="C8" s="44">
        <v>1500</v>
      </c>
    </row>
    <row r="9" spans="1:3" x14ac:dyDescent="0.35">
      <c r="A9" s="46">
        <v>46195</v>
      </c>
      <c r="B9" s="35" t="s">
        <v>35</v>
      </c>
      <c r="C9" s="44">
        <v>1500</v>
      </c>
    </row>
    <row r="10" spans="1:3" x14ac:dyDescent="0.35">
      <c r="A10" s="46">
        <v>46202</v>
      </c>
      <c r="B10" s="35" t="s">
        <v>35</v>
      </c>
      <c r="C10" s="44">
        <v>1500</v>
      </c>
    </row>
    <row r="11" spans="1:3" x14ac:dyDescent="0.35">
      <c r="A11" s="46">
        <v>46209</v>
      </c>
      <c r="B11" s="35" t="s">
        <v>35</v>
      </c>
      <c r="C11" s="44">
        <v>1500</v>
      </c>
    </row>
    <row r="12" spans="1:3" x14ac:dyDescent="0.35">
      <c r="A12" s="46">
        <v>46216</v>
      </c>
      <c r="B12" s="35" t="s">
        <v>35</v>
      </c>
      <c r="C12" s="44">
        <v>1500</v>
      </c>
    </row>
    <row r="13" spans="1:3" x14ac:dyDescent="0.35">
      <c r="A13" s="46">
        <v>46223</v>
      </c>
      <c r="B13" s="35" t="s">
        <v>35</v>
      </c>
      <c r="C13" s="44">
        <v>1500</v>
      </c>
    </row>
    <row r="14" spans="1:3" x14ac:dyDescent="0.35">
      <c r="A14" s="46">
        <v>46146</v>
      </c>
      <c r="B14" s="35" t="s">
        <v>38</v>
      </c>
      <c r="C14" s="44">
        <v>8500</v>
      </c>
    </row>
    <row r="15" spans="1:3" x14ac:dyDescent="0.35">
      <c r="A15" s="46">
        <v>46146</v>
      </c>
      <c r="B15" s="35" t="s">
        <v>40</v>
      </c>
      <c r="C15" s="44">
        <v>6400</v>
      </c>
    </row>
    <row r="16" spans="1:3" x14ac:dyDescent="0.35">
      <c r="A16" s="46">
        <v>46153</v>
      </c>
      <c r="B16" s="35" t="s">
        <v>40</v>
      </c>
      <c r="C16" s="44">
        <v>6400</v>
      </c>
    </row>
    <row r="17" spans="1:3" x14ac:dyDescent="0.35">
      <c r="A17" s="46">
        <v>46160</v>
      </c>
      <c r="B17" s="35" t="s">
        <v>40</v>
      </c>
      <c r="C17" s="44">
        <v>6400</v>
      </c>
    </row>
    <row r="18" spans="1:3" x14ac:dyDescent="0.35">
      <c r="A18" s="46">
        <v>46153</v>
      </c>
      <c r="B18" s="35" t="s">
        <v>42</v>
      </c>
      <c r="C18" s="44">
        <v>10500</v>
      </c>
    </row>
    <row r="19" spans="1:3" x14ac:dyDescent="0.35">
      <c r="A19" s="46">
        <v>46160</v>
      </c>
      <c r="B19" s="35" t="s">
        <v>42</v>
      </c>
      <c r="C19" s="44">
        <v>10500</v>
      </c>
    </row>
    <row r="20" spans="1:3" x14ac:dyDescent="0.35">
      <c r="A20" s="46">
        <v>46167</v>
      </c>
      <c r="B20" s="35" t="s">
        <v>42</v>
      </c>
      <c r="C20" s="44">
        <v>10500</v>
      </c>
    </row>
    <row r="21" spans="1:3" x14ac:dyDescent="0.35">
      <c r="A21" s="46">
        <v>46174</v>
      </c>
      <c r="B21" s="35" t="s">
        <v>42</v>
      </c>
      <c r="C21" s="44">
        <v>10500</v>
      </c>
    </row>
    <row r="22" spans="1:3" x14ac:dyDescent="0.35">
      <c r="A22" s="46">
        <v>46153</v>
      </c>
      <c r="B22" s="35" t="s">
        <v>45</v>
      </c>
      <c r="C22" s="44">
        <v>4400</v>
      </c>
    </row>
    <row r="23" spans="1:3" x14ac:dyDescent="0.35">
      <c r="A23" s="46">
        <v>46160</v>
      </c>
      <c r="B23" s="35" t="s">
        <v>45</v>
      </c>
      <c r="C23" s="44">
        <v>4400</v>
      </c>
    </row>
    <row r="24" spans="1:3" x14ac:dyDescent="0.35">
      <c r="A24" s="46">
        <v>46167</v>
      </c>
      <c r="B24" s="35" t="s">
        <v>45</v>
      </c>
      <c r="C24" s="44">
        <v>4400</v>
      </c>
    </row>
    <row r="25" spans="1:3" x14ac:dyDescent="0.35">
      <c r="A25" s="46">
        <v>46167</v>
      </c>
      <c r="B25" s="35" t="s">
        <v>47</v>
      </c>
      <c r="C25" s="44">
        <v>8666.67</v>
      </c>
    </row>
    <row r="26" spans="1:3" x14ac:dyDescent="0.35">
      <c r="A26" s="46">
        <v>46174</v>
      </c>
      <c r="B26" s="35" t="s">
        <v>47</v>
      </c>
      <c r="C26" s="44">
        <v>8666.67</v>
      </c>
    </row>
    <row r="27" spans="1:3" x14ac:dyDescent="0.35">
      <c r="A27" s="46">
        <v>46181</v>
      </c>
      <c r="B27" s="35" t="s">
        <v>47</v>
      </c>
      <c r="C27" s="44">
        <v>8666.66</v>
      </c>
    </row>
    <row r="28" spans="1:3" x14ac:dyDescent="0.35">
      <c r="A28" s="46">
        <v>46174</v>
      </c>
      <c r="B28" s="35" t="s">
        <v>49</v>
      </c>
      <c r="C28" s="44">
        <v>9000</v>
      </c>
    </row>
    <row r="29" spans="1:3" x14ac:dyDescent="0.35">
      <c r="A29" s="46">
        <v>46181</v>
      </c>
      <c r="B29" s="35" t="s">
        <v>49</v>
      </c>
      <c r="C29" s="44">
        <v>9000</v>
      </c>
    </row>
    <row r="30" spans="1:3" x14ac:dyDescent="0.35">
      <c r="A30" s="46">
        <v>46188</v>
      </c>
      <c r="B30" s="35" t="s">
        <v>49</v>
      </c>
      <c r="C30" s="44">
        <v>9000</v>
      </c>
    </row>
    <row r="31" spans="1:3" x14ac:dyDescent="0.35">
      <c r="A31" s="46">
        <v>46195</v>
      </c>
      <c r="B31" s="35" t="s">
        <v>49</v>
      </c>
      <c r="C31" s="44">
        <v>9000</v>
      </c>
    </row>
    <row r="32" spans="1:3" x14ac:dyDescent="0.35">
      <c r="A32" s="46">
        <v>46181</v>
      </c>
      <c r="B32" s="35" t="s">
        <v>52</v>
      </c>
      <c r="C32" s="44">
        <v>7000</v>
      </c>
    </row>
    <row r="33" spans="1:3" x14ac:dyDescent="0.35">
      <c r="A33" s="46">
        <v>46188</v>
      </c>
      <c r="B33" s="35" t="s">
        <v>52</v>
      </c>
      <c r="C33" s="44">
        <v>7000</v>
      </c>
    </row>
    <row r="34" spans="1:3" x14ac:dyDescent="0.35">
      <c r="A34" s="46">
        <v>46195</v>
      </c>
      <c r="B34" s="35" t="s">
        <v>52</v>
      </c>
      <c r="C34" s="44">
        <v>7000</v>
      </c>
    </row>
    <row r="35" spans="1:3" x14ac:dyDescent="0.35">
      <c r="A35" s="46">
        <v>46202</v>
      </c>
      <c r="B35" s="35" t="s">
        <v>52</v>
      </c>
      <c r="C35" s="44">
        <v>7000</v>
      </c>
    </row>
    <row r="36" spans="1:3" x14ac:dyDescent="0.35">
      <c r="A36" s="46">
        <v>46195</v>
      </c>
      <c r="B36" s="35" t="s">
        <v>54</v>
      </c>
      <c r="C36" s="44">
        <v>11916.67</v>
      </c>
    </row>
    <row r="37" spans="1:3" x14ac:dyDescent="0.35">
      <c r="A37" s="46">
        <v>46202</v>
      </c>
      <c r="B37" s="35" t="s">
        <v>54</v>
      </c>
      <c r="C37" s="44">
        <v>11916.67</v>
      </c>
    </row>
    <row r="38" spans="1:3" x14ac:dyDescent="0.35">
      <c r="A38" s="46">
        <v>46209</v>
      </c>
      <c r="B38" s="35" t="s">
        <v>54</v>
      </c>
      <c r="C38" s="44">
        <v>11916.66</v>
      </c>
    </row>
    <row r="39" spans="1:3" x14ac:dyDescent="0.35">
      <c r="A39" s="46">
        <v>46202</v>
      </c>
      <c r="B39" s="35" t="s">
        <v>56</v>
      </c>
      <c r="C39" s="44">
        <v>10000</v>
      </c>
    </row>
    <row r="40" spans="1:3" x14ac:dyDescent="0.35">
      <c r="A40" s="46">
        <v>46209</v>
      </c>
      <c r="B40" s="35" t="s">
        <v>56</v>
      </c>
      <c r="C40" s="44">
        <v>10000</v>
      </c>
    </row>
    <row r="41" spans="1:3" x14ac:dyDescent="0.35">
      <c r="A41" s="46">
        <v>46216</v>
      </c>
      <c r="B41" s="35" t="s">
        <v>56</v>
      </c>
      <c r="C41" s="44">
        <v>10000</v>
      </c>
    </row>
    <row r="42" spans="1:3" x14ac:dyDescent="0.35">
      <c r="A42" s="46">
        <v>46216</v>
      </c>
      <c r="B42" s="35" t="s">
        <v>58</v>
      </c>
      <c r="C42" s="44">
        <v>4200</v>
      </c>
    </row>
    <row r="43" spans="1:3" x14ac:dyDescent="0.35">
      <c r="A43" s="46">
        <v>46223</v>
      </c>
      <c r="B43" s="35" t="s">
        <v>58</v>
      </c>
      <c r="C43" s="44">
        <v>4200</v>
      </c>
    </row>
    <row r="44" spans="1:3" x14ac:dyDescent="0.35">
      <c r="A44" s="46">
        <v>46223</v>
      </c>
      <c r="B44" s="35" t="s">
        <v>60</v>
      </c>
      <c r="C44" s="44">
        <v>3600</v>
      </c>
    </row>
  </sheetData>
  <conditionalFormatting sqref="C2:C44">
    <cfRule type="cellIs" dxfId="32" priority="1" operator="lessThanOrEqual">
      <formula>4200</formula>
    </cfRule>
    <cfRule type="cellIs" dxfId="31" priority="2" operator="between">
      <formula>4200</formula>
      <formula>8666.67</formula>
    </cfRule>
    <cfRule type="cellIs" dxfId="30" priority="3" operator="greaterThanOrEqual">
      <formula>8666.67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D966"/>
  </sheetPr>
  <dimension ref="A1:E100"/>
  <sheetViews>
    <sheetView workbookViewId="0"/>
  </sheetViews>
  <sheetFormatPr defaultRowHeight="14.5" x14ac:dyDescent="0.35"/>
  <cols>
    <col min="1" max="1" width="10.08984375" bestFit="1" customWidth="1"/>
    <col min="2" max="2" width="7.36328125" bestFit="1" customWidth="1"/>
    <col min="3" max="3" width="11.26953125" bestFit="1" customWidth="1"/>
    <col min="4" max="4" width="10.90625" bestFit="1" customWidth="1"/>
    <col min="5" max="5" width="13.1796875" bestFit="1" customWidth="1"/>
  </cols>
  <sheetData>
    <row r="1" spans="1:5" x14ac:dyDescent="0.35">
      <c r="A1" s="37" t="s">
        <v>115</v>
      </c>
      <c r="B1" s="37" t="s">
        <v>79</v>
      </c>
      <c r="C1" s="37" t="s">
        <v>83</v>
      </c>
      <c r="D1" s="37" t="s">
        <v>126</v>
      </c>
      <c r="E1" s="37" t="s">
        <v>127</v>
      </c>
    </row>
    <row r="2" spans="1:5" x14ac:dyDescent="0.35">
      <c r="A2" s="46">
        <v>46146</v>
      </c>
      <c r="B2" s="35" t="s">
        <v>35</v>
      </c>
      <c r="C2" s="35" t="s">
        <v>87</v>
      </c>
      <c r="D2" s="44">
        <v>320</v>
      </c>
      <c r="E2" s="45">
        <v>0.21</v>
      </c>
    </row>
    <row r="3" spans="1:5" x14ac:dyDescent="0.35">
      <c r="A3" s="46">
        <v>46147</v>
      </c>
      <c r="B3" s="35" t="s">
        <v>35</v>
      </c>
      <c r="C3" s="35" t="s">
        <v>87</v>
      </c>
      <c r="D3" s="44">
        <v>320</v>
      </c>
      <c r="E3" s="45">
        <v>0.21</v>
      </c>
    </row>
    <row r="4" spans="1:5" x14ac:dyDescent="0.35">
      <c r="A4" s="46">
        <v>46148</v>
      </c>
      <c r="B4" s="35" t="s">
        <v>35</v>
      </c>
      <c r="C4" s="35" t="s">
        <v>87</v>
      </c>
      <c r="D4" s="44">
        <v>320</v>
      </c>
      <c r="E4" s="45">
        <v>0.21</v>
      </c>
    </row>
    <row r="5" spans="1:5" x14ac:dyDescent="0.35">
      <c r="A5" s="46">
        <v>46149</v>
      </c>
      <c r="B5" s="35" t="s">
        <v>35</v>
      </c>
      <c r="C5" s="35" t="s">
        <v>87</v>
      </c>
      <c r="D5" s="44">
        <v>320</v>
      </c>
      <c r="E5" s="45">
        <v>0.21</v>
      </c>
    </row>
    <row r="6" spans="1:5" x14ac:dyDescent="0.35">
      <c r="A6" s="46">
        <v>46150</v>
      </c>
      <c r="B6" s="35" t="s">
        <v>35</v>
      </c>
      <c r="C6" s="35" t="s">
        <v>87</v>
      </c>
      <c r="D6" s="44">
        <v>320</v>
      </c>
      <c r="E6" s="45">
        <v>0.21</v>
      </c>
    </row>
    <row r="7" spans="1:5" x14ac:dyDescent="0.35">
      <c r="A7" s="46">
        <v>46146</v>
      </c>
      <c r="B7" s="35" t="s">
        <v>38</v>
      </c>
      <c r="C7" s="35" t="s">
        <v>96</v>
      </c>
      <c r="D7" s="44">
        <v>1740</v>
      </c>
      <c r="E7" s="45">
        <v>0.79</v>
      </c>
    </row>
    <row r="8" spans="1:5" x14ac:dyDescent="0.35">
      <c r="A8" s="46">
        <v>46147</v>
      </c>
      <c r="B8" s="35" t="s">
        <v>38</v>
      </c>
      <c r="C8" s="35" t="s">
        <v>96</v>
      </c>
      <c r="D8" s="44">
        <v>1740</v>
      </c>
      <c r="E8" s="45">
        <v>0.79</v>
      </c>
    </row>
    <row r="9" spans="1:5" x14ac:dyDescent="0.35">
      <c r="A9" s="46">
        <v>46148</v>
      </c>
      <c r="B9" s="35" t="s">
        <v>38</v>
      </c>
      <c r="C9" s="35" t="s">
        <v>96</v>
      </c>
      <c r="D9" s="44">
        <v>1740</v>
      </c>
      <c r="E9" s="45">
        <v>0.79</v>
      </c>
    </row>
    <row r="10" spans="1:5" x14ac:dyDescent="0.35">
      <c r="A10" s="46">
        <v>46149</v>
      </c>
      <c r="B10" s="35" t="s">
        <v>38</v>
      </c>
      <c r="C10" s="35" t="s">
        <v>96</v>
      </c>
      <c r="D10" s="44">
        <v>1740</v>
      </c>
      <c r="E10" s="45">
        <v>0.79</v>
      </c>
    </row>
    <row r="11" spans="1:5" x14ac:dyDescent="0.35">
      <c r="A11" s="46">
        <v>46150</v>
      </c>
      <c r="B11" s="35" t="s">
        <v>38</v>
      </c>
      <c r="C11" s="35" t="s">
        <v>96</v>
      </c>
      <c r="D11" s="44">
        <v>1740</v>
      </c>
      <c r="E11" s="45">
        <v>0.79</v>
      </c>
    </row>
    <row r="12" spans="1:5" x14ac:dyDescent="0.35">
      <c r="A12" s="46">
        <v>46146</v>
      </c>
      <c r="B12" s="35" t="s">
        <v>40</v>
      </c>
      <c r="C12" s="35" t="s">
        <v>90</v>
      </c>
      <c r="D12" s="44">
        <v>1199.01</v>
      </c>
      <c r="E12" s="45">
        <v>0.5</v>
      </c>
    </row>
    <row r="13" spans="1:5" x14ac:dyDescent="0.35">
      <c r="A13" s="46">
        <v>46147</v>
      </c>
      <c r="B13" s="35" t="s">
        <v>40</v>
      </c>
      <c r="C13" s="35" t="s">
        <v>90</v>
      </c>
      <c r="D13" s="44">
        <v>1199.01</v>
      </c>
      <c r="E13" s="45">
        <v>0.5</v>
      </c>
    </row>
    <row r="14" spans="1:5" x14ac:dyDescent="0.35">
      <c r="A14" s="46">
        <v>46148</v>
      </c>
      <c r="B14" s="35" t="s">
        <v>40</v>
      </c>
      <c r="C14" s="35" t="s">
        <v>90</v>
      </c>
      <c r="D14" s="44">
        <v>1199.01</v>
      </c>
      <c r="E14" s="45">
        <v>0.5</v>
      </c>
    </row>
    <row r="15" spans="1:5" x14ac:dyDescent="0.35">
      <c r="A15" s="46">
        <v>46149</v>
      </c>
      <c r="B15" s="35" t="s">
        <v>40</v>
      </c>
      <c r="C15" s="35" t="s">
        <v>90</v>
      </c>
      <c r="D15" s="44">
        <v>1199.01</v>
      </c>
      <c r="E15" s="45">
        <v>0.5</v>
      </c>
    </row>
    <row r="16" spans="1:5" x14ac:dyDescent="0.35">
      <c r="A16" s="46">
        <v>46150</v>
      </c>
      <c r="B16" s="35" t="s">
        <v>40</v>
      </c>
      <c r="C16" s="35" t="s">
        <v>90</v>
      </c>
      <c r="D16" s="44">
        <v>1199</v>
      </c>
      <c r="E16" s="45">
        <v>0.5</v>
      </c>
    </row>
    <row r="17" spans="1:5" x14ac:dyDescent="0.35">
      <c r="A17" s="46">
        <v>46153</v>
      </c>
      <c r="B17" s="35" t="s">
        <v>35</v>
      </c>
      <c r="C17" s="35" t="s">
        <v>87</v>
      </c>
      <c r="D17" s="44">
        <v>320</v>
      </c>
      <c r="E17" s="45">
        <v>0.21</v>
      </c>
    </row>
    <row r="18" spans="1:5" x14ac:dyDescent="0.35">
      <c r="A18" s="46">
        <v>46154</v>
      </c>
      <c r="B18" s="35" t="s">
        <v>35</v>
      </c>
      <c r="C18" s="35" t="s">
        <v>87</v>
      </c>
      <c r="D18" s="44">
        <v>320</v>
      </c>
      <c r="E18" s="45">
        <v>0.21</v>
      </c>
    </row>
    <row r="19" spans="1:5" x14ac:dyDescent="0.35">
      <c r="A19" s="46">
        <v>46155</v>
      </c>
      <c r="B19" s="35" t="s">
        <v>35</v>
      </c>
      <c r="C19" s="35" t="s">
        <v>87</v>
      </c>
      <c r="D19" s="44">
        <v>320</v>
      </c>
      <c r="E19" s="45">
        <v>0.21</v>
      </c>
    </row>
    <row r="20" spans="1:5" x14ac:dyDescent="0.35">
      <c r="A20" s="46">
        <v>46156</v>
      </c>
      <c r="B20" s="35" t="s">
        <v>35</v>
      </c>
      <c r="C20" s="35" t="s">
        <v>87</v>
      </c>
      <c r="D20" s="44">
        <v>320</v>
      </c>
      <c r="E20" s="45">
        <v>0.21</v>
      </c>
    </row>
    <row r="21" spans="1:5" x14ac:dyDescent="0.35">
      <c r="A21" s="46">
        <v>46157</v>
      </c>
      <c r="B21" s="35" t="s">
        <v>35</v>
      </c>
      <c r="C21" s="35" t="s">
        <v>87</v>
      </c>
      <c r="D21" s="44">
        <v>320</v>
      </c>
      <c r="E21" s="45">
        <v>0.21</v>
      </c>
    </row>
    <row r="22" spans="1:5" x14ac:dyDescent="0.35">
      <c r="A22" s="46">
        <v>46153</v>
      </c>
      <c r="B22" s="35" t="s">
        <v>40</v>
      </c>
      <c r="C22" s="35" t="s">
        <v>90</v>
      </c>
      <c r="D22" s="44">
        <v>1200</v>
      </c>
      <c r="E22" s="45">
        <v>0.5</v>
      </c>
    </row>
    <row r="23" spans="1:5" x14ac:dyDescent="0.35">
      <c r="A23" s="46">
        <v>46154</v>
      </c>
      <c r="B23" s="35" t="s">
        <v>40</v>
      </c>
      <c r="C23" s="35" t="s">
        <v>90</v>
      </c>
      <c r="D23" s="44">
        <v>1200</v>
      </c>
      <c r="E23" s="45">
        <v>0.5</v>
      </c>
    </row>
    <row r="24" spans="1:5" x14ac:dyDescent="0.35">
      <c r="A24" s="46">
        <v>46155</v>
      </c>
      <c r="B24" s="35" t="s">
        <v>40</v>
      </c>
      <c r="C24" s="35" t="s">
        <v>90</v>
      </c>
      <c r="D24" s="44">
        <v>1200</v>
      </c>
      <c r="E24" s="45">
        <v>0.5</v>
      </c>
    </row>
    <row r="25" spans="1:5" x14ac:dyDescent="0.35">
      <c r="A25" s="46">
        <v>46156</v>
      </c>
      <c r="B25" s="35" t="s">
        <v>40</v>
      </c>
      <c r="C25" s="35" t="s">
        <v>90</v>
      </c>
      <c r="D25" s="44">
        <v>1200</v>
      </c>
      <c r="E25" s="45">
        <v>0.5</v>
      </c>
    </row>
    <row r="26" spans="1:5" x14ac:dyDescent="0.35">
      <c r="A26" s="46">
        <v>46157</v>
      </c>
      <c r="B26" s="35" t="s">
        <v>40</v>
      </c>
      <c r="C26" s="35" t="s">
        <v>90</v>
      </c>
      <c r="D26" s="44">
        <v>1200</v>
      </c>
      <c r="E26" s="45">
        <v>0.5</v>
      </c>
    </row>
    <row r="27" spans="1:5" x14ac:dyDescent="0.35">
      <c r="A27" s="46">
        <v>46155</v>
      </c>
      <c r="B27" s="35" t="s">
        <v>42</v>
      </c>
      <c r="C27" s="35" t="s">
        <v>103</v>
      </c>
      <c r="D27" s="44">
        <v>10500</v>
      </c>
      <c r="E27" s="45">
        <v>0</v>
      </c>
    </row>
    <row r="28" spans="1:5" x14ac:dyDescent="0.35">
      <c r="A28" s="46">
        <v>46153</v>
      </c>
      <c r="B28" s="35" t="s">
        <v>45</v>
      </c>
      <c r="C28" s="35" t="s">
        <v>96</v>
      </c>
      <c r="D28" s="44">
        <v>910.82</v>
      </c>
      <c r="E28" s="45">
        <v>0.41</v>
      </c>
    </row>
    <row r="29" spans="1:5" x14ac:dyDescent="0.35">
      <c r="A29" s="46">
        <v>46154</v>
      </c>
      <c r="B29" s="35" t="s">
        <v>45</v>
      </c>
      <c r="C29" s="35" t="s">
        <v>96</v>
      </c>
      <c r="D29" s="44">
        <v>910.82</v>
      </c>
      <c r="E29" s="45">
        <v>0.41</v>
      </c>
    </row>
    <row r="30" spans="1:5" x14ac:dyDescent="0.35">
      <c r="A30" s="46">
        <v>46155</v>
      </c>
      <c r="B30" s="35" t="s">
        <v>45</v>
      </c>
      <c r="C30" s="35" t="s">
        <v>96</v>
      </c>
      <c r="D30" s="44">
        <v>910.82</v>
      </c>
      <c r="E30" s="45">
        <v>0.41</v>
      </c>
    </row>
    <row r="31" spans="1:5" x14ac:dyDescent="0.35">
      <c r="A31" s="46">
        <v>46156</v>
      </c>
      <c r="B31" s="35" t="s">
        <v>45</v>
      </c>
      <c r="C31" s="35" t="s">
        <v>96</v>
      </c>
      <c r="D31" s="44">
        <v>910.82</v>
      </c>
      <c r="E31" s="45">
        <v>0.41</v>
      </c>
    </row>
    <row r="32" spans="1:5" x14ac:dyDescent="0.35">
      <c r="A32" s="46">
        <v>46157</v>
      </c>
      <c r="B32" s="35" t="s">
        <v>45</v>
      </c>
      <c r="C32" s="35" t="s">
        <v>96</v>
      </c>
      <c r="D32" s="44">
        <v>910.8</v>
      </c>
      <c r="E32" s="45">
        <v>0.41</v>
      </c>
    </row>
    <row r="33" spans="1:5" x14ac:dyDescent="0.35">
      <c r="A33" s="46">
        <v>46160</v>
      </c>
      <c r="B33" s="35" t="s">
        <v>35</v>
      </c>
      <c r="C33" s="35" t="s">
        <v>87</v>
      </c>
      <c r="D33" s="44">
        <v>320</v>
      </c>
      <c r="E33" s="45">
        <v>0.21</v>
      </c>
    </row>
    <row r="34" spans="1:5" x14ac:dyDescent="0.35">
      <c r="A34" s="46">
        <v>46161</v>
      </c>
      <c r="B34" s="35" t="s">
        <v>35</v>
      </c>
      <c r="C34" s="35" t="s">
        <v>87</v>
      </c>
      <c r="D34" s="44">
        <v>320</v>
      </c>
      <c r="E34" s="45">
        <v>0.21</v>
      </c>
    </row>
    <row r="35" spans="1:5" x14ac:dyDescent="0.35">
      <c r="A35" s="46">
        <v>46162</v>
      </c>
      <c r="B35" s="35" t="s">
        <v>35</v>
      </c>
      <c r="C35" s="35" t="s">
        <v>87</v>
      </c>
      <c r="D35" s="44">
        <v>320</v>
      </c>
      <c r="E35" s="45">
        <v>0.21</v>
      </c>
    </row>
    <row r="36" spans="1:5" x14ac:dyDescent="0.35">
      <c r="A36" s="46">
        <v>46163</v>
      </c>
      <c r="B36" s="35" t="s">
        <v>35</v>
      </c>
      <c r="C36" s="35" t="s">
        <v>87</v>
      </c>
      <c r="D36" s="44">
        <v>320</v>
      </c>
      <c r="E36" s="45">
        <v>0.21</v>
      </c>
    </row>
    <row r="37" spans="1:5" x14ac:dyDescent="0.35">
      <c r="A37" s="46">
        <v>46164</v>
      </c>
      <c r="B37" s="35" t="s">
        <v>35</v>
      </c>
      <c r="C37" s="35" t="s">
        <v>87</v>
      </c>
      <c r="D37" s="44">
        <v>320</v>
      </c>
      <c r="E37" s="45">
        <v>0.21</v>
      </c>
    </row>
    <row r="38" spans="1:5" x14ac:dyDescent="0.35">
      <c r="A38" s="46">
        <v>46160</v>
      </c>
      <c r="B38" s="35" t="s">
        <v>40</v>
      </c>
      <c r="C38" s="35" t="s">
        <v>90</v>
      </c>
      <c r="D38" s="44">
        <v>1240</v>
      </c>
      <c r="E38" s="45">
        <v>0.52</v>
      </c>
    </row>
    <row r="39" spans="1:5" x14ac:dyDescent="0.35">
      <c r="A39" s="46">
        <v>46161</v>
      </c>
      <c r="B39" s="35" t="s">
        <v>40</v>
      </c>
      <c r="C39" s="35" t="s">
        <v>90</v>
      </c>
      <c r="D39" s="44">
        <v>1240</v>
      </c>
      <c r="E39" s="45">
        <v>0.52</v>
      </c>
    </row>
    <row r="40" spans="1:5" x14ac:dyDescent="0.35">
      <c r="A40" s="46">
        <v>46162</v>
      </c>
      <c r="B40" s="35" t="s">
        <v>40</v>
      </c>
      <c r="C40" s="35" t="s">
        <v>90</v>
      </c>
      <c r="D40" s="44">
        <v>1240</v>
      </c>
      <c r="E40" s="45">
        <v>0.52</v>
      </c>
    </row>
    <row r="41" spans="1:5" x14ac:dyDescent="0.35">
      <c r="A41" s="46">
        <v>46163</v>
      </c>
      <c r="B41" s="35" t="s">
        <v>40</v>
      </c>
      <c r="C41" s="35" t="s">
        <v>90</v>
      </c>
      <c r="D41" s="44">
        <v>1240</v>
      </c>
      <c r="E41" s="45">
        <v>0.52</v>
      </c>
    </row>
    <row r="42" spans="1:5" x14ac:dyDescent="0.35">
      <c r="A42" s="46">
        <v>46164</v>
      </c>
      <c r="B42" s="35" t="s">
        <v>40</v>
      </c>
      <c r="C42" s="35" t="s">
        <v>90</v>
      </c>
      <c r="D42" s="44">
        <v>1240</v>
      </c>
      <c r="E42" s="45">
        <v>0.52</v>
      </c>
    </row>
    <row r="43" spans="1:5" x14ac:dyDescent="0.35">
      <c r="A43" s="46">
        <v>46162</v>
      </c>
      <c r="B43" s="35" t="s">
        <v>42</v>
      </c>
      <c r="C43" s="35" t="s">
        <v>103</v>
      </c>
      <c r="D43" s="44">
        <v>10200</v>
      </c>
      <c r="E43" s="45">
        <v>0</v>
      </c>
    </row>
    <row r="44" spans="1:5" x14ac:dyDescent="0.35">
      <c r="A44" s="46">
        <v>46160</v>
      </c>
      <c r="B44" s="35" t="s">
        <v>45</v>
      </c>
      <c r="C44" s="35" t="s">
        <v>96</v>
      </c>
      <c r="D44" s="44">
        <v>930.82</v>
      </c>
      <c r="E44" s="45">
        <v>0.42</v>
      </c>
    </row>
    <row r="45" spans="1:5" x14ac:dyDescent="0.35">
      <c r="A45" s="46">
        <v>46161</v>
      </c>
      <c r="B45" s="35" t="s">
        <v>45</v>
      </c>
      <c r="C45" s="35" t="s">
        <v>96</v>
      </c>
      <c r="D45" s="44">
        <v>930.82</v>
      </c>
      <c r="E45" s="45">
        <v>0.42</v>
      </c>
    </row>
    <row r="46" spans="1:5" x14ac:dyDescent="0.35">
      <c r="A46" s="46">
        <v>46162</v>
      </c>
      <c r="B46" s="35" t="s">
        <v>45</v>
      </c>
      <c r="C46" s="35" t="s">
        <v>96</v>
      </c>
      <c r="D46" s="44">
        <v>930.82</v>
      </c>
      <c r="E46" s="45">
        <v>0.42</v>
      </c>
    </row>
    <row r="47" spans="1:5" x14ac:dyDescent="0.35">
      <c r="A47" s="46">
        <v>46163</v>
      </c>
      <c r="B47" s="35" t="s">
        <v>45</v>
      </c>
      <c r="C47" s="35" t="s">
        <v>96</v>
      </c>
      <c r="D47" s="44">
        <v>930.82</v>
      </c>
      <c r="E47" s="45">
        <v>0.42</v>
      </c>
    </row>
    <row r="48" spans="1:5" x14ac:dyDescent="0.35">
      <c r="A48" s="46">
        <v>46164</v>
      </c>
      <c r="B48" s="35" t="s">
        <v>45</v>
      </c>
      <c r="C48" s="35" t="s">
        <v>96</v>
      </c>
      <c r="D48" s="44">
        <v>930.8</v>
      </c>
      <c r="E48" s="45">
        <v>0.42</v>
      </c>
    </row>
    <row r="49" spans="1:5" x14ac:dyDescent="0.35">
      <c r="A49" s="46">
        <v>46167</v>
      </c>
      <c r="B49" s="35" t="s">
        <v>35</v>
      </c>
      <c r="C49" s="35" t="s">
        <v>87</v>
      </c>
      <c r="D49" s="44">
        <v>320</v>
      </c>
      <c r="E49" s="45">
        <v>0.21</v>
      </c>
    </row>
    <row r="50" spans="1:5" x14ac:dyDescent="0.35">
      <c r="A50" s="46">
        <v>46168</v>
      </c>
      <c r="B50" s="35" t="s">
        <v>35</v>
      </c>
      <c r="C50" s="35" t="s">
        <v>87</v>
      </c>
      <c r="D50" s="44">
        <v>320</v>
      </c>
      <c r="E50" s="45">
        <v>0.21</v>
      </c>
    </row>
    <row r="51" spans="1:5" x14ac:dyDescent="0.35">
      <c r="A51" s="46">
        <v>46169</v>
      </c>
      <c r="B51" s="35" t="s">
        <v>35</v>
      </c>
      <c r="C51" s="35" t="s">
        <v>87</v>
      </c>
      <c r="D51" s="44">
        <v>320</v>
      </c>
      <c r="E51" s="45">
        <v>0.21</v>
      </c>
    </row>
    <row r="52" spans="1:5" x14ac:dyDescent="0.35">
      <c r="A52" s="46">
        <v>46170</v>
      </c>
      <c r="B52" s="35" t="s">
        <v>35</v>
      </c>
      <c r="C52" s="35" t="s">
        <v>87</v>
      </c>
      <c r="D52" s="44">
        <v>320</v>
      </c>
      <c r="E52" s="45">
        <v>0.21</v>
      </c>
    </row>
    <row r="53" spans="1:5" x14ac:dyDescent="0.35">
      <c r="A53" s="46">
        <v>46171</v>
      </c>
      <c r="B53" s="35" t="s">
        <v>35</v>
      </c>
      <c r="C53" s="35" t="s">
        <v>87</v>
      </c>
      <c r="D53" s="44">
        <v>320</v>
      </c>
      <c r="E53" s="45">
        <v>0.21</v>
      </c>
    </row>
    <row r="54" spans="1:5" x14ac:dyDescent="0.35">
      <c r="A54" s="46">
        <v>46169</v>
      </c>
      <c r="B54" s="35" t="s">
        <v>42</v>
      </c>
      <c r="C54" s="35" t="s">
        <v>103</v>
      </c>
      <c r="D54" s="44">
        <v>10200</v>
      </c>
      <c r="E54" s="45">
        <v>0</v>
      </c>
    </row>
    <row r="55" spans="1:5" x14ac:dyDescent="0.35">
      <c r="A55" s="46">
        <v>46167</v>
      </c>
      <c r="B55" s="35" t="s">
        <v>45</v>
      </c>
      <c r="C55" s="35" t="s">
        <v>96</v>
      </c>
      <c r="D55" s="44">
        <v>840</v>
      </c>
      <c r="E55" s="45">
        <v>0.38</v>
      </c>
    </row>
    <row r="56" spans="1:5" x14ac:dyDescent="0.35">
      <c r="A56" s="46">
        <v>46168</v>
      </c>
      <c r="B56" s="35" t="s">
        <v>45</v>
      </c>
      <c r="C56" s="35" t="s">
        <v>96</v>
      </c>
      <c r="D56" s="44">
        <v>840</v>
      </c>
      <c r="E56" s="45">
        <v>0.38</v>
      </c>
    </row>
    <row r="57" spans="1:5" x14ac:dyDescent="0.35">
      <c r="A57" s="46">
        <v>46169</v>
      </c>
      <c r="B57" s="35" t="s">
        <v>45</v>
      </c>
      <c r="C57" s="35" t="s">
        <v>96</v>
      </c>
      <c r="D57" s="44">
        <v>840</v>
      </c>
      <c r="E57" s="45">
        <v>0.38</v>
      </c>
    </row>
    <row r="58" spans="1:5" x14ac:dyDescent="0.35">
      <c r="A58" s="46">
        <v>46170</v>
      </c>
      <c r="B58" s="35" t="s">
        <v>45</v>
      </c>
      <c r="C58" s="35" t="s">
        <v>96</v>
      </c>
      <c r="D58" s="44">
        <v>840</v>
      </c>
      <c r="E58" s="45">
        <v>0.38</v>
      </c>
    </row>
    <row r="59" spans="1:5" x14ac:dyDescent="0.35">
      <c r="A59" s="46">
        <v>46171</v>
      </c>
      <c r="B59" s="35" t="s">
        <v>45</v>
      </c>
      <c r="C59" s="35" t="s">
        <v>96</v>
      </c>
      <c r="D59" s="44">
        <v>840</v>
      </c>
      <c r="E59" s="45">
        <v>0.38</v>
      </c>
    </row>
    <row r="60" spans="1:5" x14ac:dyDescent="0.35">
      <c r="A60" s="46">
        <v>46167</v>
      </c>
      <c r="B60" s="35" t="s">
        <v>47</v>
      </c>
      <c r="C60" s="35" t="s">
        <v>93</v>
      </c>
      <c r="D60" s="44">
        <v>1781.25</v>
      </c>
      <c r="E60" s="45">
        <v>0.69</v>
      </c>
    </row>
    <row r="61" spans="1:5" x14ac:dyDescent="0.35">
      <c r="A61" s="46">
        <v>46168</v>
      </c>
      <c r="B61" s="35" t="s">
        <v>47</v>
      </c>
      <c r="C61" s="35" t="s">
        <v>93</v>
      </c>
      <c r="D61" s="44">
        <v>1781.25</v>
      </c>
      <c r="E61" s="45">
        <v>0.69</v>
      </c>
    </row>
    <row r="62" spans="1:5" x14ac:dyDescent="0.35">
      <c r="A62" s="46">
        <v>46169</v>
      </c>
      <c r="B62" s="35" t="s">
        <v>47</v>
      </c>
      <c r="C62" s="35" t="s">
        <v>93</v>
      </c>
      <c r="D62" s="44">
        <v>1781.25</v>
      </c>
      <c r="E62" s="45">
        <v>0.69</v>
      </c>
    </row>
    <row r="63" spans="1:5" x14ac:dyDescent="0.35">
      <c r="A63" s="46">
        <v>46170</v>
      </c>
      <c r="B63" s="35" t="s">
        <v>47</v>
      </c>
      <c r="C63" s="35" t="s">
        <v>93</v>
      </c>
      <c r="D63" s="44">
        <v>1781.25</v>
      </c>
      <c r="E63" s="45">
        <v>0.69</v>
      </c>
    </row>
    <row r="64" spans="1:5" x14ac:dyDescent="0.35">
      <c r="A64" s="46">
        <v>46171</v>
      </c>
      <c r="B64" s="35" t="s">
        <v>47</v>
      </c>
      <c r="C64" s="35" t="s">
        <v>93</v>
      </c>
      <c r="D64" s="44">
        <v>1781.24</v>
      </c>
      <c r="E64" s="45">
        <v>0.69</v>
      </c>
    </row>
    <row r="65" spans="1:5" x14ac:dyDescent="0.35">
      <c r="A65" s="46">
        <v>46174</v>
      </c>
      <c r="B65" s="35" t="s">
        <v>35</v>
      </c>
      <c r="C65" s="35" t="s">
        <v>87</v>
      </c>
      <c r="D65" s="44">
        <v>320</v>
      </c>
      <c r="E65" s="45">
        <v>0.21</v>
      </c>
    </row>
    <row r="66" spans="1:5" x14ac:dyDescent="0.35">
      <c r="A66" s="46">
        <v>46175</v>
      </c>
      <c r="B66" s="35" t="s">
        <v>35</v>
      </c>
      <c r="C66" s="35" t="s">
        <v>87</v>
      </c>
      <c r="D66" s="44">
        <v>320</v>
      </c>
      <c r="E66" s="45">
        <v>0.21</v>
      </c>
    </row>
    <row r="67" spans="1:5" x14ac:dyDescent="0.35">
      <c r="A67" s="46">
        <v>46176</v>
      </c>
      <c r="B67" s="35" t="s">
        <v>35</v>
      </c>
      <c r="C67" s="35" t="s">
        <v>87</v>
      </c>
      <c r="D67" s="44">
        <v>320</v>
      </c>
      <c r="E67" s="45">
        <v>0.21</v>
      </c>
    </row>
    <row r="68" spans="1:5" x14ac:dyDescent="0.35">
      <c r="A68" s="46">
        <v>46177</v>
      </c>
      <c r="B68" s="35" t="s">
        <v>35</v>
      </c>
      <c r="C68" s="35" t="s">
        <v>87</v>
      </c>
      <c r="D68" s="44">
        <v>320</v>
      </c>
      <c r="E68" s="45">
        <v>0.21</v>
      </c>
    </row>
    <row r="69" spans="1:5" x14ac:dyDescent="0.35">
      <c r="A69" s="46">
        <v>46178</v>
      </c>
      <c r="B69" s="35" t="s">
        <v>35</v>
      </c>
      <c r="C69" s="35" t="s">
        <v>87</v>
      </c>
      <c r="D69" s="44">
        <v>320</v>
      </c>
      <c r="E69" s="45">
        <v>0.21</v>
      </c>
    </row>
    <row r="70" spans="1:5" x14ac:dyDescent="0.35">
      <c r="A70" s="46">
        <v>46176</v>
      </c>
      <c r="B70" s="35" t="s">
        <v>42</v>
      </c>
      <c r="C70" s="35" t="s">
        <v>103</v>
      </c>
      <c r="D70" s="44">
        <v>10400</v>
      </c>
      <c r="E70" s="45">
        <v>0</v>
      </c>
    </row>
    <row r="71" spans="1:5" x14ac:dyDescent="0.35">
      <c r="A71" s="46">
        <v>46174</v>
      </c>
      <c r="B71" s="35" t="s">
        <v>47</v>
      </c>
      <c r="C71" s="35" t="s">
        <v>93</v>
      </c>
      <c r="D71" s="44">
        <v>1760</v>
      </c>
      <c r="E71" s="45">
        <v>0.68</v>
      </c>
    </row>
    <row r="72" spans="1:5" x14ac:dyDescent="0.35">
      <c r="A72" s="46">
        <v>46175</v>
      </c>
      <c r="B72" s="35" t="s">
        <v>47</v>
      </c>
      <c r="C72" s="35" t="s">
        <v>93</v>
      </c>
      <c r="D72" s="44">
        <v>1760</v>
      </c>
      <c r="E72" s="45">
        <v>0.68</v>
      </c>
    </row>
    <row r="73" spans="1:5" x14ac:dyDescent="0.35">
      <c r="A73" s="46">
        <v>46176</v>
      </c>
      <c r="B73" s="35" t="s">
        <v>47</v>
      </c>
      <c r="C73" s="35" t="s">
        <v>93</v>
      </c>
      <c r="D73" s="44">
        <v>1760</v>
      </c>
      <c r="E73" s="45">
        <v>0.68</v>
      </c>
    </row>
    <row r="74" spans="1:5" x14ac:dyDescent="0.35">
      <c r="A74" s="46">
        <v>46177</v>
      </c>
      <c r="B74" s="35" t="s">
        <v>47</v>
      </c>
      <c r="C74" s="35" t="s">
        <v>93</v>
      </c>
      <c r="D74" s="44">
        <v>1760</v>
      </c>
      <c r="E74" s="45">
        <v>0.68</v>
      </c>
    </row>
    <row r="75" spans="1:5" x14ac:dyDescent="0.35">
      <c r="A75" s="46">
        <v>46178</v>
      </c>
      <c r="B75" s="35" t="s">
        <v>47</v>
      </c>
      <c r="C75" s="35" t="s">
        <v>93</v>
      </c>
      <c r="D75" s="44">
        <v>1760</v>
      </c>
      <c r="E75" s="45">
        <v>0.68</v>
      </c>
    </row>
    <row r="76" spans="1:5" x14ac:dyDescent="0.35">
      <c r="A76" s="46">
        <v>46174</v>
      </c>
      <c r="B76" s="35" t="s">
        <v>49</v>
      </c>
      <c r="C76" s="35" t="s">
        <v>106</v>
      </c>
      <c r="D76" s="44">
        <v>1735.36</v>
      </c>
      <c r="E76" s="45">
        <v>0</v>
      </c>
    </row>
    <row r="77" spans="1:5" x14ac:dyDescent="0.35">
      <c r="A77" s="46">
        <v>46175</v>
      </c>
      <c r="B77" s="35" t="s">
        <v>49</v>
      </c>
      <c r="C77" s="35" t="s">
        <v>106</v>
      </c>
      <c r="D77" s="44">
        <v>1735.36</v>
      </c>
      <c r="E77" s="45">
        <v>0</v>
      </c>
    </row>
    <row r="78" spans="1:5" x14ac:dyDescent="0.35">
      <c r="A78" s="46">
        <v>46176</v>
      </c>
      <c r="B78" s="35" t="s">
        <v>49</v>
      </c>
      <c r="C78" s="35" t="s">
        <v>106</v>
      </c>
      <c r="D78" s="44">
        <v>1735.36</v>
      </c>
      <c r="E78" s="45">
        <v>0</v>
      </c>
    </row>
    <row r="79" spans="1:5" x14ac:dyDescent="0.35">
      <c r="A79" s="46">
        <v>46177</v>
      </c>
      <c r="B79" s="35" t="s">
        <v>49</v>
      </c>
      <c r="C79" s="35" t="s">
        <v>106</v>
      </c>
      <c r="D79" s="44">
        <v>1735.36</v>
      </c>
      <c r="E79" s="45">
        <v>0</v>
      </c>
    </row>
    <row r="80" spans="1:5" x14ac:dyDescent="0.35">
      <c r="A80" s="46">
        <v>46178</v>
      </c>
      <c r="B80" s="35" t="s">
        <v>49</v>
      </c>
      <c r="C80" s="35" t="s">
        <v>106</v>
      </c>
      <c r="D80" s="44">
        <v>1735.36</v>
      </c>
      <c r="E80" s="45">
        <v>0</v>
      </c>
    </row>
    <row r="81" spans="1:5" x14ac:dyDescent="0.35">
      <c r="A81" s="46">
        <v>46181</v>
      </c>
      <c r="B81" s="35" t="s">
        <v>35</v>
      </c>
      <c r="C81" s="35" t="s">
        <v>87</v>
      </c>
      <c r="D81" s="44">
        <v>320</v>
      </c>
      <c r="E81" s="45">
        <v>0.21</v>
      </c>
    </row>
    <row r="82" spans="1:5" x14ac:dyDescent="0.35">
      <c r="A82" s="46">
        <v>46182</v>
      </c>
      <c r="B82" s="35" t="s">
        <v>35</v>
      </c>
      <c r="C82" s="35" t="s">
        <v>87</v>
      </c>
      <c r="D82" s="44">
        <v>320</v>
      </c>
      <c r="E82" s="45">
        <v>0.21</v>
      </c>
    </row>
    <row r="83" spans="1:5" x14ac:dyDescent="0.35">
      <c r="A83" s="46">
        <v>46183</v>
      </c>
      <c r="B83" s="35" t="s">
        <v>35</v>
      </c>
      <c r="C83" s="35" t="s">
        <v>87</v>
      </c>
      <c r="D83" s="44">
        <v>320</v>
      </c>
      <c r="E83" s="45">
        <v>0.21</v>
      </c>
    </row>
    <row r="84" spans="1:5" x14ac:dyDescent="0.35">
      <c r="A84" s="46">
        <v>46184</v>
      </c>
      <c r="B84" s="35" t="s">
        <v>35</v>
      </c>
      <c r="C84" s="35" t="s">
        <v>87</v>
      </c>
      <c r="D84" s="44">
        <v>320</v>
      </c>
      <c r="E84" s="45">
        <v>0.21</v>
      </c>
    </row>
    <row r="85" spans="1:5" x14ac:dyDescent="0.35">
      <c r="A85" s="46">
        <v>46185</v>
      </c>
      <c r="B85" s="35" t="s">
        <v>35</v>
      </c>
      <c r="C85" s="35" t="s">
        <v>87</v>
      </c>
      <c r="D85" s="44">
        <v>320</v>
      </c>
      <c r="E85" s="45">
        <v>0.21</v>
      </c>
    </row>
    <row r="86" spans="1:5" x14ac:dyDescent="0.35">
      <c r="A86" s="46">
        <v>46181</v>
      </c>
      <c r="B86" s="35" t="s">
        <v>47</v>
      </c>
      <c r="C86" s="35" t="s">
        <v>93</v>
      </c>
      <c r="D86" s="44">
        <v>1700</v>
      </c>
      <c r="E86" s="45">
        <v>0.65</v>
      </c>
    </row>
    <row r="87" spans="1:5" x14ac:dyDescent="0.35">
      <c r="A87" s="46">
        <v>46182</v>
      </c>
      <c r="B87" s="35" t="s">
        <v>47</v>
      </c>
      <c r="C87" s="35" t="s">
        <v>93</v>
      </c>
      <c r="D87" s="44">
        <v>1700</v>
      </c>
      <c r="E87" s="45">
        <v>0.65</v>
      </c>
    </row>
    <row r="88" spans="1:5" x14ac:dyDescent="0.35">
      <c r="A88" s="46">
        <v>46183</v>
      </c>
      <c r="B88" s="35" t="s">
        <v>47</v>
      </c>
      <c r="C88" s="35" t="s">
        <v>93</v>
      </c>
      <c r="D88" s="44">
        <v>1700</v>
      </c>
      <c r="E88" s="45">
        <v>0.65</v>
      </c>
    </row>
    <row r="89" spans="1:5" x14ac:dyDescent="0.35">
      <c r="A89" s="46">
        <v>46184</v>
      </c>
      <c r="B89" s="35" t="s">
        <v>47</v>
      </c>
      <c r="C89" s="35" t="s">
        <v>93</v>
      </c>
      <c r="D89" s="44">
        <v>1700</v>
      </c>
      <c r="E89" s="45">
        <v>0.65</v>
      </c>
    </row>
    <row r="90" spans="1:5" x14ac:dyDescent="0.35">
      <c r="A90" s="46">
        <v>46185</v>
      </c>
      <c r="B90" s="35" t="s">
        <v>47</v>
      </c>
      <c r="C90" s="35" t="s">
        <v>93</v>
      </c>
      <c r="D90" s="44">
        <v>1700</v>
      </c>
      <c r="E90" s="45">
        <v>0.65</v>
      </c>
    </row>
    <row r="91" spans="1:5" x14ac:dyDescent="0.35">
      <c r="A91" s="46">
        <v>46181</v>
      </c>
      <c r="B91" s="35" t="s">
        <v>49</v>
      </c>
      <c r="C91" s="35" t="s">
        <v>106</v>
      </c>
      <c r="D91" s="44">
        <v>1760</v>
      </c>
      <c r="E91" s="45">
        <v>0</v>
      </c>
    </row>
    <row r="92" spans="1:5" x14ac:dyDescent="0.35">
      <c r="A92" s="46">
        <v>46182</v>
      </c>
      <c r="B92" s="35" t="s">
        <v>49</v>
      </c>
      <c r="C92" s="35" t="s">
        <v>106</v>
      </c>
      <c r="D92" s="44">
        <v>1760</v>
      </c>
      <c r="E92" s="45">
        <v>0</v>
      </c>
    </row>
    <row r="93" spans="1:5" x14ac:dyDescent="0.35">
      <c r="A93" s="46">
        <v>46183</v>
      </c>
      <c r="B93" s="35" t="s">
        <v>49</v>
      </c>
      <c r="C93" s="35" t="s">
        <v>106</v>
      </c>
      <c r="D93" s="44">
        <v>1760</v>
      </c>
      <c r="E93" s="45">
        <v>0</v>
      </c>
    </row>
    <row r="94" spans="1:5" x14ac:dyDescent="0.35">
      <c r="A94" s="46">
        <v>46184</v>
      </c>
      <c r="B94" s="35" t="s">
        <v>49</v>
      </c>
      <c r="C94" s="35" t="s">
        <v>106</v>
      </c>
      <c r="D94" s="44">
        <v>1760</v>
      </c>
      <c r="E94" s="45">
        <v>0</v>
      </c>
    </row>
    <row r="95" spans="1:5" x14ac:dyDescent="0.35">
      <c r="A95" s="46">
        <v>46185</v>
      </c>
      <c r="B95" s="35" t="s">
        <v>49</v>
      </c>
      <c r="C95" s="35" t="s">
        <v>106</v>
      </c>
      <c r="D95" s="44">
        <v>1760</v>
      </c>
      <c r="E95" s="45">
        <v>0</v>
      </c>
    </row>
    <row r="96" spans="1:5" x14ac:dyDescent="0.35">
      <c r="A96" s="46">
        <v>46181</v>
      </c>
      <c r="B96" s="35" t="s">
        <v>52</v>
      </c>
      <c r="C96" s="35" t="s">
        <v>109</v>
      </c>
      <c r="D96" s="44">
        <v>1419.84</v>
      </c>
      <c r="E96" s="45">
        <v>0</v>
      </c>
    </row>
    <row r="97" spans="1:5" x14ac:dyDescent="0.35">
      <c r="A97" s="46">
        <v>46182</v>
      </c>
      <c r="B97" s="35" t="s">
        <v>52</v>
      </c>
      <c r="C97" s="35" t="s">
        <v>109</v>
      </c>
      <c r="D97" s="44">
        <v>1419.84</v>
      </c>
      <c r="E97" s="45">
        <v>0</v>
      </c>
    </row>
    <row r="98" spans="1:5" x14ac:dyDescent="0.35">
      <c r="A98" s="46">
        <v>46183</v>
      </c>
      <c r="B98" s="35" t="s">
        <v>52</v>
      </c>
      <c r="C98" s="35" t="s">
        <v>109</v>
      </c>
      <c r="D98" s="44">
        <v>1419.84</v>
      </c>
      <c r="E98" s="45">
        <v>0</v>
      </c>
    </row>
    <row r="99" spans="1:5" x14ac:dyDescent="0.35">
      <c r="A99" s="46">
        <v>46184</v>
      </c>
      <c r="B99" s="35" t="s">
        <v>52</v>
      </c>
      <c r="C99" s="35" t="s">
        <v>109</v>
      </c>
      <c r="D99" s="44">
        <v>1419.84</v>
      </c>
      <c r="E99" s="45">
        <v>0</v>
      </c>
    </row>
    <row r="100" spans="1:5" x14ac:dyDescent="0.35">
      <c r="A100" s="46">
        <v>46185</v>
      </c>
      <c r="B100" s="35" t="s">
        <v>52</v>
      </c>
      <c r="C100" s="35" t="s">
        <v>109</v>
      </c>
      <c r="D100" s="44">
        <v>1419.84</v>
      </c>
      <c r="E100" s="45">
        <v>0</v>
      </c>
    </row>
  </sheetData>
  <conditionalFormatting sqref="D2:D100">
    <cfRule type="cellIs" dxfId="29" priority="1" operator="lessThanOrEqual">
      <formula>840</formula>
    </cfRule>
    <cfRule type="cellIs" dxfId="28" priority="2" operator="between">
      <formula>840</formula>
      <formula>1700</formula>
    </cfRule>
    <cfRule type="cellIs" dxfId="27" priority="3" operator="greaterThanOrEqual">
      <formula>1700</formula>
    </cfRule>
  </conditionalFormatting>
  <conditionalFormatting sqref="E2:E100">
    <cfRule type="cellIs" dxfId="26" priority="4" operator="lessThanOrEqual">
      <formula>0.21</formula>
    </cfRule>
    <cfRule type="cellIs" dxfId="25" priority="5" operator="between">
      <formula>0.21</formula>
      <formula>0.5</formula>
    </cfRule>
    <cfRule type="cellIs" dxfId="24" priority="6" operator="greaterThanOrEqual">
      <formula>0.5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D966"/>
  </sheetPr>
  <dimension ref="A1:C35"/>
  <sheetViews>
    <sheetView workbookViewId="0"/>
  </sheetViews>
  <sheetFormatPr defaultRowHeight="14.5" x14ac:dyDescent="0.35"/>
  <cols>
    <col min="1" max="1" width="10.08984375" bestFit="1" customWidth="1"/>
    <col min="2" max="2" width="7.36328125" bestFit="1" customWidth="1"/>
    <col min="3" max="3" width="19.6328125" bestFit="1" customWidth="1"/>
  </cols>
  <sheetData>
    <row r="1" spans="1:3" x14ac:dyDescent="0.35">
      <c r="A1" s="37" t="s">
        <v>115</v>
      </c>
      <c r="B1" s="37" t="s">
        <v>79</v>
      </c>
      <c r="C1" s="37" t="s">
        <v>128</v>
      </c>
    </row>
    <row r="2" spans="1:3" x14ac:dyDescent="0.35">
      <c r="A2" s="46">
        <v>46150</v>
      </c>
      <c r="B2" s="35" t="s">
        <v>35</v>
      </c>
      <c r="C2" s="59">
        <v>8.3333000000000004E-2</v>
      </c>
    </row>
    <row r="3" spans="1:3" x14ac:dyDescent="0.35">
      <c r="A3" s="46">
        <v>46150</v>
      </c>
      <c r="B3" s="35" t="s">
        <v>38</v>
      </c>
      <c r="C3" s="59">
        <v>1</v>
      </c>
    </row>
    <row r="4" spans="1:3" x14ac:dyDescent="0.35">
      <c r="A4" s="46">
        <v>46150</v>
      </c>
      <c r="B4" s="35" t="s">
        <v>40</v>
      </c>
      <c r="C4" s="59">
        <v>0.26500000000000001</v>
      </c>
    </row>
    <row r="5" spans="1:3" x14ac:dyDescent="0.35">
      <c r="A5" s="46">
        <v>46157</v>
      </c>
      <c r="B5" s="35" t="s">
        <v>35</v>
      </c>
      <c r="C5" s="59">
        <v>0.16666700000000001</v>
      </c>
    </row>
    <row r="6" spans="1:3" x14ac:dyDescent="0.35">
      <c r="A6" s="46">
        <v>46157</v>
      </c>
      <c r="B6" s="35" t="s">
        <v>38</v>
      </c>
      <c r="C6" s="59">
        <v>1</v>
      </c>
    </row>
    <row r="7" spans="1:3" x14ac:dyDescent="0.35">
      <c r="A7" s="46">
        <v>46157</v>
      </c>
      <c r="B7" s="35" t="s">
        <v>40</v>
      </c>
      <c r="C7" s="59">
        <v>0.6</v>
      </c>
    </row>
    <row r="8" spans="1:3" x14ac:dyDescent="0.35">
      <c r="A8" s="46">
        <v>46157</v>
      </c>
      <c r="B8" s="35" t="s">
        <v>42</v>
      </c>
      <c r="C8" s="59">
        <v>0.2</v>
      </c>
    </row>
    <row r="9" spans="1:3" x14ac:dyDescent="0.35">
      <c r="A9" s="46">
        <v>46157</v>
      </c>
      <c r="B9" s="35" t="s">
        <v>45</v>
      </c>
      <c r="C9" s="59">
        <v>0.35181800000000002</v>
      </c>
    </row>
    <row r="10" spans="1:3" x14ac:dyDescent="0.35">
      <c r="A10" s="46">
        <v>46164</v>
      </c>
      <c r="B10" s="35" t="s">
        <v>35</v>
      </c>
      <c r="C10" s="59">
        <v>0.25</v>
      </c>
    </row>
    <row r="11" spans="1:3" x14ac:dyDescent="0.35">
      <c r="A11" s="46">
        <v>46164</v>
      </c>
      <c r="B11" s="35" t="s">
        <v>38</v>
      </c>
      <c r="C11" s="59">
        <v>1</v>
      </c>
    </row>
    <row r="12" spans="1:3" x14ac:dyDescent="0.35">
      <c r="A12" s="46">
        <v>46164</v>
      </c>
      <c r="B12" s="35" t="s">
        <v>40</v>
      </c>
      <c r="C12" s="59">
        <v>1</v>
      </c>
    </row>
    <row r="13" spans="1:3" x14ac:dyDescent="0.35">
      <c r="A13" s="46">
        <v>46164</v>
      </c>
      <c r="B13" s="35" t="s">
        <v>42</v>
      </c>
      <c r="C13" s="59">
        <v>0.45</v>
      </c>
    </row>
    <row r="14" spans="1:3" x14ac:dyDescent="0.35">
      <c r="A14" s="46">
        <v>46164</v>
      </c>
      <c r="B14" s="35" t="s">
        <v>45</v>
      </c>
      <c r="C14" s="59">
        <v>0.45</v>
      </c>
    </row>
    <row r="15" spans="1:3" x14ac:dyDescent="0.35">
      <c r="A15" s="46">
        <v>46171</v>
      </c>
      <c r="B15" s="35" t="s">
        <v>35</v>
      </c>
      <c r="C15" s="59">
        <v>0.33333299999999999</v>
      </c>
    </row>
    <row r="16" spans="1:3" x14ac:dyDescent="0.35">
      <c r="A16" s="46">
        <v>46171</v>
      </c>
      <c r="B16" s="35" t="s">
        <v>38</v>
      </c>
      <c r="C16" s="59">
        <v>1</v>
      </c>
    </row>
    <row r="17" spans="1:3" x14ac:dyDescent="0.35">
      <c r="A17" s="46">
        <v>46171</v>
      </c>
      <c r="B17" s="35" t="s">
        <v>40</v>
      </c>
      <c r="C17" s="59">
        <v>1</v>
      </c>
    </row>
    <row r="18" spans="1:3" x14ac:dyDescent="0.35">
      <c r="A18" s="46">
        <v>46171</v>
      </c>
      <c r="B18" s="35" t="s">
        <v>42</v>
      </c>
      <c r="C18" s="59">
        <v>0.7</v>
      </c>
    </row>
    <row r="19" spans="1:3" x14ac:dyDescent="0.35">
      <c r="A19" s="46">
        <v>46171</v>
      </c>
      <c r="B19" s="35" t="s">
        <v>45</v>
      </c>
      <c r="C19" s="59">
        <v>0.85</v>
      </c>
    </row>
    <row r="20" spans="1:3" x14ac:dyDescent="0.35">
      <c r="A20" s="46">
        <v>46171</v>
      </c>
      <c r="B20" s="35" t="s">
        <v>47</v>
      </c>
      <c r="C20" s="59">
        <v>0.222359</v>
      </c>
    </row>
    <row r="21" spans="1:3" x14ac:dyDescent="0.35">
      <c r="A21" s="46">
        <v>46178</v>
      </c>
      <c r="B21" s="35" t="s">
        <v>35</v>
      </c>
      <c r="C21" s="59">
        <v>0.41666700000000001</v>
      </c>
    </row>
    <row r="22" spans="1:3" x14ac:dyDescent="0.35">
      <c r="A22" s="46">
        <v>46178</v>
      </c>
      <c r="B22" s="35" t="s">
        <v>38</v>
      </c>
      <c r="C22" s="59">
        <v>1</v>
      </c>
    </row>
    <row r="23" spans="1:3" x14ac:dyDescent="0.35">
      <c r="A23" s="46">
        <v>46178</v>
      </c>
      <c r="B23" s="35" t="s">
        <v>40</v>
      </c>
      <c r="C23" s="59">
        <v>1</v>
      </c>
    </row>
    <row r="24" spans="1:3" x14ac:dyDescent="0.35">
      <c r="A24" s="46">
        <v>46178</v>
      </c>
      <c r="B24" s="35" t="s">
        <v>42</v>
      </c>
      <c r="C24" s="59">
        <v>1</v>
      </c>
    </row>
    <row r="25" spans="1:3" x14ac:dyDescent="0.35">
      <c r="A25" s="46">
        <v>46178</v>
      </c>
      <c r="B25" s="35" t="s">
        <v>45</v>
      </c>
      <c r="C25" s="59">
        <v>1</v>
      </c>
    </row>
    <row r="26" spans="1:3" x14ac:dyDescent="0.35">
      <c r="A26" s="46">
        <v>46178</v>
      </c>
      <c r="B26" s="35" t="s">
        <v>47</v>
      </c>
      <c r="C26" s="59">
        <v>0.5</v>
      </c>
    </row>
    <row r="27" spans="1:3" x14ac:dyDescent="0.35">
      <c r="A27" s="46">
        <v>46178</v>
      </c>
      <c r="B27" s="35" t="s">
        <v>49</v>
      </c>
      <c r="C27" s="59">
        <v>0.11096300000000001</v>
      </c>
    </row>
    <row r="28" spans="1:3" x14ac:dyDescent="0.35">
      <c r="A28" s="46">
        <v>46185</v>
      </c>
      <c r="B28" s="35" t="s">
        <v>35</v>
      </c>
      <c r="C28" s="59">
        <v>0.5</v>
      </c>
    </row>
    <row r="29" spans="1:3" x14ac:dyDescent="0.35">
      <c r="A29" s="46">
        <v>46185</v>
      </c>
      <c r="B29" s="35" t="s">
        <v>38</v>
      </c>
      <c r="C29" s="59">
        <v>1</v>
      </c>
    </row>
    <row r="30" spans="1:3" x14ac:dyDescent="0.35">
      <c r="A30" s="46">
        <v>46185</v>
      </c>
      <c r="B30" s="35" t="s">
        <v>40</v>
      </c>
      <c r="C30" s="59">
        <v>1</v>
      </c>
    </row>
    <row r="31" spans="1:3" x14ac:dyDescent="0.35">
      <c r="A31" s="46">
        <v>46185</v>
      </c>
      <c r="B31" s="35" t="s">
        <v>42</v>
      </c>
      <c r="C31" s="59">
        <v>1</v>
      </c>
    </row>
    <row r="32" spans="1:3" x14ac:dyDescent="0.35">
      <c r="A32" s="46">
        <v>46185</v>
      </c>
      <c r="B32" s="35" t="s">
        <v>45</v>
      </c>
      <c r="C32" s="59">
        <v>1</v>
      </c>
    </row>
    <row r="33" spans="1:3" x14ac:dyDescent="0.35">
      <c r="A33" s="46">
        <v>46185</v>
      </c>
      <c r="B33" s="35" t="s">
        <v>47</v>
      </c>
      <c r="C33" s="59">
        <v>0.7</v>
      </c>
    </row>
    <row r="34" spans="1:3" x14ac:dyDescent="0.35">
      <c r="A34" s="46">
        <v>46185</v>
      </c>
      <c r="B34" s="35" t="s">
        <v>49</v>
      </c>
      <c r="C34" s="59">
        <v>0.4</v>
      </c>
    </row>
    <row r="35" spans="1:3" x14ac:dyDescent="0.35">
      <c r="A35" s="46">
        <v>46185</v>
      </c>
      <c r="B35" s="35" t="s">
        <v>52</v>
      </c>
      <c r="C35" s="59">
        <v>0.24885699999999999</v>
      </c>
    </row>
  </sheetData>
  <conditionalFormatting sqref="C2:C35">
    <cfRule type="cellIs" dxfId="23" priority="1" operator="lessThan">
      <formula>0.5</formula>
    </cfRule>
    <cfRule type="cellIs" dxfId="22" priority="2" operator="between">
      <formula>0.5</formula>
      <formula>0.799999</formula>
    </cfRule>
    <cfRule type="cellIs" dxfId="21" priority="3" operator="greaterThanOrEqual">
      <formula>0.8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43CC-D12E-4B09-9C6D-489474980C24}">
  <sheetPr>
    <tabColor rgb="FFED7D31"/>
  </sheetPr>
  <dimension ref="A1:N25"/>
  <sheetViews>
    <sheetView showGridLines="0" workbookViewId="0">
      <selection sqref="A1:N1"/>
    </sheetView>
  </sheetViews>
  <sheetFormatPr defaultRowHeight="14.5" x14ac:dyDescent="0.35"/>
  <cols>
    <col min="1" max="1" width="10" customWidth="1"/>
    <col min="2" max="13" width="15.453125" customWidth="1"/>
    <col min="14" max="14" width="13.6328125" customWidth="1"/>
    <col min="15" max="15" width="7.26953125" customWidth="1"/>
  </cols>
  <sheetData>
    <row r="1" spans="1:14" ht="23.5" x14ac:dyDescent="0.55000000000000004">
      <c r="A1" s="121" t="s">
        <v>204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</row>
    <row r="2" spans="1:14" x14ac:dyDescent="0.35">
      <c r="A2" s="123" t="s">
        <v>205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</row>
    <row r="4" spans="1:14" x14ac:dyDescent="0.35">
      <c r="A4" s="62" t="s">
        <v>64</v>
      </c>
      <c r="B4" s="62" t="s">
        <v>65</v>
      </c>
      <c r="C4" s="62" t="s">
        <v>67</v>
      </c>
      <c r="D4" s="62" t="s">
        <v>69</v>
      </c>
      <c r="E4" s="62" t="s">
        <v>70</v>
      </c>
      <c r="F4" s="62" t="s">
        <v>28</v>
      </c>
      <c r="G4" s="62" t="s">
        <v>27</v>
      </c>
      <c r="H4" s="62" t="s">
        <v>30</v>
      </c>
      <c r="I4" s="62" t="s">
        <v>29</v>
      </c>
      <c r="J4" s="62" t="s">
        <v>75</v>
      </c>
      <c r="K4" s="62" t="s">
        <v>31</v>
      </c>
      <c r="L4" s="62" t="s">
        <v>32</v>
      </c>
      <c r="M4" s="62" t="s">
        <v>33</v>
      </c>
      <c r="N4" s="62" t="s">
        <v>34</v>
      </c>
    </row>
    <row r="5" spans="1:14" x14ac:dyDescent="0.35">
      <c r="A5" s="2">
        <v>1</v>
      </c>
      <c r="B5" s="63">
        <f>MIN(Fact_Baseline_PV!$A:$A)+4+(0*7)</f>
        <v>46150</v>
      </c>
      <c r="C5" s="66">
        <f>SUMIFS(Fact_Baseline_PV!$C:$C,Fact_Baseline_PV!$A:$A,"&lt;="&amp;B5)</f>
        <v>16400</v>
      </c>
      <c r="D5" s="66">
        <f>SUMIFS(Fact_Actual_Costs!$D:$D,Fact_Actual_Costs!$A:$A,"&lt;="&amp;B5)</f>
        <v>16295.04</v>
      </c>
      <c r="E5" s="66" cm="1">
        <f t="array" ref="E5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f>
        <v>15087.994000000001</v>
      </c>
      <c r="F5" s="66">
        <f t="shared" ref="F5:F16" si="0">E5-C5</f>
        <v>-1312.0059999999994</v>
      </c>
      <c r="G5" s="66">
        <f t="shared" ref="G5:G16" si="1">E5-D5</f>
        <v>-1207.0460000000003</v>
      </c>
      <c r="H5" s="67">
        <f t="shared" ref="H5:H16" si="2">IFERROR(E5/C5,1)</f>
        <v>0.91999963414634145</v>
      </c>
      <c r="I5" s="67">
        <f t="shared" ref="I5:I16" si="3">IFERROR(E5/D5,1)</f>
        <v>0.92592555771572205</v>
      </c>
      <c r="J5" s="66">
        <f>Setup!$B$11</f>
        <v>268650</v>
      </c>
      <c r="K5" s="66">
        <f t="shared" ref="K5:K16" si="4">IF(I5&gt;0,J5/I5,J5)</f>
        <v>290142.11537995044</v>
      </c>
      <c r="L5" s="66">
        <f t="shared" ref="L5:L16" si="5">K5-D5</f>
        <v>273847.07537995046</v>
      </c>
      <c r="M5" s="66">
        <f t="shared" ref="M5:M16" si="6">J5-K5</f>
        <v>-21492.115379950439</v>
      </c>
      <c r="N5" s="2" t="str">
        <f>IF(OR(F5&lt;0,G5&lt;0,H5&lt;Setup!$B$12,I5&lt;Setup!$B$12),"Red",IF(OR(H5&lt;Setup!$B$13,I5&lt;Setup!$B$13),"Amber","Green"))</f>
        <v>Red</v>
      </c>
    </row>
    <row r="6" spans="1:14" x14ac:dyDescent="0.35">
      <c r="A6" s="2">
        <v>2</v>
      </c>
      <c r="B6" s="63">
        <f>MIN(Fact_Baseline_PV!$A:$A)+4+(1*7)</f>
        <v>46157</v>
      </c>
      <c r="C6" s="66">
        <f>SUMIFS(Fact_Baseline_PV!$C:$C,Fact_Baseline_PV!$A:$A,"&lt;="&amp;B6)</f>
        <v>39200</v>
      </c>
      <c r="D6" s="66">
        <f>SUMIFS(Fact_Actual_Costs!$D:$D,Fact_Actual_Costs!$A:$A,"&lt;="&amp;B6)</f>
        <v>38949.120000000003</v>
      </c>
      <c r="E6" s="66" cm="1">
        <f t="array" ref="E6">SUM(IFERROR(LOOKUP(2,1/(Fact_Physical_Progress!$B$2:$B$35=Dim_WBS!$A$2)/(Fact_Physical_Progress!$A$2:$A$35&lt;=B6),Fact_Physical_Progress!$C$2:$C$35),0)*Dim_WBS!$E$2,IFERROR(LOOKUP(2,1/(Fact_Physical_Progress!$B$2:$B$35=Dim_WBS!$A$3)/(Fact_Physical_Progress!$A$2:$A$35&lt;=B6),Fact_Physical_Progress!$C$2:$C$35),0)*Dim_WBS!$E$3,IFERROR(LOOKUP(2,1/(Fact_Physical_Progress!$B$2:$B$35=Dim_WBS!$A$4)/(Fact_Physical_Progress!$A$2:$A$35&lt;=B6),Fact_Physical_Progress!$C$2:$C$35),0)*Dim_WBS!$E$4,IFERROR(LOOKUP(2,1/(Fact_Physical_Progress!$B$2:$B$35=Dim_WBS!$A$5)/(Fact_Physical_Progress!$A$2:$A$35&lt;=B6),Fact_Physical_Progress!$C$2:$C$35),0)*Dim_WBS!$E$5,IFERROR(LOOKUP(2,1/(Fact_Physical_Progress!$B$2:$B$35=Dim_WBS!$A$6)/(Fact_Physical_Progress!$A$2:$A$35&lt;=B6),Fact_Physical_Progress!$C$2:$C$35),0)*Dim_WBS!$E$6,IFERROR(LOOKUP(2,1/(Fact_Physical_Progress!$B$2:$B$35=Dim_WBS!$A$7)/(Fact_Physical_Progress!$A$2:$A$35&lt;=B6),Fact_Physical_Progress!$C$2:$C$35),0)*Dim_WBS!$E$7,IFERROR(LOOKUP(2,1/(Fact_Physical_Progress!$B$2:$B$35=Dim_WBS!$A$8)/(Fact_Physical_Progress!$A$2:$A$35&lt;=B6),Fact_Physical_Progress!$C$2:$C$35),0)*Dim_WBS!$E$8,IFERROR(LOOKUP(2,1/(Fact_Physical_Progress!$B$2:$B$35=Dim_WBS!$A$9)/(Fact_Physical_Progress!$A$2:$A$35&lt;=B6),Fact_Physical_Progress!$C$2:$C$35),0)*Dim_WBS!$E$9,IFERROR(LOOKUP(2,1/(Fact_Physical_Progress!$B$2:$B$35=Dim_WBS!$A$10)/(Fact_Physical_Progress!$A$2:$A$35&lt;=B6),Fact_Physical_Progress!$C$2:$C$35),0)*Dim_WBS!$E$10,IFERROR(LOOKUP(2,1/(Fact_Physical_Progress!$B$2:$B$35=Dim_WBS!$A$11)/(Fact_Physical_Progress!$A$2:$A$35&lt;=B6),Fact_Physical_Progress!$C$2:$C$35),0)*Dim_WBS!$E$11,IFERROR(LOOKUP(2,1/(Fact_Physical_Progress!$B$2:$B$35=Dim_WBS!$A$12)/(Fact_Physical_Progress!$A$2:$A$35&lt;=B6),Fact_Physical_Progress!$C$2:$C$35),0)*Dim_WBS!$E$12,IFERROR(LOOKUP(2,1/(Fact_Physical_Progress!$B$2:$B$35=Dim_WBS!$A$13)/(Fact_Physical_Progress!$A$2:$A$35&lt;=B6),Fact_Physical_Progress!$C$2:$C$35),0)*Dim_WBS!$E$13)</f>
        <v>36064.003600000004</v>
      </c>
      <c r="F6" s="66">
        <f t="shared" si="0"/>
        <v>-3135.9963999999964</v>
      </c>
      <c r="G6" s="66">
        <f t="shared" si="1"/>
        <v>-2885.116399999999</v>
      </c>
      <c r="H6" s="67">
        <f t="shared" si="2"/>
        <v>0.92000009183673481</v>
      </c>
      <c r="I6" s="67">
        <f t="shared" si="3"/>
        <v>0.92592601835420163</v>
      </c>
      <c r="J6" s="66">
        <f>Setup!$B$11</f>
        <v>268650</v>
      </c>
      <c r="K6" s="66">
        <f t="shared" si="4"/>
        <v>290141.97103729215</v>
      </c>
      <c r="L6" s="66">
        <f t="shared" si="5"/>
        <v>251192.85103729216</v>
      </c>
      <c r="M6" s="66">
        <f t="shared" si="6"/>
        <v>-21491.971037292155</v>
      </c>
      <c r="N6" s="2" t="str">
        <f>IF(OR(F6&lt;0,G6&lt;0,H6&lt;Setup!$B$12,I6&lt;Setup!$B$12),"Red",IF(OR(H6&lt;Setup!$B$13,I6&lt;Setup!$B$13),"Amber","Green"))</f>
        <v>Red</v>
      </c>
    </row>
    <row r="7" spans="1:14" x14ac:dyDescent="0.35">
      <c r="A7" s="2">
        <v>3</v>
      </c>
      <c r="B7" s="63">
        <f>MIN(Fact_Baseline_PV!$A:$A)+4+(2*7)</f>
        <v>46164</v>
      </c>
      <c r="C7" s="66">
        <f>SUMIFS(Fact_Baseline_PV!$C:$C,Fact_Baseline_PV!$A:$A,"&lt;="&amp;B7)</f>
        <v>62000</v>
      </c>
      <c r="D7" s="66">
        <f>SUMIFS(Fact_Actual_Costs!$D:$D,Fact_Actual_Costs!$A:$A,"&lt;="&amp;B7)</f>
        <v>61603.200000000004</v>
      </c>
      <c r="E7" s="66" cm="1">
        <f t="array" ref="E7">SUM(IFERROR(LOOKUP(2,1/(Fact_Physical_Progress!$B$2:$B$35=Dim_WBS!$A$2)/(Fact_Physical_Progress!$A$2:$A$35&lt;=B7),Fact_Physical_Progress!$C$2:$C$35),0)*Dim_WBS!$E$2,IFERROR(LOOKUP(2,1/(Fact_Physical_Progress!$B$2:$B$35=Dim_WBS!$A$3)/(Fact_Physical_Progress!$A$2:$A$35&lt;=B7),Fact_Physical_Progress!$C$2:$C$35),0)*Dim_WBS!$E$3,IFERROR(LOOKUP(2,1/(Fact_Physical_Progress!$B$2:$B$35=Dim_WBS!$A$4)/(Fact_Physical_Progress!$A$2:$A$35&lt;=B7),Fact_Physical_Progress!$C$2:$C$35),0)*Dim_WBS!$E$4,IFERROR(LOOKUP(2,1/(Fact_Physical_Progress!$B$2:$B$35=Dim_WBS!$A$5)/(Fact_Physical_Progress!$A$2:$A$35&lt;=B7),Fact_Physical_Progress!$C$2:$C$35),0)*Dim_WBS!$E$5,IFERROR(LOOKUP(2,1/(Fact_Physical_Progress!$B$2:$B$35=Dim_WBS!$A$6)/(Fact_Physical_Progress!$A$2:$A$35&lt;=B7),Fact_Physical_Progress!$C$2:$C$35),0)*Dim_WBS!$E$6,IFERROR(LOOKUP(2,1/(Fact_Physical_Progress!$B$2:$B$35=Dim_WBS!$A$7)/(Fact_Physical_Progress!$A$2:$A$35&lt;=B7),Fact_Physical_Progress!$C$2:$C$35),0)*Dim_WBS!$E$7,IFERROR(LOOKUP(2,1/(Fact_Physical_Progress!$B$2:$B$35=Dim_WBS!$A$8)/(Fact_Physical_Progress!$A$2:$A$35&lt;=B7),Fact_Physical_Progress!$C$2:$C$35),0)*Dim_WBS!$E$8,IFERROR(LOOKUP(2,1/(Fact_Physical_Progress!$B$2:$B$35=Dim_WBS!$A$9)/(Fact_Physical_Progress!$A$2:$A$35&lt;=B7),Fact_Physical_Progress!$C$2:$C$35),0)*Dim_WBS!$E$9,IFERROR(LOOKUP(2,1/(Fact_Physical_Progress!$B$2:$B$35=Dim_WBS!$A$10)/(Fact_Physical_Progress!$A$2:$A$35&lt;=B7),Fact_Physical_Progress!$C$2:$C$35),0)*Dim_WBS!$E$10,IFERROR(LOOKUP(2,1/(Fact_Physical_Progress!$B$2:$B$35=Dim_WBS!$A$11)/(Fact_Physical_Progress!$A$2:$A$35&lt;=B7),Fact_Physical_Progress!$C$2:$C$35),0)*Dim_WBS!$E$11,IFERROR(LOOKUP(2,1/(Fact_Physical_Progress!$B$2:$B$35=Dim_WBS!$A$12)/(Fact_Physical_Progress!$A$2:$A$35&lt;=B7),Fact_Physical_Progress!$C$2:$C$35),0)*Dim_WBS!$E$12,IFERROR(LOOKUP(2,1/(Fact_Physical_Progress!$B$2:$B$35=Dim_WBS!$A$13)/(Fact_Physical_Progress!$A$2:$A$35&lt;=B7),Fact_Physical_Progress!$C$2:$C$35),0)*Dim_WBS!$E$13)</f>
        <v>57040</v>
      </c>
      <c r="F7" s="66">
        <f t="shared" si="0"/>
        <v>-4960</v>
      </c>
      <c r="G7" s="66">
        <f t="shared" si="1"/>
        <v>-4563.2000000000044</v>
      </c>
      <c r="H7" s="67">
        <f t="shared" si="2"/>
        <v>0.92</v>
      </c>
      <c r="I7" s="67">
        <f t="shared" si="3"/>
        <v>0.92592592592592582</v>
      </c>
      <c r="J7" s="66">
        <f>Setup!$B$11</f>
        <v>268650</v>
      </c>
      <c r="K7" s="66">
        <f t="shared" si="4"/>
        <v>290142.00000000006</v>
      </c>
      <c r="L7" s="66">
        <f t="shared" si="5"/>
        <v>228538.80000000005</v>
      </c>
      <c r="M7" s="66">
        <f t="shared" si="6"/>
        <v>-21492.000000000058</v>
      </c>
      <c r="N7" s="2" t="str">
        <f>IF(OR(F7&lt;0,G7&lt;0,H7&lt;Setup!$B$12,I7&lt;Setup!$B$12),"Red",IF(OR(H7&lt;Setup!$B$13,I7&lt;Setup!$B$13),"Amber","Green"))</f>
        <v>Red</v>
      </c>
    </row>
    <row r="8" spans="1:14" x14ac:dyDescent="0.35">
      <c r="A8" s="2">
        <v>4</v>
      </c>
      <c r="B8" s="63">
        <f>MIN(Fact_Baseline_PV!$A:$A)+4+(3*7)</f>
        <v>46171</v>
      </c>
      <c r="C8" s="66">
        <f>SUMIFS(Fact_Baseline_PV!$C:$C,Fact_Baseline_PV!$A:$A,"&lt;="&amp;B8)</f>
        <v>87066.67</v>
      </c>
      <c r="D8" s="66">
        <f>SUMIFS(Fact_Actual_Costs!$D:$D,Fact_Actual_Costs!$A:$A,"&lt;="&amp;B8)</f>
        <v>86509.440000000017</v>
      </c>
      <c r="E8" s="66" cm="1">
        <f t="array" ref="E8">SUM(IFERROR(LOOKUP(2,1/(Fact_Physical_Progress!$B$2:$B$35=Dim_WBS!$A$2)/(Fact_Physical_Progress!$A$2:$A$35&lt;=B8),Fact_Physical_Progress!$C$2:$C$35),0)*Dim_WBS!$E$2,IFERROR(LOOKUP(2,1/(Fact_Physical_Progress!$B$2:$B$35=Dim_WBS!$A$3)/(Fact_Physical_Progress!$A$2:$A$35&lt;=B8),Fact_Physical_Progress!$C$2:$C$35),0)*Dim_WBS!$E$3,IFERROR(LOOKUP(2,1/(Fact_Physical_Progress!$B$2:$B$35=Dim_WBS!$A$4)/(Fact_Physical_Progress!$A$2:$A$35&lt;=B8),Fact_Physical_Progress!$C$2:$C$35),0)*Dim_WBS!$E$4,IFERROR(LOOKUP(2,1/(Fact_Physical_Progress!$B$2:$B$35=Dim_WBS!$A$5)/(Fact_Physical_Progress!$A$2:$A$35&lt;=B8),Fact_Physical_Progress!$C$2:$C$35),0)*Dim_WBS!$E$5,IFERROR(LOOKUP(2,1/(Fact_Physical_Progress!$B$2:$B$35=Dim_WBS!$A$6)/(Fact_Physical_Progress!$A$2:$A$35&lt;=B8),Fact_Physical_Progress!$C$2:$C$35),0)*Dim_WBS!$E$6,IFERROR(LOOKUP(2,1/(Fact_Physical_Progress!$B$2:$B$35=Dim_WBS!$A$7)/(Fact_Physical_Progress!$A$2:$A$35&lt;=B8),Fact_Physical_Progress!$C$2:$C$35),0)*Dim_WBS!$E$7,IFERROR(LOOKUP(2,1/(Fact_Physical_Progress!$B$2:$B$35=Dim_WBS!$A$8)/(Fact_Physical_Progress!$A$2:$A$35&lt;=B8),Fact_Physical_Progress!$C$2:$C$35),0)*Dim_WBS!$E$8,IFERROR(LOOKUP(2,1/(Fact_Physical_Progress!$B$2:$B$35=Dim_WBS!$A$9)/(Fact_Physical_Progress!$A$2:$A$35&lt;=B8),Fact_Physical_Progress!$C$2:$C$35),0)*Dim_WBS!$E$9,IFERROR(LOOKUP(2,1/(Fact_Physical_Progress!$B$2:$B$35=Dim_WBS!$A$10)/(Fact_Physical_Progress!$A$2:$A$35&lt;=B8),Fact_Physical_Progress!$C$2:$C$35),0)*Dim_WBS!$E$10,IFERROR(LOOKUP(2,1/(Fact_Physical_Progress!$B$2:$B$35=Dim_WBS!$A$11)/(Fact_Physical_Progress!$A$2:$A$35&lt;=B8),Fact_Physical_Progress!$C$2:$C$35),0)*Dim_WBS!$E$11,IFERROR(LOOKUP(2,1/(Fact_Physical_Progress!$B$2:$B$35=Dim_WBS!$A$12)/(Fact_Physical_Progress!$A$2:$A$35&lt;=B8),Fact_Physical_Progress!$C$2:$C$35),0)*Dim_WBS!$E$12,IFERROR(LOOKUP(2,1/(Fact_Physical_Progress!$B$2:$B$35=Dim_WBS!$A$13)/(Fact_Physical_Progress!$A$2:$A$35&lt;=B8),Fact_Physical_Progress!$C$2:$C$35),0)*Dim_WBS!$E$13)</f>
        <v>80101.327999999994</v>
      </c>
      <c r="F8" s="66">
        <f t="shared" si="0"/>
        <v>-6965.3420000000042</v>
      </c>
      <c r="G8" s="66">
        <f t="shared" si="1"/>
        <v>-6408.1120000000228</v>
      </c>
      <c r="H8" s="67">
        <f t="shared" si="2"/>
        <v>0.91999990352220884</v>
      </c>
      <c r="I8" s="67">
        <f t="shared" si="3"/>
        <v>0.92592586427562096</v>
      </c>
      <c r="J8" s="66">
        <f>Setup!$B$11</f>
        <v>268650</v>
      </c>
      <c r="K8" s="66">
        <f t="shared" si="4"/>
        <v>290142.0193183315</v>
      </c>
      <c r="L8" s="66">
        <f t="shared" si="5"/>
        <v>203632.5793183315</v>
      </c>
      <c r="M8" s="66">
        <f t="shared" si="6"/>
        <v>-21492.019318331499</v>
      </c>
      <c r="N8" s="2" t="str">
        <f>IF(OR(F8&lt;0,G8&lt;0,H8&lt;Setup!$B$12,I8&lt;Setup!$B$12),"Red",IF(OR(H8&lt;Setup!$B$13,I8&lt;Setup!$B$13),"Amber","Green"))</f>
        <v>Red</v>
      </c>
    </row>
    <row r="9" spans="1:14" x14ac:dyDescent="0.35">
      <c r="A9" s="2">
        <v>5</v>
      </c>
      <c r="B9" s="63">
        <f>MIN(Fact_Baseline_PV!$A:$A)+4+(4*7)</f>
        <v>46178</v>
      </c>
      <c r="C9" s="66">
        <f>SUMIFS(Fact_Baseline_PV!$C:$C,Fact_Baseline_PV!$A:$A,"&lt;="&amp;B9)</f>
        <v>116733.34</v>
      </c>
      <c r="D9" s="66">
        <f>SUMIFS(Fact_Actual_Costs!$D:$D,Fact_Actual_Costs!$A:$A,"&lt;="&amp;B9)</f>
        <v>115986.24000000002</v>
      </c>
      <c r="E9" s="66" cm="1">
        <f t="array" ref="E9">SUM(IFERROR(LOOKUP(2,1/(Fact_Physical_Progress!$B$2:$B$35=Dim_WBS!$A$2)/(Fact_Physical_Progress!$A$2:$A$35&lt;=B9),Fact_Physical_Progress!$C$2:$C$35),0)*Dim_WBS!$E$2,IFERROR(LOOKUP(2,1/(Fact_Physical_Progress!$B$2:$B$35=Dim_WBS!$A$3)/(Fact_Physical_Progress!$A$2:$A$35&lt;=B9),Fact_Physical_Progress!$C$2:$C$35),0)*Dim_WBS!$E$3,IFERROR(LOOKUP(2,1/(Fact_Physical_Progress!$B$2:$B$35=Dim_WBS!$A$4)/(Fact_Physical_Progress!$A$2:$A$35&lt;=B9),Fact_Physical_Progress!$C$2:$C$35),0)*Dim_WBS!$E$4,IFERROR(LOOKUP(2,1/(Fact_Physical_Progress!$B$2:$B$35=Dim_WBS!$A$5)/(Fact_Physical_Progress!$A$2:$A$35&lt;=B9),Fact_Physical_Progress!$C$2:$C$35),0)*Dim_WBS!$E$5,IFERROR(LOOKUP(2,1/(Fact_Physical_Progress!$B$2:$B$35=Dim_WBS!$A$6)/(Fact_Physical_Progress!$A$2:$A$35&lt;=B9),Fact_Physical_Progress!$C$2:$C$35),0)*Dim_WBS!$E$6,IFERROR(LOOKUP(2,1/(Fact_Physical_Progress!$B$2:$B$35=Dim_WBS!$A$7)/(Fact_Physical_Progress!$A$2:$A$35&lt;=B9),Fact_Physical_Progress!$C$2:$C$35),0)*Dim_WBS!$E$7,IFERROR(LOOKUP(2,1/(Fact_Physical_Progress!$B$2:$B$35=Dim_WBS!$A$8)/(Fact_Physical_Progress!$A$2:$A$35&lt;=B9),Fact_Physical_Progress!$C$2:$C$35),0)*Dim_WBS!$E$8,IFERROR(LOOKUP(2,1/(Fact_Physical_Progress!$B$2:$B$35=Dim_WBS!$A$9)/(Fact_Physical_Progress!$A$2:$A$35&lt;=B9),Fact_Physical_Progress!$C$2:$C$35),0)*Dim_WBS!$E$9,IFERROR(LOOKUP(2,1/(Fact_Physical_Progress!$B$2:$B$35=Dim_WBS!$A$10)/(Fact_Physical_Progress!$A$2:$A$35&lt;=B9),Fact_Physical_Progress!$C$2:$C$35),0)*Dim_WBS!$E$10,IFERROR(LOOKUP(2,1/(Fact_Physical_Progress!$B$2:$B$35=Dim_WBS!$A$11)/(Fact_Physical_Progress!$A$2:$A$35&lt;=B9),Fact_Physical_Progress!$C$2:$C$35),0)*Dim_WBS!$E$11,IFERROR(LOOKUP(2,1/(Fact_Physical_Progress!$B$2:$B$35=Dim_WBS!$A$12)/(Fact_Physical_Progress!$A$2:$A$35&lt;=B9),Fact_Physical_Progress!$C$2:$C$35),0)*Dim_WBS!$E$12,IFERROR(LOOKUP(2,1/(Fact_Physical_Progress!$B$2:$B$35=Dim_WBS!$A$13)/(Fact_Physical_Progress!$A$2:$A$35&lt;=B9),Fact_Physical_Progress!$C$2:$C$35),0)*Dim_WBS!$E$13)</f>
        <v>107394.674</v>
      </c>
      <c r="F9" s="66">
        <f t="shared" si="0"/>
        <v>-9338.6659999999974</v>
      </c>
      <c r="G9" s="66">
        <f t="shared" si="1"/>
        <v>-8591.5660000000207</v>
      </c>
      <c r="H9" s="67">
        <f t="shared" si="2"/>
        <v>0.92000001027983958</v>
      </c>
      <c r="I9" s="67">
        <f t="shared" si="3"/>
        <v>0.92592598915181645</v>
      </c>
      <c r="J9" s="66">
        <f>Setup!$B$11</f>
        <v>268650</v>
      </c>
      <c r="K9" s="66">
        <f t="shared" si="4"/>
        <v>290141.98018795613</v>
      </c>
      <c r="L9" s="66">
        <f t="shared" si="5"/>
        <v>174155.74018795611</v>
      </c>
      <c r="M9" s="66">
        <f t="shared" si="6"/>
        <v>-21491.980187956127</v>
      </c>
      <c r="N9" s="2" t="str">
        <f>IF(OR(F9&lt;0,G9&lt;0,H9&lt;Setup!$B$12,I9&lt;Setup!$B$12),"Red",IF(OR(H9&lt;Setup!$B$13,I9&lt;Setup!$B$13),"Amber","Green"))</f>
        <v>Red</v>
      </c>
    </row>
    <row r="10" spans="1:14" x14ac:dyDescent="0.35">
      <c r="A10" s="2">
        <v>6</v>
      </c>
      <c r="B10" s="63">
        <f>MIN(Fact_Baseline_PV!$A:$A)+4+(5*7)</f>
        <v>46185</v>
      </c>
      <c r="C10" s="66">
        <f>SUMIFS(Fact_Baseline_PV!$C:$C,Fact_Baseline_PV!$A:$A,"&lt;="&amp;B10)</f>
        <v>142900</v>
      </c>
      <c r="D10" s="66">
        <f>SUMIFS(Fact_Actual_Costs!$D:$D,Fact_Actual_Costs!$A:$A,"&lt;="&amp;B10)</f>
        <v>141985.44</v>
      </c>
      <c r="E10" s="66" cm="1">
        <f t="array" ref="E10">SUM(IFERROR(LOOKUP(2,1/(Fact_Physical_Progress!$B$2:$B$35=Dim_WBS!$A$2)/(Fact_Physical_Progress!$A$2:$A$35&lt;=B10),Fact_Physical_Progress!$C$2:$C$35),0)*Dim_WBS!$E$2,IFERROR(LOOKUP(2,1/(Fact_Physical_Progress!$B$2:$B$35=Dim_WBS!$A$3)/(Fact_Physical_Progress!$A$2:$A$35&lt;=B10),Fact_Physical_Progress!$C$2:$C$35),0)*Dim_WBS!$E$3,IFERROR(LOOKUP(2,1/(Fact_Physical_Progress!$B$2:$B$35=Dim_WBS!$A$4)/(Fact_Physical_Progress!$A$2:$A$35&lt;=B10),Fact_Physical_Progress!$C$2:$C$35),0)*Dim_WBS!$E$4,IFERROR(LOOKUP(2,1/(Fact_Physical_Progress!$B$2:$B$35=Dim_WBS!$A$5)/(Fact_Physical_Progress!$A$2:$A$35&lt;=B10),Fact_Physical_Progress!$C$2:$C$35),0)*Dim_WBS!$E$5,IFERROR(LOOKUP(2,1/(Fact_Physical_Progress!$B$2:$B$35=Dim_WBS!$A$6)/(Fact_Physical_Progress!$A$2:$A$35&lt;=B10),Fact_Physical_Progress!$C$2:$C$35),0)*Dim_WBS!$E$6,IFERROR(LOOKUP(2,1/(Fact_Physical_Progress!$B$2:$B$35=Dim_WBS!$A$7)/(Fact_Physical_Progress!$A$2:$A$35&lt;=B10),Fact_Physical_Progress!$C$2:$C$35),0)*Dim_WBS!$E$7,IFERROR(LOOKUP(2,1/(Fact_Physical_Progress!$B$2:$B$35=Dim_WBS!$A$8)/(Fact_Physical_Progress!$A$2:$A$35&lt;=B10),Fact_Physical_Progress!$C$2:$C$35),0)*Dim_WBS!$E$8,IFERROR(LOOKUP(2,1/(Fact_Physical_Progress!$B$2:$B$35=Dim_WBS!$A$9)/(Fact_Physical_Progress!$A$2:$A$35&lt;=B10),Fact_Physical_Progress!$C$2:$C$35),0)*Dim_WBS!$E$9,IFERROR(LOOKUP(2,1/(Fact_Physical_Progress!$B$2:$B$35=Dim_WBS!$A$10)/(Fact_Physical_Progress!$A$2:$A$35&lt;=B10),Fact_Physical_Progress!$C$2:$C$35),0)*Dim_WBS!$E$10,IFERROR(LOOKUP(2,1/(Fact_Physical_Progress!$B$2:$B$35=Dim_WBS!$A$11)/(Fact_Physical_Progress!$A$2:$A$35&lt;=B10),Fact_Physical_Progress!$C$2:$C$35),0)*Dim_WBS!$E$11,IFERROR(LOOKUP(2,1/(Fact_Physical_Progress!$B$2:$B$35=Dim_WBS!$A$12)/(Fact_Physical_Progress!$A$2:$A$35&lt;=B10),Fact_Physical_Progress!$C$2:$C$35),0)*Dim_WBS!$E$12,IFERROR(LOOKUP(2,1/(Fact_Physical_Progress!$B$2:$B$35=Dim_WBS!$A$13)/(Fact_Physical_Progress!$A$2:$A$35&lt;=B10),Fact_Physical_Progress!$C$2:$C$35),0)*Dim_WBS!$E$13)</f>
        <v>131467.99600000001</v>
      </c>
      <c r="F10" s="66">
        <f t="shared" si="0"/>
        <v>-11432.003999999986</v>
      </c>
      <c r="G10" s="66">
        <f t="shared" si="1"/>
        <v>-10517.443999999989</v>
      </c>
      <c r="H10" s="67">
        <f t="shared" si="2"/>
        <v>0.91999997200839756</v>
      </c>
      <c r="I10" s="67">
        <f t="shared" si="3"/>
        <v>0.92592589775402334</v>
      </c>
      <c r="J10" s="66">
        <f>Setup!$B$11</f>
        <v>268650</v>
      </c>
      <c r="K10" s="66">
        <f t="shared" si="4"/>
        <v>290142.00882776058</v>
      </c>
      <c r="L10" s="66">
        <f t="shared" si="5"/>
        <v>148156.56882776058</v>
      </c>
      <c r="M10" s="66">
        <f t="shared" si="6"/>
        <v>-21492.008827760583</v>
      </c>
      <c r="N10" s="2" t="str">
        <f>IF(OR(F10&lt;0,G10&lt;0,H10&lt;Setup!$B$12,I10&lt;Setup!$B$12),"Red",IF(OR(H10&lt;Setup!$B$13,I10&lt;Setup!$B$13),"Amber","Green"))</f>
        <v>Red</v>
      </c>
    </row>
    <row r="11" spans="1:14" x14ac:dyDescent="0.35">
      <c r="A11" s="2">
        <v>7</v>
      </c>
      <c r="B11" s="63">
        <f>MIN(Fact_Baseline_PV!$A:$A)+4+(6*7)</f>
        <v>46192</v>
      </c>
      <c r="C11" s="66">
        <f>SUMIFS(Fact_Baseline_PV!$C:$C,Fact_Baseline_PV!$A:$A,"&lt;="&amp;B11)</f>
        <v>160400</v>
      </c>
      <c r="D11" s="66">
        <f>SUMIFS(Fact_Actual_Costs!$D:$D,Fact_Actual_Costs!$A:$A,"&lt;="&amp;B11)</f>
        <v>141985.44</v>
      </c>
      <c r="E11" s="66" cm="1">
        <f t="array" ref="E11">SUM(IFERROR(LOOKUP(2,1/(Fact_Physical_Progress!$B$2:$B$35=Dim_WBS!$A$2)/(Fact_Physical_Progress!$A$2:$A$35&lt;=B11),Fact_Physical_Progress!$C$2:$C$35),0)*Dim_WBS!$E$2,IFERROR(LOOKUP(2,1/(Fact_Physical_Progress!$B$2:$B$35=Dim_WBS!$A$3)/(Fact_Physical_Progress!$A$2:$A$35&lt;=B11),Fact_Physical_Progress!$C$2:$C$35),0)*Dim_WBS!$E$3,IFERROR(LOOKUP(2,1/(Fact_Physical_Progress!$B$2:$B$35=Dim_WBS!$A$4)/(Fact_Physical_Progress!$A$2:$A$35&lt;=B11),Fact_Physical_Progress!$C$2:$C$35),0)*Dim_WBS!$E$4,IFERROR(LOOKUP(2,1/(Fact_Physical_Progress!$B$2:$B$35=Dim_WBS!$A$5)/(Fact_Physical_Progress!$A$2:$A$35&lt;=B11),Fact_Physical_Progress!$C$2:$C$35),0)*Dim_WBS!$E$5,IFERROR(LOOKUP(2,1/(Fact_Physical_Progress!$B$2:$B$35=Dim_WBS!$A$6)/(Fact_Physical_Progress!$A$2:$A$35&lt;=B11),Fact_Physical_Progress!$C$2:$C$35),0)*Dim_WBS!$E$6,IFERROR(LOOKUP(2,1/(Fact_Physical_Progress!$B$2:$B$35=Dim_WBS!$A$7)/(Fact_Physical_Progress!$A$2:$A$35&lt;=B11),Fact_Physical_Progress!$C$2:$C$35),0)*Dim_WBS!$E$7,IFERROR(LOOKUP(2,1/(Fact_Physical_Progress!$B$2:$B$35=Dim_WBS!$A$8)/(Fact_Physical_Progress!$A$2:$A$35&lt;=B11),Fact_Physical_Progress!$C$2:$C$35),0)*Dim_WBS!$E$8,IFERROR(LOOKUP(2,1/(Fact_Physical_Progress!$B$2:$B$35=Dim_WBS!$A$9)/(Fact_Physical_Progress!$A$2:$A$35&lt;=B11),Fact_Physical_Progress!$C$2:$C$35),0)*Dim_WBS!$E$9,IFERROR(LOOKUP(2,1/(Fact_Physical_Progress!$B$2:$B$35=Dim_WBS!$A$10)/(Fact_Physical_Progress!$A$2:$A$35&lt;=B11),Fact_Physical_Progress!$C$2:$C$35),0)*Dim_WBS!$E$10,IFERROR(LOOKUP(2,1/(Fact_Physical_Progress!$B$2:$B$35=Dim_WBS!$A$11)/(Fact_Physical_Progress!$A$2:$A$35&lt;=B11),Fact_Physical_Progress!$C$2:$C$35),0)*Dim_WBS!$E$11,IFERROR(LOOKUP(2,1/(Fact_Physical_Progress!$B$2:$B$35=Dim_WBS!$A$12)/(Fact_Physical_Progress!$A$2:$A$35&lt;=B11),Fact_Physical_Progress!$C$2:$C$35),0)*Dim_WBS!$E$12,IFERROR(LOOKUP(2,1/(Fact_Physical_Progress!$B$2:$B$35=Dim_WBS!$A$13)/(Fact_Physical_Progress!$A$2:$A$35&lt;=B11),Fact_Physical_Progress!$C$2:$C$35),0)*Dim_WBS!$E$13)</f>
        <v>131467.99600000001</v>
      </c>
      <c r="F11" s="66">
        <f t="shared" si="0"/>
        <v>-28932.003999999986</v>
      </c>
      <c r="G11" s="66">
        <f t="shared" si="1"/>
        <v>-10517.443999999989</v>
      </c>
      <c r="H11" s="67">
        <f t="shared" si="2"/>
        <v>0.81962591022443898</v>
      </c>
      <c r="I11" s="67">
        <f t="shared" si="3"/>
        <v>0.92592589775402334</v>
      </c>
      <c r="J11" s="66">
        <f>Setup!$B$11</f>
        <v>268650</v>
      </c>
      <c r="K11" s="66">
        <f t="shared" si="4"/>
        <v>290142.00882776058</v>
      </c>
      <c r="L11" s="66">
        <f t="shared" si="5"/>
        <v>148156.56882776058</v>
      </c>
      <c r="M11" s="66">
        <f t="shared" si="6"/>
        <v>-21492.008827760583</v>
      </c>
      <c r="N11" s="2" t="str">
        <f>IF(OR(F11&lt;0,G11&lt;0,H11&lt;Setup!$B$12,I11&lt;Setup!$B$12),"Red",IF(OR(H11&lt;Setup!$B$13,I11&lt;Setup!$B$13),"Amber","Green"))</f>
        <v>Red</v>
      </c>
    </row>
    <row r="12" spans="1:14" x14ac:dyDescent="0.35">
      <c r="A12" s="2">
        <v>8</v>
      </c>
      <c r="B12" s="63">
        <f>MIN(Fact_Baseline_PV!$A:$A)+4+(7*7)</f>
        <v>46199</v>
      </c>
      <c r="C12" s="66">
        <f>SUMIFS(Fact_Baseline_PV!$C:$C,Fact_Baseline_PV!$A:$A,"&lt;="&amp;B12)</f>
        <v>189816.67</v>
      </c>
      <c r="D12" s="66">
        <f>SUMIFS(Fact_Actual_Costs!$D:$D,Fact_Actual_Costs!$A:$A,"&lt;="&amp;B12)</f>
        <v>141985.44</v>
      </c>
      <c r="E12" s="66" cm="1">
        <f t="array" ref="E12">SUM(IFERROR(LOOKUP(2,1/(Fact_Physical_Progress!$B$2:$B$35=Dim_WBS!$A$2)/(Fact_Physical_Progress!$A$2:$A$35&lt;=B12),Fact_Physical_Progress!$C$2:$C$35),0)*Dim_WBS!$E$2,IFERROR(LOOKUP(2,1/(Fact_Physical_Progress!$B$2:$B$35=Dim_WBS!$A$3)/(Fact_Physical_Progress!$A$2:$A$35&lt;=B12),Fact_Physical_Progress!$C$2:$C$35),0)*Dim_WBS!$E$3,IFERROR(LOOKUP(2,1/(Fact_Physical_Progress!$B$2:$B$35=Dim_WBS!$A$4)/(Fact_Physical_Progress!$A$2:$A$35&lt;=B12),Fact_Physical_Progress!$C$2:$C$35),0)*Dim_WBS!$E$4,IFERROR(LOOKUP(2,1/(Fact_Physical_Progress!$B$2:$B$35=Dim_WBS!$A$5)/(Fact_Physical_Progress!$A$2:$A$35&lt;=B12),Fact_Physical_Progress!$C$2:$C$35),0)*Dim_WBS!$E$5,IFERROR(LOOKUP(2,1/(Fact_Physical_Progress!$B$2:$B$35=Dim_WBS!$A$6)/(Fact_Physical_Progress!$A$2:$A$35&lt;=B12),Fact_Physical_Progress!$C$2:$C$35),0)*Dim_WBS!$E$6,IFERROR(LOOKUP(2,1/(Fact_Physical_Progress!$B$2:$B$35=Dim_WBS!$A$7)/(Fact_Physical_Progress!$A$2:$A$35&lt;=B12),Fact_Physical_Progress!$C$2:$C$35),0)*Dim_WBS!$E$7,IFERROR(LOOKUP(2,1/(Fact_Physical_Progress!$B$2:$B$35=Dim_WBS!$A$8)/(Fact_Physical_Progress!$A$2:$A$35&lt;=B12),Fact_Physical_Progress!$C$2:$C$35),0)*Dim_WBS!$E$8,IFERROR(LOOKUP(2,1/(Fact_Physical_Progress!$B$2:$B$35=Dim_WBS!$A$9)/(Fact_Physical_Progress!$A$2:$A$35&lt;=B12),Fact_Physical_Progress!$C$2:$C$35),0)*Dim_WBS!$E$9,IFERROR(LOOKUP(2,1/(Fact_Physical_Progress!$B$2:$B$35=Dim_WBS!$A$10)/(Fact_Physical_Progress!$A$2:$A$35&lt;=B12),Fact_Physical_Progress!$C$2:$C$35),0)*Dim_WBS!$E$10,IFERROR(LOOKUP(2,1/(Fact_Physical_Progress!$B$2:$B$35=Dim_WBS!$A$11)/(Fact_Physical_Progress!$A$2:$A$35&lt;=B12),Fact_Physical_Progress!$C$2:$C$35),0)*Dim_WBS!$E$11,IFERROR(LOOKUP(2,1/(Fact_Physical_Progress!$B$2:$B$35=Dim_WBS!$A$12)/(Fact_Physical_Progress!$A$2:$A$35&lt;=B12),Fact_Physical_Progress!$C$2:$C$35),0)*Dim_WBS!$E$12,IFERROR(LOOKUP(2,1/(Fact_Physical_Progress!$B$2:$B$35=Dim_WBS!$A$13)/(Fact_Physical_Progress!$A$2:$A$35&lt;=B12),Fact_Physical_Progress!$C$2:$C$35),0)*Dim_WBS!$E$13)</f>
        <v>131467.99600000001</v>
      </c>
      <c r="F12" s="66">
        <f t="shared" si="0"/>
        <v>-58348.673999999999</v>
      </c>
      <c r="G12" s="66">
        <f t="shared" si="1"/>
        <v>-10517.443999999989</v>
      </c>
      <c r="H12" s="67">
        <f t="shared" si="2"/>
        <v>0.69260511207998754</v>
      </c>
      <c r="I12" s="67">
        <f t="shared" si="3"/>
        <v>0.92592589775402334</v>
      </c>
      <c r="J12" s="66">
        <f>Setup!$B$11</f>
        <v>268650</v>
      </c>
      <c r="K12" s="66">
        <f t="shared" si="4"/>
        <v>290142.00882776058</v>
      </c>
      <c r="L12" s="66">
        <f t="shared" si="5"/>
        <v>148156.56882776058</v>
      </c>
      <c r="M12" s="66">
        <f t="shared" si="6"/>
        <v>-21492.008827760583</v>
      </c>
      <c r="N12" s="2" t="str">
        <f>IF(OR(F12&lt;0,G12&lt;0,H12&lt;Setup!$B$12,I12&lt;Setup!$B$12),"Red",IF(OR(H12&lt;Setup!$B$13,I12&lt;Setup!$B$13),"Amber","Green"))</f>
        <v>Red</v>
      </c>
    </row>
    <row r="13" spans="1:14" x14ac:dyDescent="0.35">
      <c r="A13" s="2">
        <v>9</v>
      </c>
      <c r="B13" s="63">
        <f>MIN(Fact_Baseline_PV!$A:$A)+4+(8*7)</f>
        <v>46206</v>
      </c>
      <c r="C13" s="66">
        <f>SUMIFS(Fact_Baseline_PV!$C:$C,Fact_Baseline_PV!$A:$A,"&lt;="&amp;B13)</f>
        <v>220233.34000000003</v>
      </c>
      <c r="D13" s="66">
        <f>SUMIFS(Fact_Actual_Costs!$D:$D,Fact_Actual_Costs!$A:$A,"&lt;="&amp;B13)</f>
        <v>141985.44</v>
      </c>
      <c r="E13" s="66" cm="1">
        <f t="array" ref="E13">SUM(IFERROR(LOOKUP(2,1/(Fact_Physical_Progress!$B$2:$B$35=Dim_WBS!$A$2)/(Fact_Physical_Progress!$A$2:$A$35&lt;=B13),Fact_Physical_Progress!$C$2:$C$35),0)*Dim_WBS!$E$2,IFERROR(LOOKUP(2,1/(Fact_Physical_Progress!$B$2:$B$35=Dim_WBS!$A$3)/(Fact_Physical_Progress!$A$2:$A$35&lt;=B13),Fact_Physical_Progress!$C$2:$C$35),0)*Dim_WBS!$E$3,IFERROR(LOOKUP(2,1/(Fact_Physical_Progress!$B$2:$B$35=Dim_WBS!$A$4)/(Fact_Physical_Progress!$A$2:$A$35&lt;=B13),Fact_Physical_Progress!$C$2:$C$35),0)*Dim_WBS!$E$4,IFERROR(LOOKUP(2,1/(Fact_Physical_Progress!$B$2:$B$35=Dim_WBS!$A$5)/(Fact_Physical_Progress!$A$2:$A$35&lt;=B13),Fact_Physical_Progress!$C$2:$C$35),0)*Dim_WBS!$E$5,IFERROR(LOOKUP(2,1/(Fact_Physical_Progress!$B$2:$B$35=Dim_WBS!$A$6)/(Fact_Physical_Progress!$A$2:$A$35&lt;=B13),Fact_Physical_Progress!$C$2:$C$35),0)*Dim_WBS!$E$6,IFERROR(LOOKUP(2,1/(Fact_Physical_Progress!$B$2:$B$35=Dim_WBS!$A$7)/(Fact_Physical_Progress!$A$2:$A$35&lt;=B13),Fact_Physical_Progress!$C$2:$C$35),0)*Dim_WBS!$E$7,IFERROR(LOOKUP(2,1/(Fact_Physical_Progress!$B$2:$B$35=Dim_WBS!$A$8)/(Fact_Physical_Progress!$A$2:$A$35&lt;=B13),Fact_Physical_Progress!$C$2:$C$35),0)*Dim_WBS!$E$8,IFERROR(LOOKUP(2,1/(Fact_Physical_Progress!$B$2:$B$35=Dim_WBS!$A$9)/(Fact_Physical_Progress!$A$2:$A$35&lt;=B13),Fact_Physical_Progress!$C$2:$C$35),0)*Dim_WBS!$E$9,IFERROR(LOOKUP(2,1/(Fact_Physical_Progress!$B$2:$B$35=Dim_WBS!$A$10)/(Fact_Physical_Progress!$A$2:$A$35&lt;=B13),Fact_Physical_Progress!$C$2:$C$35),0)*Dim_WBS!$E$10,IFERROR(LOOKUP(2,1/(Fact_Physical_Progress!$B$2:$B$35=Dim_WBS!$A$11)/(Fact_Physical_Progress!$A$2:$A$35&lt;=B13),Fact_Physical_Progress!$C$2:$C$35),0)*Dim_WBS!$E$11,IFERROR(LOOKUP(2,1/(Fact_Physical_Progress!$B$2:$B$35=Dim_WBS!$A$12)/(Fact_Physical_Progress!$A$2:$A$35&lt;=B13),Fact_Physical_Progress!$C$2:$C$35),0)*Dim_WBS!$E$12,IFERROR(LOOKUP(2,1/(Fact_Physical_Progress!$B$2:$B$35=Dim_WBS!$A$13)/(Fact_Physical_Progress!$A$2:$A$35&lt;=B13),Fact_Physical_Progress!$C$2:$C$35),0)*Dim_WBS!$E$13)</f>
        <v>131467.99600000001</v>
      </c>
      <c r="F13" s="66">
        <f t="shared" si="0"/>
        <v>-88765.344000000012</v>
      </c>
      <c r="G13" s="66">
        <f t="shared" si="1"/>
        <v>-10517.443999999989</v>
      </c>
      <c r="H13" s="67">
        <f t="shared" si="2"/>
        <v>0.59694865454976076</v>
      </c>
      <c r="I13" s="67">
        <f t="shared" si="3"/>
        <v>0.92592589775402334</v>
      </c>
      <c r="J13" s="66">
        <f>Setup!$B$11</f>
        <v>268650</v>
      </c>
      <c r="K13" s="66">
        <f t="shared" si="4"/>
        <v>290142.00882776058</v>
      </c>
      <c r="L13" s="66">
        <f t="shared" si="5"/>
        <v>148156.56882776058</v>
      </c>
      <c r="M13" s="66">
        <f t="shared" si="6"/>
        <v>-21492.008827760583</v>
      </c>
      <c r="N13" s="2" t="str">
        <f>IF(OR(F13&lt;0,G13&lt;0,H13&lt;Setup!$B$12,I13&lt;Setup!$B$12),"Red",IF(OR(H13&lt;Setup!$B$13,I13&lt;Setup!$B$13),"Amber","Green"))</f>
        <v>Red</v>
      </c>
    </row>
    <row r="14" spans="1:14" x14ac:dyDescent="0.35">
      <c r="A14" s="2">
        <v>10</v>
      </c>
      <c r="B14" s="63">
        <f>MIN(Fact_Baseline_PV!$A:$A)+4+(9*7)</f>
        <v>46213</v>
      </c>
      <c r="C14" s="66">
        <f>SUMIFS(Fact_Baseline_PV!$C:$C,Fact_Baseline_PV!$A:$A,"&lt;="&amp;B14)</f>
        <v>243650.00000000003</v>
      </c>
      <c r="D14" s="66">
        <f>SUMIFS(Fact_Actual_Costs!$D:$D,Fact_Actual_Costs!$A:$A,"&lt;="&amp;B14)</f>
        <v>141985.44</v>
      </c>
      <c r="E14" s="66" cm="1">
        <f t="array" ref="E14">SUM(IFERROR(LOOKUP(2,1/(Fact_Physical_Progress!$B$2:$B$35=Dim_WBS!$A$2)/(Fact_Physical_Progress!$A$2:$A$35&lt;=B14),Fact_Physical_Progress!$C$2:$C$35),0)*Dim_WBS!$E$2,IFERROR(LOOKUP(2,1/(Fact_Physical_Progress!$B$2:$B$35=Dim_WBS!$A$3)/(Fact_Physical_Progress!$A$2:$A$35&lt;=B14),Fact_Physical_Progress!$C$2:$C$35),0)*Dim_WBS!$E$3,IFERROR(LOOKUP(2,1/(Fact_Physical_Progress!$B$2:$B$35=Dim_WBS!$A$4)/(Fact_Physical_Progress!$A$2:$A$35&lt;=B14),Fact_Physical_Progress!$C$2:$C$35),0)*Dim_WBS!$E$4,IFERROR(LOOKUP(2,1/(Fact_Physical_Progress!$B$2:$B$35=Dim_WBS!$A$5)/(Fact_Physical_Progress!$A$2:$A$35&lt;=B14),Fact_Physical_Progress!$C$2:$C$35),0)*Dim_WBS!$E$5,IFERROR(LOOKUP(2,1/(Fact_Physical_Progress!$B$2:$B$35=Dim_WBS!$A$6)/(Fact_Physical_Progress!$A$2:$A$35&lt;=B14),Fact_Physical_Progress!$C$2:$C$35),0)*Dim_WBS!$E$6,IFERROR(LOOKUP(2,1/(Fact_Physical_Progress!$B$2:$B$35=Dim_WBS!$A$7)/(Fact_Physical_Progress!$A$2:$A$35&lt;=B14),Fact_Physical_Progress!$C$2:$C$35),0)*Dim_WBS!$E$7,IFERROR(LOOKUP(2,1/(Fact_Physical_Progress!$B$2:$B$35=Dim_WBS!$A$8)/(Fact_Physical_Progress!$A$2:$A$35&lt;=B14),Fact_Physical_Progress!$C$2:$C$35),0)*Dim_WBS!$E$8,IFERROR(LOOKUP(2,1/(Fact_Physical_Progress!$B$2:$B$35=Dim_WBS!$A$9)/(Fact_Physical_Progress!$A$2:$A$35&lt;=B14),Fact_Physical_Progress!$C$2:$C$35),0)*Dim_WBS!$E$9,IFERROR(LOOKUP(2,1/(Fact_Physical_Progress!$B$2:$B$35=Dim_WBS!$A$10)/(Fact_Physical_Progress!$A$2:$A$35&lt;=B14),Fact_Physical_Progress!$C$2:$C$35),0)*Dim_WBS!$E$10,IFERROR(LOOKUP(2,1/(Fact_Physical_Progress!$B$2:$B$35=Dim_WBS!$A$11)/(Fact_Physical_Progress!$A$2:$A$35&lt;=B14),Fact_Physical_Progress!$C$2:$C$35),0)*Dim_WBS!$E$11,IFERROR(LOOKUP(2,1/(Fact_Physical_Progress!$B$2:$B$35=Dim_WBS!$A$12)/(Fact_Physical_Progress!$A$2:$A$35&lt;=B14),Fact_Physical_Progress!$C$2:$C$35),0)*Dim_WBS!$E$12,IFERROR(LOOKUP(2,1/(Fact_Physical_Progress!$B$2:$B$35=Dim_WBS!$A$13)/(Fact_Physical_Progress!$A$2:$A$35&lt;=B14),Fact_Physical_Progress!$C$2:$C$35),0)*Dim_WBS!$E$13)</f>
        <v>131467.99600000001</v>
      </c>
      <c r="F14" s="66">
        <f t="shared" si="0"/>
        <v>-112182.00400000002</v>
      </c>
      <c r="G14" s="66">
        <f t="shared" si="1"/>
        <v>-10517.443999999989</v>
      </c>
      <c r="H14" s="67">
        <f t="shared" si="2"/>
        <v>0.5395772460496614</v>
      </c>
      <c r="I14" s="67">
        <f t="shared" si="3"/>
        <v>0.92592589775402334</v>
      </c>
      <c r="J14" s="66">
        <f>Setup!$B$11</f>
        <v>268650</v>
      </c>
      <c r="K14" s="66">
        <f t="shared" si="4"/>
        <v>290142.00882776058</v>
      </c>
      <c r="L14" s="66">
        <f t="shared" si="5"/>
        <v>148156.56882776058</v>
      </c>
      <c r="M14" s="66">
        <f t="shared" si="6"/>
        <v>-21492.008827760583</v>
      </c>
      <c r="N14" s="2" t="str">
        <f>IF(OR(F14&lt;0,G14&lt;0,H14&lt;Setup!$B$12,I14&lt;Setup!$B$12),"Red",IF(OR(H14&lt;Setup!$B$13,I14&lt;Setup!$B$13),"Amber","Green"))</f>
        <v>Red</v>
      </c>
    </row>
    <row r="15" spans="1:14" x14ac:dyDescent="0.35">
      <c r="A15" s="2">
        <v>11</v>
      </c>
      <c r="B15" s="63">
        <f>MIN(Fact_Baseline_PV!$A:$A)+4+(10*7)</f>
        <v>46220</v>
      </c>
      <c r="C15" s="66">
        <f>SUMIFS(Fact_Baseline_PV!$C:$C,Fact_Baseline_PV!$A:$A,"&lt;="&amp;B15)</f>
        <v>259350.00000000003</v>
      </c>
      <c r="D15" s="66">
        <f>SUMIFS(Fact_Actual_Costs!$D:$D,Fact_Actual_Costs!$A:$A,"&lt;="&amp;B15)</f>
        <v>141985.44</v>
      </c>
      <c r="E15" s="66" cm="1">
        <f t="array" ref="E15">SUM(IFERROR(LOOKUP(2,1/(Fact_Physical_Progress!$B$2:$B$35=Dim_WBS!$A$2)/(Fact_Physical_Progress!$A$2:$A$35&lt;=B15),Fact_Physical_Progress!$C$2:$C$35),0)*Dim_WBS!$E$2,IFERROR(LOOKUP(2,1/(Fact_Physical_Progress!$B$2:$B$35=Dim_WBS!$A$3)/(Fact_Physical_Progress!$A$2:$A$35&lt;=B15),Fact_Physical_Progress!$C$2:$C$35),0)*Dim_WBS!$E$3,IFERROR(LOOKUP(2,1/(Fact_Physical_Progress!$B$2:$B$35=Dim_WBS!$A$4)/(Fact_Physical_Progress!$A$2:$A$35&lt;=B15),Fact_Physical_Progress!$C$2:$C$35),0)*Dim_WBS!$E$4,IFERROR(LOOKUP(2,1/(Fact_Physical_Progress!$B$2:$B$35=Dim_WBS!$A$5)/(Fact_Physical_Progress!$A$2:$A$35&lt;=B15),Fact_Physical_Progress!$C$2:$C$35),0)*Dim_WBS!$E$5,IFERROR(LOOKUP(2,1/(Fact_Physical_Progress!$B$2:$B$35=Dim_WBS!$A$6)/(Fact_Physical_Progress!$A$2:$A$35&lt;=B15),Fact_Physical_Progress!$C$2:$C$35),0)*Dim_WBS!$E$6,IFERROR(LOOKUP(2,1/(Fact_Physical_Progress!$B$2:$B$35=Dim_WBS!$A$7)/(Fact_Physical_Progress!$A$2:$A$35&lt;=B15),Fact_Physical_Progress!$C$2:$C$35),0)*Dim_WBS!$E$7,IFERROR(LOOKUP(2,1/(Fact_Physical_Progress!$B$2:$B$35=Dim_WBS!$A$8)/(Fact_Physical_Progress!$A$2:$A$35&lt;=B15),Fact_Physical_Progress!$C$2:$C$35),0)*Dim_WBS!$E$8,IFERROR(LOOKUP(2,1/(Fact_Physical_Progress!$B$2:$B$35=Dim_WBS!$A$9)/(Fact_Physical_Progress!$A$2:$A$35&lt;=B15),Fact_Physical_Progress!$C$2:$C$35),0)*Dim_WBS!$E$9,IFERROR(LOOKUP(2,1/(Fact_Physical_Progress!$B$2:$B$35=Dim_WBS!$A$10)/(Fact_Physical_Progress!$A$2:$A$35&lt;=B15),Fact_Physical_Progress!$C$2:$C$35),0)*Dim_WBS!$E$10,IFERROR(LOOKUP(2,1/(Fact_Physical_Progress!$B$2:$B$35=Dim_WBS!$A$11)/(Fact_Physical_Progress!$A$2:$A$35&lt;=B15),Fact_Physical_Progress!$C$2:$C$35),0)*Dim_WBS!$E$11,IFERROR(LOOKUP(2,1/(Fact_Physical_Progress!$B$2:$B$35=Dim_WBS!$A$12)/(Fact_Physical_Progress!$A$2:$A$35&lt;=B15),Fact_Physical_Progress!$C$2:$C$35),0)*Dim_WBS!$E$12,IFERROR(LOOKUP(2,1/(Fact_Physical_Progress!$B$2:$B$35=Dim_WBS!$A$13)/(Fact_Physical_Progress!$A$2:$A$35&lt;=B15),Fact_Physical_Progress!$C$2:$C$35),0)*Dim_WBS!$E$13)</f>
        <v>131467.99600000001</v>
      </c>
      <c r="F15" s="66">
        <f t="shared" si="0"/>
        <v>-127882.00400000002</v>
      </c>
      <c r="G15" s="66">
        <f t="shared" si="1"/>
        <v>-10517.443999999989</v>
      </c>
      <c r="H15" s="67">
        <f t="shared" si="2"/>
        <v>0.50691342201657996</v>
      </c>
      <c r="I15" s="67">
        <f t="shared" si="3"/>
        <v>0.92592589775402334</v>
      </c>
      <c r="J15" s="66">
        <f>Setup!$B$11</f>
        <v>268650</v>
      </c>
      <c r="K15" s="66">
        <f t="shared" si="4"/>
        <v>290142.00882776058</v>
      </c>
      <c r="L15" s="66">
        <f t="shared" si="5"/>
        <v>148156.56882776058</v>
      </c>
      <c r="M15" s="66">
        <f t="shared" si="6"/>
        <v>-21492.008827760583</v>
      </c>
      <c r="N15" s="2" t="str">
        <f>IF(OR(F15&lt;0,G15&lt;0,H15&lt;Setup!$B$12,I15&lt;Setup!$B$12),"Red",IF(OR(H15&lt;Setup!$B$13,I15&lt;Setup!$B$13),"Amber","Green"))</f>
        <v>Red</v>
      </c>
    </row>
    <row r="16" spans="1:14" x14ac:dyDescent="0.35">
      <c r="A16" s="2">
        <v>12</v>
      </c>
      <c r="B16" s="63">
        <f>MIN(Fact_Baseline_PV!$A:$A)+4+(11*7)</f>
        <v>46227</v>
      </c>
      <c r="C16" s="66">
        <f>SUMIFS(Fact_Baseline_PV!$C:$C,Fact_Baseline_PV!$A:$A,"&lt;="&amp;B16)</f>
        <v>268650</v>
      </c>
      <c r="D16" s="66">
        <f>SUMIFS(Fact_Actual_Costs!$D:$D,Fact_Actual_Costs!$A:$A,"&lt;="&amp;B16)</f>
        <v>141985.44</v>
      </c>
      <c r="E16" s="66" cm="1">
        <f t="array" ref="E16">SUM(IFERROR(LOOKUP(2,1/(Fact_Physical_Progress!$B$2:$B$35=Dim_WBS!$A$2)/(Fact_Physical_Progress!$A$2:$A$35&lt;=B16),Fact_Physical_Progress!$C$2:$C$35),0)*Dim_WBS!$E$2,IFERROR(LOOKUP(2,1/(Fact_Physical_Progress!$B$2:$B$35=Dim_WBS!$A$3)/(Fact_Physical_Progress!$A$2:$A$35&lt;=B16),Fact_Physical_Progress!$C$2:$C$35),0)*Dim_WBS!$E$3,IFERROR(LOOKUP(2,1/(Fact_Physical_Progress!$B$2:$B$35=Dim_WBS!$A$4)/(Fact_Physical_Progress!$A$2:$A$35&lt;=B16),Fact_Physical_Progress!$C$2:$C$35),0)*Dim_WBS!$E$4,IFERROR(LOOKUP(2,1/(Fact_Physical_Progress!$B$2:$B$35=Dim_WBS!$A$5)/(Fact_Physical_Progress!$A$2:$A$35&lt;=B16),Fact_Physical_Progress!$C$2:$C$35),0)*Dim_WBS!$E$5,IFERROR(LOOKUP(2,1/(Fact_Physical_Progress!$B$2:$B$35=Dim_WBS!$A$6)/(Fact_Physical_Progress!$A$2:$A$35&lt;=B16),Fact_Physical_Progress!$C$2:$C$35),0)*Dim_WBS!$E$6,IFERROR(LOOKUP(2,1/(Fact_Physical_Progress!$B$2:$B$35=Dim_WBS!$A$7)/(Fact_Physical_Progress!$A$2:$A$35&lt;=B16),Fact_Physical_Progress!$C$2:$C$35),0)*Dim_WBS!$E$7,IFERROR(LOOKUP(2,1/(Fact_Physical_Progress!$B$2:$B$35=Dim_WBS!$A$8)/(Fact_Physical_Progress!$A$2:$A$35&lt;=B16),Fact_Physical_Progress!$C$2:$C$35),0)*Dim_WBS!$E$8,IFERROR(LOOKUP(2,1/(Fact_Physical_Progress!$B$2:$B$35=Dim_WBS!$A$9)/(Fact_Physical_Progress!$A$2:$A$35&lt;=B16),Fact_Physical_Progress!$C$2:$C$35),0)*Dim_WBS!$E$9,IFERROR(LOOKUP(2,1/(Fact_Physical_Progress!$B$2:$B$35=Dim_WBS!$A$10)/(Fact_Physical_Progress!$A$2:$A$35&lt;=B16),Fact_Physical_Progress!$C$2:$C$35),0)*Dim_WBS!$E$10,IFERROR(LOOKUP(2,1/(Fact_Physical_Progress!$B$2:$B$35=Dim_WBS!$A$11)/(Fact_Physical_Progress!$A$2:$A$35&lt;=B16),Fact_Physical_Progress!$C$2:$C$35),0)*Dim_WBS!$E$11,IFERROR(LOOKUP(2,1/(Fact_Physical_Progress!$B$2:$B$35=Dim_WBS!$A$12)/(Fact_Physical_Progress!$A$2:$A$35&lt;=B16),Fact_Physical_Progress!$C$2:$C$35),0)*Dim_WBS!$E$12,IFERROR(LOOKUP(2,1/(Fact_Physical_Progress!$B$2:$B$35=Dim_WBS!$A$13)/(Fact_Physical_Progress!$A$2:$A$35&lt;=B16),Fact_Physical_Progress!$C$2:$C$35),0)*Dim_WBS!$E$13)</f>
        <v>131467.99600000001</v>
      </c>
      <c r="F16" s="66">
        <f t="shared" si="0"/>
        <v>-137182.00399999999</v>
      </c>
      <c r="G16" s="66">
        <f t="shared" si="1"/>
        <v>-10517.443999999989</v>
      </c>
      <c r="H16" s="67">
        <f t="shared" si="2"/>
        <v>0.48936533035548119</v>
      </c>
      <c r="I16" s="67">
        <f t="shared" si="3"/>
        <v>0.92592589775402334</v>
      </c>
      <c r="J16" s="66">
        <f>Setup!$B$11</f>
        <v>268650</v>
      </c>
      <c r="K16" s="66">
        <f t="shared" si="4"/>
        <v>290142.00882776058</v>
      </c>
      <c r="L16" s="66">
        <f t="shared" si="5"/>
        <v>148156.56882776058</v>
      </c>
      <c r="M16" s="66">
        <f t="shared" si="6"/>
        <v>-21492.008827760583</v>
      </c>
      <c r="N16" s="2" t="str">
        <f>IF(OR(F16&lt;0,G16&lt;0,H16&lt;Setup!$B$12,I16&lt;Setup!$B$12),"Red",IF(OR(H16&lt;Setup!$B$13,I16&lt;Setup!$B$13),"Amber","Green"))</f>
        <v>Red</v>
      </c>
    </row>
    <row r="19" spans="1:13" x14ac:dyDescent="0.35">
      <c r="A19" s="62" t="s">
        <v>206</v>
      </c>
      <c r="B19" s="62" t="s">
        <v>207</v>
      </c>
      <c r="C19" s="62" t="s">
        <v>208</v>
      </c>
      <c r="D19" s="62" t="s">
        <v>209</v>
      </c>
      <c r="E19" s="62" t="s">
        <v>210</v>
      </c>
      <c r="F19" s="62" t="s">
        <v>211</v>
      </c>
      <c r="H19" s="3" t="s">
        <v>266</v>
      </c>
      <c r="I19" s="3" t="s">
        <v>267</v>
      </c>
      <c r="J19" s="3" t="s">
        <v>381</v>
      </c>
      <c r="K19" s="3" t="s">
        <v>268</v>
      </c>
      <c r="L19" s="3" t="s">
        <v>210</v>
      </c>
      <c r="M19" s="3" t="s">
        <v>211</v>
      </c>
    </row>
    <row r="20" spans="1:13" x14ac:dyDescent="0.35">
      <c r="A20" s="2" t="s">
        <v>212</v>
      </c>
      <c r="B20" s="66" t="e">
        <f>INDEX(E5:E16,MATCH(Setup!$B$9,B5:B16,0))-INDEX(C5:C16,MATCH(Setup!$B$9,B5:B16,0))</f>
        <v>#N/A</v>
      </c>
      <c r="C20" s="2" t="s">
        <v>213</v>
      </c>
      <c r="D20" s="66" t="e">
        <f t="shared" ref="D20:D25" si="7">B20</f>
        <v>#N/A</v>
      </c>
      <c r="E20" s="2" t="s">
        <v>214</v>
      </c>
      <c r="F20" s="2" t="s">
        <v>215</v>
      </c>
      <c r="H20" s="2" t="s">
        <v>269</v>
      </c>
      <c r="I20" s="66">
        <f>'EVM Dashboard'!D7</f>
        <v>220233.34</v>
      </c>
      <c r="J20" s="66">
        <f>'Task Plan'!I17</f>
        <v>220233.34</v>
      </c>
      <c r="K20" s="66">
        <f t="shared" ref="K20:K25" si="8">J20-I20</f>
        <v>0</v>
      </c>
      <c r="L20" s="2" t="str">
        <f t="shared" ref="L20:L25" si="9">IF(ABS(K20)&lt;0.01,"OK","Review")</f>
        <v>OK</v>
      </c>
      <c r="M20" s="2" t="s">
        <v>382</v>
      </c>
    </row>
    <row r="21" spans="1:13" x14ac:dyDescent="0.35">
      <c r="A21" s="2" t="s">
        <v>216</v>
      </c>
      <c r="B21" s="66" t="e">
        <f>INDEX(E5:E16,MATCH(Setup!$B$9,B5:B16,0))-INDEX(D5:D16,MATCH(Setup!$B$9,B5:B16,0))</f>
        <v>#N/A</v>
      </c>
      <c r="C21" s="2" t="s">
        <v>217</v>
      </c>
      <c r="D21" s="66" t="e">
        <f t="shared" si="7"/>
        <v>#N/A</v>
      </c>
      <c r="E21" s="2" t="s">
        <v>214</v>
      </c>
      <c r="F21" s="2" t="s">
        <v>215</v>
      </c>
      <c r="H21" s="2" t="s">
        <v>270</v>
      </c>
      <c r="I21" s="66">
        <f>'EVM Dashboard'!G7</f>
        <v>141985.44</v>
      </c>
      <c r="J21" s="66">
        <f>'Task Plan'!J17</f>
        <v>141985.44</v>
      </c>
      <c r="K21" s="66">
        <f t="shared" si="8"/>
        <v>0</v>
      </c>
      <c r="L21" s="2" t="str">
        <f t="shared" si="9"/>
        <v>OK</v>
      </c>
      <c r="M21" s="2" t="s">
        <v>383</v>
      </c>
    </row>
    <row r="22" spans="1:13" x14ac:dyDescent="0.35">
      <c r="A22" s="2" t="s">
        <v>218</v>
      </c>
      <c r="B22" s="66" t="e">
        <f>INDEX(E5:E16,MATCH(Setup!$B$9,B5:B16,0))/INDEX(C5:C16,MATCH(Setup!$B$9,B5:B16,0))</f>
        <v>#N/A</v>
      </c>
      <c r="C22" s="2" t="s">
        <v>219</v>
      </c>
      <c r="D22" s="67" t="e">
        <f t="shared" si="7"/>
        <v>#N/A</v>
      </c>
      <c r="E22" s="2" t="s">
        <v>214</v>
      </c>
      <c r="F22" s="2" t="s">
        <v>215</v>
      </c>
      <c r="H22" s="2" t="s">
        <v>271</v>
      </c>
      <c r="I22" s="66">
        <f>'EVM Dashboard'!J7</f>
        <v>131467.99600000001</v>
      </c>
      <c r="J22" s="66">
        <f>'Task Plan'!L17</f>
        <v>131467.99600000001</v>
      </c>
      <c r="K22" s="66">
        <f t="shared" si="8"/>
        <v>0</v>
      </c>
      <c r="L22" s="2" t="str">
        <f t="shared" si="9"/>
        <v>OK</v>
      </c>
      <c r="M22" s="2" t="s">
        <v>384</v>
      </c>
    </row>
    <row r="23" spans="1:13" x14ac:dyDescent="0.35">
      <c r="A23" s="2" t="s">
        <v>220</v>
      </c>
      <c r="B23" s="66" t="e">
        <f>INDEX(E5:E16,MATCH(Setup!$B$9,B5:B16,0))/INDEX(D5:D16,MATCH(Setup!$B$9,B5:B16,0))</f>
        <v>#N/A</v>
      </c>
      <c r="C23" s="2" t="s">
        <v>221</v>
      </c>
      <c r="D23" s="67" t="e">
        <f t="shared" si="7"/>
        <v>#N/A</v>
      </c>
      <c r="E23" s="2" t="s">
        <v>214</v>
      </c>
      <c r="F23" s="2" t="s">
        <v>215</v>
      </c>
      <c r="H23" s="2" t="s">
        <v>30</v>
      </c>
      <c r="I23" s="67">
        <f>'EVM Dashboard'!J10</f>
        <v>0.59694865454976076</v>
      </c>
      <c r="J23" s="67">
        <f>'Task Plan'!O17</f>
        <v>0.59694865454976076</v>
      </c>
      <c r="K23" s="67">
        <f t="shared" si="8"/>
        <v>0</v>
      </c>
      <c r="L23" s="2" t="str">
        <f t="shared" si="9"/>
        <v>OK</v>
      </c>
      <c r="M23" s="2" t="s">
        <v>385</v>
      </c>
    </row>
    <row r="24" spans="1:13" x14ac:dyDescent="0.35">
      <c r="A24" s="2" t="s">
        <v>222</v>
      </c>
      <c r="B24" s="66" t="e">
        <f>Setup!$B$11/B23</f>
        <v>#N/A</v>
      </c>
      <c r="C24" s="2" t="s">
        <v>223</v>
      </c>
      <c r="D24" s="66" t="e">
        <f t="shared" si="7"/>
        <v>#N/A</v>
      </c>
      <c r="E24" s="2" t="s">
        <v>214</v>
      </c>
      <c r="F24" s="2" t="s">
        <v>224</v>
      </c>
      <c r="H24" s="2" t="s">
        <v>29</v>
      </c>
      <c r="I24" s="67">
        <f>'EVM Dashboard'!G10</f>
        <v>0.92592589775402334</v>
      </c>
      <c r="J24" s="67">
        <f>'Task Plan'!P17</f>
        <v>0.92592589775402334</v>
      </c>
      <c r="K24" s="67">
        <f t="shared" si="8"/>
        <v>0</v>
      </c>
      <c r="L24" s="2" t="str">
        <f t="shared" si="9"/>
        <v>OK</v>
      </c>
      <c r="M24" s="2" t="s">
        <v>386</v>
      </c>
    </row>
    <row r="25" spans="1:13" x14ac:dyDescent="0.35">
      <c r="A25" s="2" t="s">
        <v>225</v>
      </c>
      <c r="B25" s="66" t="e">
        <f>Setup!$B$11/B23*-1+Setup!$B$11</f>
        <v>#N/A</v>
      </c>
      <c r="C25" s="2" t="s">
        <v>226</v>
      </c>
      <c r="D25" s="66" t="e">
        <f t="shared" si="7"/>
        <v>#N/A</v>
      </c>
      <c r="E25" s="2" t="s">
        <v>214</v>
      </c>
      <c r="F25" s="2" t="s">
        <v>224</v>
      </c>
      <c r="H25" s="2" t="s">
        <v>33</v>
      </c>
      <c r="I25" s="66">
        <f>'EVM Dashboard'!G13</f>
        <v>-21492.008827760583</v>
      </c>
      <c r="J25" s="66">
        <f>'Task Plan'!S17</f>
        <v>-21492.008827760583</v>
      </c>
      <c r="K25" s="66">
        <f t="shared" si="8"/>
        <v>0</v>
      </c>
      <c r="L25" s="2" t="str">
        <f t="shared" si="9"/>
        <v>OK</v>
      </c>
      <c r="M25" s="2" t="s">
        <v>387</v>
      </c>
    </row>
  </sheetData>
  <mergeCells count="2">
    <mergeCell ref="A1:N1"/>
    <mergeCell ref="A2:N2"/>
  </mergeCells>
  <conditionalFormatting sqref="F5:G16">
    <cfRule type="cellIs" dxfId="20" priority="7" operator="lessThan">
      <formula>0</formula>
    </cfRule>
    <cfRule type="cellIs" dxfId="19" priority="8" operator="greaterThanOrEqual">
      <formula>0</formula>
    </cfRule>
  </conditionalFormatting>
  <conditionalFormatting sqref="H5:I16">
    <cfRule type="cellIs" dxfId="18" priority="4" operator="lessThan">
      <formula>0.95</formula>
    </cfRule>
    <cfRule type="cellIs" dxfId="17" priority="5" operator="between">
      <formula>0.95</formula>
      <formula>0.999999</formula>
    </cfRule>
    <cfRule type="cellIs" dxfId="16" priority="6" operator="greaterThanOrEqual">
      <formula>1</formula>
    </cfRule>
  </conditionalFormatting>
  <conditionalFormatting sqref="L20:L25">
    <cfRule type="containsText" dxfId="15" priority="9" operator="containsText" text="OK">
      <formula>NOT(ISERROR(SEARCH("OK",L20)))</formula>
    </cfRule>
    <cfRule type="containsText" dxfId="14" priority="10" operator="containsText" text="Review">
      <formula>NOT(ISERROR(SEARCH("Review",L20)))</formula>
    </cfRule>
  </conditionalFormatting>
  <conditionalFormatting sqref="N5:N16">
    <cfRule type="containsText" dxfId="13" priority="1" operator="containsText" text="Green">
      <formula>NOT(ISERROR(SEARCH("Green",N5)))</formula>
    </cfRule>
    <cfRule type="containsText" dxfId="12" priority="2" operator="containsText" text="Amber">
      <formula>NOT(ISERROR(SEARCH("Amber",N5)))</formula>
    </cfRule>
    <cfRule type="containsText" dxfId="11" priority="3" operator="containsText" text="Red">
      <formula>NOT(ISERROR(SEARCH("Red",N5)))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E00E-E4AF-4D1D-A88D-AE793939C385}">
  <sheetPr>
    <tabColor rgb="FFED7D31"/>
  </sheetPr>
  <dimension ref="A1:P35"/>
  <sheetViews>
    <sheetView showGridLines="0" workbookViewId="0">
      <selection activeCell="L7" sqref="L7"/>
    </sheetView>
  </sheetViews>
  <sheetFormatPr defaultRowHeight="14.5" x14ac:dyDescent="0.35"/>
  <cols>
    <col min="3" max="4" width="11.36328125" customWidth="1"/>
    <col min="5" max="5" width="10" customWidth="1"/>
    <col min="12" max="12" width="38.6328125" customWidth="1"/>
    <col min="14" max="14" width="15.453125" customWidth="1"/>
    <col min="15" max="15" width="23.6328125" customWidth="1"/>
    <col min="16" max="16" width="30.90625" customWidth="1"/>
  </cols>
  <sheetData>
    <row r="1" spans="1:16" ht="23.5" x14ac:dyDescent="0.55000000000000004">
      <c r="A1" s="60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62" t="s">
        <v>145</v>
      </c>
      <c r="O1" s="63">
        <f>MIN(Fact_Baseline_PV!A:A)</f>
        <v>46146</v>
      </c>
    </row>
    <row r="2" spans="1:16" ht="304.5" x14ac:dyDescent="0.35">
      <c r="A2" s="61" t="s">
        <v>144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N2" s="62" t="s">
        <v>146</v>
      </c>
      <c r="O2" s="63">
        <f>MAX(Fact_Baseline_PV!A:A)+6</f>
        <v>46229</v>
      </c>
    </row>
    <row r="3" spans="1:16" x14ac:dyDescent="0.35">
      <c r="N3" s="62" t="s">
        <v>147</v>
      </c>
      <c r="O3" s="63">
        <f>'EVM Dashboard'!B4</f>
        <v>46203</v>
      </c>
    </row>
    <row r="4" spans="1:16" x14ac:dyDescent="0.35">
      <c r="A4" s="62" t="s">
        <v>19</v>
      </c>
      <c r="B4" s="62" t="s">
        <v>148</v>
      </c>
      <c r="C4" s="62" t="s">
        <v>149</v>
      </c>
      <c r="D4" s="62" t="s">
        <v>150</v>
      </c>
      <c r="E4" s="62" t="s">
        <v>151</v>
      </c>
      <c r="F4" s="62" t="s">
        <v>152</v>
      </c>
      <c r="G4" s="62" t="s">
        <v>25</v>
      </c>
      <c r="H4" s="62" t="s">
        <v>153</v>
      </c>
    </row>
    <row r="5" spans="1:16" x14ac:dyDescent="0.35">
      <c r="A5" s="2" t="str">
        <f>Dim_WBS!A2</f>
        <v>WBS-01</v>
      </c>
      <c r="B5" s="2" t="str">
        <f>Dim_WBS!C2</f>
        <v>Project Management</v>
      </c>
      <c r="C5" s="63">
        <f>_xlfn.MINIFS(Fact_Baseline_PV!$A:$A,Fact_Baseline_PV!$B:$B,A5)</f>
        <v>46146</v>
      </c>
      <c r="D5" s="63">
        <f>_xlfn.MAXIFS(Fact_Baseline_PV!$A:$A,Fact_Baseline_PV!$B:$B,A5)+6</f>
        <v>46229</v>
      </c>
      <c r="E5" s="64">
        <f t="shared" ref="E5:E16" si="0">C5-$O$1</f>
        <v>0</v>
      </c>
      <c r="F5" s="64">
        <f t="shared" ref="F5:F16" si="1">D5-C5+1</f>
        <v>84</v>
      </c>
      <c r="G5" s="65" cm="1">
        <f t="array" ref="G5">IFERROR(LOOKUP(2,1/(Fact_Physical_Progress!$B$2:$B$35=A5)/(Fact_Physical_Progress!$A$2:$A$35&lt;=$O$3),Fact_Physical_Progress!$C$2:$C$35),0)</f>
        <v>0.5</v>
      </c>
      <c r="H5" s="2" t="str">
        <f t="shared" ref="H5:H16" si="2">IF(G5&lt;0.5,"Red",IF(G5&lt;0.8,"Amber","Green"))</f>
        <v>Amber</v>
      </c>
      <c r="N5" s="62" t="s">
        <v>129</v>
      </c>
      <c r="O5" s="62" t="s">
        <v>130</v>
      </c>
      <c r="P5" s="62" t="s">
        <v>371</v>
      </c>
    </row>
    <row r="6" spans="1:16" x14ac:dyDescent="0.35">
      <c r="A6" s="2" t="str">
        <f>Dim_WBS!A3</f>
        <v>WBS-02</v>
      </c>
      <c r="B6" s="2" t="str">
        <f>Dim_WBS!C3</f>
        <v>Site Survey &amp; Mobilization</v>
      </c>
      <c r="C6" s="63">
        <f>_xlfn.MINIFS(Fact_Baseline_PV!$A:$A,Fact_Baseline_PV!$B:$B,A6)</f>
        <v>46146</v>
      </c>
      <c r="D6" s="63">
        <f>_xlfn.MAXIFS(Fact_Baseline_PV!$A:$A,Fact_Baseline_PV!$B:$B,A6)+6</f>
        <v>46152</v>
      </c>
      <c r="E6" s="64">
        <f t="shared" si="0"/>
        <v>0</v>
      </c>
      <c r="F6" s="64">
        <f t="shared" si="1"/>
        <v>7</v>
      </c>
      <c r="G6" s="65" cm="1">
        <f t="array" ref="G6">IFERROR(LOOKUP(2,1/(Fact_Physical_Progress!$B$2:$B$35=A6)/(Fact_Physical_Progress!$A$2:$A$35&lt;=$O$3),Fact_Physical_Progress!$C$2:$C$35),0)</f>
        <v>1</v>
      </c>
      <c r="H6" s="2" t="str">
        <f t="shared" si="2"/>
        <v>Green</v>
      </c>
      <c r="N6" s="83" t="s">
        <v>132</v>
      </c>
      <c r="O6" s="9" t="s">
        <v>372</v>
      </c>
      <c r="P6" s="87" t="s">
        <v>373</v>
      </c>
    </row>
    <row r="7" spans="1:16" x14ac:dyDescent="0.35">
      <c r="A7" s="2" t="str">
        <f>Dim_WBS!A4</f>
        <v>WBS-03</v>
      </c>
      <c r="B7" s="2" t="str">
        <f>Dim_WBS!C4</f>
        <v>Design &amp; Engineering</v>
      </c>
      <c r="C7" s="63">
        <f>_xlfn.MINIFS(Fact_Baseline_PV!$A:$A,Fact_Baseline_PV!$B:$B,A7)</f>
        <v>46146</v>
      </c>
      <c r="D7" s="63">
        <f>_xlfn.MAXIFS(Fact_Baseline_PV!$A:$A,Fact_Baseline_PV!$B:$B,A7)+6</f>
        <v>46166</v>
      </c>
      <c r="E7" s="64">
        <f t="shared" si="0"/>
        <v>0</v>
      </c>
      <c r="F7" s="64">
        <f t="shared" si="1"/>
        <v>21</v>
      </c>
      <c r="G7" s="65" cm="1">
        <f t="array" ref="G7">IFERROR(LOOKUP(2,1/(Fact_Physical_Progress!$B$2:$B$35=A7)/(Fact_Physical_Progress!$A$2:$A$35&lt;=$O$3),Fact_Physical_Progress!$C$2:$C$35),0)</f>
        <v>1</v>
      </c>
      <c r="H7" s="2" t="str">
        <f t="shared" si="2"/>
        <v>Green</v>
      </c>
      <c r="N7" s="84" t="s">
        <v>134</v>
      </c>
      <c r="O7" s="9" t="s">
        <v>374</v>
      </c>
      <c r="P7" s="87" t="s">
        <v>375</v>
      </c>
    </row>
    <row r="8" spans="1:16" x14ac:dyDescent="0.35">
      <c r="A8" s="2" t="str">
        <f>Dim_WBS!A5</f>
        <v>WBS-04</v>
      </c>
      <c r="B8" s="2" t="str">
        <f>Dim_WBS!C5</f>
        <v>Procurement - Materials</v>
      </c>
      <c r="C8" s="63">
        <f>_xlfn.MINIFS(Fact_Baseline_PV!$A:$A,Fact_Baseline_PV!$B:$B,A8)</f>
        <v>46153</v>
      </c>
      <c r="D8" s="63">
        <f>_xlfn.MAXIFS(Fact_Baseline_PV!$A:$A,Fact_Baseline_PV!$B:$B,A8)+6</f>
        <v>46180</v>
      </c>
      <c r="E8" s="64">
        <f t="shared" si="0"/>
        <v>7</v>
      </c>
      <c r="F8" s="64">
        <f t="shared" si="1"/>
        <v>28</v>
      </c>
      <c r="G8" s="65" cm="1">
        <f t="array" ref="G8">IFERROR(LOOKUP(2,1/(Fact_Physical_Progress!$B$2:$B$35=A8)/(Fact_Physical_Progress!$A$2:$A$35&lt;=$O$3),Fact_Physical_Progress!$C$2:$C$35),0)</f>
        <v>1</v>
      </c>
      <c r="H8" s="2" t="str">
        <f t="shared" si="2"/>
        <v>Green</v>
      </c>
      <c r="N8" s="85" t="s">
        <v>137</v>
      </c>
      <c r="O8" s="9" t="s">
        <v>376</v>
      </c>
      <c r="P8" s="87" t="s">
        <v>377</v>
      </c>
    </row>
    <row r="9" spans="1:16" x14ac:dyDescent="0.35">
      <c r="A9" s="2" t="str">
        <f>Dim_WBS!A6</f>
        <v>WBS-05</v>
      </c>
      <c r="B9" s="2" t="str">
        <f>Dim_WBS!C6</f>
        <v>Demolition &amp; Prep</v>
      </c>
      <c r="C9" s="63">
        <f>_xlfn.MINIFS(Fact_Baseline_PV!$A:$A,Fact_Baseline_PV!$B:$B,A9)</f>
        <v>46153</v>
      </c>
      <c r="D9" s="63">
        <f>_xlfn.MAXIFS(Fact_Baseline_PV!$A:$A,Fact_Baseline_PV!$B:$B,A9)+6</f>
        <v>46173</v>
      </c>
      <c r="E9" s="64">
        <f t="shared" si="0"/>
        <v>7</v>
      </c>
      <c r="F9" s="64">
        <f t="shared" si="1"/>
        <v>21</v>
      </c>
      <c r="G9" s="65" cm="1">
        <f t="array" ref="G9">IFERROR(LOOKUP(2,1/(Fact_Physical_Progress!$B$2:$B$35=A9)/(Fact_Physical_Progress!$A$2:$A$35&lt;=$O$3),Fact_Physical_Progress!$C$2:$C$35),0)</f>
        <v>1</v>
      </c>
      <c r="H9" s="2" t="str">
        <f t="shared" si="2"/>
        <v>Green</v>
      </c>
      <c r="N9" s="86" t="s">
        <v>378</v>
      </c>
      <c r="O9" s="9" t="s">
        <v>379</v>
      </c>
      <c r="P9" s="87" t="s">
        <v>380</v>
      </c>
    </row>
    <row r="10" spans="1:16" x14ac:dyDescent="0.35">
      <c r="A10" s="2" t="str">
        <f>Dim_WBS!A7</f>
        <v>WBS-06</v>
      </c>
      <c r="B10" s="2" t="str">
        <f>Dim_WBS!C7</f>
        <v>Electrical Rough-In</v>
      </c>
      <c r="C10" s="63">
        <f>_xlfn.MINIFS(Fact_Baseline_PV!$A:$A,Fact_Baseline_PV!$B:$B,A10)</f>
        <v>46167</v>
      </c>
      <c r="D10" s="63">
        <f>_xlfn.MAXIFS(Fact_Baseline_PV!$A:$A,Fact_Baseline_PV!$B:$B,A10)+6</f>
        <v>46187</v>
      </c>
      <c r="E10" s="64">
        <f t="shared" si="0"/>
        <v>21</v>
      </c>
      <c r="F10" s="64">
        <f t="shared" si="1"/>
        <v>21</v>
      </c>
      <c r="G10" s="65" cm="1">
        <f t="array" ref="G10">IFERROR(LOOKUP(2,1/(Fact_Physical_Progress!$B$2:$B$35=A10)/(Fact_Physical_Progress!$A$2:$A$35&lt;=$O$3),Fact_Physical_Progress!$C$2:$C$35),0)</f>
        <v>0.7</v>
      </c>
      <c r="H10" s="2" t="str">
        <f t="shared" si="2"/>
        <v>Amber</v>
      </c>
      <c r="N10" s="69" t="s">
        <v>388</v>
      </c>
      <c r="O10" s="68" t="s">
        <v>389</v>
      </c>
      <c r="P10" s="68" t="s">
        <v>390</v>
      </c>
    </row>
    <row r="11" spans="1:16" x14ac:dyDescent="0.35">
      <c r="A11" s="2" t="str">
        <f>Dim_WBS!A8</f>
        <v>WBS-07</v>
      </c>
      <c r="B11" s="2" t="str">
        <f>Dim_WBS!C8</f>
        <v>HVAC Installation</v>
      </c>
      <c r="C11" s="63">
        <f>_xlfn.MINIFS(Fact_Baseline_PV!$A:$A,Fact_Baseline_PV!$B:$B,A11)</f>
        <v>46174</v>
      </c>
      <c r="D11" s="63">
        <f>_xlfn.MAXIFS(Fact_Baseline_PV!$A:$A,Fact_Baseline_PV!$B:$B,A11)+6</f>
        <v>46201</v>
      </c>
      <c r="E11" s="64">
        <f t="shared" si="0"/>
        <v>28</v>
      </c>
      <c r="F11" s="64">
        <f t="shared" si="1"/>
        <v>28</v>
      </c>
      <c r="G11" s="65" cm="1">
        <f t="array" ref="G11">IFERROR(LOOKUP(2,1/(Fact_Physical_Progress!$B$2:$B$35=A11)/(Fact_Physical_Progress!$A$2:$A$35&lt;=$O$3),Fact_Physical_Progress!$C$2:$C$35),0)</f>
        <v>0.4</v>
      </c>
      <c r="H11" s="2" t="str">
        <f t="shared" si="2"/>
        <v>Red</v>
      </c>
    </row>
    <row r="12" spans="1:16" x14ac:dyDescent="0.35">
      <c r="A12" s="2" t="str">
        <f>Dim_WBS!A9</f>
        <v>WBS-08</v>
      </c>
      <c r="B12" s="2" t="str">
        <f>Dim_WBS!C9</f>
        <v>Partitions &amp; Drywall</v>
      </c>
      <c r="C12" s="63">
        <f>_xlfn.MINIFS(Fact_Baseline_PV!$A:$A,Fact_Baseline_PV!$B:$B,A12)</f>
        <v>46181</v>
      </c>
      <c r="D12" s="63">
        <f>_xlfn.MAXIFS(Fact_Baseline_PV!$A:$A,Fact_Baseline_PV!$B:$B,A12)+6</f>
        <v>46208</v>
      </c>
      <c r="E12" s="64">
        <f t="shared" si="0"/>
        <v>35</v>
      </c>
      <c r="F12" s="64">
        <f t="shared" si="1"/>
        <v>28</v>
      </c>
      <c r="G12" s="65" cm="1">
        <f t="array" ref="G12">IFERROR(LOOKUP(2,1/(Fact_Physical_Progress!$B$2:$B$35=A12)/(Fact_Physical_Progress!$A$2:$A$35&lt;=$O$3),Fact_Physical_Progress!$C$2:$C$35),0)</f>
        <v>0.24885699999999999</v>
      </c>
      <c r="H12" s="2" t="str">
        <f t="shared" si="2"/>
        <v>Red</v>
      </c>
    </row>
    <row r="13" spans="1:16" x14ac:dyDescent="0.35">
      <c r="A13" s="2" t="str">
        <f>Dim_WBS!A10</f>
        <v>WBS-09</v>
      </c>
      <c r="B13" s="2" t="str">
        <f>Dim_WBS!C10</f>
        <v>Flooring</v>
      </c>
      <c r="C13" s="63">
        <f>_xlfn.MINIFS(Fact_Baseline_PV!$A:$A,Fact_Baseline_PV!$B:$B,A13)</f>
        <v>46195</v>
      </c>
      <c r="D13" s="63">
        <f>_xlfn.MAXIFS(Fact_Baseline_PV!$A:$A,Fact_Baseline_PV!$B:$B,A13)+6</f>
        <v>46215</v>
      </c>
      <c r="E13" s="64">
        <f t="shared" si="0"/>
        <v>49</v>
      </c>
      <c r="F13" s="64">
        <f t="shared" si="1"/>
        <v>21</v>
      </c>
      <c r="G13" s="65" cm="1">
        <f t="array" ref="G13">IFERROR(LOOKUP(2,1/(Fact_Physical_Progress!$B$2:$B$35=A13)/(Fact_Physical_Progress!$A$2:$A$35&lt;=$O$3),Fact_Physical_Progress!$C$2:$C$35),0)</f>
        <v>0</v>
      </c>
      <c r="H13" s="2" t="str">
        <f t="shared" si="2"/>
        <v>Red</v>
      </c>
    </row>
    <row r="14" spans="1:16" x14ac:dyDescent="0.35">
      <c r="A14" s="2" t="str">
        <f>Dim_WBS!A11</f>
        <v>WBS-10</v>
      </c>
      <c r="B14" s="2" t="str">
        <f>Dim_WBS!C11</f>
        <v>Fixtures &amp; Furniture</v>
      </c>
      <c r="C14" s="63">
        <f>_xlfn.MINIFS(Fact_Baseline_PV!$A:$A,Fact_Baseline_PV!$B:$B,A14)</f>
        <v>46202</v>
      </c>
      <c r="D14" s="63">
        <f>_xlfn.MAXIFS(Fact_Baseline_PV!$A:$A,Fact_Baseline_PV!$B:$B,A14)+6</f>
        <v>46222</v>
      </c>
      <c r="E14" s="64">
        <f t="shared" si="0"/>
        <v>56</v>
      </c>
      <c r="F14" s="64">
        <f t="shared" si="1"/>
        <v>21</v>
      </c>
      <c r="G14" s="65" cm="1">
        <f t="array" ref="G14">IFERROR(LOOKUP(2,1/(Fact_Physical_Progress!$B$2:$B$35=A14)/(Fact_Physical_Progress!$A$2:$A$35&lt;=$O$3),Fact_Physical_Progress!$C$2:$C$35),0)</f>
        <v>0</v>
      </c>
      <c r="H14" s="2" t="str">
        <f t="shared" si="2"/>
        <v>Red</v>
      </c>
    </row>
    <row r="15" spans="1:16" x14ac:dyDescent="0.35">
      <c r="A15" s="2" t="str">
        <f>Dim_WBS!A12</f>
        <v>WBS-11</v>
      </c>
      <c r="B15" s="2" t="str">
        <f>Dim_WBS!C12</f>
        <v>Testing / Commissioning</v>
      </c>
      <c r="C15" s="63">
        <f>_xlfn.MINIFS(Fact_Baseline_PV!$A:$A,Fact_Baseline_PV!$B:$B,A15)</f>
        <v>46216</v>
      </c>
      <c r="D15" s="63">
        <f>_xlfn.MAXIFS(Fact_Baseline_PV!$A:$A,Fact_Baseline_PV!$B:$B,A15)+6</f>
        <v>46229</v>
      </c>
      <c r="E15" s="64">
        <f t="shared" si="0"/>
        <v>70</v>
      </c>
      <c r="F15" s="64">
        <f t="shared" si="1"/>
        <v>14</v>
      </c>
      <c r="G15" s="65" cm="1">
        <f t="array" ref="G15">IFERROR(LOOKUP(2,1/(Fact_Physical_Progress!$B$2:$B$35=A15)/(Fact_Physical_Progress!$A$2:$A$35&lt;=$O$3),Fact_Physical_Progress!$C$2:$C$35),0)</f>
        <v>0</v>
      </c>
      <c r="H15" s="2" t="str">
        <f t="shared" si="2"/>
        <v>Red</v>
      </c>
    </row>
    <row r="16" spans="1:16" x14ac:dyDescent="0.35">
      <c r="A16" s="2" t="str">
        <f>Dim_WBS!A13</f>
        <v>WBS-12</v>
      </c>
      <c r="B16" s="2" t="str">
        <f>Dim_WBS!C13</f>
        <v>Handover &amp; Closeout</v>
      </c>
      <c r="C16" s="63">
        <f>_xlfn.MINIFS(Fact_Baseline_PV!$A:$A,Fact_Baseline_PV!$B:$B,A16)</f>
        <v>46223</v>
      </c>
      <c r="D16" s="63">
        <f>_xlfn.MAXIFS(Fact_Baseline_PV!$A:$A,Fact_Baseline_PV!$B:$B,A16)+6</f>
        <v>46229</v>
      </c>
      <c r="E16" s="64">
        <f t="shared" si="0"/>
        <v>77</v>
      </c>
      <c r="F16" s="64">
        <f t="shared" si="1"/>
        <v>7</v>
      </c>
      <c r="G16" s="65" cm="1">
        <f t="array" ref="G16">IFERROR(LOOKUP(2,1/(Fact_Physical_Progress!$B$2:$B$35=A16)/(Fact_Physical_Progress!$A$2:$A$35&lt;=$O$3),Fact_Physical_Progress!$C$2:$C$35),0)</f>
        <v>0</v>
      </c>
      <c r="H16" s="2" t="str">
        <f t="shared" si="2"/>
        <v>Red</v>
      </c>
    </row>
    <row r="23" spans="1:7" x14ac:dyDescent="0.35">
      <c r="A23" s="62" t="s">
        <v>64</v>
      </c>
      <c r="B23" s="62" t="s">
        <v>65</v>
      </c>
      <c r="C23" s="62" t="s">
        <v>67</v>
      </c>
      <c r="D23" s="62" t="s">
        <v>69</v>
      </c>
      <c r="E23" s="62" t="s">
        <v>70</v>
      </c>
      <c r="F23" s="62" t="s">
        <v>29</v>
      </c>
      <c r="G23" s="62" t="s">
        <v>30</v>
      </c>
    </row>
    <row r="24" spans="1:7" x14ac:dyDescent="0.35">
      <c r="A24" s="2">
        <v>1</v>
      </c>
      <c r="B24" s="63">
        <f>MIN(Fact_Baseline_PV!$A:$A)+4+(0*7)</f>
        <v>46150</v>
      </c>
      <c r="C24" s="66">
        <f>SUMIFS(Fact_Baseline_PV!$C:$C,Fact_Baseline_PV!$A:$A,"&lt;="&amp;B24)</f>
        <v>16400</v>
      </c>
      <c r="D24" s="66">
        <f>SUMIFS(Fact_Actual_Costs!$D:$D,Fact_Actual_Costs!$A:$A,"&lt;="&amp;B24)</f>
        <v>16295.04</v>
      </c>
      <c r="E24" s="66" cm="1">
        <f t="array" ref="E24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f>
        <v>15087.994000000001</v>
      </c>
      <c r="F24" s="67">
        <f t="shared" ref="F24:F35" si="3">IFERROR(E24/D24,0)</f>
        <v>0.92592555771572205</v>
      </c>
      <c r="G24" s="67">
        <f t="shared" ref="G24:G35" si="4">IFERROR(E24/C24,0)</f>
        <v>0.91999963414634145</v>
      </c>
    </row>
    <row r="25" spans="1:7" x14ac:dyDescent="0.35">
      <c r="A25" s="2">
        <v>2</v>
      </c>
      <c r="B25" s="63">
        <f>MIN(Fact_Baseline_PV!$A:$A)+4+(1*7)</f>
        <v>46157</v>
      </c>
      <c r="C25" s="66">
        <f>SUMIFS(Fact_Baseline_PV!$C:$C,Fact_Baseline_PV!$A:$A,"&lt;="&amp;B25)</f>
        <v>39200</v>
      </c>
      <c r="D25" s="66">
        <f>SUMIFS(Fact_Actual_Costs!$D:$D,Fact_Actual_Costs!$A:$A,"&lt;="&amp;B25)</f>
        <v>38949.120000000003</v>
      </c>
      <c r="E25" s="66" cm="1">
        <f t="array" ref="E25">SUM(IFERROR(LOOKUP(2,1/(Fact_Physical_Progress!$B$2:$B$35=Dim_WBS!$A$2)/(Fact_Physical_Progress!$A$2:$A$35&lt;=B25),Fact_Physical_Progress!$C$2:$C$35),0)*Dim_WBS!$E$2,IFERROR(LOOKUP(2,1/(Fact_Physical_Progress!$B$2:$B$35=Dim_WBS!$A$3)/(Fact_Physical_Progress!$A$2:$A$35&lt;=B25),Fact_Physical_Progress!$C$2:$C$35),0)*Dim_WBS!$E$3,IFERROR(LOOKUP(2,1/(Fact_Physical_Progress!$B$2:$B$35=Dim_WBS!$A$4)/(Fact_Physical_Progress!$A$2:$A$35&lt;=B25),Fact_Physical_Progress!$C$2:$C$35),0)*Dim_WBS!$E$4,IFERROR(LOOKUP(2,1/(Fact_Physical_Progress!$B$2:$B$35=Dim_WBS!$A$5)/(Fact_Physical_Progress!$A$2:$A$35&lt;=B25),Fact_Physical_Progress!$C$2:$C$35),0)*Dim_WBS!$E$5,IFERROR(LOOKUP(2,1/(Fact_Physical_Progress!$B$2:$B$35=Dim_WBS!$A$6)/(Fact_Physical_Progress!$A$2:$A$35&lt;=B25),Fact_Physical_Progress!$C$2:$C$35),0)*Dim_WBS!$E$6,IFERROR(LOOKUP(2,1/(Fact_Physical_Progress!$B$2:$B$35=Dim_WBS!$A$7)/(Fact_Physical_Progress!$A$2:$A$35&lt;=B25),Fact_Physical_Progress!$C$2:$C$35),0)*Dim_WBS!$E$7,IFERROR(LOOKUP(2,1/(Fact_Physical_Progress!$B$2:$B$35=Dim_WBS!$A$8)/(Fact_Physical_Progress!$A$2:$A$35&lt;=B25),Fact_Physical_Progress!$C$2:$C$35),0)*Dim_WBS!$E$8,IFERROR(LOOKUP(2,1/(Fact_Physical_Progress!$B$2:$B$35=Dim_WBS!$A$9)/(Fact_Physical_Progress!$A$2:$A$35&lt;=B25),Fact_Physical_Progress!$C$2:$C$35),0)*Dim_WBS!$E$9,IFERROR(LOOKUP(2,1/(Fact_Physical_Progress!$B$2:$B$35=Dim_WBS!$A$10)/(Fact_Physical_Progress!$A$2:$A$35&lt;=B25),Fact_Physical_Progress!$C$2:$C$35),0)*Dim_WBS!$E$10,IFERROR(LOOKUP(2,1/(Fact_Physical_Progress!$B$2:$B$35=Dim_WBS!$A$11)/(Fact_Physical_Progress!$A$2:$A$35&lt;=B25),Fact_Physical_Progress!$C$2:$C$35),0)*Dim_WBS!$E$11,IFERROR(LOOKUP(2,1/(Fact_Physical_Progress!$B$2:$B$35=Dim_WBS!$A$12)/(Fact_Physical_Progress!$A$2:$A$35&lt;=B25),Fact_Physical_Progress!$C$2:$C$35),0)*Dim_WBS!$E$12,IFERROR(LOOKUP(2,1/(Fact_Physical_Progress!$B$2:$B$35=Dim_WBS!$A$13)/(Fact_Physical_Progress!$A$2:$A$35&lt;=B25),Fact_Physical_Progress!$C$2:$C$35),0)*Dim_WBS!$E$13)</f>
        <v>36064.003600000004</v>
      </c>
      <c r="F25" s="67">
        <f t="shared" si="3"/>
        <v>0.92592601835420163</v>
      </c>
      <c r="G25" s="67">
        <f t="shared" si="4"/>
        <v>0.92000009183673481</v>
      </c>
    </row>
    <row r="26" spans="1:7" x14ac:dyDescent="0.35">
      <c r="A26" s="2">
        <v>3</v>
      </c>
      <c r="B26" s="63">
        <f>MIN(Fact_Baseline_PV!$A:$A)+4+(2*7)</f>
        <v>46164</v>
      </c>
      <c r="C26" s="66">
        <f>SUMIFS(Fact_Baseline_PV!$C:$C,Fact_Baseline_PV!$A:$A,"&lt;="&amp;B26)</f>
        <v>62000</v>
      </c>
      <c r="D26" s="66">
        <f>SUMIFS(Fact_Actual_Costs!$D:$D,Fact_Actual_Costs!$A:$A,"&lt;="&amp;B26)</f>
        <v>61603.200000000004</v>
      </c>
      <c r="E26" s="66" cm="1">
        <f t="array" ref="E26">SUM(IFERROR(LOOKUP(2,1/(Fact_Physical_Progress!$B$2:$B$35=Dim_WBS!$A$2)/(Fact_Physical_Progress!$A$2:$A$35&lt;=B26),Fact_Physical_Progress!$C$2:$C$35),0)*Dim_WBS!$E$2,IFERROR(LOOKUP(2,1/(Fact_Physical_Progress!$B$2:$B$35=Dim_WBS!$A$3)/(Fact_Physical_Progress!$A$2:$A$35&lt;=B26),Fact_Physical_Progress!$C$2:$C$35),0)*Dim_WBS!$E$3,IFERROR(LOOKUP(2,1/(Fact_Physical_Progress!$B$2:$B$35=Dim_WBS!$A$4)/(Fact_Physical_Progress!$A$2:$A$35&lt;=B26),Fact_Physical_Progress!$C$2:$C$35),0)*Dim_WBS!$E$4,IFERROR(LOOKUP(2,1/(Fact_Physical_Progress!$B$2:$B$35=Dim_WBS!$A$5)/(Fact_Physical_Progress!$A$2:$A$35&lt;=B26),Fact_Physical_Progress!$C$2:$C$35),0)*Dim_WBS!$E$5,IFERROR(LOOKUP(2,1/(Fact_Physical_Progress!$B$2:$B$35=Dim_WBS!$A$6)/(Fact_Physical_Progress!$A$2:$A$35&lt;=B26),Fact_Physical_Progress!$C$2:$C$35),0)*Dim_WBS!$E$6,IFERROR(LOOKUP(2,1/(Fact_Physical_Progress!$B$2:$B$35=Dim_WBS!$A$7)/(Fact_Physical_Progress!$A$2:$A$35&lt;=B26),Fact_Physical_Progress!$C$2:$C$35),0)*Dim_WBS!$E$7,IFERROR(LOOKUP(2,1/(Fact_Physical_Progress!$B$2:$B$35=Dim_WBS!$A$8)/(Fact_Physical_Progress!$A$2:$A$35&lt;=B26),Fact_Physical_Progress!$C$2:$C$35),0)*Dim_WBS!$E$8,IFERROR(LOOKUP(2,1/(Fact_Physical_Progress!$B$2:$B$35=Dim_WBS!$A$9)/(Fact_Physical_Progress!$A$2:$A$35&lt;=B26),Fact_Physical_Progress!$C$2:$C$35),0)*Dim_WBS!$E$9,IFERROR(LOOKUP(2,1/(Fact_Physical_Progress!$B$2:$B$35=Dim_WBS!$A$10)/(Fact_Physical_Progress!$A$2:$A$35&lt;=B26),Fact_Physical_Progress!$C$2:$C$35),0)*Dim_WBS!$E$10,IFERROR(LOOKUP(2,1/(Fact_Physical_Progress!$B$2:$B$35=Dim_WBS!$A$11)/(Fact_Physical_Progress!$A$2:$A$35&lt;=B26),Fact_Physical_Progress!$C$2:$C$35),0)*Dim_WBS!$E$11,IFERROR(LOOKUP(2,1/(Fact_Physical_Progress!$B$2:$B$35=Dim_WBS!$A$12)/(Fact_Physical_Progress!$A$2:$A$35&lt;=B26),Fact_Physical_Progress!$C$2:$C$35),0)*Dim_WBS!$E$12,IFERROR(LOOKUP(2,1/(Fact_Physical_Progress!$B$2:$B$35=Dim_WBS!$A$13)/(Fact_Physical_Progress!$A$2:$A$35&lt;=B26),Fact_Physical_Progress!$C$2:$C$35),0)*Dim_WBS!$E$13)</f>
        <v>57040</v>
      </c>
      <c r="F26" s="67">
        <f t="shared" si="3"/>
        <v>0.92592592592592582</v>
      </c>
      <c r="G26" s="67">
        <f t="shared" si="4"/>
        <v>0.92</v>
      </c>
    </row>
    <row r="27" spans="1:7" x14ac:dyDescent="0.35">
      <c r="A27" s="2">
        <v>4</v>
      </c>
      <c r="B27" s="63">
        <f>MIN(Fact_Baseline_PV!$A:$A)+4+(3*7)</f>
        <v>46171</v>
      </c>
      <c r="C27" s="66">
        <f>SUMIFS(Fact_Baseline_PV!$C:$C,Fact_Baseline_PV!$A:$A,"&lt;="&amp;B27)</f>
        <v>87066.67</v>
      </c>
      <c r="D27" s="66">
        <f>SUMIFS(Fact_Actual_Costs!$D:$D,Fact_Actual_Costs!$A:$A,"&lt;="&amp;B27)</f>
        <v>86509.440000000017</v>
      </c>
      <c r="E27" s="66" cm="1">
        <f t="array" ref="E27">SUM(IFERROR(LOOKUP(2,1/(Fact_Physical_Progress!$B$2:$B$35=Dim_WBS!$A$2)/(Fact_Physical_Progress!$A$2:$A$35&lt;=B27),Fact_Physical_Progress!$C$2:$C$35),0)*Dim_WBS!$E$2,IFERROR(LOOKUP(2,1/(Fact_Physical_Progress!$B$2:$B$35=Dim_WBS!$A$3)/(Fact_Physical_Progress!$A$2:$A$35&lt;=B27),Fact_Physical_Progress!$C$2:$C$35),0)*Dim_WBS!$E$3,IFERROR(LOOKUP(2,1/(Fact_Physical_Progress!$B$2:$B$35=Dim_WBS!$A$4)/(Fact_Physical_Progress!$A$2:$A$35&lt;=B27),Fact_Physical_Progress!$C$2:$C$35),0)*Dim_WBS!$E$4,IFERROR(LOOKUP(2,1/(Fact_Physical_Progress!$B$2:$B$35=Dim_WBS!$A$5)/(Fact_Physical_Progress!$A$2:$A$35&lt;=B27),Fact_Physical_Progress!$C$2:$C$35),0)*Dim_WBS!$E$5,IFERROR(LOOKUP(2,1/(Fact_Physical_Progress!$B$2:$B$35=Dim_WBS!$A$6)/(Fact_Physical_Progress!$A$2:$A$35&lt;=B27),Fact_Physical_Progress!$C$2:$C$35),0)*Dim_WBS!$E$6,IFERROR(LOOKUP(2,1/(Fact_Physical_Progress!$B$2:$B$35=Dim_WBS!$A$7)/(Fact_Physical_Progress!$A$2:$A$35&lt;=B27),Fact_Physical_Progress!$C$2:$C$35),0)*Dim_WBS!$E$7,IFERROR(LOOKUP(2,1/(Fact_Physical_Progress!$B$2:$B$35=Dim_WBS!$A$8)/(Fact_Physical_Progress!$A$2:$A$35&lt;=B27),Fact_Physical_Progress!$C$2:$C$35),0)*Dim_WBS!$E$8,IFERROR(LOOKUP(2,1/(Fact_Physical_Progress!$B$2:$B$35=Dim_WBS!$A$9)/(Fact_Physical_Progress!$A$2:$A$35&lt;=B27),Fact_Physical_Progress!$C$2:$C$35),0)*Dim_WBS!$E$9,IFERROR(LOOKUP(2,1/(Fact_Physical_Progress!$B$2:$B$35=Dim_WBS!$A$10)/(Fact_Physical_Progress!$A$2:$A$35&lt;=B27),Fact_Physical_Progress!$C$2:$C$35),0)*Dim_WBS!$E$10,IFERROR(LOOKUP(2,1/(Fact_Physical_Progress!$B$2:$B$35=Dim_WBS!$A$11)/(Fact_Physical_Progress!$A$2:$A$35&lt;=B27),Fact_Physical_Progress!$C$2:$C$35),0)*Dim_WBS!$E$11,IFERROR(LOOKUP(2,1/(Fact_Physical_Progress!$B$2:$B$35=Dim_WBS!$A$12)/(Fact_Physical_Progress!$A$2:$A$35&lt;=B27),Fact_Physical_Progress!$C$2:$C$35),0)*Dim_WBS!$E$12,IFERROR(LOOKUP(2,1/(Fact_Physical_Progress!$B$2:$B$35=Dim_WBS!$A$13)/(Fact_Physical_Progress!$A$2:$A$35&lt;=B27),Fact_Physical_Progress!$C$2:$C$35),0)*Dim_WBS!$E$13)</f>
        <v>80101.327999999994</v>
      </c>
      <c r="F27" s="67">
        <f t="shared" si="3"/>
        <v>0.92592586427562096</v>
      </c>
      <c r="G27" s="67">
        <f t="shared" si="4"/>
        <v>0.91999990352220884</v>
      </c>
    </row>
    <row r="28" spans="1:7" x14ac:dyDescent="0.35">
      <c r="A28" s="2">
        <v>5</v>
      </c>
      <c r="B28" s="63">
        <f>MIN(Fact_Baseline_PV!$A:$A)+4+(4*7)</f>
        <v>46178</v>
      </c>
      <c r="C28" s="66">
        <f>SUMIFS(Fact_Baseline_PV!$C:$C,Fact_Baseline_PV!$A:$A,"&lt;="&amp;B28)</f>
        <v>116733.34</v>
      </c>
      <c r="D28" s="66">
        <f>SUMIFS(Fact_Actual_Costs!$D:$D,Fact_Actual_Costs!$A:$A,"&lt;="&amp;B28)</f>
        <v>115986.24000000002</v>
      </c>
      <c r="E28" s="66" cm="1">
        <f t="array" ref="E28">SUM(IFERROR(LOOKUP(2,1/(Fact_Physical_Progress!$B$2:$B$35=Dim_WBS!$A$2)/(Fact_Physical_Progress!$A$2:$A$35&lt;=B28),Fact_Physical_Progress!$C$2:$C$35),0)*Dim_WBS!$E$2,IFERROR(LOOKUP(2,1/(Fact_Physical_Progress!$B$2:$B$35=Dim_WBS!$A$3)/(Fact_Physical_Progress!$A$2:$A$35&lt;=B28),Fact_Physical_Progress!$C$2:$C$35),0)*Dim_WBS!$E$3,IFERROR(LOOKUP(2,1/(Fact_Physical_Progress!$B$2:$B$35=Dim_WBS!$A$4)/(Fact_Physical_Progress!$A$2:$A$35&lt;=B28),Fact_Physical_Progress!$C$2:$C$35),0)*Dim_WBS!$E$4,IFERROR(LOOKUP(2,1/(Fact_Physical_Progress!$B$2:$B$35=Dim_WBS!$A$5)/(Fact_Physical_Progress!$A$2:$A$35&lt;=B28),Fact_Physical_Progress!$C$2:$C$35),0)*Dim_WBS!$E$5,IFERROR(LOOKUP(2,1/(Fact_Physical_Progress!$B$2:$B$35=Dim_WBS!$A$6)/(Fact_Physical_Progress!$A$2:$A$35&lt;=B28),Fact_Physical_Progress!$C$2:$C$35),0)*Dim_WBS!$E$6,IFERROR(LOOKUP(2,1/(Fact_Physical_Progress!$B$2:$B$35=Dim_WBS!$A$7)/(Fact_Physical_Progress!$A$2:$A$35&lt;=B28),Fact_Physical_Progress!$C$2:$C$35),0)*Dim_WBS!$E$7,IFERROR(LOOKUP(2,1/(Fact_Physical_Progress!$B$2:$B$35=Dim_WBS!$A$8)/(Fact_Physical_Progress!$A$2:$A$35&lt;=B28),Fact_Physical_Progress!$C$2:$C$35),0)*Dim_WBS!$E$8,IFERROR(LOOKUP(2,1/(Fact_Physical_Progress!$B$2:$B$35=Dim_WBS!$A$9)/(Fact_Physical_Progress!$A$2:$A$35&lt;=B28),Fact_Physical_Progress!$C$2:$C$35),0)*Dim_WBS!$E$9,IFERROR(LOOKUP(2,1/(Fact_Physical_Progress!$B$2:$B$35=Dim_WBS!$A$10)/(Fact_Physical_Progress!$A$2:$A$35&lt;=B28),Fact_Physical_Progress!$C$2:$C$35),0)*Dim_WBS!$E$10,IFERROR(LOOKUP(2,1/(Fact_Physical_Progress!$B$2:$B$35=Dim_WBS!$A$11)/(Fact_Physical_Progress!$A$2:$A$35&lt;=B28),Fact_Physical_Progress!$C$2:$C$35),0)*Dim_WBS!$E$11,IFERROR(LOOKUP(2,1/(Fact_Physical_Progress!$B$2:$B$35=Dim_WBS!$A$12)/(Fact_Physical_Progress!$A$2:$A$35&lt;=B28),Fact_Physical_Progress!$C$2:$C$35),0)*Dim_WBS!$E$12,IFERROR(LOOKUP(2,1/(Fact_Physical_Progress!$B$2:$B$35=Dim_WBS!$A$13)/(Fact_Physical_Progress!$A$2:$A$35&lt;=B28),Fact_Physical_Progress!$C$2:$C$35),0)*Dim_WBS!$E$13)</f>
        <v>107394.674</v>
      </c>
      <c r="F28" s="67">
        <f t="shared" si="3"/>
        <v>0.92592598915181645</v>
      </c>
      <c r="G28" s="67">
        <f t="shared" si="4"/>
        <v>0.92000001027983958</v>
      </c>
    </row>
    <row r="29" spans="1:7" x14ac:dyDescent="0.35">
      <c r="A29" s="2">
        <v>6</v>
      </c>
      <c r="B29" s="63">
        <f>MIN(Fact_Baseline_PV!$A:$A)+4+(5*7)</f>
        <v>46185</v>
      </c>
      <c r="C29" s="66">
        <f>SUMIFS(Fact_Baseline_PV!$C:$C,Fact_Baseline_PV!$A:$A,"&lt;="&amp;B29)</f>
        <v>142900</v>
      </c>
      <c r="D29" s="66">
        <f>SUMIFS(Fact_Actual_Costs!$D:$D,Fact_Actual_Costs!$A:$A,"&lt;="&amp;B29)</f>
        <v>141985.44</v>
      </c>
      <c r="E29" s="66" cm="1">
        <f t="array" ref="E29">SUM(IFERROR(LOOKUP(2,1/(Fact_Physical_Progress!$B$2:$B$35=Dim_WBS!$A$2)/(Fact_Physical_Progress!$A$2:$A$35&lt;=B29),Fact_Physical_Progress!$C$2:$C$35),0)*Dim_WBS!$E$2,IFERROR(LOOKUP(2,1/(Fact_Physical_Progress!$B$2:$B$35=Dim_WBS!$A$3)/(Fact_Physical_Progress!$A$2:$A$35&lt;=B29),Fact_Physical_Progress!$C$2:$C$35),0)*Dim_WBS!$E$3,IFERROR(LOOKUP(2,1/(Fact_Physical_Progress!$B$2:$B$35=Dim_WBS!$A$4)/(Fact_Physical_Progress!$A$2:$A$35&lt;=B29),Fact_Physical_Progress!$C$2:$C$35),0)*Dim_WBS!$E$4,IFERROR(LOOKUP(2,1/(Fact_Physical_Progress!$B$2:$B$35=Dim_WBS!$A$5)/(Fact_Physical_Progress!$A$2:$A$35&lt;=B29),Fact_Physical_Progress!$C$2:$C$35),0)*Dim_WBS!$E$5,IFERROR(LOOKUP(2,1/(Fact_Physical_Progress!$B$2:$B$35=Dim_WBS!$A$6)/(Fact_Physical_Progress!$A$2:$A$35&lt;=B29),Fact_Physical_Progress!$C$2:$C$35),0)*Dim_WBS!$E$6,IFERROR(LOOKUP(2,1/(Fact_Physical_Progress!$B$2:$B$35=Dim_WBS!$A$7)/(Fact_Physical_Progress!$A$2:$A$35&lt;=B29),Fact_Physical_Progress!$C$2:$C$35),0)*Dim_WBS!$E$7,IFERROR(LOOKUP(2,1/(Fact_Physical_Progress!$B$2:$B$35=Dim_WBS!$A$8)/(Fact_Physical_Progress!$A$2:$A$35&lt;=B29),Fact_Physical_Progress!$C$2:$C$35),0)*Dim_WBS!$E$8,IFERROR(LOOKUP(2,1/(Fact_Physical_Progress!$B$2:$B$35=Dim_WBS!$A$9)/(Fact_Physical_Progress!$A$2:$A$35&lt;=B29),Fact_Physical_Progress!$C$2:$C$35),0)*Dim_WBS!$E$9,IFERROR(LOOKUP(2,1/(Fact_Physical_Progress!$B$2:$B$35=Dim_WBS!$A$10)/(Fact_Physical_Progress!$A$2:$A$35&lt;=B29),Fact_Physical_Progress!$C$2:$C$35),0)*Dim_WBS!$E$10,IFERROR(LOOKUP(2,1/(Fact_Physical_Progress!$B$2:$B$35=Dim_WBS!$A$11)/(Fact_Physical_Progress!$A$2:$A$35&lt;=B29),Fact_Physical_Progress!$C$2:$C$35),0)*Dim_WBS!$E$11,IFERROR(LOOKUP(2,1/(Fact_Physical_Progress!$B$2:$B$35=Dim_WBS!$A$12)/(Fact_Physical_Progress!$A$2:$A$35&lt;=B29),Fact_Physical_Progress!$C$2:$C$35),0)*Dim_WBS!$E$12,IFERROR(LOOKUP(2,1/(Fact_Physical_Progress!$B$2:$B$35=Dim_WBS!$A$13)/(Fact_Physical_Progress!$A$2:$A$35&lt;=B29),Fact_Physical_Progress!$C$2:$C$35),0)*Dim_WBS!$E$13)</f>
        <v>131467.99600000001</v>
      </c>
      <c r="F29" s="67">
        <f t="shared" si="3"/>
        <v>0.92592589775402334</v>
      </c>
      <c r="G29" s="67">
        <f t="shared" si="4"/>
        <v>0.91999997200839756</v>
      </c>
    </row>
    <row r="30" spans="1:7" x14ac:dyDescent="0.35">
      <c r="A30" s="2">
        <v>7</v>
      </c>
      <c r="B30" s="63">
        <f>MIN(Fact_Baseline_PV!$A:$A)+4+(6*7)</f>
        <v>46192</v>
      </c>
      <c r="C30" s="66">
        <f>SUMIFS(Fact_Baseline_PV!$C:$C,Fact_Baseline_PV!$A:$A,"&lt;="&amp;B30)</f>
        <v>160400</v>
      </c>
      <c r="D30" s="66">
        <f>SUMIFS(Fact_Actual_Costs!$D:$D,Fact_Actual_Costs!$A:$A,"&lt;="&amp;B30)</f>
        <v>141985.44</v>
      </c>
      <c r="E30" s="66" cm="1">
        <f t="array" ref="E30">SUM(IFERROR(LOOKUP(2,1/(Fact_Physical_Progress!$B$2:$B$35=Dim_WBS!$A$2)/(Fact_Physical_Progress!$A$2:$A$35&lt;=B30),Fact_Physical_Progress!$C$2:$C$35),0)*Dim_WBS!$E$2,IFERROR(LOOKUP(2,1/(Fact_Physical_Progress!$B$2:$B$35=Dim_WBS!$A$3)/(Fact_Physical_Progress!$A$2:$A$35&lt;=B30),Fact_Physical_Progress!$C$2:$C$35),0)*Dim_WBS!$E$3,IFERROR(LOOKUP(2,1/(Fact_Physical_Progress!$B$2:$B$35=Dim_WBS!$A$4)/(Fact_Physical_Progress!$A$2:$A$35&lt;=B30),Fact_Physical_Progress!$C$2:$C$35),0)*Dim_WBS!$E$4,IFERROR(LOOKUP(2,1/(Fact_Physical_Progress!$B$2:$B$35=Dim_WBS!$A$5)/(Fact_Physical_Progress!$A$2:$A$35&lt;=B30),Fact_Physical_Progress!$C$2:$C$35),0)*Dim_WBS!$E$5,IFERROR(LOOKUP(2,1/(Fact_Physical_Progress!$B$2:$B$35=Dim_WBS!$A$6)/(Fact_Physical_Progress!$A$2:$A$35&lt;=B30),Fact_Physical_Progress!$C$2:$C$35),0)*Dim_WBS!$E$6,IFERROR(LOOKUP(2,1/(Fact_Physical_Progress!$B$2:$B$35=Dim_WBS!$A$7)/(Fact_Physical_Progress!$A$2:$A$35&lt;=B30),Fact_Physical_Progress!$C$2:$C$35),0)*Dim_WBS!$E$7,IFERROR(LOOKUP(2,1/(Fact_Physical_Progress!$B$2:$B$35=Dim_WBS!$A$8)/(Fact_Physical_Progress!$A$2:$A$35&lt;=B30),Fact_Physical_Progress!$C$2:$C$35),0)*Dim_WBS!$E$8,IFERROR(LOOKUP(2,1/(Fact_Physical_Progress!$B$2:$B$35=Dim_WBS!$A$9)/(Fact_Physical_Progress!$A$2:$A$35&lt;=B30),Fact_Physical_Progress!$C$2:$C$35),0)*Dim_WBS!$E$9,IFERROR(LOOKUP(2,1/(Fact_Physical_Progress!$B$2:$B$35=Dim_WBS!$A$10)/(Fact_Physical_Progress!$A$2:$A$35&lt;=B30),Fact_Physical_Progress!$C$2:$C$35),0)*Dim_WBS!$E$10,IFERROR(LOOKUP(2,1/(Fact_Physical_Progress!$B$2:$B$35=Dim_WBS!$A$11)/(Fact_Physical_Progress!$A$2:$A$35&lt;=B30),Fact_Physical_Progress!$C$2:$C$35),0)*Dim_WBS!$E$11,IFERROR(LOOKUP(2,1/(Fact_Physical_Progress!$B$2:$B$35=Dim_WBS!$A$12)/(Fact_Physical_Progress!$A$2:$A$35&lt;=B30),Fact_Physical_Progress!$C$2:$C$35),0)*Dim_WBS!$E$12,IFERROR(LOOKUP(2,1/(Fact_Physical_Progress!$B$2:$B$35=Dim_WBS!$A$13)/(Fact_Physical_Progress!$A$2:$A$35&lt;=B30),Fact_Physical_Progress!$C$2:$C$35),0)*Dim_WBS!$E$13)</f>
        <v>131467.99600000001</v>
      </c>
      <c r="F30" s="67">
        <f t="shared" si="3"/>
        <v>0.92592589775402334</v>
      </c>
      <c r="G30" s="67">
        <f t="shared" si="4"/>
        <v>0.81962591022443898</v>
      </c>
    </row>
    <row r="31" spans="1:7" x14ac:dyDescent="0.35">
      <c r="A31" s="2">
        <v>8</v>
      </c>
      <c r="B31" s="63">
        <f>MIN(Fact_Baseline_PV!$A:$A)+4+(7*7)</f>
        <v>46199</v>
      </c>
      <c r="C31" s="66">
        <f>SUMIFS(Fact_Baseline_PV!$C:$C,Fact_Baseline_PV!$A:$A,"&lt;="&amp;B31)</f>
        <v>189816.67</v>
      </c>
      <c r="D31" s="66">
        <f>SUMIFS(Fact_Actual_Costs!$D:$D,Fact_Actual_Costs!$A:$A,"&lt;="&amp;B31)</f>
        <v>141985.44</v>
      </c>
      <c r="E31" s="66" cm="1">
        <f t="array" ref="E31">SUM(IFERROR(LOOKUP(2,1/(Fact_Physical_Progress!$B$2:$B$35=Dim_WBS!$A$2)/(Fact_Physical_Progress!$A$2:$A$35&lt;=B31),Fact_Physical_Progress!$C$2:$C$35),0)*Dim_WBS!$E$2,IFERROR(LOOKUP(2,1/(Fact_Physical_Progress!$B$2:$B$35=Dim_WBS!$A$3)/(Fact_Physical_Progress!$A$2:$A$35&lt;=B31),Fact_Physical_Progress!$C$2:$C$35),0)*Dim_WBS!$E$3,IFERROR(LOOKUP(2,1/(Fact_Physical_Progress!$B$2:$B$35=Dim_WBS!$A$4)/(Fact_Physical_Progress!$A$2:$A$35&lt;=B31),Fact_Physical_Progress!$C$2:$C$35),0)*Dim_WBS!$E$4,IFERROR(LOOKUP(2,1/(Fact_Physical_Progress!$B$2:$B$35=Dim_WBS!$A$5)/(Fact_Physical_Progress!$A$2:$A$35&lt;=B31),Fact_Physical_Progress!$C$2:$C$35),0)*Dim_WBS!$E$5,IFERROR(LOOKUP(2,1/(Fact_Physical_Progress!$B$2:$B$35=Dim_WBS!$A$6)/(Fact_Physical_Progress!$A$2:$A$35&lt;=B31),Fact_Physical_Progress!$C$2:$C$35),0)*Dim_WBS!$E$6,IFERROR(LOOKUP(2,1/(Fact_Physical_Progress!$B$2:$B$35=Dim_WBS!$A$7)/(Fact_Physical_Progress!$A$2:$A$35&lt;=B31),Fact_Physical_Progress!$C$2:$C$35),0)*Dim_WBS!$E$7,IFERROR(LOOKUP(2,1/(Fact_Physical_Progress!$B$2:$B$35=Dim_WBS!$A$8)/(Fact_Physical_Progress!$A$2:$A$35&lt;=B31),Fact_Physical_Progress!$C$2:$C$35),0)*Dim_WBS!$E$8,IFERROR(LOOKUP(2,1/(Fact_Physical_Progress!$B$2:$B$35=Dim_WBS!$A$9)/(Fact_Physical_Progress!$A$2:$A$35&lt;=B31),Fact_Physical_Progress!$C$2:$C$35),0)*Dim_WBS!$E$9,IFERROR(LOOKUP(2,1/(Fact_Physical_Progress!$B$2:$B$35=Dim_WBS!$A$10)/(Fact_Physical_Progress!$A$2:$A$35&lt;=B31),Fact_Physical_Progress!$C$2:$C$35),0)*Dim_WBS!$E$10,IFERROR(LOOKUP(2,1/(Fact_Physical_Progress!$B$2:$B$35=Dim_WBS!$A$11)/(Fact_Physical_Progress!$A$2:$A$35&lt;=B31),Fact_Physical_Progress!$C$2:$C$35),0)*Dim_WBS!$E$11,IFERROR(LOOKUP(2,1/(Fact_Physical_Progress!$B$2:$B$35=Dim_WBS!$A$12)/(Fact_Physical_Progress!$A$2:$A$35&lt;=B31),Fact_Physical_Progress!$C$2:$C$35),0)*Dim_WBS!$E$12,IFERROR(LOOKUP(2,1/(Fact_Physical_Progress!$B$2:$B$35=Dim_WBS!$A$13)/(Fact_Physical_Progress!$A$2:$A$35&lt;=B31),Fact_Physical_Progress!$C$2:$C$35),0)*Dim_WBS!$E$13)</f>
        <v>131467.99600000001</v>
      </c>
      <c r="F31" s="67">
        <f t="shared" si="3"/>
        <v>0.92592589775402334</v>
      </c>
      <c r="G31" s="67">
        <f t="shared" si="4"/>
        <v>0.69260511207998754</v>
      </c>
    </row>
    <row r="32" spans="1:7" x14ac:dyDescent="0.35">
      <c r="A32" s="2">
        <v>9</v>
      </c>
      <c r="B32" s="63">
        <f>MIN(Fact_Baseline_PV!$A:$A)+4+(8*7)</f>
        <v>46206</v>
      </c>
      <c r="C32" s="66">
        <f>SUMIFS(Fact_Baseline_PV!$C:$C,Fact_Baseline_PV!$A:$A,"&lt;="&amp;B32)</f>
        <v>220233.34000000003</v>
      </c>
      <c r="D32" s="66">
        <f>SUMIFS(Fact_Actual_Costs!$D:$D,Fact_Actual_Costs!$A:$A,"&lt;="&amp;B32)</f>
        <v>141985.44</v>
      </c>
      <c r="E32" s="66" cm="1">
        <f t="array" ref="E32">SUM(IFERROR(LOOKUP(2,1/(Fact_Physical_Progress!$B$2:$B$35=Dim_WBS!$A$2)/(Fact_Physical_Progress!$A$2:$A$35&lt;=B32),Fact_Physical_Progress!$C$2:$C$35),0)*Dim_WBS!$E$2,IFERROR(LOOKUP(2,1/(Fact_Physical_Progress!$B$2:$B$35=Dim_WBS!$A$3)/(Fact_Physical_Progress!$A$2:$A$35&lt;=B32),Fact_Physical_Progress!$C$2:$C$35),0)*Dim_WBS!$E$3,IFERROR(LOOKUP(2,1/(Fact_Physical_Progress!$B$2:$B$35=Dim_WBS!$A$4)/(Fact_Physical_Progress!$A$2:$A$35&lt;=B32),Fact_Physical_Progress!$C$2:$C$35),0)*Dim_WBS!$E$4,IFERROR(LOOKUP(2,1/(Fact_Physical_Progress!$B$2:$B$35=Dim_WBS!$A$5)/(Fact_Physical_Progress!$A$2:$A$35&lt;=B32),Fact_Physical_Progress!$C$2:$C$35),0)*Dim_WBS!$E$5,IFERROR(LOOKUP(2,1/(Fact_Physical_Progress!$B$2:$B$35=Dim_WBS!$A$6)/(Fact_Physical_Progress!$A$2:$A$35&lt;=B32),Fact_Physical_Progress!$C$2:$C$35),0)*Dim_WBS!$E$6,IFERROR(LOOKUP(2,1/(Fact_Physical_Progress!$B$2:$B$35=Dim_WBS!$A$7)/(Fact_Physical_Progress!$A$2:$A$35&lt;=B32),Fact_Physical_Progress!$C$2:$C$35),0)*Dim_WBS!$E$7,IFERROR(LOOKUP(2,1/(Fact_Physical_Progress!$B$2:$B$35=Dim_WBS!$A$8)/(Fact_Physical_Progress!$A$2:$A$35&lt;=B32),Fact_Physical_Progress!$C$2:$C$35),0)*Dim_WBS!$E$8,IFERROR(LOOKUP(2,1/(Fact_Physical_Progress!$B$2:$B$35=Dim_WBS!$A$9)/(Fact_Physical_Progress!$A$2:$A$35&lt;=B32),Fact_Physical_Progress!$C$2:$C$35),0)*Dim_WBS!$E$9,IFERROR(LOOKUP(2,1/(Fact_Physical_Progress!$B$2:$B$35=Dim_WBS!$A$10)/(Fact_Physical_Progress!$A$2:$A$35&lt;=B32),Fact_Physical_Progress!$C$2:$C$35),0)*Dim_WBS!$E$10,IFERROR(LOOKUP(2,1/(Fact_Physical_Progress!$B$2:$B$35=Dim_WBS!$A$11)/(Fact_Physical_Progress!$A$2:$A$35&lt;=B32),Fact_Physical_Progress!$C$2:$C$35),0)*Dim_WBS!$E$11,IFERROR(LOOKUP(2,1/(Fact_Physical_Progress!$B$2:$B$35=Dim_WBS!$A$12)/(Fact_Physical_Progress!$A$2:$A$35&lt;=B32),Fact_Physical_Progress!$C$2:$C$35),0)*Dim_WBS!$E$12,IFERROR(LOOKUP(2,1/(Fact_Physical_Progress!$B$2:$B$35=Dim_WBS!$A$13)/(Fact_Physical_Progress!$A$2:$A$35&lt;=B32),Fact_Physical_Progress!$C$2:$C$35),0)*Dim_WBS!$E$13)</f>
        <v>131467.99600000001</v>
      </c>
      <c r="F32" s="67">
        <f t="shared" si="3"/>
        <v>0.92592589775402334</v>
      </c>
      <c r="G32" s="67">
        <f t="shared" si="4"/>
        <v>0.59694865454976076</v>
      </c>
    </row>
    <row r="33" spans="1:7" x14ac:dyDescent="0.35">
      <c r="A33" s="2">
        <v>10</v>
      </c>
      <c r="B33" s="63">
        <f>MIN(Fact_Baseline_PV!$A:$A)+4+(9*7)</f>
        <v>46213</v>
      </c>
      <c r="C33" s="66">
        <f>SUMIFS(Fact_Baseline_PV!$C:$C,Fact_Baseline_PV!$A:$A,"&lt;="&amp;B33)</f>
        <v>243650.00000000003</v>
      </c>
      <c r="D33" s="66">
        <f>SUMIFS(Fact_Actual_Costs!$D:$D,Fact_Actual_Costs!$A:$A,"&lt;="&amp;B33)</f>
        <v>141985.44</v>
      </c>
      <c r="E33" s="66" cm="1">
        <f t="array" ref="E33">SUM(IFERROR(LOOKUP(2,1/(Fact_Physical_Progress!$B$2:$B$35=Dim_WBS!$A$2)/(Fact_Physical_Progress!$A$2:$A$35&lt;=B33),Fact_Physical_Progress!$C$2:$C$35),0)*Dim_WBS!$E$2,IFERROR(LOOKUP(2,1/(Fact_Physical_Progress!$B$2:$B$35=Dim_WBS!$A$3)/(Fact_Physical_Progress!$A$2:$A$35&lt;=B33),Fact_Physical_Progress!$C$2:$C$35),0)*Dim_WBS!$E$3,IFERROR(LOOKUP(2,1/(Fact_Physical_Progress!$B$2:$B$35=Dim_WBS!$A$4)/(Fact_Physical_Progress!$A$2:$A$35&lt;=B33),Fact_Physical_Progress!$C$2:$C$35),0)*Dim_WBS!$E$4,IFERROR(LOOKUP(2,1/(Fact_Physical_Progress!$B$2:$B$35=Dim_WBS!$A$5)/(Fact_Physical_Progress!$A$2:$A$35&lt;=B33),Fact_Physical_Progress!$C$2:$C$35),0)*Dim_WBS!$E$5,IFERROR(LOOKUP(2,1/(Fact_Physical_Progress!$B$2:$B$35=Dim_WBS!$A$6)/(Fact_Physical_Progress!$A$2:$A$35&lt;=B33),Fact_Physical_Progress!$C$2:$C$35),0)*Dim_WBS!$E$6,IFERROR(LOOKUP(2,1/(Fact_Physical_Progress!$B$2:$B$35=Dim_WBS!$A$7)/(Fact_Physical_Progress!$A$2:$A$35&lt;=B33),Fact_Physical_Progress!$C$2:$C$35),0)*Dim_WBS!$E$7,IFERROR(LOOKUP(2,1/(Fact_Physical_Progress!$B$2:$B$35=Dim_WBS!$A$8)/(Fact_Physical_Progress!$A$2:$A$35&lt;=B33),Fact_Physical_Progress!$C$2:$C$35),0)*Dim_WBS!$E$8,IFERROR(LOOKUP(2,1/(Fact_Physical_Progress!$B$2:$B$35=Dim_WBS!$A$9)/(Fact_Physical_Progress!$A$2:$A$35&lt;=B33),Fact_Physical_Progress!$C$2:$C$35),0)*Dim_WBS!$E$9,IFERROR(LOOKUP(2,1/(Fact_Physical_Progress!$B$2:$B$35=Dim_WBS!$A$10)/(Fact_Physical_Progress!$A$2:$A$35&lt;=B33),Fact_Physical_Progress!$C$2:$C$35),0)*Dim_WBS!$E$10,IFERROR(LOOKUP(2,1/(Fact_Physical_Progress!$B$2:$B$35=Dim_WBS!$A$11)/(Fact_Physical_Progress!$A$2:$A$35&lt;=B33),Fact_Physical_Progress!$C$2:$C$35),0)*Dim_WBS!$E$11,IFERROR(LOOKUP(2,1/(Fact_Physical_Progress!$B$2:$B$35=Dim_WBS!$A$12)/(Fact_Physical_Progress!$A$2:$A$35&lt;=B33),Fact_Physical_Progress!$C$2:$C$35),0)*Dim_WBS!$E$12,IFERROR(LOOKUP(2,1/(Fact_Physical_Progress!$B$2:$B$35=Dim_WBS!$A$13)/(Fact_Physical_Progress!$A$2:$A$35&lt;=B33),Fact_Physical_Progress!$C$2:$C$35),0)*Dim_WBS!$E$13)</f>
        <v>131467.99600000001</v>
      </c>
      <c r="F33" s="67">
        <f t="shared" si="3"/>
        <v>0.92592589775402334</v>
      </c>
      <c r="G33" s="67">
        <f t="shared" si="4"/>
        <v>0.5395772460496614</v>
      </c>
    </row>
    <row r="34" spans="1:7" x14ac:dyDescent="0.35">
      <c r="A34" s="2">
        <v>11</v>
      </c>
      <c r="B34" s="63">
        <f>MIN(Fact_Baseline_PV!$A:$A)+4+(10*7)</f>
        <v>46220</v>
      </c>
      <c r="C34" s="66">
        <f>SUMIFS(Fact_Baseline_PV!$C:$C,Fact_Baseline_PV!$A:$A,"&lt;="&amp;B34)</f>
        <v>259350.00000000003</v>
      </c>
      <c r="D34" s="66">
        <f>SUMIFS(Fact_Actual_Costs!$D:$D,Fact_Actual_Costs!$A:$A,"&lt;="&amp;B34)</f>
        <v>141985.44</v>
      </c>
      <c r="E34" s="66" cm="1">
        <f t="array" ref="E34">SUM(IFERROR(LOOKUP(2,1/(Fact_Physical_Progress!$B$2:$B$35=Dim_WBS!$A$2)/(Fact_Physical_Progress!$A$2:$A$35&lt;=B34),Fact_Physical_Progress!$C$2:$C$35),0)*Dim_WBS!$E$2,IFERROR(LOOKUP(2,1/(Fact_Physical_Progress!$B$2:$B$35=Dim_WBS!$A$3)/(Fact_Physical_Progress!$A$2:$A$35&lt;=B34),Fact_Physical_Progress!$C$2:$C$35),0)*Dim_WBS!$E$3,IFERROR(LOOKUP(2,1/(Fact_Physical_Progress!$B$2:$B$35=Dim_WBS!$A$4)/(Fact_Physical_Progress!$A$2:$A$35&lt;=B34),Fact_Physical_Progress!$C$2:$C$35),0)*Dim_WBS!$E$4,IFERROR(LOOKUP(2,1/(Fact_Physical_Progress!$B$2:$B$35=Dim_WBS!$A$5)/(Fact_Physical_Progress!$A$2:$A$35&lt;=B34),Fact_Physical_Progress!$C$2:$C$35),0)*Dim_WBS!$E$5,IFERROR(LOOKUP(2,1/(Fact_Physical_Progress!$B$2:$B$35=Dim_WBS!$A$6)/(Fact_Physical_Progress!$A$2:$A$35&lt;=B34),Fact_Physical_Progress!$C$2:$C$35),0)*Dim_WBS!$E$6,IFERROR(LOOKUP(2,1/(Fact_Physical_Progress!$B$2:$B$35=Dim_WBS!$A$7)/(Fact_Physical_Progress!$A$2:$A$35&lt;=B34),Fact_Physical_Progress!$C$2:$C$35),0)*Dim_WBS!$E$7,IFERROR(LOOKUP(2,1/(Fact_Physical_Progress!$B$2:$B$35=Dim_WBS!$A$8)/(Fact_Physical_Progress!$A$2:$A$35&lt;=B34),Fact_Physical_Progress!$C$2:$C$35),0)*Dim_WBS!$E$8,IFERROR(LOOKUP(2,1/(Fact_Physical_Progress!$B$2:$B$35=Dim_WBS!$A$9)/(Fact_Physical_Progress!$A$2:$A$35&lt;=B34),Fact_Physical_Progress!$C$2:$C$35),0)*Dim_WBS!$E$9,IFERROR(LOOKUP(2,1/(Fact_Physical_Progress!$B$2:$B$35=Dim_WBS!$A$10)/(Fact_Physical_Progress!$A$2:$A$35&lt;=B34),Fact_Physical_Progress!$C$2:$C$35),0)*Dim_WBS!$E$10,IFERROR(LOOKUP(2,1/(Fact_Physical_Progress!$B$2:$B$35=Dim_WBS!$A$11)/(Fact_Physical_Progress!$A$2:$A$35&lt;=B34),Fact_Physical_Progress!$C$2:$C$35),0)*Dim_WBS!$E$11,IFERROR(LOOKUP(2,1/(Fact_Physical_Progress!$B$2:$B$35=Dim_WBS!$A$12)/(Fact_Physical_Progress!$A$2:$A$35&lt;=B34),Fact_Physical_Progress!$C$2:$C$35),0)*Dim_WBS!$E$12,IFERROR(LOOKUP(2,1/(Fact_Physical_Progress!$B$2:$B$35=Dim_WBS!$A$13)/(Fact_Physical_Progress!$A$2:$A$35&lt;=B34),Fact_Physical_Progress!$C$2:$C$35),0)*Dim_WBS!$E$13)</f>
        <v>131467.99600000001</v>
      </c>
      <c r="F34" s="67">
        <f t="shared" si="3"/>
        <v>0.92592589775402334</v>
      </c>
      <c r="G34" s="67">
        <f t="shared" si="4"/>
        <v>0.50691342201657996</v>
      </c>
    </row>
    <row r="35" spans="1:7" x14ac:dyDescent="0.35">
      <c r="A35" s="2">
        <v>12</v>
      </c>
      <c r="B35" s="63">
        <f>MIN(Fact_Baseline_PV!$A:$A)+4+(11*7)</f>
        <v>46227</v>
      </c>
      <c r="C35" s="66">
        <f>SUMIFS(Fact_Baseline_PV!$C:$C,Fact_Baseline_PV!$A:$A,"&lt;="&amp;B35)</f>
        <v>268650</v>
      </c>
      <c r="D35" s="66">
        <f>SUMIFS(Fact_Actual_Costs!$D:$D,Fact_Actual_Costs!$A:$A,"&lt;="&amp;B35)</f>
        <v>141985.44</v>
      </c>
      <c r="E35" s="66" cm="1">
        <f t="array" ref="E35">SUM(IFERROR(LOOKUP(2,1/(Fact_Physical_Progress!$B$2:$B$35=Dim_WBS!$A$2)/(Fact_Physical_Progress!$A$2:$A$35&lt;=B35),Fact_Physical_Progress!$C$2:$C$35),0)*Dim_WBS!$E$2,IFERROR(LOOKUP(2,1/(Fact_Physical_Progress!$B$2:$B$35=Dim_WBS!$A$3)/(Fact_Physical_Progress!$A$2:$A$35&lt;=B35),Fact_Physical_Progress!$C$2:$C$35),0)*Dim_WBS!$E$3,IFERROR(LOOKUP(2,1/(Fact_Physical_Progress!$B$2:$B$35=Dim_WBS!$A$4)/(Fact_Physical_Progress!$A$2:$A$35&lt;=B35),Fact_Physical_Progress!$C$2:$C$35),0)*Dim_WBS!$E$4,IFERROR(LOOKUP(2,1/(Fact_Physical_Progress!$B$2:$B$35=Dim_WBS!$A$5)/(Fact_Physical_Progress!$A$2:$A$35&lt;=B35),Fact_Physical_Progress!$C$2:$C$35),0)*Dim_WBS!$E$5,IFERROR(LOOKUP(2,1/(Fact_Physical_Progress!$B$2:$B$35=Dim_WBS!$A$6)/(Fact_Physical_Progress!$A$2:$A$35&lt;=B35),Fact_Physical_Progress!$C$2:$C$35),0)*Dim_WBS!$E$6,IFERROR(LOOKUP(2,1/(Fact_Physical_Progress!$B$2:$B$35=Dim_WBS!$A$7)/(Fact_Physical_Progress!$A$2:$A$35&lt;=B35),Fact_Physical_Progress!$C$2:$C$35),0)*Dim_WBS!$E$7,IFERROR(LOOKUP(2,1/(Fact_Physical_Progress!$B$2:$B$35=Dim_WBS!$A$8)/(Fact_Physical_Progress!$A$2:$A$35&lt;=B35),Fact_Physical_Progress!$C$2:$C$35),0)*Dim_WBS!$E$8,IFERROR(LOOKUP(2,1/(Fact_Physical_Progress!$B$2:$B$35=Dim_WBS!$A$9)/(Fact_Physical_Progress!$A$2:$A$35&lt;=B35),Fact_Physical_Progress!$C$2:$C$35),0)*Dim_WBS!$E$9,IFERROR(LOOKUP(2,1/(Fact_Physical_Progress!$B$2:$B$35=Dim_WBS!$A$10)/(Fact_Physical_Progress!$A$2:$A$35&lt;=B35),Fact_Physical_Progress!$C$2:$C$35),0)*Dim_WBS!$E$10,IFERROR(LOOKUP(2,1/(Fact_Physical_Progress!$B$2:$B$35=Dim_WBS!$A$11)/(Fact_Physical_Progress!$A$2:$A$35&lt;=B35),Fact_Physical_Progress!$C$2:$C$35),0)*Dim_WBS!$E$11,IFERROR(LOOKUP(2,1/(Fact_Physical_Progress!$B$2:$B$35=Dim_WBS!$A$12)/(Fact_Physical_Progress!$A$2:$A$35&lt;=B35),Fact_Physical_Progress!$C$2:$C$35),0)*Dim_WBS!$E$12,IFERROR(LOOKUP(2,1/(Fact_Physical_Progress!$B$2:$B$35=Dim_WBS!$A$13)/(Fact_Physical_Progress!$A$2:$A$35&lt;=B35),Fact_Physical_Progress!$C$2:$C$35),0)*Dim_WBS!$E$13)</f>
        <v>131467.99600000001</v>
      </c>
      <c r="F35" s="67">
        <f t="shared" si="3"/>
        <v>0.92592589775402334</v>
      </c>
      <c r="G35" s="67">
        <f t="shared" si="4"/>
        <v>0.48936533035548119</v>
      </c>
    </row>
  </sheetData>
  <conditionalFormatting sqref="F24:G35">
    <cfRule type="cellIs" dxfId="10" priority="4" operator="lessThan">
      <formula>0.95</formula>
    </cfRule>
    <cfRule type="cellIs" dxfId="9" priority="5" operator="between">
      <formula>0.95</formula>
      <formula>0.999999</formula>
    </cfRule>
    <cfRule type="cellIs" dxfId="8" priority="6" operator="greaterThanOrEqual">
      <formula>1</formula>
    </cfRule>
  </conditionalFormatting>
  <conditionalFormatting sqref="G5:G16">
    <cfRule type="cellIs" dxfId="7" priority="1" operator="lessThan">
      <formula>0.5</formula>
    </cfRule>
    <cfRule type="cellIs" dxfId="6" priority="2" operator="between">
      <formula>0.5</formula>
      <formula>0.799999</formula>
    </cfRule>
    <cfRule type="cellIs" dxfId="5" priority="3" operator="greaterThanOrEqual">
      <formula>0.8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EA08-45B8-4951-A1B4-FC001B9967E0}">
  <sheetPr>
    <tabColor rgb="FF70AD47"/>
  </sheetPr>
  <dimension ref="A1:AH66"/>
  <sheetViews>
    <sheetView showGridLines="0" workbookViewId="0">
      <selection activeCell="Q50" sqref="Q50"/>
    </sheetView>
  </sheetViews>
  <sheetFormatPr defaultRowHeight="14.5" x14ac:dyDescent="0.35"/>
  <cols>
    <col min="1" max="1" width="30.90625" customWidth="1"/>
    <col min="2" max="2" width="17.26953125" customWidth="1"/>
    <col min="3" max="14" width="10" customWidth="1"/>
    <col min="15" max="15" width="13.6328125" customWidth="1"/>
  </cols>
  <sheetData>
    <row r="1" spans="1:34" ht="23.5" x14ac:dyDescent="0.55000000000000004">
      <c r="A1" s="122" t="s">
        <v>663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AA1" s="60"/>
      <c r="AB1" s="60"/>
      <c r="AC1" s="60"/>
      <c r="AD1" s="60"/>
      <c r="AE1" s="60"/>
      <c r="AF1" s="60"/>
      <c r="AG1" s="60"/>
      <c r="AH1" s="60"/>
    </row>
    <row r="2" spans="1:34" x14ac:dyDescent="0.35">
      <c r="A2" s="123" t="s">
        <v>664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AA2" s="61"/>
      <c r="AB2" s="61"/>
      <c r="AC2" s="61"/>
      <c r="AD2" s="61"/>
      <c r="AE2" s="61"/>
      <c r="AF2" s="61"/>
      <c r="AG2" s="61"/>
      <c r="AH2" s="61"/>
    </row>
    <row r="4" spans="1:34" x14ac:dyDescent="0.35">
      <c r="A4" s="124" t="s">
        <v>665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</row>
    <row r="5" spans="1:34" x14ac:dyDescent="0.35">
      <c r="A5" s="62" t="s">
        <v>666</v>
      </c>
      <c r="B5" s="62" t="s">
        <v>78</v>
      </c>
      <c r="C5" s="62" t="s">
        <v>145</v>
      </c>
      <c r="D5" s="115">
        <v>46146</v>
      </c>
      <c r="E5" s="62" t="s">
        <v>178</v>
      </c>
      <c r="F5" s="115">
        <v>46229</v>
      </c>
      <c r="G5" s="62" t="s">
        <v>147</v>
      </c>
      <c r="H5" s="115">
        <v>46203</v>
      </c>
      <c r="I5" s="62" t="s">
        <v>75</v>
      </c>
      <c r="J5" s="62" t="s">
        <v>667</v>
      </c>
      <c r="K5" s="62" t="s">
        <v>211</v>
      </c>
      <c r="L5" s="62" t="s">
        <v>668</v>
      </c>
      <c r="M5" s="62"/>
      <c r="N5" s="62"/>
      <c r="O5" s="62"/>
    </row>
    <row r="6" spans="1:34" x14ac:dyDescent="0.35">
      <c r="A6" s="93" t="s">
        <v>669</v>
      </c>
      <c r="B6" s="93" t="s">
        <v>648</v>
      </c>
      <c r="C6" s="93" t="s">
        <v>670</v>
      </c>
      <c r="D6" s="93" t="s">
        <v>131</v>
      </c>
      <c r="E6" s="93" t="s">
        <v>671</v>
      </c>
      <c r="F6" s="93"/>
      <c r="G6" s="93"/>
      <c r="H6" s="93"/>
      <c r="I6" s="93"/>
      <c r="J6" s="93"/>
      <c r="K6" s="93"/>
      <c r="L6" s="93"/>
      <c r="M6" s="93"/>
      <c r="N6" s="93"/>
      <c r="O6" s="93"/>
    </row>
    <row r="7" spans="1:34" ht="14" customHeight="1" x14ac:dyDescent="0.35">
      <c r="A7" s="2" t="s">
        <v>640</v>
      </c>
      <c r="B7" s="2" t="s">
        <v>641</v>
      </c>
      <c r="C7" s="2" t="s">
        <v>642</v>
      </c>
      <c r="D7" s="71" t="s">
        <v>672</v>
      </c>
      <c r="E7" s="2" t="s">
        <v>174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spans="1:34" ht="10" customHeight="1" x14ac:dyDescent="0.35">
      <c r="A8" s="2" t="s">
        <v>643</v>
      </c>
      <c r="B8" s="2" t="s">
        <v>644</v>
      </c>
      <c r="C8" s="2" t="s">
        <v>645</v>
      </c>
      <c r="D8" s="71" t="s">
        <v>673</v>
      </c>
      <c r="E8" s="2" t="s">
        <v>174</v>
      </c>
      <c r="F8" s="2"/>
      <c r="G8" s="2"/>
      <c r="H8" s="2"/>
      <c r="I8" s="2"/>
      <c r="J8" s="2"/>
      <c r="K8" s="2"/>
      <c r="L8" s="2"/>
      <c r="M8" s="2"/>
      <c r="N8" s="2"/>
      <c r="O8" s="2"/>
    </row>
    <row r="10" spans="1:34" x14ac:dyDescent="0.35">
      <c r="A10" s="124" t="s">
        <v>646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AA10" s="88"/>
      <c r="AB10" s="88"/>
      <c r="AC10" s="88"/>
      <c r="AD10" s="88"/>
      <c r="AE10" s="88"/>
      <c r="AF10" s="88"/>
      <c r="AG10" s="88"/>
      <c r="AH10" s="88"/>
    </row>
    <row r="11" spans="1:34" x14ac:dyDescent="0.35">
      <c r="A11" s="62" t="s">
        <v>516</v>
      </c>
      <c r="B11" s="62" t="s">
        <v>647</v>
      </c>
      <c r="C11" s="104">
        <v>46146</v>
      </c>
      <c r="D11" s="104">
        <v>46153</v>
      </c>
      <c r="E11" s="104">
        <v>46160</v>
      </c>
      <c r="F11" s="104">
        <v>46167</v>
      </c>
      <c r="G11" s="104">
        <v>46174</v>
      </c>
      <c r="H11" s="104">
        <v>46181</v>
      </c>
      <c r="I11" s="104">
        <v>46188</v>
      </c>
      <c r="J11" s="104">
        <v>46195</v>
      </c>
      <c r="K11" s="113">
        <v>46202</v>
      </c>
      <c r="L11" s="104">
        <v>46209</v>
      </c>
      <c r="M11" s="104">
        <v>46216</v>
      </c>
      <c r="N11" s="104">
        <v>46223</v>
      </c>
      <c r="O11" s="62" t="s">
        <v>544</v>
      </c>
    </row>
    <row r="12" spans="1:34" x14ac:dyDescent="0.35">
      <c r="A12" s="62"/>
      <c r="B12" s="62"/>
      <c r="C12" s="62">
        <v>1</v>
      </c>
      <c r="D12" s="62">
        <v>2</v>
      </c>
      <c r="E12" s="62">
        <v>3</v>
      </c>
      <c r="F12" s="62">
        <v>4</v>
      </c>
      <c r="G12" s="62">
        <v>5</v>
      </c>
      <c r="H12" s="62">
        <v>6</v>
      </c>
      <c r="I12" s="62">
        <v>7</v>
      </c>
      <c r="J12" s="62">
        <v>8</v>
      </c>
      <c r="K12" s="114">
        <v>9</v>
      </c>
      <c r="L12" s="62">
        <v>10</v>
      </c>
      <c r="M12" s="62">
        <v>11</v>
      </c>
      <c r="N12" s="62">
        <v>12</v>
      </c>
      <c r="O12" s="62"/>
    </row>
    <row r="13" spans="1:34" x14ac:dyDescent="0.35">
      <c r="A13" s="11" t="s">
        <v>36</v>
      </c>
      <c r="B13" s="11" t="s">
        <v>37</v>
      </c>
      <c r="C13" s="67">
        <v>1.05</v>
      </c>
      <c r="D13" s="67">
        <v>1.05</v>
      </c>
      <c r="E13" s="67">
        <v>1.05</v>
      </c>
      <c r="F13" s="67">
        <v>1.05</v>
      </c>
      <c r="G13" s="67">
        <v>1.05</v>
      </c>
      <c r="H13" s="67">
        <v>1.05</v>
      </c>
      <c r="I13" s="67" t="s">
        <v>654</v>
      </c>
      <c r="J13" s="67" t="s">
        <v>654</v>
      </c>
      <c r="K13" s="109" t="s">
        <v>654</v>
      </c>
      <c r="L13" s="67" t="s">
        <v>654</v>
      </c>
      <c r="M13" s="67" t="s">
        <v>654</v>
      </c>
      <c r="N13" s="67" t="s">
        <v>654</v>
      </c>
      <c r="O13" s="105">
        <v>6.3</v>
      </c>
    </row>
    <row r="14" spans="1:34" x14ac:dyDescent="0.35">
      <c r="A14" s="11" t="s">
        <v>39</v>
      </c>
      <c r="B14" s="11" t="s">
        <v>37</v>
      </c>
      <c r="C14" s="67">
        <v>3.95</v>
      </c>
      <c r="D14" s="67"/>
      <c r="E14" s="67"/>
      <c r="F14" s="67"/>
      <c r="G14" s="67"/>
      <c r="H14" s="67"/>
      <c r="I14" s="67"/>
      <c r="J14" s="67"/>
      <c r="K14" s="109"/>
      <c r="L14" s="67"/>
      <c r="M14" s="67"/>
      <c r="N14" s="67"/>
      <c r="O14" s="105">
        <v>3.95</v>
      </c>
    </row>
    <row r="15" spans="1:34" x14ac:dyDescent="0.35">
      <c r="A15" s="8" t="s">
        <v>41</v>
      </c>
      <c r="B15" s="8" t="s">
        <v>37</v>
      </c>
      <c r="C15" s="67">
        <v>2.5</v>
      </c>
      <c r="D15" s="67">
        <v>2.5</v>
      </c>
      <c r="E15" s="67">
        <v>2.6</v>
      </c>
      <c r="F15" s="67"/>
      <c r="G15" s="67"/>
      <c r="H15" s="67"/>
      <c r="I15" s="67"/>
      <c r="J15" s="67"/>
      <c r="K15" s="109"/>
      <c r="L15" s="67"/>
      <c r="M15" s="67"/>
      <c r="N15" s="67"/>
      <c r="O15" s="107">
        <v>7.6</v>
      </c>
    </row>
    <row r="16" spans="1:34" x14ac:dyDescent="0.35">
      <c r="A16" s="8" t="s">
        <v>43</v>
      </c>
      <c r="B16" s="8" t="s">
        <v>44</v>
      </c>
      <c r="C16" s="67"/>
      <c r="D16" s="67" t="s">
        <v>654</v>
      </c>
      <c r="E16" s="67" t="s">
        <v>654</v>
      </c>
      <c r="F16" s="67" t="s">
        <v>654</v>
      </c>
      <c r="G16" s="67" t="s">
        <v>654</v>
      </c>
      <c r="H16" s="67"/>
      <c r="I16" s="67"/>
      <c r="J16" s="67"/>
      <c r="K16" s="109"/>
      <c r="L16" s="67"/>
      <c r="M16" s="67"/>
      <c r="N16" s="67"/>
      <c r="O16" s="107">
        <v>0</v>
      </c>
    </row>
    <row r="17" spans="1:15" x14ac:dyDescent="0.35">
      <c r="A17" s="11" t="s">
        <v>46</v>
      </c>
      <c r="B17" s="11" t="s">
        <v>37</v>
      </c>
      <c r="C17" s="67"/>
      <c r="D17" s="67">
        <v>2.0499999999999998</v>
      </c>
      <c r="E17" s="67">
        <v>2.1</v>
      </c>
      <c r="F17" s="67">
        <v>1.9</v>
      </c>
      <c r="G17" s="67"/>
      <c r="H17" s="67"/>
      <c r="I17" s="67"/>
      <c r="J17" s="67"/>
      <c r="K17" s="109"/>
      <c r="L17" s="67"/>
      <c r="M17" s="67"/>
      <c r="N17" s="67"/>
      <c r="O17" s="105">
        <v>6.05</v>
      </c>
    </row>
    <row r="18" spans="1:15" x14ac:dyDescent="0.35">
      <c r="A18" s="11" t="s">
        <v>48</v>
      </c>
      <c r="B18" s="11" t="s">
        <v>37</v>
      </c>
      <c r="C18" s="67"/>
      <c r="D18" s="67"/>
      <c r="E18" s="67"/>
      <c r="F18" s="67">
        <v>3.45</v>
      </c>
      <c r="G18" s="67">
        <v>3.4</v>
      </c>
      <c r="H18" s="67">
        <v>3.25</v>
      </c>
      <c r="I18" s="67"/>
      <c r="J18" s="67"/>
      <c r="K18" s="109"/>
      <c r="L18" s="67"/>
      <c r="M18" s="67"/>
      <c r="N18" s="67"/>
      <c r="O18" s="105">
        <v>10.1</v>
      </c>
    </row>
    <row r="19" spans="1:15" x14ac:dyDescent="0.35">
      <c r="A19" s="11" t="s">
        <v>50</v>
      </c>
      <c r="B19" s="11" t="s">
        <v>51</v>
      </c>
      <c r="C19" s="67"/>
      <c r="D19" s="67"/>
      <c r="E19" s="67"/>
      <c r="F19" s="67"/>
      <c r="G19" s="67" t="s">
        <v>654</v>
      </c>
      <c r="H19" s="67" t="s">
        <v>654</v>
      </c>
      <c r="I19" s="67" t="s">
        <v>654</v>
      </c>
      <c r="J19" s="67" t="s">
        <v>654</v>
      </c>
      <c r="K19" s="109"/>
      <c r="L19" s="67"/>
      <c r="M19" s="67"/>
      <c r="N19" s="67"/>
      <c r="O19" s="105">
        <v>0</v>
      </c>
    </row>
    <row r="20" spans="1:15" x14ac:dyDescent="0.35">
      <c r="A20" s="11" t="s">
        <v>53</v>
      </c>
      <c r="B20" s="11" t="s">
        <v>51</v>
      </c>
      <c r="C20" s="67"/>
      <c r="D20" s="67"/>
      <c r="E20" s="67"/>
      <c r="F20" s="67"/>
      <c r="G20" s="67"/>
      <c r="H20" s="67" t="s">
        <v>654</v>
      </c>
      <c r="I20" s="67" t="s">
        <v>654</v>
      </c>
      <c r="J20" s="67" t="s">
        <v>654</v>
      </c>
      <c r="K20" s="109" t="s">
        <v>654</v>
      </c>
      <c r="L20" s="67"/>
      <c r="M20" s="67"/>
      <c r="N20" s="67"/>
      <c r="O20" s="105">
        <v>0</v>
      </c>
    </row>
    <row r="21" spans="1:15" x14ac:dyDescent="0.35">
      <c r="A21" s="11" t="s">
        <v>55</v>
      </c>
      <c r="B21" s="11" t="s">
        <v>44</v>
      </c>
      <c r="C21" s="67"/>
      <c r="D21" s="67"/>
      <c r="E21" s="67"/>
      <c r="F21" s="67"/>
      <c r="G21" s="67"/>
      <c r="H21" s="67"/>
      <c r="I21" s="67"/>
      <c r="J21" s="67" t="s">
        <v>654</v>
      </c>
      <c r="K21" s="109" t="s">
        <v>654</v>
      </c>
      <c r="L21" s="67" t="s">
        <v>654</v>
      </c>
      <c r="M21" s="67"/>
      <c r="N21" s="67"/>
      <c r="O21" s="105">
        <v>0</v>
      </c>
    </row>
    <row r="22" spans="1:15" x14ac:dyDescent="0.35">
      <c r="A22" s="11" t="s">
        <v>57</v>
      </c>
      <c r="B22" s="11" t="s">
        <v>44</v>
      </c>
      <c r="C22" s="67"/>
      <c r="D22" s="67"/>
      <c r="E22" s="67"/>
      <c r="F22" s="67"/>
      <c r="G22" s="67"/>
      <c r="H22" s="67"/>
      <c r="I22" s="67"/>
      <c r="J22" s="67"/>
      <c r="K22" s="109" t="s">
        <v>654</v>
      </c>
      <c r="L22" s="67" t="s">
        <v>654</v>
      </c>
      <c r="M22" s="67" t="s">
        <v>654</v>
      </c>
      <c r="N22" s="67"/>
      <c r="O22" s="105">
        <v>0</v>
      </c>
    </row>
    <row r="23" spans="1:15" x14ac:dyDescent="0.35">
      <c r="A23" s="8" t="s">
        <v>59</v>
      </c>
      <c r="B23" s="8" t="s">
        <v>37</v>
      </c>
      <c r="C23" s="67"/>
      <c r="D23" s="67"/>
      <c r="E23" s="67"/>
      <c r="F23" s="67"/>
      <c r="G23" s="67"/>
      <c r="H23" s="67"/>
      <c r="I23" s="67"/>
      <c r="J23" s="67"/>
      <c r="K23" s="109"/>
      <c r="L23" s="67"/>
      <c r="M23" s="67" t="s">
        <v>654</v>
      </c>
      <c r="N23" s="67" t="s">
        <v>654</v>
      </c>
      <c r="O23" s="107">
        <v>0</v>
      </c>
    </row>
    <row r="24" spans="1:15" x14ac:dyDescent="0.35">
      <c r="A24" s="8" t="s">
        <v>61</v>
      </c>
      <c r="B24" s="8" t="s">
        <v>37</v>
      </c>
      <c r="C24" s="67"/>
      <c r="D24" s="67"/>
      <c r="E24" s="67"/>
      <c r="F24" s="67"/>
      <c r="G24" s="67"/>
      <c r="H24" s="67"/>
      <c r="I24" s="67"/>
      <c r="J24" s="67"/>
      <c r="K24" s="109"/>
      <c r="L24" s="67"/>
      <c r="M24" s="67"/>
      <c r="N24" s="67" t="s">
        <v>654</v>
      </c>
      <c r="O24" s="107">
        <v>0</v>
      </c>
    </row>
    <row r="25" spans="1:15" x14ac:dyDescent="0.35">
      <c r="A25" s="73" t="s">
        <v>649</v>
      </c>
      <c r="B25" s="73"/>
      <c r="C25" s="78">
        <v>7.5</v>
      </c>
      <c r="D25" s="78">
        <v>5.6</v>
      </c>
      <c r="E25" s="78">
        <v>5.75</v>
      </c>
      <c r="F25" s="78">
        <v>6.4</v>
      </c>
      <c r="G25" s="78">
        <v>4.45</v>
      </c>
      <c r="H25" s="78">
        <v>4.3</v>
      </c>
      <c r="I25" s="78">
        <v>0</v>
      </c>
      <c r="J25" s="78">
        <v>0</v>
      </c>
      <c r="K25" s="110">
        <v>0</v>
      </c>
      <c r="L25" s="78">
        <v>0</v>
      </c>
      <c r="M25" s="78">
        <v>0</v>
      </c>
      <c r="N25" s="78">
        <v>0</v>
      </c>
      <c r="O25" s="78">
        <v>34</v>
      </c>
    </row>
    <row r="28" spans="1:15" x14ac:dyDescent="0.35">
      <c r="A28" s="124" t="s">
        <v>674</v>
      </c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</row>
    <row r="29" spans="1:15" x14ac:dyDescent="0.35">
      <c r="A29" s="62" t="s">
        <v>516</v>
      </c>
      <c r="B29" s="62" t="s">
        <v>650</v>
      </c>
      <c r="C29" s="104">
        <v>46146</v>
      </c>
      <c r="D29" s="104">
        <v>46153</v>
      </c>
      <c r="E29" s="104">
        <v>46160</v>
      </c>
      <c r="F29" s="104">
        <v>46167</v>
      </c>
      <c r="G29" s="104">
        <v>46174</v>
      </c>
      <c r="H29" s="104">
        <v>46181</v>
      </c>
      <c r="I29" s="104">
        <v>46188</v>
      </c>
      <c r="J29" s="104">
        <v>46195</v>
      </c>
      <c r="K29" s="113">
        <v>46202</v>
      </c>
      <c r="L29" s="104">
        <v>46209</v>
      </c>
      <c r="M29" s="104">
        <v>46216</v>
      </c>
      <c r="N29" s="104">
        <v>46223</v>
      </c>
      <c r="O29" s="62" t="s">
        <v>544</v>
      </c>
    </row>
    <row r="30" spans="1:15" x14ac:dyDescent="0.35">
      <c r="A30" s="62"/>
      <c r="B30" s="62"/>
      <c r="C30" s="62">
        <v>1</v>
      </c>
      <c r="D30" s="62">
        <v>2</v>
      </c>
      <c r="E30" s="62">
        <v>3</v>
      </c>
      <c r="F30" s="62">
        <v>4</v>
      </c>
      <c r="G30" s="62">
        <v>5</v>
      </c>
      <c r="H30" s="62">
        <v>6</v>
      </c>
      <c r="I30" s="62">
        <v>7</v>
      </c>
      <c r="J30" s="62">
        <v>8</v>
      </c>
      <c r="K30" s="114">
        <v>9</v>
      </c>
      <c r="L30" s="62">
        <v>10</v>
      </c>
      <c r="M30" s="62">
        <v>11</v>
      </c>
      <c r="N30" s="62">
        <v>12</v>
      </c>
      <c r="O30" s="62"/>
    </row>
    <row r="31" spans="1:15" x14ac:dyDescent="0.35">
      <c r="A31" s="11" t="s">
        <v>36</v>
      </c>
      <c r="B31" s="11" t="s">
        <v>37</v>
      </c>
      <c r="C31" s="66">
        <v>1600</v>
      </c>
      <c r="D31" s="66">
        <v>1600</v>
      </c>
      <c r="E31" s="66">
        <v>1600</v>
      </c>
      <c r="F31" s="66">
        <v>1600</v>
      </c>
      <c r="G31" s="66">
        <v>1600</v>
      </c>
      <c r="H31" s="66">
        <v>1600</v>
      </c>
      <c r="I31" s="66" t="s">
        <v>654</v>
      </c>
      <c r="J31" s="66" t="s">
        <v>654</v>
      </c>
      <c r="K31" s="111" t="s">
        <v>654</v>
      </c>
      <c r="L31" s="66" t="s">
        <v>654</v>
      </c>
      <c r="M31" s="66" t="s">
        <v>654</v>
      </c>
      <c r="N31" s="66" t="s">
        <v>654</v>
      </c>
      <c r="O31" s="106">
        <v>9600</v>
      </c>
    </row>
    <row r="32" spans="1:15" x14ac:dyDescent="0.35">
      <c r="A32" s="11" t="s">
        <v>39</v>
      </c>
      <c r="B32" s="11" t="s">
        <v>37</v>
      </c>
      <c r="C32" s="66">
        <v>8700</v>
      </c>
      <c r="D32" s="66"/>
      <c r="E32" s="66"/>
      <c r="F32" s="66"/>
      <c r="G32" s="66"/>
      <c r="H32" s="66"/>
      <c r="I32" s="66"/>
      <c r="J32" s="66"/>
      <c r="K32" s="111"/>
      <c r="L32" s="66"/>
      <c r="M32" s="66"/>
      <c r="N32" s="66"/>
      <c r="O32" s="106">
        <v>8700</v>
      </c>
    </row>
    <row r="33" spans="1:15" x14ac:dyDescent="0.35">
      <c r="A33" s="8" t="s">
        <v>41</v>
      </c>
      <c r="B33" s="8" t="s">
        <v>37</v>
      </c>
      <c r="C33" s="66">
        <v>5995.04</v>
      </c>
      <c r="D33" s="66">
        <v>6000</v>
      </c>
      <c r="E33" s="66">
        <v>6200</v>
      </c>
      <c r="F33" s="66"/>
      <c r="G33" s="66"/>
      <c r="H33" s="66"/>
      <c r="I33" s="66"/>
      <c r="J33" s="66"/>
      <c r="K33" s="111"/>
      <c r="L33" s="66"/>
      <c r="M33" s="66"/>
      <c r="N33" s="66"/>
      <c r="O33" s="108">
        <v>18195.04</v>
      </c>
    </row>
    <row r="34" spans="1:15" x14ac:dyDescent="0.35">
      <c r="A34" s="8" t="s">
        <v>43</v>
      </c>
      <c r="B34" s="8" t="s">
        <v>44</v>
      </c>
      <c r="C34" s="66"/>
      <c r="D34" s="66">
        <v>10500</v>
      </c>
      <c r="E34" s="66">
        <v>10200</v>
      </c>
      <c r="F34" s="66">
        <v>10200</v>
      </c>
      <c r="G34" s="66">
        <v>10400</v>
      </c>
      <c r="H34" s="66"/>
      <c r="I34" s="66"/>
      <c r="J34" s="66"/>
      <c r="K34" s="111"/>
      <c r="L34" s="66"/>
      <c r="M34" s="66"/>
      <c r="N34" s="66"/>
      <c r="O34" s="108">
        <v>41300</v>
      </c>
    </row>
    <row r="35" spans="1:15" x14ac:dyDescent="0.35">
      <c r="A35" s="11" t="s">
        <v>46</v>
      </c>
      <c r="B35" s="11" t="s">
        <v>37</v>
      </c>
      <c r="C35" s="66"/>
      <c r="D35" s="66">
        <v>4554.08</v>
      </c>
      <c r="E35" s="66">
        <v>4654.08</v>
      </c>
      <c r="F35" s="66">
        <v>4200</v>
      </c>
      <c r="G35" s="66"/>
      <c r="H35" s="66"/>
      <c r="I35" s="66"/>
      <c r="J35" s="66"/>
      <c r="K35" s="111"/>
      <c r="L35" s="66"/>
      <c r="M35" s="66"/>
      <c r="N35" s="66"/>
      <c r="O35" s="106">
        <v>13408.16</v>
      </c>
    </row>
    <row r="36" spans="1:15" x14ac:dyDescent="0.35">
      <c r="A36" s="11" t="s">
        <v>48</v>
      </c>
      <c r="B36" s="11" t="s">
        <v>37</v>
      </c>
      <c r="C36" s="66"/>
      <c r="D36" s="66"/>
      <c r="E36" s="66"/>
      <c r="F36" s="66">
        <v>8906.24</v>
      </c>
      <c r="G36" s="66">
        <v>8800</v>
      </c>
      <c r="H36" s="66">
        <v>8500</v>
      </c>
      <c r="I36" s="66"/>
      <c r="J36" s="66"/>
      <c r="K36" s="111"/>
      <c r="L36" s="66"/>
      <c r="M36" s="66"/>
      <c r="N36" s="66"/>
      <c r="O36" s="106">
        <v>26206.240000000002</v>
      </c>
    </row>
    <row r="37" spans="1:15" x14ac:dyDescent="0.35">
      <c r="A37" s="11" t="s">
        <v>50</v>
      </c>
      <c r="B37" s="11" t="s">
        <v>51</v>
      </c>
      <c r="C37" s="66"/>
      <c r="D37" s="66"/>
      <c r="E37" s="66"/>
      <c r="F37" s="66"/>
      <c r="G37" s="66">
        <v>8676.7999999999993</v>
      </c>
      <c r="H37" s="66">
        <v>8800</v>
      </c>
      <c r="I37" s="66" t="s">
        <v>654</v>
      </c>
      <c r="J37" s="66" t="s">
        <v>654</v>
      </c>
      <c r="K37" s="111"/>
      <c r="L37" s="66"/>
      <c r="M37" s="66"/>
      <c r="N37" s="66"/>
      <c r="O37" s="106">
        <v>17476.8</v>
      </c>
    </row>
    <row r="38" spans="1:15" x14ac:dyDescent="0.35">
      <c r="A38" s="11" t="s">
        <v>53</v>
      </c>
      <c r="B38" s="11" t="s">
        <v>51</v>
      </c>
      <c r="C38" s="66"/>
      <c r="D38" s="66"/>
      <c r="E38" s="66"/>
      <c r="F38" s="66"/>
      <c r="G38" s="66"/>
      <c r="H38" s="66">
        <v>7099.2</v>
      </c>
      <c r="I38" s="66" t="s">
        <v>654</v>
      </c>
      <c r="J38" s="66" t="s">
        <v>654</v>
      </c>
      <c r="K38" s="111" t="s">
        <v>654</v>
      </c>
      <c r="L38" s="66"/>
      <c r="M38" s="66"/>
      <c r="N38" s="66"/>
      <c r="O38" s="106">
        <v>7099.2</v>
      </c>
    </row>
    <row r="39" spans="1:15" x14ac:dyDescent="0.35">
      <c r="A39" s="11" t="s">
        <v>55</v>
      </c>
      <c r="B39" s="11" t="s">
        <v>44</v>
      </c>
      <c r="C39" s="66"/>
      <c r="D39" s="66"/>
      <c r="E39" s="66"/>
      <c r="F39" s="66"/>
      <c r="G39" s="66"/>
      <c r="H39" s="66"/>
      <c r="I39" s="66"/>
      <c r="J39" s="66" t="s">
        <v>654</v>
      </c>
      <c r="K39" s="111" t="s">
        <v>654</v>
      </c>
      <c r="L39" s="66" t="s">
        <v>654</v>
      </c>
      <c r="M39" s="66"/>
      <c r="N39" s="66"/>
      <c r="O39" s="106">
        <v>0</v>
      </c>
    </row>
    <row r="40" spans="1:15" x14ac:dyDescent="0.35">
      <c r="A40" s="11" t="s">
        <v>57</v>
      </c>
      <c r="B40" s="11" t="s">
        <v>44</v>
      </c>
      <c r="C40" s="66"/>
      <c r="D40" s="66"/>
      <c r="E40" s="66"/>
      <c r="F40" s="66"/>
      <c r="G40" s="66"/>
      <c r="H40" s="66"/>
      <c r="I40" s="66"/>
      <c r="J40" s="66"/>
      <c r="K40" s="111" t="s">
        <v>654</v>
      </c>
      <c r="L40" s="66" t="s">
        <v>654</v>
      </c>
      <c r="M40" s="66" t="s">
        <v>654</v>
      </c>
      <c r="N40" s="66"/>
      <c r="O40" s="106">
        <v>0</v>
      </c>
    </row>
    <row r="41" spans="1:15" x14ac:dyDescent="0.35">
      <c r="A41" s="8" t="s">
        <v>59</v>
      </c>
      <c r="B41" s="8" t="s">
        <v>37</v>
      </c>
      <c r="C41" s="66"/>
      <c r="D41" s="66"/>
      <c r="E41" s="66"/>
      <c r="F41" s="66"/>
      <c r="G41" s="66"/>
      <c r="H41" s="66"/>
      <c r="I41" s="66"/>
      <c r="J41" s="66"/>
      <c r="K41" s="111"/>
      <c r="L41" s="66"/>
      <c r="M41" s="66" t="s">
        <v>654</v>
      </c>
      <c r="N41" s="66" t="s">
        <v>654</v>
      </c>
      <c r="O41" s="108">
        <v>0</v>
      </c>
    </row>
    <row r="42" spans="1:15" x14ac:dyDescent="0.35">
      <c r="A42" s="8" t="s">
        <v>61</v>
      </c>
      <c r="B42" s="8" t="s">
        <v>37</v>
      </c>
      <c r="C42" s="66"/>
      <c r="D42" s="66"/>
      <c r="E42" s="66"/>
      <c r="F42" s="66"/>
      <c r="G42" s="66"/>
      <c r="H42" s="66"/>
      <c r="I42" s="66"/>
      <c r="J42" s="66"/>
      <c r="K42" s="111"/>
      <c r="L42" s="66"/>
      <c r="M42" s="66"/>
      <c r="N42" s="66" t="s">
        <v>654</v>
      </c>
      <c r="O42" s="108">
        <v>0</v>
      </c>
    </row>
    <row r="43" spans="1:15" x14ac:dyDescent="0.35">
      <c r="A43" s="73" t="s">
        <v>651</v>
      </c>
      <c r="B43" s="73"/>
      <c r="C43" s="76">
        <v>16295.04</v>
      </c>
      <c r="D43" s="76">
        <v>22654.080000000002</v>
      </c>
      <c r="E43" s="76">
        <v>22654.080000000002</v>
      </c>
      <c r="F43" s="76">
        <v>24906.240000000002</v>
      </c>
      <c r="G43" s="76">
        <v>29476.799999999999</v>
      </c>
      <c r="H43" s="76">
        <v>25999.200000000001</v>
      </c>
      <c r="I43" s="76">
        <v>0</v>
      </c>
      <c r="J43" s="76">
        <v>0</v>
      </c>
      <c r="K43" s="112">
        <v>0</v>
      </c>
      <c r="L43" s="76">
        <v>0</v>
      </c>
      <c r="M43" s="76">
        <v>0</v>
      </c>
      <c r="N43" s="76">
        <v>0</v>
      </c>
      <c r="O43" s="76">
        <v>141985.44</v>
      </c>
    </row>
    <row r="46" spans="1:15" x14ac:dyDescent="0.35">
      <c r="A46" s="62" t="s">
        <v>516</v>
      </c>
      <c r="B46" s="62" t="s">
        <v>75</v>
      </c>
      <c r="C46" s="62" t="s">
        <v>201</v>
      </c>
      <c r="D46" s="62" t="s">
        <v>202</v>
      </c>
      <c r="E46" s="62" t="s">
        <v>25</v>
      </c>
      <c r="F46" s="62" t="s">
        <v>203</v>
      </c>
      <c r="G46" s="62" t="s">
        <v>28</v>
      </c>
      <c r="H46" s="62" t="s">
        <v>27</v>
      </c>
      <c r="I46" s="62" t="s">
        <v>30</v>
      </c>
      <c r="J46" s="62" t="s">
        <v>29</v>
      </c>
      <c r="K46" s="62" t="s">
        <v>153</v>
      </c>
    </row>
    <row r="47" spans="1:15" x14ac:dyDescent="0.35">
      <c r="A47" s="11" t="s">
        <v>36</v>
      </c>
      <c r="B47" s="106">
        <v>18000</v>
      </c>
      <c r="C47" s="106">
        <v>13500</v>
      </c>
      <c r="D47" s="106">
        <v>9600</v>
      </c>
      <c r="E47" s="116">
        <v>0.5</v>
      </c>
      <c r="F47" s="106">
        <v>9000</v>
      </c>
      <c r="G47" s="106">
        <v>-4500</v>
      </c>
      <c r="H47" s="106">
        <v>-600</v>
      </c>
      <c r="I47" s="105">
        <v>0.66666666666666696</v>
      </c>
      <c r="J47" s="105">
        <v>0.9375</v>
      </c>
      <c r="K47" s="11" t="s">
        <v>137</v>
      </c>
    </row>
    <row r="48" spans="1:15" x14ac:dyDescent="0.35">
      <c r="A48" s="11" t="s">
        <v>39</v>
      </c>
      <c r="B48" s="106">
        <v>8500</v>
      </c>
      <c r="C48" s="106">
        <v>8500</v>
      </c>
      <c r="D48" s="106">
        <v>8700</v>
      </c>
      <c r="E48" s="116">
        <v>1</v>
      </c>
      <c r="F48" s="106">
        <v>8500</v>
      </c>
      <c r="G48" s="106">
        <v>0</v>
      </c>
      <c r="H48" s="106">
        <v>-200</v>
      </c>
      <c r="I48" s="105">
        <v>1</v>
      </c>
      <c r="J48" s="105">
        <v>0.97701149425287404</v>
      </c>
      <c r="K48" s="11" t="s">
        <v>137</v>
      </c>
    </row>
    <row r="49" spans="1:11" x14ac:dyDescent="0.35">
      <c r="A49" s="8" t="s">
        <v>41</v>
      </c>
      <c r="B49" s="108">
        <v>19200</v>
      </c>
      <c r="C49" s="108">
        <v>19200</v>
      </c>
      <c r="D49" s="108">
        <v>18195.04</v>
      </c>
      <c r="E49" s="117">
        <v>1</v>
      </c>
      <c r="F49" s="108">
        <v>19200</v>
      </c>
      <c r="G49" s="108">
        <v>0</v>
      </c>
      <c r="H49" s="108">
        <v>1004.96</v>
      </c>
      <c r="I49" s="107">
        <v>1</v>
      </c>
      <c r="J49" s="107">
        <v>1.0552326348279499</v>
      </c>
      <c r="K49" s="8" t="s">
        <v>132</v>
      </c>
    </row>
    <row r="50" spans="1:11" x14ac:dyDescent="0.35">
      <c r="A50" s="8" t="s">
        <v>43</v>
      </c>
      <c r="B50" s="108">
        <v>42000</v>
      </c>
      <c r="C50" s="108">
        <v>42000</v>
      </c>
      <c r="D50" s="108">
        <v>41300</v>
      </c>
      <c r="E50" s="117">
        <v>1</v>
      </c>
      <c r="F50" s="108">
        <v>42000</v>
      </c>
      <c r="G50" s="108">
        <v>0</v>
      </c>
      <c r="H50" s="108">
        <v>700</v>
      </c>
      <c r="I50" s="107">
        <v>1</v>
      </c>
      <c r="J50" s="107">
        <v>1.0169491525423699</v>
      </c>
      <c r="K50" s="8" t="s">
        <v>132</v>
      </c>
    </row>
    <row r="51" spans="1:11" x14ac:dyDescent="0.35">
      <c r="A51" s="11" t="s">
        <v>46</v>
      </c>
      <c r="B51" s="106">
        <v>13200</v>
      </c>
      <c r="C51" s="106">
        <v>13200</v>
      </c>
      <c r="D51" s="106">
        <v>13408.16</v>
      </c>
      <c r="E51" s="116">
        <v>1</v>
      </c>
      <c r="F51" s="106">
        <v>13200</v>
      </c>
      <c r="G51" s="106">
        <v>0</v>
      </c>
      <c r="H51" s="106">
        <v>-208.15999999999801</v>
      </c>
      <c r="I51" s="105">
        <v>1</v>
      </c>
      <c r="J51" s="105">
        <v>0.98447512559516004</v>
      </c>
      <c r="K51" s="11" t="s">
        <v>137</v>
      </c>
    </row>
    <row r="52" spans="1:11" x14ac:dyDescent="0.35">
      <c r="A52" s="11" t="s">
        <v>48</v>
      </c>
      <c r="B52" s="106">
        <v>26000</v>
      </c>
      <c r="C52" s="106">
        <v>26000</v>
      </c>
      <c r="D52" s="106">
        <v>26206.240000000002</v>
      </c>
      <c r="E52" s="116">
        <v>0.7</v>
      </c>
      <c r="F52" s="106">
        <v>18200</v>
      </c>
      <c r="G52" s="106">
        <v>-7800</v>
      </c>
      <c r="H52" s="106">
        <v>-8006.24</v>
      </c>
      <c r="I52" s="105">
        <v>0.7</v>
      </c>
      <c r="J52" s="105">
        <v>0.69449108303976503</v>
      </c>
      <c r="K52" s="11" t="s">
        <v>137</v>
      </c>
    </row>
    <row r="53" spans="1:11" x14ac:dyDescent="0.35">
      <c r="A53" s="11" t="s">
        <v>50</v>
      </c>
      <c r="B53" s="106">
        <v>36000</v>
      </c>
      <c r="C53" s="106">
        <v>36000</v>
      </c>
      <c r="D53" s="106">
        <v>17476.8</v>
      </c>
      <c r="E53" s="116">
        <v>0.4</v>
      </c>
      <c r="F53" s="106">
        <v>14400</v>
      </c>
      <c r="G53" s="106">
        <v>-21600</v>
      </c>
      <c r="H53" s="106">
        <v>-3076.8</v>
      </c>
      <c r="I53" s="105">
        <v>0.4</v>
      </c>
      <c r="J53" s="105">
        <v>0.823949464432848</v>
      </c>
      <c r="K53" s="11" t="s">
        <v>137</v>
      </c>
    </row>
    <row r="54" spans="1:11" x14ac:dyDescent="0.35">
      <c r="A54" s="11" t="s">
        <v>53</v>
      </c>
      <c r="B54" s="106">
        <v>28000</v>
      </c>
      <c r="C54" s="106">
        <v>28000</v>
      </c>
      <c r="D54" s="106">
        <v>7099.2</v>
      </c>
      <c r="E54" s="116">
        <v>0.24885699999999999</v>
      </c>
      <c r="F54" s="106">
        <v>6967.9960000000001</v>
      </c>
      <c r="G54" s="106">
        <v>-21032.004000000001</v>
      </c>
      <c r="H54" s="106">
        <v>-131.20400000000001</v>
      </c>
      <c r="I54" s="105">
        <v>0.24885699999999999</v>
      </c>
      <c r="J54" s="105">
        <v>0.98151848095560101</v>
      </c>
      <c r="K54" s="11" t="s">
        <v>137</v>
      </c>
    </row>
    <row r="55" spans="1:11" x14ac:dyDescent="0.35">
      <c r="A55" s="11" t="s">
        <v>55</v>
      </c>
      <c r="B55" s="106">
        <v>35750</v>
      </c>
      <c r="C55" s="106">
        <v>23833.34</v>
      </c>
      <c r="D55" s="106">
        <v>0</v>
      </c>
      <c r="E55" s="116">
        <v>0</v>
      </c>
      <c r="F55" s="106">
        <v>0</v>
      </c>
      <c r="G55" s="106">
        <v>-23833.34</v>
      </c>
      <c r="H55" s="106">
        <v>0</v>
      </c>
      <c r="I55" s="105">
        <v>0</v>
      </c>
      <c r="J55" s="105">
        <v>1</v>
      </c>
      <c r="K55" s="11" t="s">
        <v>137</v>
      </c>
    </row>
    <row r="56" spans="1:11" x14ac:dyDescent="0.35">
      <c r="A56" s="11" t="s">
        <v>57</v>
      </c>
      <c r="B56" s="106">
        <v>30000</v>
      </c>
      <c r="C56" s="106">
        <v>10000</v>
      </c>
      <c r="D56" s="106">
        <v>0</v>
      </c>
      <c r="E56" s="116">
        <v>0</v>
      </c>
      <c r="F56" s="106">
        <v>0</v>
      </c>
      <c r="G56" s="106">
        <v>-10000</v>
      </c>
      <c r="H56" s="106">
        <v>0</v>
      </c>
      <c r="I56" s="105">
        <v>0</v>
      </c>
      <c r="J56" s="105">
        <v>1</v>
      </c>
      <c r="K56" s="11" t="s">
        <v>137</v>
      </c>
    </row>
    <row r="57" spans="1:11" x14ac:dyDescent="0.35">
      <c r="A57" s="8" t="s">
        <v>59</v>
      </c>
      <c r="B57" s="108">
        <v>8400</v>
      </c>
      <c r="C57" s="108">
        <v>0</v>
      </c>
      <c r="D57" s="108">
        <v>0</v>
      </c>
      <c r="E57" s="117">
        <v>0</v>
      </c>
      <c r="F57" s="108">
        <v>0</v>
      </c>
      <c r="G57" s="108">
        <v>0</v>
      </c>
      <c r="H57" s="108">
        <v>0</v>
      </c>
      <c r="I57" s="107">
        <v>1</v>
      </c>
      <c r="J57" s="107">
        <v>1</v>
      </c>
      <c r="K57" s="8" t="s">
        <v>132</v>
      </c>
    </row>
    <row r="58" spans="1:11" x14ac:dyDescent="0.35">
      <c r="A58" s="8" t="s">
        <v>61</v>
      </c>
      <c r="B58" s="108">
        <v>3600</v>
      </c>
      <c r="C58" s="108">
        <v>0</v>
      </c>
      <c r="D58" s="108">
        <v>0</v>
      </c>
      <c r="E58" s="117">
        <v>0</v>
      </c>
      <c r="F58" s="108">
        <v>0</v>
      </c>
      <c r="G58" s="108">
        <v>0</v>
      </c>
      <c r="H58" s="108">
        <v>0</v>
      </c>
      <c r="I58" s="107">
        <v>1</v>
      </c>
      <c r="J58" s="107">
        <v>1</v>
      </c>
      <c r="K58" s="8" t="s">
        <v>132</v>
      </c>
    </row>
    <row r="61" spans="1:11" x14ac:dyDescent="0.35">
      <c r="A61" s="120" t="s">
        <v>655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</row>
    <row r="62" spans="1:11" x14ac:dyDescent="0.35">
      <c r="A62" s="62" t="s">
        <v>656</v>
      </c>
      <c r="B62" s="62" t="s">
        <v>131</v>
      </c>
      <c r="C62" s="62" t="s">
        <v>657</v>
      </c>
      <c r="D62" s="62"/>
      <c r="E62" s="62"/>
      <c r="F62" s="62"/>
      <c r="G62" s="62"/>
      <c r="H62" s="62"/>
      <c r="I62" s="62"/>
      <c r="J62" s="62"/>
      <c r="K62" s="62"/>
    </row>
    <row r="63" spans="1:11" x14ac:dyDescent="0.35">
      <c r="A63" s="2" t="s">
        <v>658</v>
      </c>
      <c r="B63" s="2" t="s">
        <v>659</v>
      </c>
      <c r="C63" s="2" t="s">
        <v>675</v>
      </c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4" t="s">
        <v>660</v>
      </c>
      <c r="B64" s="2" t="s">
        <v>676</v>
      </c>
      <c r="C64" s="2" t="s">
        <v>677</v>
      </c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6" t="s">
        <v>661</v>
      </c>
      <c r="B65" s="2" t="s">
        <v>136</v>
      </c>
      <c r="C65" s="2" t="s">
        <v>677</v>
      </c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7" t="s">
        <v>662</v>
      </c>
      <c r="B66" s="2" t="s">
        <v>678</v>
      </c>
      <c r="C66" s="2" t="s">
        <v>677</v>
      </c>
      <c r="D66" s="2"/>
      <c r="E66" s="2"/>
      <c r="F66" s="2"/>
      <c r="G66" s="2"/>
      <c r="H66" s="2"/>
      <c r="I66" s="2"/>
      <c r="J66" s="2"/>
      <c r="K66" s="2"/>
    </row>
  </sheetData>
  <mergeCells count="6">
    <mergeCell ref="A28:O28"/>
    <mergeCell ref="A61:K61"/>
    <mergeCell ref="A1:O1"/>
    <mergeCell ref="A2:O2"/>
    <mergeCell ref="A4:O4"/>
    <mergeCell ref="A10:O10"/>
  </mergeCells>
  <conditionalFormatting sqref="C13:N24">
    <cfRule type="containsText" dxfId="4" priority="1" operator="containsText" text="o">
      <formula>NOT(ISERROR(SEARCH("o",C13)))</formula>
    </cfRule>
  </conditionalFormatting>
  <conditionalFormatting sqref="C31:N42">
    <cfRule type="containsText" dxfId="3" priority="2" operator="containsText" text="o">
      <formula>NOT(ISERROR(SEARCH("o",C31)))</formula>
    </cfRule>
  </conditionalFormatting>
  <conditionalFormatting sqref="K47:K58">
    <cfRule type="containsText" dxfId="2" priority="3" operator="containsText" text="Green">
      <formula>NOT(ISERROR(SEARCH("Green",K47)))</formula>
    </cfRule>
    <cfRule type="containsText" dxfId="1" priority="4" operator="containsText" text="Amber">
      <formula>NOT(ISERROR(SEARCH("Amber",K47)))</formula>
    </cfRule>
    <cfRule type="containsText" dxfId="0" priority="5" operator="containsText" text="Red">
      <formula>NOT(ISERROR(SEARCH("Red",K47)))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4155-3A88-4B06-A476-4FCD7DC2B21C}">
  <sheetPr>
    <tabColor rgb="FFED7D31"/>
  </sheetPr>
  <dimension ref="A1:N16"/>
  <sheetViews>
    <sheetView showGridLines="0" workbookViewId="0">
      <selection activeCell="Q50" sqref="Q50"/>
    </sheetView>
  </sheetViews>
  <sheetFormatPr defaultRowHeight="14.5" x14ac:dyDescent="0.35"/>
  <cols>
    <col min="1" max="1" width="13.6328125" customWidth="1"/>
    <col min="2" max="2" width="33.6328125" customWidth="1"/>
    <col min="3" max="10" width="17.26953125" customWidth="1"/>
    <col min="12" max="14" width="20" customWidth="1"/>
  </cols>
  <sheetData>
    <row r="1" spans="1:14" ht="23.5" x14ac:dyDescent="0.55000000000000004">
      <c r="A1" s="122" t="s">
        <v>679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</row>
    <row r="2" spans="1:14" x14ac:dyDescent="0.35">
      <c r="A2" s="123" t="s">
        <v>680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</row>
    <row r="4" spans="1:14" x14ac:dyDescent="0.35">
      <c r="A4" s="62" t="s">
        <v>19</v>
      </c>
      <c r="B4" s="62" t="s">
        <v>148</v>
      </c>
      <c r="C4" s="62" t="s">
        <v>198</v>
      </c>
      <c r="D4" s="62" t="s">
        <v>199</v>
      </c>
      <c r="E4" s="62" t="s">
        <v>681</v>
      </c>
      <c r="F4" s="62" t="s">
        <v>682</v>
      </c>
      <c r="G4" s="62" t="s">
        <v>30</v>
      </c>
      <c r="H4" s="62" t="s">
        <v>29</v>
      </c>
      <c r="I4" s="62" t="s">
        <v>153</v>
      </c>
      <c r="J4" s="62" t="s">
        <v>683</v>
      </c>
      <c r="L4" s="62" t="s">
        <v>689</v>
      </c>
      <c r="M4" s="62"/>
      <c r="N4" s="62"/>
    </row>
    <row r="5" spans="1:14" x14ac:dyDescent="0.35">
      <c r="A5" s="2" t="s">
        <v>35</v>
      </c>
      <c r="B5" s="2" t="s">
        <v>36</v>
      </c>
      <c r="C5" s="118">
        <v>46146</v>
      </c>
      <c r="D5" s="118">
        <v>46229</v>
      </c>
      <c r="E5" s="64">
        <v>84</v>
      </c>
      <c r="F5" s="65">
        <v>0.5</v>
      </c>
      <c r="G5" s="67">
        <v>0.67</v>
      </c>
      <c r="H5" s="67">
        <v>0.94</v>
      </c>
      <c r="I5" s="2" t="s">
        <v>137</v>
      </c>
      <c r="J5" s="2" t="s">
        <v>684</v>
      </c>
      <c r="L5" s="4" t="s">
        <v>132</v>
      </c>
      <c r="M5" s="2" t="s">
        <v>690</v>
      </c>
      <c r="N5" s="2" t="s">
        <v>691</v>
      </c>
    </row>
    <row r="6" spans="1:14" x14ac:dyDescent="0.35">
      <c r="A6" s="2" t="s">
        <v>38</v>
      </c>
      <c r="B6" s="2" t="s">
        <v>39</v>
      </c>
      <c r="C6" s="118">
        <v>46146</v>
      </c>
      <c r="D6" s="118">
        <v>46152</v>
      </c>
      <c r="E6" s="64">
        <v>7</v>
      </c>
      <c r="F6" s="65">
        <v>1</v>
      </c>
      <c r="G6" s="67">
        <v>1</v>
      </c>
      <c r="H6" s="67">
        <v>0.98</v>
      </c>
      <c r="I6" s="2" t="s">
        <v>137</v>
      </c>
      <c r="J6" s="2" t="s">
        <v>684</v>
      </c>
      <c r="L6" s="6" t="s">
        <v>134</v>
      </c>
      <c r="M6" s="2" t="s">
        <v>135</v>
      </c>
      <c r="N6" s="2" t="s">
        <v>136</v>
      </c>
    </row>
    <row r="7" spans="1:14" x14ac:dyDescent="0.35">
      <c r="A7" s="2" t="s">
        <v>40</v>
      </c>
      <c r="B7" s="2" t="s">
        <v>41</v>
      </c>
      <c r="C7" s="118">
        <v>46146</v>
      </c>
      <c r="D7" s="118">
        <v>46166</v>
      </c>
      <c r="E7" s="64">
        <v>21</v>
      </c>
      <c r="F7" s="65">
        <v>1</v>
      </c>
      <c r="G7" s="67">
        <v>1</v>
      </c>
      <c r="H7" s="67">
        <v>1.06</v>
      </c>
      <c r="I7" s="2" t="s">
        <v>132</v>
      </c>
      <c r="J7" s="2" t="s">
        <v>684</v>
      </c>
      <c r="L7" s="7" t="s">
        <v>137</v>
      </c>
      <c r="M7" s="2" t="s">
        <v>138</v>
      </c>
      <c r="N7" s="2" t="s">
        <v>139</v>
      </c>
    </row>
    <row r="8" spans="1:14" x14ac:dyDescent="0.35">
      <c r="A8" s="2" t="s">
        <v>42</v>
      </c>
      <c r="B8" s="2" t="s">
        <v>43</v>
      </c>
      <c r="C8" s="118">
        <v>46153</v>
      </c>
      <c r="D8" s="118">
        <v>46180</v>
      </c>
      <c r="E8" s="64">
        <v>28</v>
      </c>
      <c r="F8" s="65">
        <v>1</v>
      </c>
      <c r="G8" s="67">
        <v>1</v>
      </c>
      <c r="H8" s="67">
        <v>1.02</v>
      </c>
      <c r="I8" s="2" t="s">
        <v>132</v>
      </c>
      <c r="J8" s="2" t="s">
        <v>685</v>
      </c>
      <c r="L8" s="80" t="s">
        <v>692</v>
      </c>
      <c r="M8" s="2" t="s">
        <v>693</v>
      </c>
      <c r="N8" s="2" t="s">
        <v>694</v>
      </c>
    </row>
    <row r="9" spans="1:14" x14ac:dyDescent="0.35">
      <c r="A9" s="2" t="s">
        <v>45</v>
      </c>
      <c r="B9" s="2" t="s">
        <v>46</v>
      </c>
      <c r="C9" s="118">
        <v>46153</v>
      </c>
      <c r="D9" s="118">
        <v>46173</v>
      </c>
      <c r="E9" s="64">
        <v>21</v>
      </c>
      <c r="F9" s="65">
        <v>1</v>
      </c>
      <c r="G9" s="67">
        <v>1</v>
      </c>
      <c r="H9" s="67">
        <v>0.98</v>
      </c>
      <c r="I9" s="2" t="s">
        <v>137</v>
      </c>
      <c r="J9" s="2" t="s">
        <v>685</v>
      </c>
    </row>
    <row r="10" spans="1:14" x14ac:dyDescent="0.35">
      <c r="A10" s="2" t="s">
        <v>47</v>
      </c>
      <c r="B10" s="2" t="s">
        <v>48</v>
      </c>
      <c r="C10" s="118">
        <v>46167</v>
      </c>
      <c r="D10" s="118">
        <v>46187</v>
      </c>
      <c r="E10" s="64">
        <v>21</v>
      </c>
      <c r="F10" s="65">
        <v>0.7</v>
      </c>
      <c r="G10" s="67">
        <v>0.7</v>
      </c>
      <c r="H10" s="67">
        <v>0.69</v>
      </c>
      <c r="I10" s="2" t="s">
        <v>137</v>
      </c>
      <c r="J10" s="2" t="s">
        <v>686</v>
      </c>
    </row>
    <row r="11" spans="1:14" x14ac:dyDescent="0.35">
      <c r="A11" s="2" t="s">
        <v>49</v>
      </c>
      <c r="B11" s="2" t="s">
        <v>50</v>
      </c>
      <c r="C11" s="118">
        <v>46174</v>
      </c>
      <c r="D11" s="118">
        <v>46201</v>
      </c>
      <c r="E11" s="64">
        <v>28</v>
      </c>
      <c r="F11" s="65">
        <v>0.4</v>
      </c>
      <c r="G11" s="67">
        <v>0.4</v>
      </c>
      <c r="H11" s="67">
        <v>0.82</v>
      </c>
      <c r="I11" s="2" t="s">
        <v>137</v>
      </c>
      <c r="J11" s="2" t="s">
        <v>47</v>
      </c>
    </row>
    <row r="12" spans="1:14" x14ac:dyDescent="0.35">
      <c r="A12" s="2" t="s">
        <v>52</v>
      </c>
      <c r="B12" s="2" t="s">
        <v>53</v>
      </c>
      <c r="C12" s="118">
        <v>46181</v>
      </c>
      <c r="D12" s="118">
        <v>46208</v>
      </c>
      <c r="E12" s="64">
        <v>28</v>
      </c>
      <c r="F12" s="65">
        <v>0.249</v>
      </c>
      <c r="G12" s="67">
        <v>0.25</v>
      </c>
      <c r="H12" s="67">
        <v>0.98</v>
      </c>
      <c r="I12" s="2" t="s">
        <v>137</v>
      </c>
      <c r="J12" s="2" t="s">
        <v>47</v>
      </c>
    </row>
    <row r="13" spans="1:14" x14ac:dyDescent="0.35">
      <c r="A13" s="2" t="s">
        <v>54</v>
      </c>
      <c r="B13" s="2" t="s">
        <v>55</v>
      </c>
      <c r="C13" s="118">
        <v>46195</v>
      </c>
      <c r="D13" s="118">
        <v>46215</v>
      </c>
      <c r="E13" s="64">
        <v>21</v>
      </c>
      <c r="F13" s="65">
        <v>0</v>
      </c>
      <c r="G13" s="67">
        <v>0</v>
      </c>
      <c r="H13" s="67">
        <v>1</v>
      </c>
      <c r="I13" s="2" t="s">
        <v>137</v>
      </c>
      <c r="J13" s="2" t="s">
        <v>687</v>
      </c>
    </row>
    <row r="14" spans="1:14" x14ac:dyDescent="0.35">
      <c r="A14" s="2" t="s">
        <v>56</v>
      </c>
      <c r="B14" s="2" t="s">
        <v>57</v>
      </c>
      <c r="C14" s="118">
        <v>46202</v>
      </c>
      <c r="D14" s="118">
        <v>46222</v>
      </c>
      <c r="E14" s="64">
        <v>21</v>
      </c>
      <c r="F14" s="65">
        <v>0</v>
      </c>
      <c r="G14" s="67">
        <v>0</v>
      </c>
      <c r="H14" s="67">
        <v>1</v>
      </c>
      <c r="I14" s="2" t="s">
        <v>137</v>
      </c>
      <c r="J14" s="2" t="s">
        <v>687</v>
      </c>
    </row>
    <row r="15" spans="1:14" x14ac:dyDescent="0.35">
      <c r="A15" s="2" t="s">
        <v>58</v>
      </c>
      <c r="B15" s="2" t="s">
        <v>59</v>
      </c>
      <c r="C15" s="118">
        <v>46216</v>
      </c>
      <c r="D15" s="118">
        <v>46229</v>
      </c>
      <c r="E15" s="64">
        <v>14</v>
      </c>
      <c r="F15" s="65">
        <v>0</v>
      </c>
      <c r="G15" s="67">
        <v>1</v>
      </c>
      <c r="H15" s="67">
        <v>1</v>
      </c>
      <c r="I15" s="2" t="s">
        <v>132</v>
      </c>
      <c r="J15" s="2" t="s">
        <v>688</v>
      </c>
    </row>
    <row r="16" spans="1:14" x14ac:dyDescent="0.35">
      <c r="A16" s="2" t="s">
        <v>60</v>
      </c>
      <c r="B16" s="2" t="s">
        <v>61</v>
      </c>
      <c r="C16" s="118">
        <v>46223</v>
      </c>
      <c r="D16" s="118">
        <v>46229</v>
      </c>
      <c r="E16" s="64">
        <v>7</v>
      </c>
      <c r="F16" s="65">
        <v>0</v>
      </c>
      <c r="G16" s="67">
        <v>1</v>
      </c>
      <c r="H16" s="67">
        <v>1</v>
      </c>
      <c r="I16" s="2" t="s">
        <v>132</v>
      </c>
      <c r="J16" s="2" t="s">
        <v>58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Cover</vt:lpstr>
      <vt:lpstr>Glossary</vt:lpstr>
      <vt:lpstr>Review</vt:lpstr>
      <vt:lpstr>PID</vt:lpstr>
      <vt:lpstr>Method Roadmap</vt:lpstr>
      <vt:lpstr>PM-EVM Compliance</vt:lpstr>
      <vt:lpstr>Setup</vt:lpstr>
      <vt:lpstr>Task Plan</vt:lpstr>
      <vt:lpstr>Task Capture</vt:lpstr>
      <vt:lpstr>EVM Dashboard</vt:lpstr>
      <vt:lpstr>Resource Grid</vt:lpstr>
      <vt:lpstr>Dim_Project</vt:lpstr>
      <vt:lpstr>Dim_WBS</vt:lpstr>
      <vt:lpstr>Dim_Resource</vt:lpstr>
      <vt:lpstr>Dim_Calendar</vt:lpstr>
      <vt:lpstr>Fact_Baseline_PV</vt:lpstr>
      <vt:lpstr>Fact_Actual_Costs</vt:lpstr>
      <vt:lpstr>Fact_Physical_Progress</vt:lpstr>
      <vt:lpstr>EVM</vt:lpstr>
      <vt:lpstr>EVM Charts</vt:lpstr>
      <vt:lpstr>Simple Gantt Model</vt:lpstr>
      <vt:lpstr>PERT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Ellingsen</cp:lastModifiedBy>
  <dcterms:created xsi:type="dcterms:W3CDTF">2026-08-04T11:57:05Z</dcterms:created>
  <dcterms:modified xsi:type="dcterms:W3CDTF">2026-08-04T17:18:16Z</dcterms:modified>
</cp:coreProperties>
</file>