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4.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codeName="ThisWorkbook"/>
  <xr:revisionPtr revIDLastSave="0" documentId="13_ncr:11_{ADAAF641-63E9-4973-98A3-187777F705EE}" xr6:coauthVersionLast="47" xr6:coauthVersionMax="47" xr10:uidLastSave="{00000000-0000-0000-0000-000000000000}"/>
  <bookViews>
    <workbookView xWindow="-120" yWindow="-16320" windowWidth="29040" windowHeight="15720" xr2:uid="{00000000-000D-0000-FFFF-FFFF00000000}"/>
  </bookViews>
  <sheets>
    <sheet name="Project Init" sheetId="16" r:id="rId1"/>
    <sheet name="tblTaskList" sheetId="17" r:id="rId2"/>
    <sheet name="EVM Data" sheetId="23" r:id="rId3"/>
    <sheet name="Gantt-frame" sheetId="18" r:id="rId4"/>
    <sheet name="EVM" sheetId="22" r:id="rId5"/>
    <sheet name="S-Curve" sheetId="24" r:id="rId6"/>
    <sheet name="Visio-datavisualiserer" sheetId="12" r:id="rId7"/>
    <sheet name="Forstå prosesskartet" sheetId="11" r:id="rId8"/>
    <sheet name="Prosesskart" sheetId="2" r:id="rId9"/>
    <sheet name="Flytskjema" sheetId="19" r:id="rId10"/>
    <sheet name="Prøveversjon av Visio" sheetId="14" r:id="rId11"/>
    <sheet name="Notater" sheetId="15" r:id="rId12"/>
    <sheet name="Tilordning av figurnotasjon" sheetId="13" state="hidden" r:id="rId13"/>
  </sheets>
  <externalReferences>
    <externalReference r:id="rId14"/>
  </externalReferences>
  <definedNames>
    <definedName name="Figurnotasjon" localSheetId="12">'Tilordning av figurnotasjon'!$A$2:$A$16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3" i="24" l="1"/>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C63" i="24" a="1"/>
  <c r="C63" i="24" s="1"/>
  <c r="C62" i="24" a="1"/>
  <c r="C62" i="24" s="1"/>
  <c r="C61" i="24" a="1"/>
  <c r="C61" i="24" s="1"/>
  <c r="C60" i="24" a="1"/>
  <c r="C60" i="24" s="1"/>
  <c r="C59" i="24" a="1"/>
  <c r="C59" i="24" s="1"/>
  <c r="C58" i="24"/>
  <c r="C58" i="24" a="1"/>
  <c r="C57" i="24" a="1"/>
  <c r="C57" i="24" s="1"/>
  <c r="C56" i="24"/>
  <c r="C56" i="24" a="1"/>
  <c r="C55" i="24" a="1"/>
  <c r="C55" i="24" s="1"/>
  <c r="C54" i="24" a="1"/>
  <c r="C54" i="24" s="1"/>
  <c r="C53" i="24" a="1"/>
  <c r="C53" i="24" s="1"/>
  <c r="C52" i="24" a="1"/>
  <c r="C52" i="24" s="1"/>
  <c r="C51" i="24" a="1"/>
  <c r="C51" i="24" s="1"/>
  <c r="C50" i="24"/>
  <c r="C50" i="24" a="1"/>
  <c r="C49" i="24" a="1"/>
  <c r="C49" i="24" s="1"/>
  <c r="C48" i="24"/>
  <c r="C48" i="24" a="1"/>
  <c r="C47" i="24" a="1"/>
  <c r="C47" i="24" s="1"/>
  <c r="C46" i="24" a="1"/>
  <c r="C46" i="24" s="1"/>
  <c r="C45" i="24" a="1"/>
  <c r="C45" i="24" s="1"/>
  <c r="C44" i="24" a="1"/>
  <c r="C44" i="24" s="1"/>
  <c r="C43" i="24" a="1"/>
  <c r="C43" i="24" s="1"/>
  <c r="C42" i="24"/>
  <c r="C42" i="24" a="1"/>
  <c r="C41" i="24" a="1"/>
  <c r="C41" i="24" s="1"/>
  <c r="C40" i="24"/>
  <c r="C40" i="24" a="1"/>
  <c r="C39" i="24" a="1"/>
  <c r="C39" i="24" s="1"/>
  <c r="C38" i="24" a="1"/>
  <c r="C38" i="24" s="1"/>
  <c r="C37" i="24" a="1"/>
  <c r="C37" i="24" s="1"/>
  <c r="C36" i="24" a="1"/>
  <c r="C36" i="24" s="1"/>
  <c r="C35" i="24" a="1"/>
  <c r="C35" i="24" s="1"/>
  <c r="C34" i="24"/>
  <c r="C34" i="24" a="1"/>
  <c r="C33" i="24" a="1"/>
  <c r="C33" i="24" s="1"/>
  <c r="C32" i="24"/>
  <c r="C32" i="24" a="1"/>
  <c r="C31" i="24" a="1"/>
  <c r="C31" i="24" s="1"/>
  <c r="C30" i="24" a="1"/>
  <c r="C30" i="24" s="1"/>
  <c r="C29" i="24" a="1"/>
  <c r="C29" i="24" s="1"/>
  <c r="C28" i="24" a="1"/>
  <c r="C28" i="24" s="1"/>
  <c r="C27" i="24" a="1"/>
  <c r="C27" i="24" s="1"/>
  <c r="C26" i="24"/>
  <c r="C26" i="24" a="1"/>
  <c r="C25" i="24" a="1"/>
  <c r="C25" i="24" s="1"/>
  <c r="C24" i="24"/>
  <c r="C24" i="24" a="1"/>
  <c r="C23" i="24" a="1"/>
  <c r="C23" i="24" s="1"/>
  <c r="C22" i="24" a="1"/>
  <c r="C22" i="24" s="1"/>
  <c r="C21" i="24" a="1"/>
  <c r="C21" i="24" s="1"/>
  <c r="C20" i="24" a="1"/>
  <c r="C20" i="24" s="1"/>
  <c r="C19" i="24" a="1"/>
  <c r="C19" i="24" s="1"/>
  <c r="C18" i="24"/>
  <c r="C18" i="24" a="1"/>
  <c r="C17" i="24" a="1"/>
  <c r="C17" i="24" s="1"/>
  <c r="C16" i="24"/>
  <c r="C16" i="24" a="1"/>
  <c r="C15" i="24" a="1"/>
  <c r="C15" i="24" s="1"/>
  <c r="C14" i="24" a="1"/>
  <c r="C14" i="24" s="1"/>
  <c r="C13" i="24" a="1"/>
  <c r="C13" i="24" s="1"/>
  <c r="C12" i="24" a="1"/>
  <c r="C12" i="24" s="1"/>
  <c r="C6" i="24"/>
  <c r="B6" i="24"/>
  <c r="N5" i="23"/>
  <c r="N7" i="23" s="1"/>
  <c r="N6" i="23"/>
  <c r="N8" i="23"/>
  <c r="J6" i="23"/>
  <c r="J8" i="23"/>
  <c r="F5" i="23"/>
  <c r="F7" i="23"/>
  <c r="A10" i="23" a="1"/>
  <c r="A10" i="23" s="1"/>
  <c r="B10" i="23" a="1"/>
  <c r="B10" i="23" s="1"/>
  <c r="C10" i="23" a="1"/>
  <c r="C10" i="23" s="1"/>
  <c r="D10" i="23" a="1"/>
  <c r="D10" i="23"/>
  <c r="E10" i="23" a="1"/>
  <c r="E10" i="23" s="1"/>
  <c r="F10" i="23" a="1"/>
  <c r="F10" i="23" s="1"/>
  <c r="G10" i="23" a="1"/>
  <c r="G10" i="23" s="1"/>
  <c r="H10" i="23" a="1"/>
  <c r="H10" i="23"/>
  <c r="I10" i="23" a="1"/>
  <c r="I10" i="23" s="1"/>
  <c r="J10" i="23" a="1"/>
  <c r="J10" i="23" s="1"/>
  <c r="K10" i="23" a="1"/>
  <c r="K10" i="23" s="1"/>
  <c r="L10" i="23" a="1"/>
  <c r="L10" i="23"/>
  <c r="A11" i="23" a="1"/>
  <c r="A11" i="23" s="1"/>
  <c r="B11" i="23" a="1"/>
  <c r="B11" i="23" s="1"/>
  <c r="C11" i="23" a="1"/>
  <c r="C11" i="23" s="1"/>
  <c r="D11" i="23" a="1"/>
  <c r="D11" i="23"/>
  <c r="E11" i="23" a="1"/>
  <c r="E11" i="23" s="1"/>
  <c r="F11" i="23" a="1"/>
  <c r="F11" i="23" s="1"/>
  <c r="G11" i="23" a="1"/>
  <c r="G11" i="23" s="1"/>
  <c r="H11" i="23" a="1"/>
  <c r="H11" i="23"/>
  <c r="I11" i="23" a="1"/>
  <c r="I11" i="23" s="1"/>
  <c r="J11" i="23" a="1"/>
  <c r="J11" i="23" s="1"/>
  <c r="K11" i="23" a="1"/>
  <c r="K11" i="23" s="1"/>
  <c r="L11" i="23" a="1"/>
  <c r="L11" i="23"/>
  <c r="A12" i="23" a="1"/>
  <c r="A12" i="23" s="1"/>
  <c r="B12" i="23" a="1"/>
  <c r="B12" i="23" s="1"/>
  <c r="C12" i="23" a="1"/>
  <c r="C12" i="23" s="1"/>
  <c r="D12" i="23" a="1"/>
  <c r="D12" i="23"/>
  <c r="E12" i="23" a="1"/>
  <c r="E12" i="23" s="1"/>
  <c r="F12" i="23" a="1"/>
  <c r="F12" i="23" s="1"/>
  <c r="G12" i="23" a="1"/>
  <c r="G12" i="23" s="1"/>
  <c r="H12" i="23" a="1"/>
  <c r="H12" i="23"/>
  <c r="I12" i="23" a="1"/>
  <c r="I12" i="23" s="1"/>
  <c r="J12" i="23" a="1"/>
  <c r="J12" i="23" s="1"/>
  <c r="K12" i="23" a="1"/>
  <c r="K12" i="23" s="1"/>
  <c r="L12" i="23" a="1"/>
  <c r="L12" i="23"/>
  <c r="A13" i="23" a="1"/>
  <c r="A13" i="23" s="1"/>
  <c r="B13" i="23" a="1"/>
  <c r="B13" i="23" s="1"/>
  <c r="C13" i="23" a="1"/>
  <c r="C13" i="23" s="1"/>
  <c r="D13" i="23" a="1"/>
  <c r="D13" i="23"/>
  <c r="E13" i="23" a="1"/>
  <c r="E13" i="23" s="1"/>
  <c r="F13" i="23" a="1"/>
  <c r="F13" i="23" s="1"/>
  <c r="G13" i="23" a="1"/>
  <c r="G13" i="23" s="1"/>
  <c r="H13" i="23" a="1"/>
  <c r="H13" i="23"/>
  <c r="I13" i="23" a="1"/>
  <c r="I13" i="23" s="1"/>
  <c r="J13" i="23" a="1"/>
  <c r="J13" i="23" s="1"/>
  <c r="K13" i="23" a="1"/>
  <c r="K13" i="23" s="1"/>
  <c r="L13" i="23" a="1"/>
  <c r="L13" i="23"/>
  <c r="A14" i="23" a="1"/>
  <c r="A14" i="23" s="1"/>
  <c r="B14" i="23" a="1"/>
  <c r="B14" i="23" s="1"/>
  <c r="C14" i="23" a="1"/>
  <c r="C14" i="23" s="1"/>
  <c r="D14" i="23" a="1"/>
  <c r="D14" i="23"/>
  <c r="E14" i="23" a="1"/>
  <c r="E14" i="23" s="1"/>
  <c r="F14" i="23" a="1"/>
  <c r="F14" i="23" s="1"/>
  <c r="G14" i="23" a="1"/>
  <c r="G14" i="23" s="1"/>
  <c r="H14" i="23" a="1"/>
  <c r="H14" i="23"/>
  <c r="I14" i="23" a="1"/>
  <c r="I14" i="23" s="1"/>
  <c r="J14" i="23" a="1"/>
  <c r="J14" i="23" s="1"/>
  <c r="K14" i="23" a="1"/>
  <c r="K14" i="23" s="1"/>
  <c r="L14" i="23" a="1"/>
  <c r="L14" i="23"/>
  <c r="A15" i="23" a="1"/>
  <c r="A15" i="23" s="1"/>
  <c r="B15" i="23" a="1"/>
  <c r="B15" i="23" s="1"/>
  <c r="C15" i="23" a="1"/>
  <c r="C15" i="23" s="1"/>
  <c r="D15" i="23" a="1"/>
  <c r="D15" i="23"/>
  <c r="E15" i="23" a="1"/>
  <c r="E15" i="23" s="1"/>
  <c r="F15" i="23" a="1"/>
  <c r="F15" i="23" s="1"/>
  <c r="G15" i="23" a="1"/>
  <c r="G15" i="23" s="1"/>
  <c r="H15" i="23" a="1"/>
  <c r="H15" i="23"/>
  <c r="I15" i="23" a="1"/>
  <c r="I15" i="23" s="1"/>
  <c r="J15" i="23" a="1"/>
  <c r="J15" i="23" s="1"/>
  <c r="K15" i="23" a="1"/>
  <c r="K15" i="23" s="1"/>
  <c r="L15" i="23" a="1"/>
  <c r="L15" i="23"/>
  <c r="A16" i="23" a="1"/>
  <c r="A16" i="23" s="1"/>
  <c r="B16" i="23" a="1"/>
  <c r="B16" i="23" s="1"/>
  <c r="C16" i="23" a="1"/>
  <c r="C16" i="23" s="1"/>
  <c r="D16" i="23" a="1"/>
  <c r="D16" i="23" s="1"/>
  <c r="E16" i="23" a="1"/>
  <c r="E16" i="23" s="1"/>
  <c r="F16" i="23" a="1"/>
  <c r="F16" i="23" s="1"/>
  <c r="G16" i="23" a="1"/>
  <c r="G16" i="23" s="1"/>
  <c r="H16" i="23" a="1"/>
  <c r="H16" i="23"/>
  <c r="I16" i="23" a="1"/>
  <c r="I16" i="23" s="1"/>
  <c r="J16" i="23" a="1"/>
  <c r="J16" i="23" s="1"/>
  <c r="K16" i="23" a="1"/>
  <c r="K16" i="23" s="1"/>
  <c r="L16" i="23" a="1"/>
  <c r="L16" i="23"/>
  <c r="A17" i="23" a="1"/>
  <c r="A17" i="23" s="1"/>
  <c r="B17" i="23" a="1"/>
  <c r="B17" i="23" s="1"/>
  <c r="C17" i="23" a="1"/>
  <c r="C17" i="23" s="1"/>
  <c r="D17" i="23" a="1"/>
  <c r="D17" i="23"/>
  <c r="E17" i="23" a="1"/>
  <c r="E17" i="23" s="1"/>
  <c r="F17" i="23" a="1"/>
  <c r="F17" i="23" s="1"/>
  <c r="G17" i="23" a="1"/>
  <c r="G17" i="23" s="1"/>
  <c r="H17" i="23" a="1"/>
  <c r="H17" i="23"/>
  <c r="I17" i="23" a="1"/>
  <c r="I17" i="23" s="1"/>
  <c r="J17" i="23" a="1"/>
  <c r="J17" i="23" s="1"/>
  <c r="K17" i="23" a="1"/>
  <c r="K17" i="23" s="1"/>
  <c r="L17" i="23" a="1"/>
  <c r="L17" i="23"/>
  <c r="A18" i="23" a="1"/>
  <c r="A18" i="23" s="1"/>
  <c r="B18" i="23" a="1"/>
  <c r="B18" i="23" s="1"/>
  <c r="C18" i="23" a="1"/>
  <c r="C18" i="23" s="1"/>
  <c r="D18" i="23" a="1"/>
  <c r="D18" i="23"/>
  <c r="E18" i="23" a="1"/>
  <c r="E18" i="23" s="1"/>
  <c r="F18" i="23" a="1"/>
  <c r="F18" i="23" s="1"/>
  <c r="G18" i="23" a="1"/>
  <c r="G18" i="23" s="1"/>
  <c r="H18" i="23" a="1"/>
  <c r="H18" i="23"/>
  <c r="I18" i="23" a="1"/>
  <c r="I18" i="23" s="1"/>
  <c r="J18" i="23" a="1"/>
  <c r="J18" i="23" s="1"/>
  <c r="K18" i="23" a="1"/>
  <c r="K18" i="23" s="1"/>
  <c r="L18" i="23" a="1"/>
  <c r="L18" i="23"/>
  <c r="A19" i="23" a="1"/>
  <c r="A19" i="23" s="1"/>
  <c r="B19" i="23" a="1"/>
  <c r="B19" i="23" s="1"/>
  <c r="C19" i="23" a="1"/>
  <c r="C19" i="23" s="1"/>
  <c r="D19" i="23" a="1"/>
  <c r="D19" i="23"/>
  <c r="E19" i="23" a="1"/>
  <c r="E19" i="23" s="1"/>
  <c r="F19" i="23" a="1"/>
  <c r="F19" i="23" s="1"/>
  <c r="G19" i="23" a="1"/>
  <c r="G19" i="23" s="1"/>
  <c r="H19" i="23" a="1"/>
  <c r="H19" i="23"/>
  <c r="I19" i="23" a="1"/>
  <c r="I19" i="23" s="1"/>
  <c r="J19" i="23" a="1"/>
  <c r="J19" i="23" s="1"/>
  <c r="K19" i="23" a="1"/>
  <c r="K19" i="23" s="1"/>
  <c r="L19" i="23" a="1"/>
  <c r="L19" i="23"/>
  <c r="A20" i="23" a="1"/>
  <c r="A20" i="23" s="1"/>
  <c r="B20" i="23" a="1"/>
  <c r="B20" i="23" s="1"/>
  <c r="C20" i="23" a="1"/>
  <c r="C20" i="23" s="1"/>
  <c r="D20" i="23" a="1"/>
  <c r="D20" i="23"/>
  <c r="E20" i="23" a="1"/>
  <c r="E20" i="23" s="1"/>
  <c r="F20" i="23" a="1"/>
  <c r="F20" i="23" s="1"/>
  <c r="G20" i="23" a="1"/>
  <c r="G20" i="23" s="1"/>
  <c r="H20" i="23" a="1"/>
  <c r="H20" i="23"/>
  <c r="I20" i="23" a="1"/>
  <c r="I20" i="23" s="1"/>
  <c r="J20" i="23" a="1"/>
  <c r="J20" i="23" s="1"/>
  <c r="K20" i="23" a="1"/>
  <c r="K20" i="23" s="1"/>
  <c r="L20" i="23" a="1"/>
  <c r="L20" i="23"/>
  <c r="A21" i="23" a="1"/>
  <c r="A21" i="23" s="1"/>
  <c r="B21" i="23" a="1"/>
  <c r="B21" i="23" s="1"/>
  <c r="C21" i="23" a="1"/>
  <c r="C21" i="23" s="1"/>
  <c r="D21" i="23" a="1"/>
  <c r="D21" i="23"/>
  <c r="E21" i="23" a="1"/>
  <c r="E21" i="23" s="1"/>
  <c r="F21" i="23" a="1"/>
  <c r="F21" i="23" s="1"/>
  <c r="G21" i="23" a="1"/>
  <c r="G21" i="23" s="1"/>
  <c r="H21" i="23" a="1"/>
  <c r="H21" i="23"/>
  <c r="I21" i="23" a="1"/>
  <c r="I21" i="23" s="1"/>
  <c r="J21" i="23" a="1"/>
  <c r="J21" i="23" s="1"/>
  <c r="K21" i="23" a="1"/>
  <c r="K21" i="23" s="1"/>
  <c r="L21" i="23" a="1"/>
  <c r="L21" i="23"/>
  <c r="A22" i="23" a="1"/>
  <c r="A22" i="23" s="1"/>
  <c r="B22" i="23" a="1"/>
  <c r="B22" i="23" s="1"/>
  <c r="C22" i="23" a="1"/>
  <c r="C22" i="23" s="1"/>
  <c r="D22" i="23" a="1"/>
  <c r="D22" i="23"/>
  <c r="E22" i="23" a="1"/>
  <c r="E22" i="23" s="1"/>
  <c r="F22" i="23" a="1"/>
  <c r="F22" i="23" s="1"/>
  <c r="G22" i="23" a="1"/>
  <c r="G22" i="23" s="1"/>
  <c r="H22" i="23" a="1"/>
  <c r="H22" i="23"/>
  <c r="I22" i="23" a="1"/>
  <c r="I22" i="23" s="1"/>
  <c r="J22" i="23" a="1"/>
  <c r="J22" i="23" s="1"/>
  <c r="K22" i="23" a="1"/>
  <c r="K22" i="23" s="1"/>
  <c r="L22" i="23" a="1"/>
  <c r="L22" i="23"/>
  <c r="A23" i="23" a="1"/>
  <c r="A23" i="23" s="1"/>
  <c r="B23" i="23" a="1"/>
  <c r="B23" i="23" s="1"/>
  <c r="C23" i="23" a="1"/>
  <c r="C23" i="23" s="1"/>
  <c r="D23" i="23" a="1"/>
  <c r="D23" i="23"/>
  <c r="E23" i="23" a="1"/>
  <c r="E23" i="23" s="1"/>
  <c r="F23" i="23" a="1"/>
  <c r="F23" i="23" s="1"/>
  <c r="G23" i="23" a="1"/>
  <c r="G23" i="23" s="1"/>
  <c r="H23" i="23" a="1"/>
  <c r="H23" i="23"/>
  <c r="I23" i="23" a="1"/>
  <c r="I23" i="23" s="1"/>
  <c r="J23" i="23" a="1"/>
  <c r="J23" i="23" s="1"/>
  <c r="K23" i="23" a="1"/>
  <c r="K23" i="23" s="1"/>
  <c r="L23" i="23" a="1"/>
  <c r="L23" i="23"/>
  <c r="A24" i="23" a="1"/>
  <c r="A24" i="23" s="1"/>
  <c r="B24" i="23" a="1"/>
  <c r="B24" i="23" s="1"/>
  <c r="C24" i="23" a="1"/>
  <c r="C24" i="23" s="1"/>
  <c r="D24" i="23" a="1"/>
  <c r="D24" i="23"/>
  <c r="E24" i="23" a="1"/>
  <c r="E24" i="23" s="1"/>
  <c r="F24" i="23" a="1"/>
  <c r="F24" i="23" s="1"/>
  <c r="G24" i="23" a="1"/>
  <c r="G24" i="23" s="1"/>
  <c r="H24" i="23" a="1"/>
  <c r="H24" i="23"/>
  <c r="I24" i="23" a="1"/>
  <c r="I24" i="23" s="1"/>
  <c r="J24" i="23" a="1"/>
  <c r="J24" i="23" s="1"/>
  <c r="K24" i="23" a="1"/>
  <c r="K24" i="23" s="1"/>
  <c r="L24" i="23" a="1"/>
  <c r="L24" i="23"/>
  <c r="A25" i="23" a="1"/>
  <c r="A25" i="23" s="1"/>
  <c r="B25" i="23" a="1"/>
  <c r="B25" i="23" s="1"/>
  <c r="C25" i="23" a="1"/>
  <c r="C25" i="23" s="1"/>
  <c r="D25" i="23" a="1"/>
  <c r="D25" i="23"/>
  <c r="E25" i="23" a="1"/>
  <c r="E25" i="23" s="1"/>
  <c r="F25" i="23" a="1"/>
  <c r="F25" i="23" s="1"/>
  <c r="G25" i="23" a="1"/>
  <c r="G25" i="23" s="1"/>
  <c r="H25" i="23" a="1"/>
  <c r="H25" i="23"/>
  <c r="I25" i="23" a="1"/>
  <c r="I25" i="23" s="1"/>
  <c r="J25" i="23" a="1"/>
  <c r="J25" i="23" s="1"/>
  <c r="K25" i="23" a="1"/>
  <c r="K25" i="23" s="1"/>
  <c r="L25" i="23" a="1"/>
  <c r="L25" i="23"/>
  <c r="A26" i="23" a="1"/>
  <c r="A26" i="23" s="1"/>
  <c r="B26" i="23" a="1"/>
  <c r="B26" i="23" s="1"/>
  <c r="C26" i="23" a="1"/>
  <c r="C26" i="23" s="1"/>
  <c r="D26" i="23" a="1"/>
  <c r="D26" i="23"/>
  <c r="E26" i="23" a="1"/>
  <c r="E26" i="23" s="1"/>
  <c r="F26" i="23" a="1"/>
  <c r="F26" i="23" s="1"/>
  <c r="G26" i="23" a="1"/>
  <c r="G26" i="23" s="1"/>
  <c r="H26" i="23" a="1"/>
  <c r="H26" i="23"/>
  <c r="I26" i="23" a="1"/>
  <c r="I26" i="23" s="1"/>
  <c r="J26" i="23" a="1"/>
  <c r="J26" i="23" s="1"/>
  <c r="K26" i="23" a="1"/>
  <c r="K26" i="23" s="1"/>
  <c r="L26" i="23" a="1"/>
  <c r="L26" i="23"/>
  <c r="A27" i="23" a="1"/>
  <c r="A27" i="23" s="1"/>
  <c r="B27" i="23" a="1"/>
  <c r="B27" i="23" s="1"/>
  <c r="C27" i="23" a="1"/>
  <c r="C27" i="23" s="1"/>
  <c r="D27" i="23" a="1"/>
  <c r="D27" i="23"/>
  <c r="E27" i="23" a="1"/>
  <c r="E27" i="23" s="1"/>
  <c r="F27" i="23" a="1"/>
  <c r="F27" i="23" s="1"/>
  <c r="G27" i="23" a="1"/>
  <c r="G27" i="23" s="1"/>
  <c r="H27" i="23" a="1"/>
  <c r="H27" i="23"/>
  <c r="I27" i="23" a="1"/>
  <c r="I27" i="23" s="1"/>
  <c r="J27" i="23" a="1"/>
  <c r="J27" i="23" s="1"/>
  <c r="K27" i="23" a="1"/>
  <c r="K27" i="23" s="1"/>
  <c r="L27" i="23" a="1"/>
  <c r="L27" i="23"/>
  <c r="B4" i="23"/>
  <c r="B7" i="23"/>
  <c r="B71" i="22"/>
  <c r="B72" i="22"/>
  <c r="B73" i="22"/>
  <c r="B74" i="22"/>
  <c r="B75" i="22"/>
  <c r="B76" i="22"/>
  <c r="B77" i="22"/>
  <c r="B78" i="22"/>
  <c r="C25" i="22"/>
  <c r="C12" i="22"/>
  <c r="C13" i="22"/>
  <c r="C14" i="22"/>
  <c r="C15" i="22"/>
  <c r="C24" i="22"/>
  <c r="A3" i="18"/>
  <c r="F4" i="18"/>
  <c r="G4" i="18" s="1"/>
  <c r="C16" i="22" s="1" a="1"/>
  <c r="C16" i="22" s="1"/>
  <c r="F5" i="18"/>
  <c r="L5" i="18" s="1"/>
  <c r="N5" i="18"/>
  <c r="N6" i="18" s="1"/>
  <c r="Q5" i="18"/>
  <c r="Q6" i="18" s="1"/>
  <c r="R5" i="18"/>
  <c r="R6" i="18" s="1"/>
  <c r="T5" i="18"/>
  <c r="U5" i="18"/>
  <c r="U6" i="18" s="1"/>
  <c r="V5" i="18"/>
  <c r="V6" i="18" s="1"/>
  <c r="AB5" i="18"/>
  <c r="AC5" i="18"/>
  <c r="AD5" i="18"/>
  <c r="AD6" i="18" s="1"/>
  <c r="AG5" i="18"/>
  <c r="AH5" i="18"/>
  <c r="AH6" i="18" s="1"/>
  <c r="AJ5" i="18"/>
  <c r="AJ6" i="18" s="1"/>
  <c r="AO5" i="18"/>
  <c r="AP5" i="18"/>
  <c r="AR5" i="18"/>
  <c r="AR6" i="18" s="1"/>
  <c r="AS5" i="18"/>
  <c r="AT5" i="18"/>
  <c r="AT6" i="18" s="1"/>
  <c r="AW5" i="18"/>
  <c r="AW6" i="18" s="1"/>
  <c r="BA5" i="18"/>
  <c r="BB5" i="18"/>
  <c r="BB6" i="18" s="1"/>
  <c r="BE5" i="18"/>
  <c r="BE6" i="18" s="1"/>
  <c r="BF5" i="18"/>
  <c r="BF6" i="18" s="1"/>
  <c r="BG5" i="18"/>
  <c r="BG6" i="18" s="1"/>
  <c r="BH5" i="18"/>
  <c r="I6" i="18"/>
  <c r="J6" i="18"/>
  <c r="L6" i="18"/>
  <c r="T6" i="18"/>
  <c r="AB6" i="18"/>
  <c r="AC6" i="18"/>
  <c r="AG6" i="18"/>
  <c r="AO6" i="18"/>
  <c r="AP6" i="18"/>
  <c r="AS6" i="18"/>
  <c r="BA6" i="18"/>
  <c r="BH6" i="18"/>
  <c r="A8" i="18" a="1"/>
  <c r="A8" i="18"/>
  <c r="B8" i="18" a="1"/>
  <c r="C8" i="18" a="1"/>
  <c r="C8" i="18" s="1"/>
  <c r="E8" i="18" a="1"/>
  <c r="E8" i="18" s="1"/>
  <c r="F8" i="18" a="1"/>
  <c r="F8" i="18" s="1"/>
  <c r="G8" i="18"/>
  <c r="I8" i="18" a="1"/>
  <c r="I8" i="18" s="1"/>
  <c r="J8" i="18" a="1"/>
  <c r="J8" i="18"/>
  <c r="D15" i="18"/>
  <c r="K15" i="18"/>
  <c r="L15" i="18"/>
  <c r="M15" i="18"/>
  <c r="N15" i="18"/>
  <c r="O15" i="18"/>
  <c r="Q15" i="18"/>
  <c r="S15" i="18"/>
  <c r="T15" i="18"/>
  <c r="U15" i="18"/>
  <c r="V15" i="18"/>
  <c r="W15" i="18"/>
  <c r="Y15" i="18"/>
  <c r="Z15" i="18"/>
  <c r="AB15" i="18"/>
  <c r="AC15" i="18"/>
  <c r="AD15" i="18"/>
  <c r="AE15" i="18"/>
  <c r="AG15" i="18"/>
  <c r="AH15" i="18"/>
  <c r="AI15" i="18"/>
  <c r="AK15" i="18"/>
  <c r="AL15" i="18"/>
  <c r="AM15" i="18"/>
  <c r="AO15" i="18"/>
  <c r="AP15" i="18"/>
  <c r="AQ15" i="18"/>
  <c r="AR15" i="18"/>
  <c r="AT15" i="18"/>
  <c r="AU15" i="18"/>
  <c r="AW15" i="18"/>
  <c r="AX15" i="18"/>
  <c r="AY15" i="18"/>
  <c r="AZ15" i="18"/>
  <c r="BA15" i="18"/>
  <c r="BC15" i="18"/>
  <c r="BE15" i="18"/>
  <c r="BF15" i="18"/>
  <c r="BG15" i="18"/>
  <c r="BH15" i="18"/>
  <c r="BI15" i="18"/>
  <c r="BJ15" i="18"/>
  <c r="D17" i="18"/>
  <c r="Q17" i="18" s="1"/>
  <c r="K17" i="18"/>
  <c r="L17" i="18"/>
  <c r="M17" i="18"/>
  <c r="N17" i="18"/>
  <c r="O17" i="18"/>
  <c r="P17" i="18"/>
  <c r="R17" i="18"/>
  <c r="S17" i="18"/>
  <c r="T17" i="18"/>
  <c r="U17" i="18"/>
  <c r="V17" i="18"/>
  <c r="W17" i="18"/>
  <c r="X17" i="18"/>
  <c r="Z17" i="18"/>
  <c r="AA17" i="18"/>
  <c r="AB17" i="18"/>
  <c r="AC17" i="18"/>
  <c r="AD17" i="18"/>
  <c r="AE17" i="18"/>
  <c r="AF17" i="18"/>
  <c r="AH17" i="18"/>
  <c r="AI17" i="18"/>
  <c r="AJ17" i="18"/>
  <c r="AK17" i="18"/>
  <c r="AL17" i="18"/>
  <c r="AM17" i="18"/>
  <c r="AN17" i="18"/>
  <c r="AP17" i="18"/>
  <c r="AQ17" i="18"/>
  <c r="AR17" i="18"/>
  <c r="AS17" i="18"/>
  <c r="AT17" i="18"/>
  <c r="AU17" i="18"/>
  <c r="AV17" i="18"/>
  <c r="AX17" i="18"/>
  <c r="AY17" i="18"/>
  <c r="AZ17" i="18"/>
  <c r="BA17" i="18"/>
  <c r="BB17" i="18"/>
  <c r="BC17" i="18"/>
  <c r="BD17" i="18"/>
  <c r="BF17" i="18"/>
  <c r="BG17" i="18"/>
  <c r="BH17" i="18"/>
  <c r="BI17" i="18"/>
  <c r="BJ17" i="18"/>
  <c r="D18" i="18"/>
  <c r="K18" i="18"/>
  <c r="P18" i="18"/>
  <c r="R18" i="18"/>
  <c r="W18" i="18"/>
  <c r="X18" i="18"/>
  <c r="Z18" i="18"/>
  <c r="AA18" i="18"/>
  <c r="AE18" i="18"/>
  <c r="AF18" i="18"/>
  <c r="AH18" i="18"/>
  <c r="AM18" i="18"/>
  <c r="AN18" i="18"/>
  <c r="AP18" i="18"/>
  <c r="AQ18" i="18"/>
  <c r="AU18" i="18"/>
  <c r="AV18" i="18"/>
  <c r="AX18" i="18"/>
  <c r="BC18" i="18"/>
  <c r="BD18" i="18"/>
  <c r="BF18" i="18"/>
  <c r="BG18" i="18"/>
  <c r="D19" i="18"/>
  <c r="K19" i="18" s="1"/>
  <c r="M19" i="18"/>
  <c r="V19" i="18"/>
  <c r="AA19" i="18"/>
  <c r="AJ19" i="18"/>
  <c r="AL19" i="18"/>
  <c r="AX19" i="18"/>
  <c r="AZ19" i="18"/>
  <c r="BI19" i="18"/>
  <c r="D21" i="18"/>
  <c r="L21" i="18" s="1"/>
  <c r="D22" i="18"/>
  <c r="P22" i="18" s="1"/>
  <c r="K22" i="18"/>
  <c r="L22" i="18"/>
  <c r="M22" i="18"/>
  <c r="N22" i="18"/>
  <c r="O22" i="18"/>
  <c r="Q22" i="18"/>
  <c r="R22" i="18"/>
  <c r="S22" i="18"/>
  <c r="T22" i="18"/>
  <c r="U22" i="18"/>
  <c r="V22" i="18"/>
  <c r="W22" i="18"/>
  <c r="Y22" i="18"/>
  <c r="Z22" i="18"/>
  <c r="AA22" i="18"/>
  <c r="AB22" i="18"/>
  <c r="AC22" i="18"/>
  <c r="AD22" i="18"/>
  <c r="AE22" i="18"/>
  <c r="AG22" i="18"/>
  <c r="AH22" i="18"/>
  <c r="AI22" i="18"/>
  <c r="AJ22" i="18"/>
  <c r="AK22" i="18"/>
  <c r="AL22" i="18"/>
  <c r="AM22" i="18"/>
  <c r="AO22" i="18"/>
  <c r="AP22" i="18"/>
  <c r="AQ22" i="18"/>
  <c r="AR22" i="18"/>
  <c r="AS22" i="18"/>
  <c r="AT22" i="18"/>
  <c r="AU22" i="18"/>
  <c r="AW22" i="18"/>
  <c r="AX22" i="18"/>
  <c r="AY22" i="18"/>
  <c r="AZ22" i="18"/>
  <c r="BA22" i="18"/>
  <c r="BB22" i="18"/>
  <c r="BC22" i="18"/>
  <c r="BE22" i="18"/>
  <c r="BF22" i="18"/>
  <c r="BG22" i="18"/>
  <c r="BH22" i="18"/>
  <c r="BI22" i="18"/>
  <c r="BJ22" i="18"/>
  <c r="D23" i="18"/>
  <c r="L23" i="18"/>
  <c r="M23" i="18"/>
  <c r="N23" i="18"/>
  <c r="O23" i="18"/>
  <c r="P23" i="18"/>
  <c r="Q23" i="18"/>
  <c r="R23" i="18"/>
  <c r="T23" i="18"/>
  <c r="U23" i="18"/>
  <c r="V23" i="18"/>
  <c r="W23" i="18"/>
  <c r="X23" i="18"/>
  <c r="Y23" i="18"/>
  <c r="Z23" i="18"/>
  <c r="AB23" i="18"/>
  <c r="AC23" i="18"/>
  <c r="AD23" i="18"/>
  <c r="AE23" i="18"/>
  <c r="AF23" i="18"/>
  <c r="AG23" i="18"/>
  <c r="AH23" i="18"/>
  <c r="AJ23" i="18"/>
  <c r="AK23" i="18"/>
  <c r="AL23" i="18"/>
  <c r="AM23" i="18"/>
  <c r="AN23" i="18"/>
  <c r="AO23" i="18"/>
  <c r="AP23" i="18"/>
  <c r="AR23" i="18"/>
  <c r="AS23" i="18"/>
  <c r="AT23" i="18"/>
  <c r="AU23" i="18"/>
  <c r="AV23" i="18"/>
  <c r="AW23" i="18"/>
  <c r="AX23" i="18"/>
  <c r="AZ23" i="18"/>
  <c r="BA23" i="18"/>
  <c r="BB23" i="18"/>
  <c r="BC23" i="18"/>
  <c r="BD23" i="18"/>
  <c r="BE23" i="18"/>
  <c r="BF23" i="18"/>
  <c r="BH23" i="18"/>
  <c r="BI23" i="18"/>
  <c r="BJ23" i="18"/>
  <c r="D24" i="18"/>
  <c r="K24" i="18"/>
  <c r="P24" i="18"/>
  <c r="R24" i="18"/>
  <c r="S24" i="18"/>
  <c r="T24" i="18"/>
  <c r="Y24" i="18"/>
  <c r="AA24" i="18"/>
  <c r="AB24" i="18"/>
  <c r="AC24" i="18"/>
  <c r="AH24" i="18"/>
  <c r="AJ24" i="18"/>
  <c r="AK24" i="18"/>
  <c r="AM24" i="18"/>
  <c r="AQ24" i="18"/>
  <c r="AS24" i="18"/>
  <c r="AU24" i="18"/>
  <c r="AV24" i="18"/>
  <c r="AZ24" i="18"/>
  <c r="BC24" i="18"/>
  <c r="BD24" i="18"/>
  <c r="BE24" i="18"/>
  <c r="BI24" i="18"/>
  <c r="D25" i="18"/>
  <c r="K25" i="18"/>
  <c r="L25" i="18"/>
  <c r="M25" i="18"/>
  <c r="O25" i="18"/>
  <c r="P25" i="18"/>
  <c r="R25" i="18"/>
  <c r="S25" i="18"/>
  <c r="T25" i="18"/>
  <c r="U25" i="18"/>
  <c r="V25" i="18"/>
  <c r="X25" i="18"/>
  <c r="Z25" i="18"/>
  <c r="AA25" i="18"/>
  <c r="AB25" i="18"/>
  <c r="AC25" i="18"/>
  <c r="AD25" i="18"/>
  <c r="AE25" i="18"/>
  <c r="AH25" i="18"/>
  <c r="AI25" i="18"/>
  <c r="AJ25" i="18"/>
  <c r="AK25" i="18"/>
  <c r="AL25" i="18"/>
  <c r="AM25" i="18"/>
  <c r="AN25" i="18"/>
  <c r="AQ25" i="18"/>
  <c r="AR25" i="18"/>
  <c r="AS25" i="18"/>
  <c r="AT25" i="18"/>
  <c r="AU25" i="18"/>
  <c r="AV25" i="18"/>
  <c r="AX25" i="18"/>
  <c r="AZ25" i="18"/>
  <c r="BA25" i="18"/>
  <c r="BB25" i="18"/>
  <c r="BC25" i="18"/>
  <c r="BD25" i="18"/>
  <c r="BF25" i="18"/>
  <c r="BG25" i="18"/>
  <c r="BI25" i="18"/>
  <c r="BJ25" i="18"/>
  <c r="K19" i="17"/>
  <c r="L19" i="17" s="1"/>
  <c r="K18" i="17"/>
  <c r="L18" i="17" s="1"/>
  <c r="K17" i="17"/>
  <c r="L17" i="17" s="1"/>
  <c r="K16" i="17"/>
  <c r="L16" i="17" s="1"/>
  <c r="K15" i="17"/>
  <c r="L15" i="17" s="1"/>
  <c r="Y14" i="17"/>
  <c r="K14" i="17"/>
  <c r="L14" i="17" s="1"/>
  <c r="K13" i="17"/>
  <c r="L13" i="17" s="1"/>
  <c r="L12" i="17"/>
  <c r="K12" i="17"/>
  <c r="K11" i="17"/>
  <c r="L11" i="17" s="1"/>
  <c r="L10" i="17"/>
  <c r="K10" i="17"/>
  <c r="K9" i="17"/>
  <c r="L9" i="17" s="1"/>
  <c r="S2" i="17"/>
  <c r="R2" i="17"/>
  <c r="T2" i="17" s="1"/>
  <c r="Q2" i="17"/>
  <c r="C7" i="24" l="1"/>
  <c r="N27" i="23"/>
  <c r="N26" i="23"/>
  <c r="N25" i="23"/>
  <c r="N24" i="23"/>
  <c r="N23" i="23"/>
  <c r="N22" i="23"/>
  <c r="N21" i="23"/>
  <c r="N20" i="23"/>
  <c r="N13" i="23"/>
  <c r="T13" i="23"/>
  <c r="T14" i="23"/>
  <c r="N14" i="23"/>
  <c r="N15" i="23"/>
  <c r="T15" i="23"/>
  <c r="T27" i="23"/>
  <c r="T26" i="23"/>
  <c r="T25" i="23"/>
  <c r="T24" i="23"/>
  <c r="T23" i="23"/>
  <c r="T22" i="23"/>
  <c r="T21" i="23"/>
  <c r="T20" i="23"/>
  <c r="T16" i="23"/>
  <c r="N16" i="23"/>
  <c r="N17" i="23"/>
  <c r="T17" i="23"/>
  <c r="N10" i="23"/>
  <c r="T10" i="23"/>
  <c r="T18" i="23"/>
  <c r="N18" i="23"/>
  <c r="N11" i="23"/>
  <c r="T11" i="23"/>
  <c r="N19" i="23"/>
  <c r="T19" i="23"/>
  <c r="T12" i="23"/>
  <c r="N12" i="23"/>
  <c r="B6" i="23"/>
  <c r="B5" i="23"/>
  <c r="C19" i="22"/>
  <c r="C18" i="22"/>
  <c r="C17" i="22"/>
  <c r="C20" i="22"/>
  <c r="C21" i="22" s="1"/>
  <c r="BH21" i="18"/>
  <c r="N24" i="18"/>
  <c r="V24" i="18"/>
  <c r="AD24" i="18"/>
  <c r="AL24" i="18"/>
  <c r="AT24" i="18"/>
  <c r="BB24" i="18"/>
  <c r="BJ24" i="18"/>
  <c r="BG21" i="18"/>
  <c r="AV21" i="18"/>
  <c r="AH21" i="18"/>
  <c r="T21" i="18"/>
  <c r="BJ19" i="18"/>
  <c r="AY19" i="18"/>
  <c r="AK19" i="18"/>
  <c r="Z19" i="18"/>
  <c r="BF21" i="18"/>
  <c r="AR21" i="18"/>
  <c r="AG21" i="18"/>
  <c r="S21" i="18"/>
  <c r="O19" i="18"/>
  <c r="W19" i="18"/>
  <c r="AE19" i="18"/>
  <c r="AM19" i="18"/>
  <c r="AU19" i="18"/>
  <c r="BC19" i="18"/>
  <c r="P19" i="18"/>
  <c r="X19" i="18"/>
  <c r="AF19" i="18"/>
  <c r="AN19" i="18"/>
  <c r="AV19" i="18"/>
  <c r="BD19" i="18"/>
  <c r="Q19" i="18"/>
  <c r="Y19" i="18"/>
  <c r="AG19" i="18"/>
  <c r="AO19" i="18"/>
  <c r="AW19" i="18"/>
  <c r="BE19" i="18"/>
  <c r="L19" i="18"/>
  <c r="X21" i="18"/>
  <c r="Q25" i="18"/>
  <c r="Y25" i="18"/>
  <c r="AG25" i="18"/>
  <c r="AO25" i="18"/>
  <c r="AW25" i="18"/>
  <c r="BE25" i="18"/>
  <c r="BA24" i="18"/>
  <c r="AR24" i="18"/>
  <c r="AI24" i="18"/>
  <c r="Z24" i="18"/>
  <c r="Q24" i="18"/>
  <c r="BE21" i="18"/>
  <c r="AQ21" i="18"/>
  <c r="AF21" i="18"/>
  <c r="R21" i="18"/>
  <c r="BH19" i="18"/>
  <c r="AT19" i="18"/>
  <c r="AI19" i="18"/>
  <c r="U19" i="18"/>
  <c r="L18" i="18"/>
  <c r="T18" i="18"/>
  <c r="AB18" i="18"/>
  <c r="AJ18" i="18"/>
  <c r="AR18" i="18"/>
  <c r="AZ18" i="18"/>
  <c r="BH18" i="18"/>
  <c r="M18" i="18"/>
  <c r="U18" i="18"/>
  <c r="AC18" i="18"/>
  <c r="AK18" i="18"/>
  <c r="AS18" i="18"/>
  <c r="BA18" i="18"/>
  <c r="BI18" i="18"/>
  <c r="N18" i="18"/>
  <c r="V18" i="18"/>
  <c r="AD18" i="18"/>
  <c r="AL18" i="18"/>
  <c r="AT18" i="18"/>
  <c r="BB18" i="18"/>
  <c r="BJ18" i="18"/>
  <c r="O18" i="18"/>
  <c r="Q18" i="18"/>
  <c r="Y18" i="18"/>
  <c r="AG18" i="18"/>
  <c r="AO18" i="18"/>
  <c r="AW18" i="18"/>
  <c r="BE18" i="18"/>
  <c r="BD21" i="18"/>
  <c r="AP21" i="18"/>
  <c r="AB21" i="18"/>
  <c r="Q21" i="18"/>
  <c r="BG19" i="18"/>
  <c r="AS19" i="18"/>
  <c r="AH19" i="18"/>
  <c r="T19" i="18"/>
  <c r="B8" i="18"/>
  <c r="D16" i="18"/>
  <c r="D20" i="18"/>
  <c r="AW21" i="18"/>
  <c r="K2" i="17"/>
  <c r="L2" i="17" s="1"/>
  <c r="BH24" i="18"/>
  <c r="AY24" i="18"/>
  <c r="AP24" i="18"/>
  <c r="AG24" i="18"/>
  <c r="X24" i="18"/>
  <c r="O24" i="18"/>
  <c r="AZ21" i="18"/>
  <c r="AO21" i="18"/>
  <c r="AA21" i="18"/>
  <c r="P21" i="18"/>
  <c r="BF19" i="18"/>
  <c r="AR19" i="18"/>
  <c r="AD19" i="18"/>
  <c r="S19" i="18"/>
  <c r="AI21" i="18"/>
  <c r="BG24" i="18"/>
  <c r="AX24" i="18"/>
  <c r="AO24" i="18"/>
  <c r="AF24" i="18"/>
  <c r="W24" i="18"/>
  <c r="M24" i="18"/>
  <c r="AY21" i="18"/>
  <c r="AN21" i="18"/>
  <c r="Z21" i="18"/>
  <c r="BB19" i="18"/>
  <c r="AQ19" i="18"/>
  <c r="AC19" i="18"/>
  <c r="R19" i="18"/>
  <c r="M21" i="18"/>
  <c r="U21" i="18"/>
  <c r="AC21" i="18"/>
  <c r="AK21" i="18"/>
  <c r="AS21" i="18"/>
  <c r="BA21" i="18"/>
  <c r="BI21" i="18"/>
  <c r="N21" i="18"/>
  <c r="V21" i="18"/>
  <c r="AD21" i="18"/>
  <c r="AL21" i="18"/>
  <c r="AT21" i="18"/>
  <c r="BB21" i="18"/>
  <c r="O21" i="18"/>
  <c r="W21" i="18"/>
  <c r="AE21" i="18"/>
  <c r="AM21" i="18"/>
  <c r="AU21" i="18"/>
  <c r="BC21" i="18"/>
  <c r="BH25" i="18"/>
  <c r="AY25" i="18"/>
  <c r="AP25" i="18"/>
  <c r="AF25" i="18"/>
  <c r="W25" i="18"/>
  <c r="N25" i="18"/>
  <c r="BF24" i="18"/>
  <c r="AW24" i="18"/>
  <c r="AN24" i="18"/>
  <c r="AE24" i="18"/>
  <c r="U24" i="18"/>
  <c r="L24" i="18"/>
  <c r="K23" i="18"/>
  <c r="S23" i="18"/>
  <c r="AA23" i="18"/>
  <c r="AI23" i="18"/>
  <c r="AQ23" i="18"/>
  <c r="AY23" i="18"/>
  <c r="BG23" i="18"/>
  <c r="BJ21" i="18"/>
  <c r="AX21" i="18"/>
  <c r="AJ21" i="18"/>
  <c r="Y21" i="18"/>
  <c r="K21" i="18"/>
  <c r="BA19" i="18"/>
  <c r="AP19" i="18"/>
  <c r="AB19" i="18"/>
  <c r="N19" i="18"/>
  <c r="AY18" i="18"/>
  <c r="AI18" i="18"/>
  <c r="S18" i="18"/>
  <c r="G9" i="18"/>
  <c r="P15" i="18"/>
  <c r="X15" i="18"/>
  <c r="AF15" i="18"/>
  <c r="AN15" i="18"/>
  <c r="AV15" i="18"/>
  <c r="BD15" i="18"/>
  <c r="BJ5" i="18"/>
  <c r="BJ6" i="18" s="1"/>
  <c r="AZ5" i="18"/>
  <c r="AZ6" i="18" s="1"/>
  <c r="AL5" i="18"/>
  <c r="AL6" i="18" s="1"/>
  <c r="Z5" i="18"/>
  <c r="Z6" i="18" s="1"/>
  <c r="M5" i="18"/>
  <c r="M6" i="18" s="1"/>
  <c r="BD22" i="18"/>
  <c r="AV22" i="18"/>
  <c r="AN22" i="18"/>
  <c r="AF22" i="18"/>
  <c r="X22" i="18"/>
  <c r="BE17" i="18"/>
  <c r="AW17" i="18"/>
  <c r="AO17" i="18"/>
  <c r="AG17" i="18"/>
  <c r="Y17" i="18"/>
  <c r="BB15" i="18"/>
  <c r="AS15" i="18"/>
  <c r="AJ15" i="18"/>
  <c r="AA15" i="18"/>
  <c r="R15" i="18"/>
  <c r="BI5" i="18"/>
  <c r="BI6" i="18" s="1"/>
  <c r="AX5" i="18"/>
  <c r="AX6" i="18" s="1"/>
  <c r="AK5" i="18"/>
  <c r="AK6" i="18" s="1"/>
  <c r="Y5" i="18"/>
  <c r="Y6" i="18" s="1"/>
  <c r="O5" i="18"/>
  <c r="O6" i="18" s="1"/>
  <c r="W5" i="18"/>
  <c r="W6" i="18" s="1"/>
  <c r="AE5" i="18"/>
  <c r="AE6" i="18" s="1"/>
  <c r="AM5" i="18"/>
  <c r="AM6" i="18" s="1"/>
  <c r="AU5" i="18"/>
  <c r="AU6" i="18" s="1"/>
  <c r="BC5" i="18"/>
  <c r="BC6" i="18" s="1"/>
  <c r="P5" i="18"/>
  <c r="P6" i="18" s="1"/>
  <c r="X5" i="18"/>
  <c r="X6" i="18" s="1"/>
  <c r="AF5" i="18"/>
  <c r="AF6" i="18" s="1"/>
  <c r="AN5" i="18"/>
  <c r="AN6" i="18" s="1"/>
  <c r="AV5" i="18"/>
  <c r="AV6" i="18" s="1"/>
  <c r="BD5" i="18"/>
  <c r="BD6" i="18" s="1"/>
  <c r="K5" i="18"/>
  <c r="K6" i="18" s="1"/>
  <c r="S5" i="18"/>
  <c r="S6" i="18" s="1"/>
  <c r="AA5" i="18"/>
  <c r="AA6" i="18" s="1"/>
  <c r="AI5" i="18"/>
  <c r="AI6" i="18" s="1"/>
  <c r="AQ5" i="18"/>
  <c r="AQ6" i="18" s="1"/>
  <c r="AY5" i="18"/>
  <c r="AY6" i="18" s="1"/>
  <c r="E62" i="24" l="1" a="1"/>
  <c r="E62" i="24" s="1"/>
  <c r="D60" i="24" a="1"/>
  <c r="D60" i="24" s="1"/>
  <c r="E54" i="24" a="1"/>
  <c r="E54" i="24" s="1"/>
  <c r="D52" i="24" a="1"/>
  <c r="D52" i="24" s="1"/>
  <c r="E46" i="24" a="1"/>
  <c r="E46" i="24" s="1"/>
  <c r="D44" i="24" a="1"/>
  <c r="D44" i="24" s="1"/>
  <c r="E38" i="24" a="1"/>
  <c r="E38" i="24" s="1"/>
  <c r="D36" i="24" a="1"/>
  <c r="D36" i="24" s="1"/>
  <c r="E30" i="24" a="1"/>
  <c r="E30" i="24" s="1"/>
  <c r="D28" i="24" a="1"/>
  <c r="D28" i="24" s="1"/>
  <c r="E22" i="24" a="1"/>
  <c r="E22" i="24" s="1"/>
  <c r="D20" i="24" a="1"/>
  <c r="D20" i="24" s="1"/>
  <c r="E14" i="24" a="1"/>
  <c r="E14" i="24" s="1"/>
  <c r="D57" i="24" a="1"/>
  <c r="D57" i="24" s="1"/>
  <c r="D49" i="24" a="1"/>
  <c r="D49" i="24" s="1"/>
  <c r="E45" i="24" a="1"/>
  <c r="E45" i="24" s="1"/>
  <c r="E63" i="24" a="1"/>
  <c r="E63" i="24" s="1"/>
  <c r="D61" i="24" a="1"/>
  <c r="D61" i="24" s="1"/>
  <c r="E55" i="24" a="1"/>
  <c r="E55" i="24" s="1"/>
  <c r="D53" i="24" a="1"/>
  <c r="D53" i="24" s="1"/>
  <c r="E47" i="24" a="1"/>
  <c r="E47" i="24" s="1"/>
  <c r="D45" i="24" a="1"/>
  <c r="D45" i="24" s="1"/>
  <c r="E39" i="24" a="1"/>
  <c r="E39" i="24" s="1"/>
  <c r="D37" i="24" a="1"/>
  <c r="D37" i="24" s="1"/>
  <c r="E31" i="24" a="1"/>
  <c r="E31" i="24" s="1"/>
  <c r="D29" i="24" a="1"/>
  <c r="D29" i="24" s="1"/>
  <c r="E23" i="24" a="1"/>
  <c r="E23" i="24" s="1"/>
  <c r="D21" i="24" a="1"/>
  <c r="D21" i="24" s="1"/>
  <c r="E15" i="24" a="1"/>
  <c r="E15" i="24" s="1"/>
  <c r="D13" i="24" a="1"/>
  <c r="D13" i="24" s="1"/>
  <c r="E17" i="24" a="1"/>
  <c r="E17" i="24" s="1"/>
  <c r="E59" i="24" a="1"/>
  <c r="E59" i="24" s="1"/>
  <c r="E27" i="24" a="1"/>
  <c r="E27" i="24" s="1"/>
  <c r="D25" i="24" a="1"/>
  <c r="D25" i="24" s="1"/>
  <c r="E21" i="24" a="1"/>
  <c r="E21" i="24" s="1"/>
  <c r="D19" i="24" a="1"/>
  <c r="D19" i="24" s="1"/>
  <c r="D62" i="24" a="1"/>
  <c r="D62" i="24" s="1"/>
  <c r="E56" i="24" a="1"/>
  <c r="E56" i="24" s="1"/>
  <c r="D54" i="24" a="1"/>
  <c r="D54" i="24" s="1"/>
  <c r="E48" i="24" a="1"/>
  <c r="E48" i="24" s="1"/>
  <c r="D46" i="24" a="1"/>
  <c r="D46" i="24" s="1"/>
  <c r="E40" i="24" a="1"/>
  <c r="E40" i="24" s="1"/>
  <c r="D38" i="24" a="1"/>
  <c r="D38" i="24" s="1"/>
  <c r="E32" i="24" a="1"/>
  <c r="E32" i="24" s="1"/>
  <c r="D30" i="24" a="1"/>
  <c r="D30" i="24" s="1"/>
  <c r="E24" i="24" a="1"/>
  <c r="E24" i="24" s="1"/>
  <c r="D22" i="24" a="1"/>
  <c r="D22" i="24" s="1"/>
  <c r="E16" i="24" a="1"/>
  <c r="E16" i="24" s="1"/>
  <c r="D14" i="24" a="1"/>
  <c r="D14" i="24" s="1"/>
  <c r="E19" i="24" a="1"/>
  <c r="E19" i="24" s="1"/>
  <c r="D17" i="24" a="1"/>
  <c r="D17" i="24" s="1"/>
  <c r="E13" i="24" a="1"/>
  <c r="E13" i="24" s="1"/>
  <c r="D63" i="24" a="1"/>
  <c r="D63" i="24" s="1"/>
  <c r="E57" i="24" a="1"/>
  <c r="E57" i="24" s="1"/>
  <c r="D55" i="24" a="1"/>
  <c r="D55" i="24" s="1"/>
  <c r="E49" i="24" a="1"/>
  <c r="E49" i="24" s="1"/>
  <c r="D47" i="24" a="1"/>
  <c r="D47" i="24" s="1"/>
  <c r="E41" i="24" a="1"/>
  <c r="E41" i="24" s="1"/>
  <c r="D39" i="24" a="1"/>
  <c r="D39" i="24" s="1"/>
  <c r="E33" i="24" a="1"/>
  <c r="E33" i="24" s="1"/>
  <c r="D31" i="24" a="1"/>
  <c r="D31" i="24" s="1"/>
  <c r="E25" i="24" a="1"/>
  <c r="E25" i="24" s="1"/>
  <c r="D23" i="24" a="1"/>
  <c r="D23" i="24" s="1"/>
  <c r="D15" i="24" a="1"/>
  <c r="D15" i="24" s="1"/>
  <c r="E51" i="24" a="1"/>
  <c r="E51" i="24" s="1"/>
  <c r="E43" i="24" a="1"/>
  <c r="E43" i="24" s="1"/>
  <c r="D41" i="24" a="1"/>
  <c r="D41" i="24" s="1"/>
  <c r="E37" i="24" a="1"/>
  <c r="E37" i="24" s="1"/>
  <c r="D35" i="24" a="1"/>
  <c r="D35" i="24" s="1"/>
  <c r="E29" i="24" a="1"/>
  <c r="E29" i="24" s="1"/>
  <c r="D27" i="24" a="1"/>
  <c r="D27" i="24" s="1"/>
  <c r="E58" i="24" a="1"/>
  <c r="E58" i="24" s="1"/>
  <c r="D56" i="24" a="1"/>
  <c r="D56" i="24" s="1"/>
  <c r="E50" i="24" a="1"/>
  <c r="E50" i="24" s="1"/>
  <c r="D48" i="24" a="1"/>
  <c r="D48" i="24" s="1"/>
  <c r="E42" i="24" a="1"/>
  <c r="E42" i="24" s="1"/>
  <c r="D40" i="24" a="1"/>
  <c r="D40" i="24" s="1"/>
  <c r="E34" i="24" a="1"/>
  <c r="E34" i="24" s="1"/>
  <c r="D32" i="24" a="1"/>
  <c r="D32" i="24" s="1"/>
  <c r="E26" i="24" a="1"/>
  <c r="E26" i="24" s="1"/>
  <c r="D24" i="24" a="1"/>
  <c r="D24" i="24" s="1"/>
  <c r="E18" i="24" a="1"/>
  <c r="E18" i="24" s="1"/>
  <c r="D16" i="24" a="1"/>
  <c r="D16" i="24" s="1"/>
  <c r="E35" i="24" a="1"/>
  <c r="E35" i="24" s="1"/>
  <c r="D33" i="24" a="1"/>
  <c r="D33" i="24" s="1"/>
  <c r="D43" i="24" a="1"/>
  <c r="D43" i="24" s="1"/>
  <c r="G28" i="24" s="1"/>
  <c r="E60" i="24" a="1"/>
  <c r="E60" i="24" s="1"/>
  <c r="D58" i="24" a="1"/>
  <c r="D58" i="24" s="1"/>
  <c r="E52" i="24" a="1"/>
  <c r="E52" i="24" s="1"/>
  <c r="D50" i="24" a="1"/>
  <c r="D50" i="24" s="1"/>
  <c r="E44" i="24" a="1"/>
  <c r="E44" i="24" s="1"/>
  <c r="D42" i="24" a="1"/>
  <c r="D42" i="24" s="1"/>
  <c r="E36" i="24" a="1"/>
  <c r="E36" i="24" s="1"/>
  <c r="D34" i="24" a="1"/>
  <c r="D34" i="24" s="1"/>
  <c r="E28" i="24" a="1"/>
  <c r="E28" i="24" s="1"/>
  <c r="D26" i="24" a="1"/>
  <c r="D26" i="24" s="1"/>
  <c r="E20" i="24" a="1"/>
  <c r="E20" i="24" s="1"/>
  <c r="D18" i="24" a="1"/>
  <c r="D18" i="24" s="1"/>
  <c r="E61" i="24" a="1"/>
  <c r="E61" i="24" s="1"/>
  <c r="D59" i="24" a="1"/>
  <c r="D59" i="24" s="1"/>
  <c r="E53" i="24" a="1"/>
  <c r="E53" i="24" s="1"/>
  <c r="D51" i="24" a="1"/>
  <c r="D51" i="24" s="1"/>
  <c r="E12" i="24" a="1"/>
  <c r="E12" i="24" s="1"/>
  <c r="C5" i="24"/>
  <c r="D12" i="24" a="1"/>
  <c r="D12" i="24" s="1"/>
  <c r="M16" i="23"/>
  <c r="O16" i="23" s="1"/>
  <c r="R16" i="23" s="1"/>
  <c r="B5" i="24"/>
  <c r="M21" i="23"/>
  <c r="O21" i="23" s="1"/>
  <c r="P21" i="23" s="1"/>
  <c r="M11" i="23"/>
  <c r="O11" i="23" s="1"/>
  <c r="P11" i="23" s="1"/>
  <c r="M14" i="23"/>
  <c r="O14" i="23" s="1"/>
  <c r="P14" i="23" s="1"/>
  <c r="M12" i="23"/>
  <c r="O12" i="23" s="1"/>
  <c r="P12" i="23" s="1"/>
  <c r="M15" i="23"/>
  <c r="O15" i="23" s="1"/>
  <c r="R15" i="23" s="1"/>
  <c r="M20" i="23"/>
  <c r="O20" i="23" s="1"/>
  <c r="R20" i="23" s="1"/>
  <c r="S24" i="23"/>
  <c r="Q24" i="23"/>
  <c r="M22" i="23"/>
  <c r="O22" i="23" s="1"/>
  <c r="P22" i="23" s="1"/>
  <c r="M19" i="23"/>
  <c r="O19" i="23" s="1"/>
  <c r="P19" i="23" s="1"/>
  <c r="Q14" i="23"/>
  <c r="S14" i="23"/>
  <c r="S20" i="23"/>
  <c r="Q20" i="23"/>
  <c r="S18" i="23"/>
  <c r="Q18" i="23"/>
  <c r="Q17" i="23"/>
  <c r="S17" i="23"/>
  <c r="M23" i="23"/>
  <c r="O23" i="23" s="1"/>
  <c r="P23" i="23" s="1"/>
  <c r="M17" i="23"/>
  <c r="O17" i="23" s="1"/>
  <c r="P17" i="23" s="1"/>
  <c r="Q21" i="23"/>
  <c r="S21" i="23"/>
  <c r="Q25" i="23"/>
  <c r="S25" i="23"/>
  <c r="M13" i="23"/>
  <c r="O13" i="23" s="1"/>
  <c r="P13" i="23" s="1"/>
  <c r="M24" i="23"/>
  <c r="O24" i="23" s="1"/>
  <c r="P24" i="23" s="1"/>
  <c r="S19" i="23"/>
  <c r="Q19" i="23"/>
  <c r="M25" i="23"/>
  <c r="O25" i="23" s="1"/>
  <c r="P25" i="23" s="1"/>
  <c r="Q15" i="23"/>
  <c r="S15" i="23"/>
  <c r="S22" i="23"/>
  <c r="Q22" i="23"/>
  <c r="Q26" i="23"/>
  <c r="S26" i="23"/>
  <c r="S12" i="23"/>
  <c r="Q12" i="23"/>
  <c r="M26" i="23"/>
  <c r="O26" i="23" s="1"/>
  <c r="R26" i="23" s="1"/>
  <c r="M18" i="23"/>
  <c r="O18" i="23" s="1"/>
  <c r="P18" i="23" s="1"/>
  <c r="Q13" i="23"/>
  <c r="S13" i="23"/>
  <c r="Q11" i="23"/>
  <c r="S11" i="23"/>
  <c r="Q16" i="23"/>
  <c r="S16" i="23"/>
  <c r="Q10" i="23"/>
  <c r="S10" i="23"/>
  <c r="M27" i="23"/>
  <c r="O27" i="23" s="1"/>
  <c r="R27" i="23" s="1"/>
  <c r="M10" i="23"/>
  <c r="O10" i="23" s="1"/>
  <c r="Q23" i="23"/>
  <c r="S23" i="23"/>
  <c r="S27" i="23"/>
  <c r="Q27" i="23"/>
  <c r="C23" i="22"/>
  <c r="C22" i="22"/>
  <c r="R20" i="18"/>
  <c r="Z20" i="18"/>
  <c r="AH20" i="18"/>
  <c r="AP20" i="18"/>
  <c r="AX20" i="18"/>
  <c r="BF20" i="18"/>
  <c r="K20" i="18"/>
  <c r="S20" i="18"/>
  <c r="AA20" i="18"/>
  <c r="AI20" i="18"/>
  <c r="AQ20" i="18"/>
  <c r="AY20" i="18"/>
  <c r="BG20" i="18"/>
  <c r="L20" i="18"/>
  <c r="T20" i="18"/>
  <c r="AB20" i="18"/>
  <c r="AJ20" i="18"/>
  <c r="AR20" i="18"/>
  <c r="AZ20" i="18"/>
  <c r="BH20" i="18"/>
  <c r="N20" i="18"/>
  <c r="Y20" i="18"/>
  <c r="AM20" i="18"/>
  <c r="BA20" i="18"/>
  <c r="O20" i="18"/>
  <c r="AC20" i="18"/>
  <c r="AN20" i="18"/>
  <c r="BB20" i="18"/>
  <c r="P20" i="18"/>
  <c r="AD20" i="18"/>
  <c r="AO20" i="18"/>
  <c r="BC20" i="18"/>
  <c r="Q20" i="18"/>
  <c r="AE20" i="18"/>
  <c r="AS20" i="18"/>
  <c r="BD20" i="18"/>
  <c r="U20" i="18"/>
  <c r="AF20" i="18"/>
  <c r="AT20" i="18"/>
  <c r="BE20" i="18"/>
  <c r="M20" i="18"/>
  <c r="AL20" i="18"/>
  <c r="V20" i="18"/>
  <c r="AG20" i="18"/>
  <c r="AU20" i="18"/>
  <c r="BI20" i="18"/>
  <c r="X20" i="18"/>
  <c r="W20" i="18"/>
  <c r="AK20" i="18"/>
  <c r="AV20" i="18"/>
  <c r="BJ20" i="18"/>
  <c r="AW20" i="18"/>
  <c r="K16" i="18"/>
  <c r="S16" i="18"/>
  <c r="AA16" i="18"/>
  <c r="AI16" i="18"/>
  <c r="R16" i="18"/>
  <c r="AB16" i="18"/>
  <c r="AK16" i="18"/>
  <c r="AS16" i="18"/>
  <c r="BA16" i="18"/>
  <c r="BI16" i="18"/>
  <c r="T16" i="18"/>
  <c r="AC16" i="18"/>
  <c r="AL16" i="18"/>
  <c r="AT16" i="18"/>
  <c r="BB16" i="18"/>
  <c r="BJ16" i="18"/>
  <c r="L16" i="18"/>
  <c r="U16" i="18"/>
  <c r="AD16" i="18"/>
  <c r="AM16" i="18"/>
  <c r="AU16" i="18"/>
  <c r="BC16" i="18"/>
  <c r="M16" i="18"/>
  <c r="V16" i="18"/>
  <c r="AE16" i="18"/>
  <c r="AN16" i="18"/>
  <c r="AV16" i="18"/>
  <c r="BD16" i="18"/>
  <c r="N16" i="18"/>
  <c r="W16" i="18"/>
  <c r="AF16" i="18"/>
  <c r="AO16" i="18"/>
  <c r="AW16" i="18"/>
  <c r="BE16" i="18"/>
  <c r="P16" i="18"/>
  <c r="Y16" i="18"/>
  <c r="AH16" i="18"/>
  <c r="AQ16" i="18"/>
  <c r="AY16" i="18"/>
  <c r="BG16" i="18"/>
  <c r="AR16" i="18"/>
  <c r="O16" i="18"/>
  <c r="AX16" i="18"/>
  <c r="Q16" i="18"/>
  <c r="AZ16" i="18"/>
  <c r="X16" i="18"/>
  <c r="BF16" i="18"/>
  <c r="Z16" i="18"/>
  <c r="BH16" i="18"/>
  <c r="AG16" i="18"/>
  <c r="AJ16" i="18"/>
  <c r="AP16" i="18"/>
  <c r="K3" i="17"/>
  <c r="L3" i="17" s="1"/>
  <c r="D9" i="18"/>
  <c r="G14" i="18"/>
  <c r="G10" i="18"/>
  <c r="BI3" i="18" s="1"/>
  <c r="G11" i="18"/>
  <c r="AE3" i="18" s="1"/>
  <c r="G12" i="18"/>
  <c r="G13" i="18"/>
  <c r="BG3" i="18" s="1"/>
  <c r="D8" i="18"/>
  <c r="C8" i="24" l="1"/>
  <c r="P16" i="23"/>
  <c r="R11" i="23"/>
  <c r="F6" i="23"/>
  <c r="J5" i="23" s="1"/>
  <c r="P15" i="23"/>
  <c r="R21" i="23"/>
  <c r="R14" i="23"/>
  <c r="R13" i="23"/>
  <c r="R12" i="23"/>
  <c r="R19" i="23"/>
  <c r="R25" i="23"/>
  <c r="P20" i="23"/>
  <c r="R24" i="23"/>
  <c r="P27" i="23"/>
  <c r="R18" i="23"/>
  <c r="R22" i="23"/>
  <c r="R23" i="23"/>
  <c r="P10" i="23"/>
  <c r="R10" i="23"/>
  <c r="P26" i="23"/>
  <c r="R17" i="23"/>
  <c r="G6" i="18" a="1"/>
  <c r="G6" i="18" s="1"/>
  <c r="F6" i="18" s="1"/>
  <c r="BJ3" i="18"/>
  <c r="AL4" i="18"/>
  <c r="N3" i="18"/>
  <c r="T4" i="18"/>
  <c r="O3" i="18"/>
  <c r="D14" i="18"/>
  <c r="K8" i="17"/>
  <c r="L8" i="17" s="1"/>
  <c r="AN3" i="18"/>
  <c r="AF3" i="18"/>
  <c r="BI4" i="18"/>
  <c r="AU3" i="18"/>
  <c r="AZ4" i="18"/>
  <c r="AQ4" i="18"/>
  <c r="AX3" i="18"/>
  <c r="BC3" i="18"/>
  <c r="AS3" i="18"/>
  <c r="X4" i="18"/>
  <c r="AA3" i="18"/>
  <c r="Z4" i="18"/>
  <c r="BB3" i="18"/>
  <c r="AY3" i="18"/>
  <c r="AP3" i="18"/>
  <c r="N4" i="18"/>
  <c r="BF4" i="18"/>
  <c r="AA4" i="18"/>
  <c r="BH4" i="18"/>
  <c r="P3" i="18"/>
  <c r="BC4" i="18"/>
  <c r="L4" i="18"/>
  <c r="AP4" i="18"/>
  <c r="AK4" i="18"/>
  <c r="AG4" i="18"/>
  <c r="AF4" i="18"/>
  <c r="U3" i="18"/>
  <c r="L3" i="18"/>
  <c r="K4" i="18"/>
  <c r="D13" i="18"/>
  <c r="K7" i="17"/>
  <c r="L7" i="17" s="1"/>
  <c r="M4" i="18"/>
  <c r="AX4" i="18"/>
  <c r="P4" i="18"/>
  <c r="S3" i="18"/>
  <c r="BE3" i="18"/>
  <c r="AR3" i="18"/>
  <c r="AV3" i="18"/>
  <c r="AO4" i="18"/>
  <c r="AB3" i="18"/>
  <c r="BA3" i="18"/>
  <c r="R4" i="18"/>
  <c r="BG4" i="18"/>
  <c r="AE4" i="18"/>
  <c r="V4" i="18"/>
  <c r="K6" i="17"/>
  <c r="L6" i="17" s="1"/>
  <c r="D12" i="18"/>
  <c r="T3" i="18"/>
  <c r="AH4" i="18"/>
  <c r="S4" i="18"/>
  <c r="AC4" i="18"/>
  <c r="AO3" i="18"/>
  <c r="BB4" i="18"/>
  <c r="AR4" i="18"/>
  <c r="AU4" i="18"/>
  <c r="P8" i="18"/>
  <c r="X8" i="18"/>
  <c r="AF8" i="18"/>
  <c r="AN8" i="18"/>
  <c r="AV8" i="18"/>
  <c r="BD8" i="18"/>
  <c r="Q8" i="18"/>
  <c r="Y8" i="18"/>
  <c r="AG8" i="18"/>
  <c r="AO8" i="18"/>
  <c r="AW8" i="18"/>
  <c r="BE8" i="18"/>
  <c r="N8" i="18"/>
  <c r="Z8" i="18"/>
  <c r="AJ8" i="18"/>
  <c r="AT8" i="18"/>
  <c r="BF8" i="18"/>
  <c r="O8" i="18"/>
  <c r="AA8" i="18"/>
  <c r="AK8" i="18"/>
  <c r="AU8" i="18"/>
  <c r="BG8" i="18"/>
  <c r="R8" i="18"/>
  <c r="AB8" i="18"/>
  <c r="AL8" i="18"/>
  <c r="AX8" i="18"/>
  <c r="BH8" i="18"/>
  <c r="S8" i="18"/>
  <c r="AC8" i="18"/>
  <c r="AM8" i="18"/>
  <c r="AY8" i="18"/>
  <c r="BI8" i="18"/>
  <c r="T8" i="18"/>
  <c r="AD8" i="18"/>
  <c r="AP8" i="18"/>
  <c r="AZ8" i="18"/>
  <c r="BJ8" i="18"/>
  <c r="L8" i="18"/>
  <c r="V8" i="18"/>
  <c r="AH8" i="18"/>
  <c r="AR8" i="18"/>
  <c r="BB8" i="18"/>
  <c r="AI8" i="18"/>
  <c r="AQ8" i="18"/>
  <c r="AS8" i="18"/>
  <c r="K8" i="18"/>
  <c r="BA8" i="18"/>
  <c r="M8" i="18"/>
  <c r="BC8" i="18"/>
  <c r="U8" i="18"/>
  <c r="W8" i="18"/>
  <c r="AE8" i="18"/>
  <c r="AT3" i="18"/>
  <c r="AC3" i="18"/>
  <c r="D11" i="18"/>
  <c r="K5" i="17"/>
  <c r="L5" i="17" s="1"/>
  <c r="AD4" i="18"/>
  <c r="R9" i="18"/>
  <c r="Z9" i="18"/>
  <c r="AH9" i="18"/>
  <c r="AP9" i="18"/>
  <c r="AX9" i="18"/>
  <c r="BF9" i="18"/>
  <c r="K9" i="18"/>
  <c r="S9" i="18"/>
  <c r="AA9" i="18"/>
  <c r="AI9" i="18"/>
  <c r="AQ9" i="18"/>
  <c r="AY9" i="18"/>
  <c r="BG9" i="18"/>
  <c r="N9" i="18"/>
  <c r="X9" i="18"/>
  <c r="AJ9" i="18"/>
  <c r="AT9" i="18"/>
  <c r="BD9" i="18"/>
  <c r="O9" i="18"/>
  <c r="Y9" i="18"/>
  <c r="AK9" i="18"/>
  <c r="AU9" i="18"/>
  <c r="BE9" i="18"/>
  <c r="P9" i="18"/>
  <c r="AB9" i="18"/>
  <c r="AL9" i="18"/>
  <c r="AV9" i="18"/>
  <c r="BH9" i="18"/>
  <c r="Q9" i="18"/>
  <c r="AC9" i="18"/>
  <c r="AM9" i="18"/>
  <c r="AW9" i="18"/>
  <c r="BI9" i="18"/>
  <c r="T9" i="18"/>
  <c r="AD9" i="18"/>
  <c r="AN9" i="18"/>
  <c r="AZ9" i="18"/>
  <c r="BJ9" i="18"/>
  <c r="L9" i="18"/>
  <c r="V9" i="18"/>
  <c r="AF9" i="18"/>
  <c r="AR9" i="18"/>
  <c r="BB9" i="18"/>
  <c r="W9" i="18"/>
  <c r="AE9" i="18"/>
  <c r="AG9" i="18"/>
  <c r="AO9" i="18"/>
  <c r="U9" i="18"/>
  <c r="AS9" i="18"/>
  <c r="BA9" i="18"/>
  <c r="M9" i="18"/>
  <c r="BC9" i="18"/>
  <c r="K3" i="18"/>
  <c r="AM3" i="18"/>
  <c r="AJ3" i="18"/>
  <c r="Y3" i="18"/>
  <c r="Y4" i="18"/>
  <c r="BE4" i="18"/>
  <c r="AH3" i="18"/>
  <c r="BD4" i="18"/>
  <c r="AM4" i="18"/>
  <c r="K4" i="17"/>
  <c r="L4" i="17" s="1"/>
  <c r="D10" i="18"/>
  <c r="AJ4" i="18"/>
  <c r="Q3" i="18"/>
  <c r="AW3" i="18"/>
  <c r="AQ3" i="18"/>
  <c r="AV4" i="18"/>
  <c r="AZ3" i="18"/>
  <c r="AG3" i="18"/>
  <c r="M3" i="18"/>
  <c r="AS4" i="18"/>
  <c r="AN4" i="18"/>
  <c r="Q4" i="18"/>
  <c r="Z3" i="18"/>
  <c r="AL3" i="18"/>
  <c r="AI4" i="18"/>
  <c r="AB4" i="18"/>
  <c r="BJ4" i="18"/>
  <c r="AW4" i="18"/>
  <c r="BA4" i="18"/>
  <c r="X3" i="18"/>
  <c r="AI3" i="18"/>
  <c r="AD3" i="18"/>
  <c r="AY4" i="18"/>
  <c r="BH3" i="18"/>
  <c r="BD3" i="18"/>
  <c r="R3" i="18"/>
  <c r="O4" i="18"/>
  <c r="W4" i="18"/>
  <c r="AK3" i="18"/>
  <c r="U4" i="18"/>
  <c r="W3" i="18"/>
  <c r="AT4" i="18"/>
  <c r="V3" i="18"/>
  <c r="BF3" i="18"/>
  <c r="J7" i="23" l="1"/>
  <c r="M14" i="18"/>
  <c r="U14" i="18"/>
  <c r="AC14" i="18"/>
  <c r="AK14" i="18"/>
  <c r="AS14" i="18"/>
  <c r="BA14" i="18"/>
  <c r="BI14" i="18"/>
  <c r="O14" i="18"/>
  <c r="X14" i="18"/>
  <c r="AG14" i="18"/>
  <c r="AP14" i="18"/>
  <c r="AY14" i="18"/>
  <c r="BH14" i="18"/>
  <c r="P14" i="18"/>
  <c r="Y14" i="18"/>
  <c r="AH14" i="18"/>
  <c r="AQ14" i="18"/>
  <c r="AZ14" i="18"/>
  <c r="BJ14" i="18"/>
  <c r="Q14" i="18"/>
  <c r="Z14" i="18"/>
  <c r="AI14" i="18"/>
  <c r="AR14" i="18"/>
  <c r="BB14" i="18"/>
  <c r="R14" i="18"/>
  <c r="AA14" i="18"/>
  <c r="AJ14" i="18"/>
  <c r="AT14" i="18"/>
  <c r="BC14" i="18"/>
  <c r="S14" i="18"/>
  <c r="AB14" i="18"/>
  <c r="AL14" i="18"/>
  <c r="AU14" i="18"/>
  <c r="BD14" i="18"/>
  <c r="L14" i="18"/>
  <c r="V14" i="18"/>
  <c r="AE14" i="18"/>
  <c r="AN14" i="18"/>
  <c r="AW14" i="18"/>
  <c r="BF14" i="18"/>
  <c r="AF14" i="18"/>
  <c r="AM14" i="18"/>
  <c r="AD14" i="18"/>
  <c r="AO14" i="18"/>
  <c r="K14" i="18"/>
  <c r="AV14" i="18"/>
  <c r="N14" i="18"/>
  <c r="AX14" i="18"/>
  <c r="T14" i="18"/>
  <c r="BE14" i="18"/>
  <c r="W14" i="18"/>
  <c r="BG14" i="18"/>
  <c r="P12" i="18"/>
  <c r="Q12" i="18"/>
  <c r="Y12" i="18"/>
  <c r="AG12" i="18"/>
  <c r="AO12" i="18"/>
  <c r="AW12" i="18"/>
  <c r="BE12" i="18"/>
  <c r="L12" i="18"/>
  <c r="V12" i="18"/>
  <c r="AE12" i="18"/>
  <c r="AN12" i="18"/>
  <c r="AX12" i="18"/>
  <c r="BG12" i="18"/>
  <c r="M12" i="18"/>
  <c r="W12" i="18"/>
  <c r="AF12" i="18"/>
  <c r="AP12" i="18"/>
  <c r="AY12" i="18"/>
  <c r="BH12" i="18"/>
  <c r="N12" i="18"/>
  <c r="X12" i="18"/>
  <c r="AH12" i="18"/>
  <c r="AQ12" i="18"/>
  <c r="AZ12" i="18"/>
  <c r="BI12" i="18"/>
  <c r="O12" i="18"/>
  <c r="Z12" i="18"/>
  <c r="AI12" i="18"/>
  <c r="AR12" i="18"/>
  <c r="BA12" i="18"/>
  <c r="BJ12" i="18"/>
  <c r="R12" i="18"/>
  <c r="AA12" i="18"/>
  <c r="AJ12" i="18"/>
  <c r="AS12" i="18"/>
  <c r="BB12" i="18"/>
  <c r="T12" i="18"/>
  <c r="AC12" i="18"/>
  <c r="AL12" i="18"/>
  <c r="AU12" i="18"/>
  <c r="BD12" i="18"/>
  <c r="AD12" i="18"/>
  <c r="AK12" i="18"/>
  <c r="AM12" i="18"/>
  <c r="AT12" i="18"/>
  <c r="K12" i="18"/>
  <c r="AV12" i="18"/>
  <c r="S12" i="18"/>
  <c r="BC12" i="18"/>
  <c r="U12" i="18"/>
  <c r="BF12" i="18"/>
  <c r="AB12" i="18"/>
  <c r="L10" i="18"/>
  <c r="T10" i="18"/>
  <c r="AB10" i="18"/>
  <c r="AJ10" i="18"/>
  <c r="AR10" i="18"/>
  <c r="AZ10" i="18"/>
  <c r="BH10" i="18"/>
  <c r="M10" i="18"/>
  <c r="U10" i="18"/>
  <c r="AC10" i="18"/>
  <c r="AK10" i="18"/>
  <c r="AS10" i="18"/>
  <c r="BA10" i="18"/>
  <c r="BI10" i="18"/>
  <c r="N10" i="18"/>
  <c r="X10" i="18"/>
  <c r="AH10" i="18"/>
  <c r="AT10" i="18"/>
  <c r="BD10" i="18"/>
  <c r="O10" i="18"/>
  <c r="Y10" i="18"/>
  <c r="AI10" i="18"/>
  <c r="AU10" i="18"/>
  <c r="BE10" i="18"/>
  <c r="P10" i="18"/>
  <c r="Z10" i="18"/>
  <c r="AL10" i="18"/>
  <c r="AV10" i="18"/>
  <c r="BF10" i="18"/>
  <c r="Q10" i="18"/>
  <c r="AA10" i="18"/>
  <c r="AM10" i="18"/>
  <c r="AW10" i="18"/>
  <c r="BG10" i="18"/>
  <c r="R10" i="18"/>
  <c r="AD10" i="18"/>
  <c r="AN10" i="18"/>
  <c r="AX10" i="18"/>
  <c r="BJ10" i="18"/>
  <c r="V10" i="18"/>
  <c r="AF10" i="18"/>
  <c r="AP10" i="18"/>
  <c r="BB10" i="18"/>
  <c r="K10" i="18"/>
  <c r="BC10" i="18"/>
  <c r="S10" i="18"/>
  <c r="AY10" i="18"/>
  <c r="W10" i="18"/>
  <c r="AE10" i="18"/>
  <c r="AG10" i="18"/>
  <c r="AO10" i="18"/>
  <c r="AQ10" i="18"/>
  <c r="K13" i="18"/>
  <c r="S13" i="18"/>
  <c r="AA13" i="18"/>
  <c r="AI13" i="18"/>
  <c r="AQ13" i="18"/>
  <c r="AY13" i="18"/>
  <c r="BG13" i="18"/>
  <c r="N13" i="18"/>
  <c r="W13" i="18"/>
  <c r="AF13" i="18"/>
  <c r="AO13" i="18"/>
  <c r="AX13" i="18"/>
  <c r="BH13" i="18"/>
  <c r="O13" i="18"/>
  <c r="X13" i="18"/>
  <c r="AG13" i="18"/>
  <c r="AP13" i="18"/>
  <c r="AZ13" i="18"/>
  <c r="BI13" i="18"/>
  <c r="P13" i="18"/>
  <c r="Y13" i="18"/>
  <c r="AH13" i="18"/>
  <c r="AR13" i="18"/>
  <c r="BA13" i="18"/>
  <c r="BJ13" i="18"/>
  <c r="Q13" i="18"/>
  <c r="Z13" i="18"/>
  <c r="AJ13" i="18"/>
  <c r="AS13" i="18"/>
  <c r="BB13" i="18"/>
  <c r="R13" i="18"/>
  <c r="AB13" i="18"/>
  <c r="AK13" i="18"/>
  <c r="AT13" i="18"/>
  <c r="BC13" i="18"/>
  <c r="L13" i="18"/>
  <c r="U13" i="18"/>
  <c r="AD13" i="18"/>
  <c r="AM13" i="18"/>
  <c r="AV13" i="18"/>
  <c r="BE13" i="18"/>
  <c r="M13" i="18"/>
  <c r="AW13" i="18"/>
  <c r="T13" i="18"/>
  <c r="BD13" i="18"/>
  <c r="V13" i="18"/>
  <c r="BF13" i="18"/>
  <c r="AC13" i="18"/>
  <c r="AE13" i="18"/>
  <c r="AU13" i="18"/>
  <c r="AL13" i="18"/>
  <c r="AN13" i="18"/>
  <c r="H8" i="18" a="1"/>
  <c r="H8" i="18" s="1"/>
  <c r="N11" i="18"/>
  <c r="V11" i="18"/>
  <c r="AD11" i="18"/>
  <c r="AL11" i="18"/>
  <c r="AT11" i="18"/>
  <c r="BB11" i="18"/>
  <c r="BJ11" i="18"/>
  <c r="O11" i="18"/>
  <c r="W11" i="18"/>
  <c r="AE11" i="18"/>
  <c r="AM11" i="18"/>
  <c r="AU11" i="18"/>
  <c r="BC11" i="18"/>
  <c r="L11" i="18"/>
  <c r="X11" i="18"/>
  <c r="AH11" i="18"/>
  <c r="AR11" i="18"/>
  <c r="BD11" i="18"/>
  <c r="M11" i="18"/>
  <c r="Y11" i="18"/>
  <c r="AI11" i="18"/>
  <c r="AS11" i="18"/>
  <c r="BE11" i="18"/>
  <c r="P11" i="18"/>
  <c r="Z11" i="18"/>
  <c r="AJ11" i="18"/>
  <c r="AV11" i="18"/>
  <c r="BF11" i="18"/>
  <c r="Q11" i="18"/>
  <c r="AA11" i="18"/>
  <c r="AK11" i="18"/>
  <c r="AW11" i="18"/>
  <c r="BG11" i="18"/>
  <c r="R11" i="18"/>
  <c r="AB11" i="18"/>
  <c r="AN11" i="18"/>
  <c r="AX11" i="18"/>
  <c r="BH11" i="18"/>
  <c r="T11" i="18"/>
  <c r="AF11" i="18"/>
  <c r="AP11" i="18"/>
  <c r="AZ11" i="18"/>
  <c r="AQ11" i="18"/>
  <c r="AY11" i="18"/>
  <c r="AO11" i="18"/>
  <c r="K11" i="18"/>
  <c r="BA11" i="18"/>
  <c r="S11" i="18"/>
  <c r="BI11" i="18"/>
  <c r="U11" i="18"/>
  <c r="AC11" i="18"/>
  <c r="AG11" i="18"/>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<sst xmlns="http://schemas.openxmlformats.org/spreadsheetml/2006/main" count="727" uniqueCount="441">
  <si>
    <t>Grunnleggende flytskjema – Datavisualiserer</t>
  </si>
  <si>
    <t>Tre enkle trinn for å opprette prosessdiagrammer fra dataene dine.</t>
  </si>
  <si>
    <r>
      <t xml:space="preserve">Legg til prosessdataene
</t>
    </r>
    <r>
      <rPr>
        <sz val="11"/>
        <color theme="1" tint="0.249977111117893"/>
        <rFont val="Segoe UI"/>
        <family val="2"/>
      </rPr>
      <t>Bruk denne Excel-malen til å legge til prosessdata i arket med tittelen «Prosesskart».</t>
    </r>
  </si>
  <si>
    <r>
      <t xml:space="preserve">Eksporter til Visio
</t>
    </r>
    <r>
      <rPr>
        <sz val="11"/>
        <color theme="1" tint="0.249977111117893"/>
        <rFont val="Segoe UI"/>
        <family val="2"/>
      </rPr>
      <t>Velg tabellen i Prosesskart-arket for å se Utforming-fanen for tabellverktøy. Klikk på Eksporter-alternativet, og klikk deretter på Eksporter tabell til Visio-diagram for å opprette diagrammet i Visio.</t>
    </r>
  </si>
  <si>
    <r>
      <t xml:space="preserve">Få diagrammet
</t>
    </r>
    <r>
      <rPr>
        <sz val="11"/>
        <color theme="1" tint="0.249977111117893"/>
        <rFont val="Segoe UI"/>
        <family val="2"/>
      </rPr>
      <t>Visio oppretter figurene og koblingene, og det lager oppsettet for deg automatisk.</t>
    </r>
  </si>
  <si>
    <t>Obs! Funksjonen er bare tilgjengelig i Visio-abonnement 2 for M365. Hvis du ikke har installert Visio-abonnement 2, er ikke alternativet Eksporter tabell til Visio-diagram tilgjengelig.</t>
  </si>
  <si>
    <t>Dette arket vil hjelpe deg med å forstå betydningen av datakolonnene i prosesskartet.</t>
  </si>
  <si>
    <t>ID for prosesstrinnet</t>
  </si>
  <si>
    <t>Verdiene i denne kolonnen skal identifisere prosesstrinnene dine, for eksempel 1, 2, 3... eller P100, P200, P300...
Dette er et obligatorisk felt.</t>
  </si>
  <si>
    <t>Beskrivelse av prosesstrinnet</t>
  </si>
  <si>
    <r>
      <rPr>
        <sz val="11"/>
        <color theme="1" tint="0.249977111117893"/>
        <rFont val="Segoe UI"/>
        <family val="2"/>
      </rPr>
      <t>Legg til en kort beskrivelse av prosesstrinnene i denne kolonnen. Denne beskrivelsen vises som figurtekst for prosesstrinn i Visio.</t>
    </r>
    <r>
      <rPr>
        <sz val="11"/>
        <color rgb="FF333A3E"/>
        <rFont val="Segoe UI Semibold"/>
        <family val="2"/>
      </rPr>
      <t xml:space="preserve">
</t>
    </r>
  </si>
  <si>
    <t>ID for neste trinn</t>
  </si>
  <si>
    <t>Legg til prosesstrinn-ID-en i neste trinn i denne kolonnen.  
Merk: Hvis et prosesstrinn har flere neste trinn, skal disse representeres som kommadelte verdier, for eksempel «2, 3» eller «P200, P300».</t>
  </si>
  <si>
    <t>Koblingsetiketter</t>
  </si>
  <si>
    <t>Legg til koblingsteksten for utgående koblinger for eventuelle prosesstrinn i denne kolonnen.
Merk: Etikettene for flere neste trinn for en prosess skal representeres som kommadelte verdier, for eksempel «ja, nei», i samme rekkefølge som for de utgående trinnene.</t>
  </si>
  <si>
    <t xml:space="preserve">Formtype  </t>
  </si>
  <si>
    <t>Legg til nøkkelord for figurtype i denne kolonnen. Denne kolonnen inneholder en liste over alle tilgjengelige flytskjemafigurer i Visio.  
Anbefales: Velg en figurtypeverdi fra de tilgjengelige verdiene i rullegardinlisten.</t>
  </si>
  <si>
    <t>Metadata / metriske data</t>
  </si>
  <si>
    <t>Resten av kolonnene er metriske eller metadatakolonner for prosesstrinnene. Du kan legge til et hvilket som helst antall tilleggskolonner.</t>
  </si>
  <si>
    <t>Start</t>
  </si>
  <si>
    <t>Koblingsetikett</t>
  </si>
  <si>
    <t>Formtype</t>
  </si>
  <si>
    <t>Slutt</t>
  </si>
  <si>
    <t>Eier</t>
  </si>
  <si>
    <t>Kostnader</t>
  </si>
  <si>
    <t>Startdato</t>
  </si>
  <si>
    <t>Sluttdato</t>
  </si>
  <si>
    <t>Status</t>
  </si>
  <si>
    <t>Alternativ beskrivelse</t>
  </si>
  <si>
    <t xml:space="preserve">Vil du prøve denne funksjonen? </t>
  </si>
  <si>
    <t>Prøv Visio-abonnement 2 gratis!</t>
  </si>
  <si>
    <t>Figurnotasjon</t>
  </si>
  <si>
    <t>Prosess</t>
  </si>
  <si>
    <t>Beslutning</t>
  </si>
  <si>
    <t>Delprosess</t>
  </si>
  <si>
    <t>Dokument</t>
  </si>
  <si>
    <t>Data</t>
  </si>
  <si>
    <t>Database</t>
  </si>
  <si>
    <t>Eksterne data</t>
  </si>
  <si>
    <t>Referanse til samme side</t>
  </si>
  <si>
    <t>Referanse til andre sider</t>
  </si>
  <si>
    <t>Egendefinert 1</t>
  </si>
  <si>
    <t>Egendefinert 2</t>
  </si>
  <si>
    <t>Egendefinert 3</t>
  </si>
  <si>
    <t>Egendefinert 4</t>
  </si>
  <si>
    <t>Representasjon</t>
  </si>
  <si>
    <t xml:space="preserve">PROJECT INITIATION DOCUMENT </t>
  </si>
  <si>
    <t xml:space="preserve">BUSINESS CASE </t>
  </si>
  <si>
    <t xml:space="preserve">PROJECT SCOPE </t>
  </si>
  <si>
    <t xml:space="preserve">&lt; Cost, Quality or Time? &gt; </t>
  </si>
  <si>
    <t>Identify Driver</t>
  </si>
  <si>
    <t xml:space="preserve"> &gt; Step 1 - Define the project </t>
  </si>
  <si>
    <t xml:space="preserve">&lt;Insert the Business Case if you have one. &gt; </t>
  </si>
  <si>
    <t xml:space="preserve">2.1. In Scope / Included in the Project </t>
  </si>
  <si>
    <t>&gt; Step 2 - List the tasks | Level of granularity</t>
  </si>
  <si>
    <t xml:space="preserve">PROJECT NAME:  </t>
  </si>
  <si>
    <t xml:space="preserve">• Why this project </t>
  </si>
  <si>
    <t xml:space="preserve">2.2. Out of Scope / Excluded from the Project </t>
  </si>
  <si>
    <t xml:space="preserve">&gt; Step 3 - Establishing task order </t>
  </si>
  <si>
    <t xml:space="preserve">PROJECT NUMBER:  </t>
  </si>
  <si>
    <t xml:space="preserve">• Why now? </t>
  </si>
  <si>
    <t xml:space="preserve">2.3. Dependencies </t>
  </si>
  <si>
    <t xml:space="preserve">&gt; Step 4 - Estimating time </t>
  </si>
  <si>
    <t xml:space="preserve">PROJECT RISK LEVEL: H/M/L </t>
  </si>
  <si>
    <t xml:space="preserve">• Options considered </t>
  </si>
  <si>
    <t xml:space="preserve">&lt;Describe how the project impacts or will be impacted by other projects or programmes &gt; </t>
  </si>
  <si>
    <t xml:space="preserve">&gt; Step 5 - Margin check &amp; reality check </t>
  </si>
  <si>
    <t xml:space="preserve">Prepared by:   </t>
  </si>
  <si>
    <t xml:space="preserve">• What if we don’t do it? </t>
  </si>
  <si>
    <t xml:space="preserve">&gt; Step 6 - Gantt Chart </t>
  </si>
  <si>
    <t xml:space="preserve">Date:   </t>
  </si>
  <si>
    <t xml:space="preserve">• Benefits </t>
  </si>
  <si>
    <t xml:space="preserve">2.4. Constraints </t>
  </si>
  <si>
    <t xml:space="preserve">&gt; Step 7 - Resource allocation </t>
  </si>
  <si>
    <t xml:space="preserve">Persons consulted:   </t>
  </si>
  <si>
    <t xml:space="preserve">• Payback period </t>
  </si>
  <si>
    <t xml:space="preserve">&lt;Describe any constraints within which the project must be delivered, e.g. government deadlines; </t>
  </si>
  <si>
    <t xml:space="preserve">&gt; Step 8 - Predicting &amp; reducing risk </t>
  </si>
  <si>
    <t xml:space="preserve">budget limits; resource limitations. &gt; </t>
  </si>
  <si>
    <t xml:space="preserve">&gt; Step 9 - Monitoring progress </t>
  </si>
  <si>
    <t xml:space="preserve">KEY ACTIONS PROPOSED TO DELIVER THE PROJECT </t>
  </si>
  <si>
    <t xml:space="preserve">2.5. Assumptions </t>
  </si>
  <si>
    <t xml:space="preserve">&gt; Step 10 - Monitoring cost </t>
  </si>
  <si>
    <t xml:space="preserve">You MUST Include a high-level or detailed Gantt chart  </t>
  </si>
  <si>
    <t xml:space="preserve">&lt; Describe any assumptions that are being worked from at this point (for example, that you will </t>
  </si>
  <si>
    <t xml:space="preserve">&gt; Step 11 - Adjusting the plan </t>
  </si>
  <si>
    <t>Communications Plan</t>
  </si>
  <si>
    <t xml:space="preserve">get planning permission). &gt; </t>
  </si>
  <si>
    <t>&gt; Step 12 - Review &amp; lessons</t>
  </si>
  <si>
    <t>What</t>
  </si>
  <si>
    <t xml:space="preserve">2.6 – What’s the key driver of your project, and why do you think that? </t>
  </si>
  <si>
    <t>How</t>
  </si>
  <si>
    <t>Who</t>
  </si>
  <si>
    <t xml:space="preserve">Project Initiation Document </t>
  </si>
  <si>
    <t xml:space="preserve">Version &lt;version no. &gt;  </t>
  </si>
  <si>
    <t xml:space="preserve">3.1. Quality Plan </t>
  </si>
  <si>
    <t>When</t>
  </si>
  <si>
    <t xml:space="preserve">&lt;Describe how it is intended to meet, and shown to meet, the customer’s quality expectations &gt; </t>
  </si>
  <si>
    <t>Cost</t>
  </si>
  <si>
    <t xml:space="preserve">4. PROJECT CONTROLS AND REPORTING </t>
  </si>
  <si>
    <t xml:space="preserve">&lt; Describe how progress will be reported to the Project Board if there is one. &gt; </t>
  </si>
  <si>
    <t>Task Acceptance Criteria</t>
  </si>
  <si>
    <t xml:space="preserve">5. RISK CONTROL  </t>
  </si>
  <si>
    <t xml:space="preserve">Frequency / timing </t>
  </si>
  <si>
    <t xml:space="preserve">&lt;Attach a risk chart, or for small, low-risk projects, insert below in this document. &gt; </t>
  </si>
  <si>
    <t>(monthly, stage end, etc)</t>
  </si>
  <si>
    <t xml:space="preserve">6. FINANCIAL IMPLICATIONS </t>
  </si>
  <si>
    <t xml:space="preserve">How will the Control be reported Responsibility for </t>
  </si>
  <si>
    <t xml:space="preserve">I have considered the benefits against the project costs and assessed the project plan </t>
  </si>
  <si>
    <t>production</t>
  </si>
  <si>
    <t>Project Risk Containment Measures</t>
  </si>
  <si>
    <t>RISKS:</t>
  </si>
  <si>
    <t>Q1 Q2 Q3 Q4 Total</t>
  </si>
  <si>
    <t>How likely?</t>
  </si>
  <si>
    <t>Amount Year 1</t>
  </si>
  <si>
    <t>How serious?</t>
  </si>
  <si>
    <t>Amount Year 2</t>
  </si>
  <si>
    <t>Amount Year 3</t>
  </si>
  <si>
    <t>Amount Year 4</t>
  </si>
  <si>
    <t>Amount Year 5</t>
  </si>
  <si>
    <t>Task ID</t>
  </si>
  <si>
    <t>Task Name</t>
  </si>
  <si>
    <t>Resource</t>
  </si>
  <si>
    <t>IsInCriticalPath</t>
  </si>
  <si>
    <t>Predecessor Tasks</t>
  </si>
  <si>
    <t>Duration (Weeks)</t>
  </si>
  <si>
    <t>Progress</t>
  </si>
  <si>
    <t>Hours</t>
  </si>
  <si>
    <t>Actual Cost</t>
  </si>
  <si>
    <t>Start wk</t>
  </si>
  <si>
    <t>Finish wk</t>
  </si>
  <si>
    <t>Project</t>
  </si>
  <si>
    <t>Budget</t>
  </si>
  <si>
    <t>Start Date</t>
  </si>
  <si>
    <t>total hours</t>
  </si>
  <si>
    <t>total cost</t>
  </si>
  <si>
    <t>ActCost</t>
  </si>
  <si>
    <t>Diff</t>
  </si>
  <si>
    <t>Planning permission</t>
  </si>
  <si>
    <t>FE</t>
  </si>
  <si>
    <t>Yes</t>
  </si>
  <si>
    <t>Wait for planning permission</t>
  </si>
  <si>
    <t>New Garden Shed</t>
  </si>
  <si>
    <t>01.06.2026</t>
  </si>
  <si>
    <t>Hire digger</t>
  </si>
  <si>
    <t>Dig trench</t>
  </si>
  <si>
    <t>NN</t>
  </si>
  <si>
    <t>Wire down the garden</t>
  </si>
  <si>
    <t>Fill with concrete</t>
  </si>
  <si>
    <t>Level the base</t>
  </si>
  <si>
    <t>Assembly</t>
  </si>
  <si>
    <t>the Finish</t>
  </si>
  <si>
    <t>Delivery</t>
  </si>
  <si>
    <t>Wait for Delivery</t>
  </si>
  <si>
    <t>Check funds</t>
  </si>
  <si>
    <t>Float</t>
  </si>
  <si>
    <t>Demolish old shed</t>
  </si>
  <si>
    <t>Cut foliage back</t>
  </si>
  <si>
    <t>Critical</t>
  </si>
  <si>
    <t>Path</t>
  </si>
  <si>
    <t>Connect Power</t>
  </si>
  <si>
    <t>(Weeks)</t>
  </si>
  <si>
    <t>Find suppliers</t>
  </si>
  <si>
    <t>Get quotes</t>
  </si>
  <si>
    <t>Buy the shed</t>
  </si>
  <si>
    <t>Start with Running Order Regardless of Time  =&gt; Then Estimate Time for Each Task (Independently of Running Order)</t>
  </si>
  <si>
    <t>Critical Path =&gt; The Longest Path</t>
  </si>
  <si>
    <t>Parallell Floaters</t>
  </si>
  <si>
    <t>What comes Before/After?</t>
  </si>
  <si>
    <t>Safety Margin -&gt; Add /Blend into Critical Path (50% of worst case =&gt;90% Reliable)</t>
  </si>
  <si>
    <t>Time Down =&gt; Money Up or Quality Down | Overlapping Tasks</t>
  </si>
  <si>
    <t>● Actual progress marker</t>
  </si>
  <si>
    <t>TASK</t>
  </si>
  <si>
    <t>Actual wk</t>
  </si>
  <si>
    <t>duration (wk)</t>
  </si>
  <si>
    <t>critical path</t>
  </si>
  <si>
    <t>Finish</t>
  </si>
  <si>
    <t>Today</t>
  </si>
  <si>
    <t>T002</t>
  </si>
  <si>
    <t>T003</t>
  </si>
  <si>
    <t>kritisk</t>
  </si>
  <si>
    <t>Fullført</t>
  </si>
  <si>
    <t>Kritisk bane: Yes; varighet: 6 uker; timer: 0; faktisk kostnad: 0</t>
  </si>
  <si>
    <t>T007</t>
  </si>
  <si>
    <t>Pågår</t>
  </si>
  <si>
    <t>Kritisk bane: Yes; varighet: 10 uker; timer: 0; faktisk kostnad: 100</t>
  </si>
  <si>
    <t>T006</t>
  </si>
  <si>
    <t>T015</t>
  </si>
  <si>
    <t>Ikke startet</t>
  </si>
  <si>
    <t>Kritisk bane: Yes; varighet: 1 uker; timer: 4; faktisk kostnad: 400</t>
  </si>
  <si>
    <t>Kritisk bane: Yes; varighet: 2 uker; timer: 0; faktisk kostnad: 0</t>
  </si>
  <si>
    <t>T009</t>
  </si>
  <si>
    <t>T010</t>
  </si>
  <si>
    <t>Kritisk bane: Yes; varighet: 1 uker; timer: 3; faktisk kostnad: 800</t>
  </si>
  <si>
    <t>T016</t>
  </si>
  <si>
    <t>Kritisk bane: Yes; varighet: 1 uker; timer: 5; faktisk kostnad: 100</t>
  </si>
  <si>
    <t>T017</t>
  </si>
  <si>
    <t/>
  </si>
  <si>
    <t>Kritisk bane: Yes; varighet: 4 uker; timer: 34; faktisk kostnad: 8500</t>
  </si>
  <si>
    <t>T019</t>
  </si>
  <si>
    <t>T014</t>
  </si>
  <si>
    <t>Kritisk bane: Yes; varighet: 0 uker; timer: 0; faktisk kostnad: 0</t>
  </si>
  <si>
    <t>T001</t>
  </si>
  <si>
    <t>T004</t>
  </si>
  <si>
    <t>flyt</t>
  </si>
  <si>
    <t>Kritisk bane: Float; varighet: 0 uker; timer: 0; faktisk kostnad: 0</t>
  </si>
  <si>
    <t>T005</t>
  </si>
  <si>
    <t>Kritisk bane: Float; varighet: 1 uker; timer: 6; faktisk kostnad: 300</t>
  </si>
  <si>
    <t>Kritisk bane: Float; varighet: 4 uker; timer: 10; faktisk kostnad: 500</t>
  </si>
  <si>
    <t>T008</t>
  </si>
  <si>
    <t>Kritisk bane: Float; varighet: ikke angitt; timer: 0; faktisk kostnad: 0</t>
  </si>
  <si>
    <t>T011</t>
  </si>
  <si>
    <t>T012</t>
  </si>
  <si>
    <t>Kritisk bane: Float; varighet: 1 uker; timer: 0; faktisk kostnad: 0</t>
  </si>
  <si>
    <t>T013</t>
  </si>
  <si>
    <t>Kritisk bane: Float; varighet: 3 uker; timer: 0; faktisk kostnad: 0</t>
  </si>
  <si>
    <t>Kritisk bane: Float; varighet: 0 uker; timer: 0; faktisk kostnad: 8000</t>
  </si>
  <si>
    <t>Kritisk bane: Float; varighet: 6 uker; timer: 0; faktisk kostnad: 0</t>
  </si>
  <si>
    <t>Kritisk bane: Float; varighet: 1 uker; timer: 8; faktisk kostnad: 0</t>
  </si>
  <si>
    <t>Kritisk bane: Float; varighet: 1 uker; timer: 0; faktisk kostnad: 750</t>
  </si>
  <si>
    <t>Tilpasset fra prosjektplanen: hver oppgave i tblTaskList er ett prosesstrinn; ID for neste trinn er slått opp fra oppgavekoblingene i kolonnen Predecessor Tasks.</t>
  </si>
  <si>
    <t>Prosesskart: New Garden Shed</t>
  </si>
  <si>
    <t>Flytskjema: New Garden Shed</t>
  </si>
  <si>
    <t>Flyten går fra venstre mot høyre basert på ID for neste trinn i Prosesskart.</t>
  </si>
  <si>
    <t>Bokser er hentet fra Prosesskart-tabellen. Grønn = fullført, gul = pågår, blå = ikke startet. Rød farge på pil/ramme markerer kritisk bane.</t>
  </si>
  <si>
    <t>Metrikk</t>
  </si>
  <si>
    <t>Verdi</t>
  </si>
  <si>
    <t>Antall</t>
  </si>
  <si>
    <t>Prosess-steg</t>
  </si>
  <si>
    <t>Koblinger</t>
  </si>
  <si>
    <t>Sluttpunkter</t>
  </si>
  <si>
    <t>Earned Value Management (EVM) Essentials</t>
  </si>
  <si>
    <t>A practical reference for measuring schedule, cost, and delivery performance using the project plan in this workbook.</t>
  </si>
  <si>
    <t>STORY IN BRIEF</t>
  </si>
  <si>
    <t>Earned Value Management compares what should have been delivered by the status date (Planned Value), what has actually been delivered in budget terms (Earned Value), and what has actually been spent (Actual Cost). It turns progress reporting into objective schedule and cost indicators: SPI below 1.0 means the project is behind plan, while CPI below 1.0 means it is costing more than the value earned. Use EVM as an early-warning system: the ratios are most useful when reviewed trend-by-trend, not as a one-off score.</t>
  </si>
  <si>
    <t>LIVE PROJECT KPI SNAPSHOT</t>
  </si>
  <si>
    <t>Metric</t>
  </si>
  <si>
    <t>Formula / Source</t>
  </si>
  <si>
    <t>Value</t>
  </si>
  <si>
    <t>Interpretation</t>
  </si>
  <si>
    <t>Current project in the workbook</t>
  </si>
  <si>
    <t>Budget at Completion (BAC)</t>
  </si>
  <si>
    <t>Approved baseline budget for all planned work</t>
  </si>
  <si>
    <t>Actual Cost (AC)</t>
  </si>
  <si>
    <t>Actual cost recorded so far</t>
  </si>
  <si>
    <t>Earned Value (EV)</t>
  </si>
  <si>
    <t>Budgeted value of completed work</t>
  </si>
  <si>
    <t>Planned Value (PV)</t>
  </si>
  <si>
    <t>Status-date estimate using task start/finish weeks</t>
  </si>
  <si>
    <t>Budgeted value of work planned by the current status week</t>
  </si>
  <si>
    <t>Schedule Variance (SV)</t>
  </si>
  <si>
    <t>Positive = ahead of schedule; negative = behind schedule</t>
  </si>
  <si>
    <t>Cost Variance (CV)</t>
  </si>
  <si>
    <t>Positive = under budget; negative = over budget</t>
  </si>
  <si>
    <t>Schedule Performance Index (SPI)</t>
  </si>
  <si>
    <t>Above 1.0 = ahead; below 1.0 = behind</t>
  </si>
  <si>
    <t>Cost Performance Index (CPI)</t>
  </si>
  <si>
    <t>Above 1.0 = cost efficient; below 1.0 = cost overrun</t>
  </si>
  <si>
    <t>Estimate at Completion (EAC)</t>
  </si>
  <si>
    <t>Forecast final cost at current cost efficiency</t>
  </si>
  <si>
    <t>Estimate to Complete (ETC)</t>
  </si>
  <si>
    <t>Forecast remaining spend</t>
  </si>
  <si>
    <t>Variance at Completion (VAC)</t>
  </si>
  <si>
    <t>Positive = forecast underrun; negative = forecast overrun</t>
  </si>
  <si>
    <t>To-Complete Performance Index (TCPI)</t>
  </si>
  <si>
    <t>Required future cost efficiency to meet the original budget</t>
  </si>
  <si>
    <t>ESSENTIAL EVM CONCEPTS</t>
  </si>
  <si>
    <t>Concept</t>
  </si>
  <si>
    <t>What it means</t>
  </si>
  <si>
    <t>Why it matters</t>
  </si>
  <si>
    <t>PV — Planned Value</t>
  </si>
  <si>
    <t>The budgeted value of work scheduled to be complete by the status date.</t>
  </si>
  <si>
    <t>Defines the schedule baseline: what should have been earned by now.</t>
  </si>
  <si>
    <t>EV — Earned Value</t>
  </si>
  <si>
    <t>The budgeted value of work actually completed.</t>
  </si>
  <si>
    <t>Converts physical progress into comparable money terms.</t>
  </si>
  <si>
    <t>AC — Actual Cost</t>
  </si>
  <si>
    <t>The real cost incurred for the work performed.</t>
  </si>
  <si>
    <t>Shows the cash or cost consumed to earn the value.</t>
  </si>
  <si>
    <t>BAC — Budget at Completion</t>
  </si>
  <si>
    <t>The total approved budget for the full scope.</t>
  </si>
  <si>
    <t>Anchor for EAC, VAC, and TCPI forecasts.</t>
  </si>
  <si>
    <t>Status date</t>
  </si>
  <si>
    <t>The date or reporting cut-off used for the EVM calculation.</t>
  </si>
  <si>
    <t>All PV, EV, and AC comparisons must use the same cut-off.</t>
  </si>
  <si>
    <t>Baseline</t>
  </si>
  <si>
    <t>The approved scope, schedule, and budget plan.</t>
  </si>
  <si>
    <t>Without a stable baseline, EVM ratios lose meaning.</t>
  </si>
  <si>
    <t>GLOSSARY OF TERMS, RATIOS &amp; IMPORTANT KPIs</t>
  </si>
  <si>
    <t>tblBudget[Project]</t>
  </si>
  <si>
    <t>tblBudget[total cost]</t>
  </si>
  <si>
    <t>tblBudget[ActCost]</t>
  </si>
  <si>
    <t>SUMPRODUCT(Cost, Progress)</t>
  </si>
  <si>
    <t>EV - PV</t>
  </si>
  <si>
    <t>EV - AC</t>
  </si>
  <si>
    <t>EV / PV</t>
  </si>
  <si>
    <t>EV / AC</t>
  </si>
  <si>
    <t>BAC / CPI</t>
  </si>
  <si>
    <t>EAC - AC</t>
  </si>
  <si>
    <t>BAC - EAC</t>
  </si>
  <si>
    <t>(BAC-EV)/(BAC-AC)</t>
  </si>
  <si>
    <t>% Complete</t>
  </si>
  <si>
    <t>EV / BAC</t>
  </si>
  <si>
    <t>Budget-weighted completion percentage based on earned value</t>
  </si>
  <si>
    <t>Term / KPI</t>
  </si>
  <si>
    <t>Type</t>
  </si>
  <si>
    <t>Formula</t>
  </si>
  <si>
    <t>Interpretation / rule of thumb</t>
  </si>
  <si>
    <t>PV</t>
  </si>
  <si>
    <t>Core value</t>
  </si>
  <si>
    <t>Budgeted cost of scheduled work</t>
  </si>
  <si>
    <t>Planned work expressed in budget value.</t>
  </si>
  <si>
    <t>EV</t>
  </si>
  <si>
    <t>Budgeted cost of performed work</t>
  </si>
  <si>
    <t>Completed work expressed in budget value.</t>
  </si>
  <si>
    <t>AC</t>
  </si>
  <si>
    <t>Actual cost of performed work</t>
  </si>
  <si>
    <t>Actual spend or incurred cost.</t>
  </si>
  <si>
    <t>SV</t>
  </si>
  <si>
    <t>Variance</t>
  </si>
  <si>
    <t>&gt; 0 ahead of schedule; &lt; 0 behind schedule.</t>
  </si>
  <si>
    <t>CV</t>
  </si>
  <si>
    <t>&gt; 0 under budget; &lt; 0 over budget.</t>
  </si>
  <si>
    <t>SPI</t>
  </si>
  <si>
    <t>Ratio</t>
  </si>
  <si>
    <t>&gt; 1.0 ahead of plan; &lt; 1.0 behind plan.</t>
  </si>
  <si>
    <t>CPI</t>
  </si>
  <si>
    <t>&gt; 1.0 cost efficient; &lt; 1.0 cost overrun.</t>
  </si>
  <si>
    <t>BAC</t>
  </si>
  <si>
    <t>Total approved budget</t>
  </si>
  <si>
    <t>Final target budget for the full project scope.</t>
  </si>
  <si>
    <t>EAC</t>
  </si>
  <si>
    <t>Forecast</t>
  </si>
  <si>
    <t>Forecast final cost if current efficiency continues.</t>
  </si>
  <si>
    <t>ETC</t>
  </si>
  <si>
    <t>Expected remaining cost from today to completion.</t>
  </si>
  <si>
    <t>VAC</t>
  </si>
  <si>
    <t>Forecast variance</t>
  </si>
  <si>
    <t>&gt; 0 underrun; &lt; 0 expected overrun at completion.</t>
  </si>
  <si>
    <t>TCPI</t>
  </si>
  <si>
    <t>Required performance</t>
  </si>
  <si>
    <t>(BAC - EV) / (BAC - AC)</t>
  </si>
  <si>
    <t>Cost efficiency required on remaining work to hit BAC.</t>
  </si>
  <si>
    <t>Progress KPI</t>
  </si>
  <si>
    <t>Budget-weighted completion percentage.</t>
  </si>
  <si>
    <t>Critical path</t>
  </si>
  <si>
    <t>Schedule concept</t>
  </si>
  <si>
    <t>Longest dependent task path</t>
  </si>
  <si>
    <t>Delays here usually delay the whole project.</t>
  </si>
  <si>
    <t>Slack before task affects finish date</t>
  </si>
  <si>
    <t>Can absorb delays without moving the finish date.</t>
  </si>
  <si>
    <t>QUICK INTERPRETATION THRESHOLDS</t>
  </si>
  <si>
    <t>Indicator</t>
  </si>
  <si>
    <t>Green</t>
  </si>
  <si>
    <t>Amber</t>
  </si>
  <si>
    <t>Red</t>
  </si>
  <si>
    <t>Action</t>
  </si>
  <si>
    <t>≥ 1.00</t>
  </si>
  <si>
    <t>0.90–0.99</t>
  </si>
  <si>
    <t>&lt; 0.90</t>
  </si>
  <si>
    <t>Review critical path, blockers, and recovery options.</t>
  </si>
  <si>
    <t>Review cost drivers, scope growth, rework, and procurement.</t>
  </si>
  <si>
    <t>≥ 0</t>
  </si>
  <si>
    <t>Slightly negative</t>
  </si>
  <si>
    <t>Materially negative</t>
  </si>
  <si>
    <t>Update forecast and agree corrective action.</t>
  </si>
  <si>
    <t>≤ CPI trend</t>
  </si>
  <si>
    <t>Slightly above CPI trend</t>
  </si>
  <si>
    <t>Unrealistically above CPI trend</t>
  </si>
  <si>
    <t>Budget target may be unrealistic without scope/schedule change.</t>
  </si>
  <si>
    <t>HOW TO USE THIS SHEET</t>
  </si>
  <si>
    <t>Update task progress, costs, and actual costs in tblTaskList and tblBudget. The live KPI snapshot recalculates EV, AC, CPI, EAC, ETC, VAC, and TCPI automatically. Review SPI/CPI together: schedule recovery that burns excessive cost can improve SPI while damaging CPI.</t>
  </si>
  <si>
    <t>DATA GAPS FOR FULL EVM REPORTING</t>
  </si>
  <si>
    <t>These gaps explain why the current EVM figures are not yet reliable for full reporting. Fill task-level cost, actual cost, hours, and the one missing duration to support EV, PV, CPI, SPI, EAC, ETC, VAC, TCPI, resource, and schedule reporting.</t>
  </si>
  <si>
    <t>Missing field</t>
  </si>
  <si>
    <t>Missing count</t>
  </si>
  <si>
    <t>Impact on key figures</t>
  </si>
  <si>
    <t>Priority</t>
  </si>
  <si>
    <t>EV, PV, BAC-by-task, SV, SPI, % Complete</t>
  </si>
  <si>
    <t>High</t>
  </si>
  <si>
    <t>AC, CV, CPI, EAC, ETC, VAC, TCPI</t>
  </si>
  <si>
    <t>Resource loading, labor effort, productivity KPIs</t>
  </si>
  <si>
    <t>Medium</t>
  </si>
  <si>
    <t>Schedule baseline, PV timing, SPI, Gantt</t>
  </si>
  <si>
    <t>Dependency chain / process map completeness</t>
  </si>
  <si>
    <t>Review</t>
  </si>
  <si>
    <t>PV timing, schedule baseline</t>
  </si>
  <si>
    <t>EV, % Complete, SPI/CPI</t>
  </si>
  <si>
    <t>Row</t>
  </si>
  <si>
    <t>Task</t>
  </si>
  <si>
    <t>Missing / needs review</t>
  </si>
  <si>
    <t>Reporting impact</t>
  </si>
  <si>
    <t>Cost; Actual Cost; Hours</t>
  </si>
  <si>
    <t>EV/PV/CPI/CV/EAC and labor reporting</t>
  </si>
  <si>
    <t>Labor/resource reporting</t>
  </si>
  <si>
    <t>Cost; Actual Cost; Hours; Duration</t>
  </si>
  <si>
    <t>EVM cost ratios plus PV/SPI schedule baseline</t>
  </si>
  <si>
    <t>Hours; predecessor blank</t>
  </si>
  <si>
    <t>Labor/resource reporting; dependency review</t>
  </si>
  <si>
    <t>Cost; Actual Cost</t>
  </si>
  <si>
    <t>EV/PV/CPI/CV/EAC</t>
  </si>
  <si>
    <t>Predecessor blank</t>
  </si>
  <si>
    <t>Dependency review; may be intentional if milestone/end marker</t>
  </si>
  <si>
    <t>EVM Data Model — Required Task-Level Reporting Table</t>
  </si>
  <si>
    <t>Modeled from tblTaskList. Fill the yellow input columns where blank; calculated EVM columns update automatically from those inputs and the status week.</t>
  </si>
  <si>
    <t>Status week</t>
  </si>
  <si>
    <t>Budget at Completion</t>
  </si>
  <si>
    <t>Critical Path</t>
  </si>
  <si>
    <t>Baseline Cost</t>
  </si>
  <si>
    <t>Actual % Complete</t>
  </si>
  <si>
    <t>Planned % Complete</t>
  </si>
  <si>
    <t>Earned Value</t>
  </si>
  <si>
    <t>Planned Value</t>
  </si>
  <si>
    <t>Schedule Variance</t>
  </si>
  <si>
    <t>Cost Variance</t>
  </si>
  <si>
    <t>Data Gap / Action Needed</t>
  </si>
  <si>
    <t>Total EV</t>
  </si>
  <si>
    <t>SUM(tblEVMData[Earned Value])</t>
  </si>
  <si>
    <t>Total PV</t>
  </si>
  <si>
    <t>SUM(tblEVMData[Planned Value])</t>
  </si>
  <si>
    <t>Total AC</t>
  </si>
  <si>
    <t>SUM(tblEVMData[Actual Cost])</t>
  </si>
  <si>
    <t>How to complete</t>
  </si>
  <si>
    <t>1. Fill yellow columns if blank: Baseline Cost, Actual Cost, Hours, Actual % Complete.</t>
  </si>
  <si>
    <t>Project S-Curve — New Garden Shed</t>
  </si>
  <si>
    <t>Cumulative Planned Value, Earned Value, and Actual Cost by week using live formulas from tblEVMData.</t>
  </si>
  <si>
    <t>Current reporting week used for the S-curve cut-off.</t>
  </si>
  <si>
    <t>Total baseline budget for all planned work.</t>
  </si>
  <si>
    <t>Total Planned Value (PV)</t>
  </si>
  <si>
    <t>Source</t>
  </si>
  <si>
    <t>EVM Data!B5</t>
  </si>
  <si>
    <t>EVM Data!B7</t>
  </si>
  <si>
    <t>SCurveData[Planned Value]</t>
  </si>
  <si>
    <t>Cumulative planned budget by the status week.</t>
  </si>
  <si>
    <t>Total Actual Cost (AC)</t>
  </si>
  <si>
    <t>SCurveData[Actual Cost]</t>
  </si>
  <si>
    <t>Cumulative actual cost recorded by the status week.</t>
  </si>
  <si>
    <t>Week</t>
  </si>
  <si>
    <t>Week Start</t>
  </si>
  <si>
    <t>Reading the chart</t>
  </si>
  <si>
    <t>What impact?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</si>
</sst>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1" formatCode="_(* #,##0_);_(* \(#,##0\);_(* &quot;-&quot;_);_(@_)"/>
    <numFmt numFmtId="43" formatCode="_(* #,##0.00_);_(* \(#,##0.00\);_(* &quot;-&quot;??_);_(@_)"/>
    <numFmt numFmtId="164" formatCode="_-&quot;kr&quot;\ * #,##0_-;\-&quot;kr&quot;\ * #,##0_-;_-&quot;kr&quot;\ * &quot;-&quot;_-;_-@_-"/>
    <numFmt numFmtId="165" formatCode="_-&quot;kr&quot;\ * #,##0.00_-;\-&quot;kr&quot;\ * #,##0.00_-;_-&quot;kr&quot;\ * &quot;-&quot;??_-;_-@_-"/>
    <numFmt numFmtId="167" formatCode="_(* #,##0_);_(* \(#,##0\);_(* &quot;-&quot;??_);_(@_)"/>
    <numFmt numFmtId="168" formatCode="dd\.mm\.yyyy"/>
    <numFmt numFmtId="169" formatCode="[$-409]d\-mmm;@"/>
    <numFmt numFmtId="170" formatCode="0.000"/>
    <numFmt numFmtId="171" formatCode="0.0%"/>
    <numFmt numFmtId="172" formatCode="dd\-mmm\-yyyy"/>
  </numFmts>
  <fonts count="56" x14ac:knownFonts="1">
    <font>
      <sz val="11"/>
      <color theme="1"/>
      <name val="Calibri"/>
      <family val="2"/>
      <scheme val="minor"/>
    </font>
    <font>
      <sz val="11"/>
      <color theme="3"/>
      <name val="Calibri"/>
      <family val="2"/>
      <scheme val="minor"/>
    </font>
    <font>
      <sz val="11"/>
      <name val="Calibri"/>
      <family val="2"/>
      <scheme val="minor"/>
    </font>
    <font>
      <sz val="36"/>
      <color rgb="FF3652A0"/>
      <name val="Segoe UI Semilight"/>
      <family val="2"/>
    </font>
    <font>
      <sz val="12"/>
      <color theme="2" tint="-0.749992370372631"/>
      <name val="Segoe UI"/>
      <family val="2"/>
    </font>
    <font>
      <sz val="11"/>
      <color theme="0"/>
      <name val="Calibri"/>
      <family val="2"/>
      <scheme val="minor"/>
    </font>
    <font>
      <sz val="11"/>
      <color theme="1"/>
      <name val="Calibri"/>
      <family val="2"/>
      <scheme val="minor"/>
    </font>
    <font>
      <b/>
      <sz val="11"/>
      <name val="Calibri"/>
      <family val="2"/>
      <scheme val="minor"/>
    </font>
    <font>
      <sz val="20"/>
      <color rgb="FF3652A0"/>
      <name val="Segoe Pro Semibold"/>
      <family val="2"/>
    </font>
    <font>
      <sz val="12"/>
      <color theme="2" tint="-0.749961851863155"/>
      <name val="Segoe UI"/>
      <family val="2"/>
    </font>
    <font>
      <sz val="18"/>
      <color theme="0"/>
      <name val="Segoe UI Semibold"/>
      <family val="2"/>
    </font>
    <font>
      <sz val="14"/>
      <color rgb="FF217346"/>
      <name val="Segoe UI Semibold"/>
      <family val="2"/>
    </font>
    <font>
      <sz val="11"/>
      <color rgb="FF777777"/>
      <name val="Segoe UI"/>
      <family val="2"/>
    </font>
    <font>
      <sz val="14"/>
      <color rgb="FF0E5C2F"/>
      <name val="Segoe UI Semibold"/>
      <family val="2"/>
    </font>
    <font>
      <sz val="12"/>
      <color rgb="FF767676"/>
      <name val="Segoe UI"/>
      <family val="2"/>
    </font>
    <font>
      <sz val="12"/>
      <color rgb="FF333A3E"/>
      <name val="Segoe UI"/>
      <family val="2"/>
    </font>
    <font>
      <sz val="11"/>
      <color theme="1" tint="0.249977111117893"/>
      <name val="Segoe UI"/>
      <family val="2"/>
    </font>
    <font>
      <sz val="14"/>
      <color rgb="FF3652A0"/>
      <name val="Segoe UI Semibold"/>
      <family val="2"/>
    </font>
    <font>
      <sz val="11"/>
      <color rgb="FF333A3E"/>
      <name val="Segoe UI"/>
      <family val="2"/>
    </font>
    <font>
      <sz val="11"/>
      <color rgb="FF333A3E"/>
      <name val="Segoe UI Semibold"/>
      <family val="2"/>
    </font>
    <font>
      <sz val="12"/>
      <color theme="1"/>
      <name val="Calibri"/>
      <family val="2"/>
    </font>
    <font>
      <sz val="36"/>
      <color theme="1"/>
      <name val="Calibri"/>
      <family val="2"/>
      <scheme val="minor"/>
    </font>
    <font>
      <sz val="11"/>
      <color theme="1"/>
      <name val="Segoe UI"/>
      <family val="2"/>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b/>
      <sz val="10"/>
      <color rgb="FFC00000"/>
      <name val="Calibri"/>
      <family val="2"/>
      <scheme val="minor"/>
    </font>
    <font>
      <b/>
      <sz val="11"/>
      <color rgb="FFC00000"/>
      <name val="Calibri"/>
      <family val="2"/>
      <scheme val="minor"/>
    </font>
    <font>
      <b/>
      <sz val="11"/>
      <color rgb="FFFFFFFF"/>
      <name val="Calibri"/>
      <family val="2"/>
      <scheme val="minor"/>
    </font>
    <font>
      <i/>
      <sz val="11"/>
      <color theme="1"/>
      <name val="Calibri"/>
      <family val="2"/>
      <scheme val="minor"/>
    </font>
    <font>
      <b/>
      <sz val="14"/>
      <color theme="1"/>
      <name val="Calibri"/>
      <family val="2"/>
      <scheme val="minor"/>
    </font>
    <font>
      <b/>
      <i/>
      <sz val="11"/>
      <color rgb="FF000000"/>
      <name val="Calibri"/>
      <family val="2"/>
      <scheme val="minor"/>
    </font>
    <font>
      <i/>
      <sz val="11"/>
      <color rgb="FF555555"/>
      <name val="Calibri"/>
      <family val="2"/>
      <scheme val="minor"/>
    </font>
    <font>
      <b/>
      <sz val="16"/>
      <color rgb="FFFFFFFF"/>
      <name val="Calibri"/>
      <family val="2"/>
      <scheme val="minor"/>
    </font>
    <font>
      <b/>
      <sz val="11"/>
      <color rgb="FFFFFFFF"/>
      <name val="Aptos"/>
      <family val="2"/>
    </font>
    <font>
      <sz val="11"/>
      <color theme="1"/>
      <name val="Aptos"/>
      <family val="2"/>
    </font>
    <font>
      <sz val="11"/>
      <color theme="3"/>
      <name val="Aptos"/>
      <family val="2"/>
    </font>
    <font>
      <sz val="11"/>
      <name val="Aptos"/>
      <family val="2"/>
    </font>
    <font>
      <b/>
      <sz val="18"/>
      <color rgb="FFFFFFFF"/>
      <name val="Calibri"/>
      <family val="2"/>
      <scheme val="minor"/>
    </font>
    <font>
      <i/>
      <sz val="11"/>
      <color rgb="FF666666"/>
      <name val="Calibri"/>
      <family val="2"/>
      <scheme val="minor"/>
    </font>
    <font>
      <sz val="11"/>
      <color rgb="FF333333"/>
      <name val="Calibri"/>
      <family val="2"/>
      <scheme val="minor"/>
    </font>
    <font>
      <b/>
      <sz val="18"/>
      <color rgb="FFFFFFFF"/>
      <name val="Aptos"/>
      <family val="2"/>
    </font>
    <font>
      <i/>
      <sz val="10"/>
      <color rgb="FF666666"/>
      <name val="Aptos"/>
      <family val="2"/>
    </font>
    <font>
      <sz val="11"/>
      <color rgb="FF333333"/>
      <name val="Aptos"/>
      <family val="2"/>
    </font>
    <font>
      <b/>
      <sz val="11"/>
      <color rgb="FF1F4E78"/>
      <name val="Aptos"/>
      <family val="2"/>
    </font>
    <font>
      <b/>
      <sz val="11"/>
      <color theme="1"/>
      <name val="Aptos"/>
      <family val="2"/>
    </font>
    <font>
      <i/>
      <sz val="11"/>
      <color rgb="FF666666"/>
      <name val="Aptos"/>
      <family val="2"/>
    </font>
  </fonts>
  <fills count="52">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rgb="FF3652A0"/>
        <bgColor indexed="64"/>
      </patternFill>
    </fill>
    <fill>
      <patternFill patternType="solid">
        <fgColor rgb="FF217346"/>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8"/>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34998626667073579"/>
        <bgColor indexed="64"/>
      </patternFill>
    </fill>
    <fill>
      <patternFill patternType="solid">
        <fgColor theme="5" tint="0.79998168889431442"/>
        <bgColor indexed="64"/>
      </patternFill>
    </fill>
    <fill>
      <patternFill patternType="solid">
        <fgColor rgb="FFFFFFCC"/>
        <bgColor indexed="64"/>
      </patternFill>
    </fill>
    <fill>
      <patternFill patternType="solid">
        <fgColor rgb="FFD9EAF7"/>
        <bgColor indexed="64"/>
      </patternFill>
    </fill>
    <fill>
      <patternFill patternType="solid">
        <fgColor rgb="FF1F4E78"/>
        <bgColor indexed="64"/>
      </patternFill>
    </fill>
    <fill>
      <patternFill patternType="solid">
        <fgColor rgb="FFFFF2CC"/>
        <bgColor indexed="64"/>
      </patternFill>
    </fill>
    <fill>
      <patternFill patternType="solid">
        <fgColor rgb="FFF2F6FA"/>
        <bgColor indexed="64"/>
      </patternFill>
    </fill>
    <fill>
      <patternFill patternType="solid">
        <fgColor rgb="FF5B9BD5"/>
        <bgColor indexed="64"/>
      </patternFill>
    </fill>
    <fill>
      <patternFill patternType="solid">
        <fgColor rgb="FF17365D"/>
        <bgColor indexed="64"/>
      </patternFill>
    </fill>
    <fill>
      <patternFill patternType="solid">
        <fgColor rgb="FFC00000"/>
        <bgColor indexed="64"/>
      </patternFill>
    </fill>
    <fill>
      <patternFill patternType="solid">
        <fgColor rgb="FFEAF3F8"/>
        <bgColor indexed="64"/>
      </patternFill>
    </fill>
    <fill>
      <patternFill patternType="solid">
        <fgColor rgb="FFFCE4D6"/>
        <bgColor indexed="64"/>
      </patternFill>
    </fill>
    <fill>
      <patternFill patternType="solid">
        <fgColor rgb="FFF2F2F2"/>
        <bgColor indexed="64"/>
      </patternFill>
    </fill>
  </fills>
  <borders count="41">
    <border>
      <left/>
      <right/>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ck">
        <color rgb="FF3652A0"/>
      </top>
      <bottom/>
      <diagonal/>
    </border>
    <border>
      <left style="thin">
        <color theme="2"/>
      </left>
      <right/>
      <top/>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9" tint="0.39997558519241921"/>
      </right>
      <top/>
      <bottom/>
      <diagonal/>
    </border>
    <border>
      <left/>
      <right/>
      <top style="thin">
        <color theme="9" tint="0.39997558519241921"/>
      </top>
      <bottom style="thin">
        <color theme="4" tint="0.39997558519241921"/>
      </bottom>
      <diagonal/>
    </border>
    <border>
      <left/>
      <right/>
      <top style="thin">
        <color theme="9" tint="0.39997558519241921"/>
      </top>
      <bottom/>
      <diagonal/>
    </border>
    <border>
      <left/>
      <right style="thin">
        <color theme="9" tint="0.39997558519241921"/>
      </right>
      <top style="thin">
        <color theme="9" tint="0.39997558519241921"/>
      </top>
      <bottom/>
      <diagonal/>
    </border>
    <border>
      <left/>
      <right/>
      <top style="thin">
        <color indexed="64"/>
      </top>
      <bottom/>
      <diagonal/>
    </border>
    <border>
      <left/>
      <right style="thin">
        <color indexed="64"/>
      </right>
      <top/>
      <bottom style="thin">
        <color indexed="64"/>
      </bottom>
      <diagonal/>
    </border>
    <border>
      <left/>
      <right/>
      <top/>
      <bottom style="thin">
        <color indexed="64"/>
      </bottom>
      <diagonal/>
    </border>
    <border>
      <left/>
      <right style="thin">
        <color auto="1"/>
      </right>
      <top/>
      <bottom/>
      <diagonal/>
    </border>
    <border>
      <left style="thin">
        <color indexed="64"/>
      </left>
      <right/>
      <top/>
      <bottom/>
      <diagonal/>
    </border>
    <border>
      <left style="thin">
        <color rgb="FFE0E0E0"/>
      </left>
      <right/>
      <top style="thin">
        <color rgb="FFBFBFBF"/>
      </top>
      <bottom/>
      <diagonal/>
    </border>
    <border>
      <left style="thin">
        <color rgb="FFE0E0E0"/>
      </left>
      <right style="thin">
        <color rgb="FFE0E0E0"/>
      </right>
      <top style="thin">
        <color rgb="FFBFBFBF"/>
      </top>
      <bottom/>
      <diagonal/>
    </border>
    <border>
      <left/>
      <right style="thin">
        <color rgb="FFE0E0E0"/>
      </right>
      <top style="thin">
        <color rgb="FFBFBFBF"/>
      </top>
      <bottom/>
      <diagonal/>
    </border>
    <border>
      <left style="thin">
        <color rgb="FFE0E0E0"/>
      </left>
      <right/>
      <top/>
      <bottom style="thin">
        <color rgb="FFBFBFBF"/>
      </bottom>
      <diagonal/>
    </border>
    <border>
      <left style="thin">
        <color rgb="FFE0E0E0"/>
      </left>
      <right style="thin">
        <color rgb="FFE0E0E0"/>
      </right>
      <top/>
      <bottom style="thin">
        <color rgb="FFBFBFBF"/>
      </bottom>
      <diagonal/>
    </border>
    <border>
      <left/>
      <right style="thin">
        <color rgb="FFE0E0E0"/>
      </right>
      <top/>
      <bottom style="thin">
        <color rgb="FFBFBFBF"/>
      </bottom>
      <diagonal/>
    </border>
    <border>
      <left/>
      <right style="thin">
        <color rgb="FFD9EAF7"/>
      </right>
      <top/>
      <bottom style="thin">
        <color rgb="FFD9EAF7"/>
      </bottom>
      <diagonal/>
    </border>
    <border>
      <left style="thin">
        <color rgb="FFD9EAF7"/>
      </left>
      <right style="thin">
        <color rgb="FFD9EAF7"/>
      </right>
      <top/>
      <bottom style="thin">
        <color rgb="FFD9EAF7"/>
      </bottom>
      <diagonal/>
    </border>
    <border>
      <left style="thin">
        <color rgb="FFD9EAF7"/>
      </left>
      <right/>
      <top/>
      <bottom style="thin">
        <color rgb="FFD9EAF7"/>
      </bottom>
      <diagonal/>
    </border>
    <border>
      <left/>
      <right style="thin">
        <color rgb="FFD9EAF7"/>
      </right>
      <top style="thin">
        <color rgb="FFD9EAF7"/>
      </top>
      <bottom style="thin">
        <color rgb="FFD9EAF7"/>
      </bottom>
      <diagonal/>
    </border>
    <border>
      <left style="thin">
        <color rgb="FFD9EAF7"/>
      </left>
      <right style="thin">
        <color rgb="FFD9EAF7"/>
      </right>
      <top style="thin">
        <color rgb="FFD9EAF7"/>
      </top>
      <bottom style="thin">
        <color rgb="FFD9EAF7"/>
      </bottom>
      <diagonal/>
    </border>
    <border>
      <left style="thin">
        <color rgb="FFD9EAF7"/>
      </left>
      <right/>
      <top style="thin">
        <color rgb="FFD9EAF7"/>
      </top>
      <bottom style="thin">
        <color rgb="FFD9EAF7"/>
      </bottom>
      <diagonal/>
    </border>
    <border>
      <left/>
      <right style="thin">
        <color rgb="FFD9EAF7"/>
      </right>
      <top style="thin">
        <color rgb="FFD9EAF7"/>
      </top>
      <bottom/>
      <diagonal/>
    </border>
    <border>
      <left style="thin">
        <color rgb="FFD9EAF7"/>
      </left>
      <right style="thin">
        <color rgb="FFD9EAF7"/>
      </right>
      <top style="thin">
        <color rgb="FFD9EAF7"/>
      </top>
      <bottom/>
      <diagonal/>
    </border>
    <border>
      <left style="thin">
        <color rgb="FFD9EAF7"/>
      </left>
      <right/>
      <top style="thin">
        <color rgb="FFD9EAF7"/>
      </top>
      <bottom/>
      <diagonal/>
    </border>
    <border>
      <left/>
      <right/>
      <top/>
      <bottom style="thin">
        <color rgb="FFD9E2F3"/>
      </bottom>
      <diagonal/>
    </border>
    <border>
      <left/>
      <right/>
      <top style="thin">
        <color rgb="FFD9E2F3"/>
      </top>
      <bottom style="thin">
        <color rgb="FFD9E2F3"/>
      </bottom>
      <diagonal/>
    </border>
    <border>
      <left/>
      <right/>
      <top style="thin">
        <color rgb="FFD9E2F3"/>
      </top>
      <bottom style="thin">
        <color rgb="FF9EADCC"/>
      </bottom>
      <diagonal/>
    </border>
  </borders>
  <cellStyleXfs count="50">
    <xf numFmtId="0" fontId="0" fillId="0" borderId="0"/>
    <xf numFmtId="0" fontId="6" fillId="4" borderId="0" applyNumberFormat="0" applyFont="0" applyBorder="0" applyAlignment="0"/>
    <xf numFmtId="0" fontId="3" fillId="3" borderId="5" applyProtection="0">
      <alignment vertical="center"/>
    </xf>
    <xf numFmtId="0" fontId="8" fillId="3" borderId="0" applyProtection="0">
      <alignment vertical="top"/>
    </xf>
    <xf numFmtId="0" fontId="9" fillId="3" borderId="0" applyProtection="0">
      <alignment vertical="top"/>
    </xf>
    <xf numFmtId="0" fontId="6" fillId="0" borderId="0" applyNumberFormat="0" applyFont="0" applyFill="0" applyBorder="0">
      <alignment horizontal="left" vertical="top" wrapText="1" indent="1"/>
    </xf>
    <xf numFmtId="0" fontId="5" fillId="4" borderId="6" applyBorder="0">
      <alignment horizontal="left" vertical="top" wrapText="1" indent="1"/>
    </xf>
    <xf numFmtId="0" fontId="5" fillId="8" borderId="0" applyNumberFormat="0" applyBorder="0" applyAlignment="0" applyProtection="0"/>
    <xf numFmtId="43" fontId="6" fillId="0" borderId="0" applyFont="0" applyFill="0" applyBorder="0" applyAlignment="0" applyProtection="0"/>
    <xf numFmtId="41" fontId="6" fillId="0" borderId="0" applyFont="0" applyFill="0" applyBorder="0" applyAlignment="0" applyProtection="0"/>
    <xf numFmtId="165" fontId="6" fillId="0" borderId="0" applyFont="0" applyFill="0" applyBorder="0" applyAlignment="0" applyProtection="0"/>
    <xf numFmtId="164" fontId="6" fillId="0" borderId="0" applyFont="0" applyFill="0" applyBorder="0" applyAlignment="0" applyProtection="0"/>
    <xf numFmtId="9" fontId="6" fillId="0" borderId="0" applyFont="0" applyFill="0" applyBorder="0" applyAlignment="0" applyProtection="0"/>
    <xf numFmtId="0" fontId="23" fillId="0" borderId="7" applyNumberFormat="0" applyFill="0" applyAlignment="0" applyProtection="0"/>
    <xf numFmtId="0" fontId="23" fillId="0" borderId="0" applyNumberFormat="0" applyFill="0" applyBorder="0" applyAlignment="0" applyProtection="0"/>
    <xf numFmtId="0" fontId="24" fillId="9" borderId="0" applyNumberFormat="0" applyBorder="0" applyAlignment="0" applyProtection="0"/>
    <xf numFmtId="0" fontId="25" fillId="10" borderId="0" applyNumberFormat="0" applyBorder="0" applyAlignment="0" applyProtection="0"/>
    <xf numFmtId="0" fontId="26" fillId="11" borderId="0" applyNumberFormat="0" applyBorder="0" applyAlignment="0" applyProtection="0"/>
    <xf numFmtId="0" fontId="27" fillId="12" borderId="8" applyNumberFormat="0" applyAlignment="0" applyProtection="0"/>
    <xf numFmtId="0" fontId="28" fillId="13" borderId="9" applyNumberFormat="0" applyAlignment="0" applyProtection="0"/>
    <xf numFmtId="0" fontId="29" fillId="13" borderId="8" applyNumberFormat="0" applyAlignment="0" applyProtection="0"/>
    <xf numFmtId="0" fontId="30" fillId="0" borderId="10" applyNumberFormat="0" applyFill="0" applyAlignment="0" applyProtection="0"/>
    <xf numFmtId="0" fontId="31" fillId="14" borderId="11" applyNumberFormat="0" applyAlignment="0" applyProtection="0"/>
    <xf numFmtId="0" fontId="32" fillId="0" borderId="0" applyNumberFormat="0" applyFill="0" applyBorder="0" applyAlignment="0" applyProtection="0"/>
    <xf numFmtId="0" fontId="6" fillId="15" borderId="12" applyNumberFormat="0" applyFont="0" applyAlignment="0" applyProtection="0"/>
    <xf numFmtId="0" fontId="33" fillId="0" borderId="0" applyNumberFormat="0" applyFill="0" applyBorder="0" applyAlignment="0" applyProtection="0"/>
    <xf numFmtId="0" fontId="34" fillId="0" borderId="13" applyNumberFormat="0" applyFill="0" applyAlignment="0" applyProtection="0"/>
    <xf numFmtId="0" fontId="5"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5" fillId="20" borderId="0" applyNumberFormat="0" applyBorder="0" applyAlignment="0" applyProtection="0"/>
    <xf numFmtId="0" fontId="6"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5" fillId="24" borderId="0" applyNumberFormat="0" applyBorder="0" applyAlignment="0" applyProtection="0"/>
    <xf numFmtId="0" fontId="6"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5" fillId="28" borderId="0" applyNumberFormat="0" applyBorder="0" applyAlignment="0" applyProtection="0"/>
    <xf numFmtId="0" fontId="6"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6" fillId="34" borderId="0" applyNumberFormat="0" applyBorder="0" applyAlignment="0" applyProtection="0"/>
    <xf numFmtId="0" fontId="5" fillId="35" borderId="0" applyNumberFormat="0" applyBorder="0" applyAlignment="0" applyProtection="0"/>
    <xf numFmtId="0" fontId="6" fillId="36" borderId="0" applyNumberFormat="0" applyBorder="0" applyAlignment="0" applyProtection="0"/>
    <xf numFmtId="0" fontId="6" fillId="37" borderId="0" applyNumberFormat="0" applyBorder="0" applyAlignment="0" applyProtection="0"/>
    <xf numFmtId="0" fontId="6" fillId="38" borderId="0" applyNumberFormat="0" applyBorder="0" applyAlignment="0" applyProtection="0"/>
  </cellStyleXfs>
  <cellXfs count="183">
    <xf numFmtId="0" fontId="0" fillId="0" borderId="0" xfId="0"/>
    <xf numFmtId="0" fontId="0" fillId="0" borderId="0" xfId="0" applyAlignment="1">
      <alignment horizontal="left" vertical="top" wrapText="1" indent="1"/>
    </xf>
    <xf numFmtId="0" fontId="0" fillId="2" borderId="0" xfId="0" applyFill="1" applyAlignment="1">
      <alignment horizontal="left" vertical="top" wrapText="1" indent="1"/>
    </xf>
    <xf numFmtId="49" fontId="4" fillId="2" borderId="0" xfId="0" applyNumberFormat="1" applyFont="1" applyFill="1" applyAlignment="1">
      <alignment horizontal="left" vertical="top" indent="1"/>
    </xf>
    <xf numFmtId="49" fontId="4" fillId="2" borderId="0" xfId="0" applyNumberFormat="1" applyFont="1" applyFill="1" applyAlignment="1">
      <alignment horizontal="left" vertical="top" wrapText="1" indent="1"/>
    </xf>
    <xf numFmtId="0" fontId="4" fillId="2" borderId="0" xfId="0" applyFont="1" applyFill="1" applyAlignment="1">
      <alignment horizontal="left" vertical="top" wrapText="1" indent="1"/>
    </xf>
    <xf numFmtId="0" fontId="6" fillId="4" borderId="0" xfId="1"/>
    <xf numFmtId="0" fontId="0" fillId="0" borderId="1" xfId="0" applyBorder="1"/>
    <xf numFmtId="0" fontId="0" fillId="0" borderId="2" xfId="0" applyBorder="1"/>
    <xf numFmtId="0" fontId="0" fillId="0" borderId="3" xfId="0" applyBorder="1"/>
    <xf numFmtId="0" fontId="0" fillId="0" borderId="4" xfId="0" applyBorder="1"/>
    <xf numFmtId="0" fontId="7" fillId="0" borderId="1" xfId="0" applyFont="1" applyBorder="1"/>
    <xf numFmtId="0" fontId="7" fillId="0" borderId="2" xfId="0" applyFont="1" applyBorder="1"/>
    <xf numFmtId="0" fontId="3" fillId="3" borderId="5" xfId="2">
      <alignment vertical="center"/>
    </xf>
    <xf numFmtId="0" fontId="8" fillId="3" borderId="0" xfId="3">
      <alignment vertical="top"/>
    </xf>
    <xf numFmtId="0" fontId="12" fillId="0" borderId="0" xfId="0" applyFont="1" applyAlignment="1">
      <alignment horizontal="left" vertical="top" wrapText="1" indent="1"/>
    </xf>
    <xf numFmtId="0" fontId="14" fillId="0" borderId="0" xfId="0" applyFont="1" applyAlignment="1">
      <alignment horizontal="left" wrapText="1" indent="1" readingOrder="1"/>
    </xf>
    <xf numFmtId="0" fontId="0" fillId="0" borderId="0" xfId="0" applyAlignment="1">
      <alignment horizontal="left" indent="1"/>
    </xf>
    <xf numFmtId="0" fontId="0" fillId="0" borderId="0" xfId="0" applyAlignment="1">
      <alignment horizontal="center"/>
    </xf>
    <xf numFmtId="0" fontId="11" fillId="6" borderId="0" xfId="0" applyFont="1" applyFill="1" applyAlignment="1">
      <alignment horizontal="left" vertical="center" wrapText="1" indent="1"/>
    </xf>
    <xf numFmtId="0" fontId="15" fillId="0" borderId="0" xfId="0" applyFont="1" applyAlignment="1">
      <alignment wrapText="1" readingOrder="1"/>
    </xf>
    <xf numFmtId="0" fontId="17" fillId="6" borderId="0" xfId="0" applyFont="1" applyFill="1" applyAlignment="1">
      <alignment horizontal="left" vertical="center" wrapText="1" indent="1"/>
    </xf>
    <xf numFmtId="0" fontId="16" fillId="6" borderId="0" xfId="0" applyFont="1" applyFill="1" applyAlignment="1">
      <alignment horizontal="left" vertical="top" wrapText="1" indent="1" readingOrder="1"/>
    </xf>
    <xf numFmtId="0" fontId="19" fillId="6" borderId="0" xfId="0" applyFont="1" applyFill="1" applyAlignment="1">
      <alignment horizontal="left" vertical="top" wrapText="1" indent="1" readingOrder="1"/>
    </xf>
    <xf numFmtId="0" fontId="18" fillId="6" borderId="0" xfId="0" applyFont="1" applyFill="1" applyAlignment="1">
      <alignment horizontal="left" vertical="top" wrapText="1" indent="1" readingOrder="1"/>
    </xf>
    <xf numFmtId="0" fontId="20" fillId="0" borderId="0" xfId="0" applyFont="1"/>
    <xf numFmtId="0" fontId="10" fillId="5" borderId="0" xfId="0" applyFont="1" applyFill="1" applyAlignment="1">
      <alignment horizontal="center" vertical="center"/>
    </xf>
    <xf numFmtId="0" fontId="13" fillId="6" borderId="0" xfId="0" applyFont="1" applyFill="1" applyAlignment="1">
      <alignment horizontal="left" vertical="center" wrapText="1" indent="1" readingOrder="1"/>
    </xf>
    <xf numFmtId="49" fontId="6" fillId="4" borderId="0" xfId="1" applyNumberFormat="1"/>
    <xf numFmtId="49" fontId="1" fillId="0" borderId="0" xfId="0" applyNumberFormat="1" applyFont="1" applyAlignment="1">
      <alignment horizontal="left" wrapText="1"/>
    </xf>
    <xf numFmtId="0" fontId="2" fillId="0" borderId="0" xfId="0" applyFont="1" applyAlignment="1">
      <alignment horizontal="left" wrapText="1"/>
    </xf>
    <xf numFmtId="0" fontId="0" fillId="0" borderId="0" xfId="0" applyAlignment="1">
      <alignment horizontal="left" wrapText="1"/>
    </xf>
    <xf numFmtId="0" fontId="0" fillId="0" borderId="0" xfId="0" applyAlignment="1">
      <alignment horizontal="left"/>
    </xf>
    <xf numFmtId="49" fontId="3" fillId="3" borderId="0" xfId="0" applyNumberFormat="1" applyFont="1" applyFill="1" applyAlignment="1">
      <alignment horizontal="left" vertical="center"/>
    </xf>
    <xf numFmtId="0" fontId="21" fillId="3" borderId="0" xfId="0" applyFont="1" applyFill="1" applyAlignment="1">
      <alignment horizontal="left" vertical="top" wrapText="1" indent="1"/>
    </xf>
    <xf numFmtId="49" fontId="1" fillId="0" borderId="0" xfId="0" applyNumberFormat="1" applyFont="1" applyAlignment="1">
      <alignment horizontal="left" vertical="top" wrapText="1" indent="1"/>
    </xf>
    <xf numFmtId="0" fontId="22" fillId="7" borderId="0" xfId="0" applyFont="1" applyFill="1" applyAlignment="1">
      <alignment vertical="center" wrapText="1"/>
    </xf>
    <xf numFmtId="0" fontId="16" fillId="6" borderId="0" xfId="0" applyFont="1" applyFill="1" applyAlignment="1">
      <alignment horizontal="left" vertical="center" wrapText="1" indent="1"/>
    </xf>
    <xf numFmtId="0" fontId="34" fillId="0" borderId="0" xfId="0" applyFont="1"/>
    <xf numFmtId="0" fontId="31" fillId="39" borderId="0" xfId="0" applyFont="1" applyFill="1"/>
    <xf numFmtId="0" fontId="31" fillId="39" borderId="14" xfId="0" applyFont="1" applyFill="1" applyBorder="1"/>
    <xf numFmtId="0" fontId="31" fillId="39" borderId="15" xfId="0" applyFont="1" applyFill="1" applyBorder="1"/>
    <xf numFmtId="0" fontId="0" fillId="40" borderId="0" xfId="0" applyFill="1"/>
    <xf numFmtId="0" fontId="0" fillId="41" borderId="16" xfId="0" applyFill="1" applyBorder="1"/>
    <xf numFmtId="0" fontId="0" fillId="41" borderId="17" xfId="0" applyFill="1" applyBorder="1"/>
    <xf numFmtId="10" fontId="0" fillId="41" borderId="17" xfId="0" applyNumberFormat="1" applyFill="1" applyBorder="1"/>
    <xf numFmtId="167" fontId="0" fillId="41" borderId="16" xfId="8" applyNumberFormat="1" applyFont="1" applyFill="1" applyBorder="1"/>
    <xf numFmtId="167" fontId="0" fillId="41" borderId="0" xfId="8" applyNumberFormat="1" applyFont="1" applyFill="1" applyBorder="1"/>
    <xf numFmtId="1" fontId="0" fillId="41" borderId="0" xfId="0" applyNumberFormat="1" applyFill="1" applyAlignment="1">
      <alignment horizontal="center"/>
    </xf>
    <xf numFmtId="0" fontId="0" fillId="41" borderId="15" xfId="0" applyFill="1" applyBorder="1"/>
    <xf numFmtId="167" fontId="0" fillId="41" borderId="15" xfId="8" applyNumberFormat="1" applyFont="1" applyFill="1" applyBorder="1"/>
    <xf numFmtId="168" fontId="0" fillId="41" borderId="15" xfId="0" applyNumberFormat="1" applyFill="1" applyBorder="1"/>
    <xf numFmtId="167" fontId="0" fillId="0" borderId="0" xfId="8" applyNumberFormat="1" applyFont="1"/>
    <xf numFmtId="167" fontId="0" fillId="40" borderId="0" xfId="8" applyNumberFormat="1" applyFont="1" applyFill="1"/>
    <xf numFmtId="0" fontId="0" fillId="41" borderId="0" xfId="0" applyFill="1"/>
    <xf numFmtId="0" fontId="0" fillId="0" borderId="0" xfId="0" applyAlignment="1">
      <alignment horizontal="center" vertical="center"/>
    </xf>
    <xf numFmtId="0" fontId="0" fillId="0" borderId="18" xfId="0" applyBorder="1" applyAlignment="1">
      <alignment horizontal="center"/>
    </xf>
    <xf numFmtId="0" fontId="35" fillId="0" borderId="0" xfId="0" applyFont="1" applyAlignment="1">
      <alignment horizontal="left"/>
    </xf>
    <xf numFmtId="0" fontId="36" fillId="0" borderId="19" xfId="0" applyFont="1" applyBorder="1" applyAlignment="1">
      <alignment horizontal="center" vertical="center"/>
    </xf>
    <xf numFmtId="0" fontId="36" fillId="0" borderId="20" xfId="0" applyFont="1" applyBorder="1" applyAlignment="1">
      <alignment horizontal="center" vertical="center"/>
    </xf>
    <xf numFmtId="167" fontId="0" fillId="42" borderId="20" xfId="8" applyNumberFormat="1" applyFont="1" applyFill="1" applyBorder="1" applyAlignment="1">
      <alignment horizontal="center"/>
    </xf>
    <xf numFmtId="1" fontId="0" fillId="42" borderId="20" xfId="0" applyNumberFormat="1" applyFill="1" applyBorder="1" applyAlignment="1">
      <alignment horizontal="center"/>
    </xf>
    <xf numFmtId="0" fontId="0" fillId="0" borderId="20" xfId="0" applyBorder="1"/>
    <xf numFmtId="1" fontId="0" fillId="0" borderId="0" xfId="12" applyNumberFormat="1" applyFont="1" applyBorder="1" applyAlignment="1">
      <alignment horizontal="center"/>
    </xf>
    <xf numFmtId="9" fontId="0" fillId="0" borderId="20" xfId="12" applyFont="1" applyBorder="1" applyAlignment="1">
      <alignment horizontal="center"/>
    </xf>
    <xf numFmtId="0" fontId="0" fillId="0" borderId="20" xfId="0" applyBorder="1" applyAlignment="1">
      <alignment horizontal="center"/>
    </xf>
    <xf numFmtId="0" fontId="0" fillId="0" borderId="20" xfId="0" applyBorder="1" applyAlignment="1">
      <alignment horizontal="center" vertical="center"/>
    </xf>
    <xf numFmtId="0" fontId="36" fillId="0" borderId="21" xfId="0" applyFont="1" applyBorder="1" applyAlignment="1">
      <alignment horizontal="center" vertical="center"/>
    </xf>
    <xf numFmtId="0" fontId="36" fillId="0" borderId="0" xfId="0" applyFont="1" applyAlignment="1">
      <alignment horizontal="center" vertical="center"/>
    </xf>
    <xf numFmtId="167" fontId="0" fillId="42" borderId="0" xfId="8" applyNumberFormat="1" applyFont="1" applyFill="1" applyBorder="1" applyAlignment="1">
      <alignment horizontal="center"/>
    </xf>
    <xf numFmtId="1" fontId="0" fillId="42" borderId="0" xfId="0" applyNumberFormat="1" applyFill="1" applyAlignment="1">
      <alignment horizontal="center"/>
    </xf>
    <xf numFmtId="0" fontId="0" fillId="0" borderId="0" xfId="0" applyAlignment="1">
      <alignment wrapText="1"/>
    </xf>
    <xf numFmtId="9" fontId="0" fillId="0" borderId="0" xfId="12" applyFont="1" applyBorder="1" applyAlignment="1">
      <alignment horizontal="center"/>
    </xf>
    <xf numFmtId="0" fontId="37" fillId="43" borderId="0" xfId="0" applyFont="1" applyFill="1" applyAlignment="1">
      <alignment horizontal="center"/>
    </xf>
    <xf numFmtId="0" fontId="37" fillId="43" borderId="22" xfId="0" applyFont="1" applyFill="1" applyBorder="1" applyAlignment="1">
      <alignment horizontal="center"/>
    </xf>
    <xf numFmtId="0" fontId="37" fillId="43" borderId="0" xfId="0" applyFont="1" applyFill="1" applyAlignment="1">
      <alignment horizontal="center" vertical="center"/>
    </xf>
    <xf numFmtId="1" fontId="0" fillId="0" borderId="0" xfId="0" applyNumberFormat="1" applyAlignment="1">
      <alignment horizontal="center"/>
    </xf>
    <xf numFmtId="1" fontId="0" fillId="0" borderId="22" xfId="0" applyNumberFormat="1" applyBorder="1" applyAlignment="1">
      <alignment horizontal="center"/>
    </xf>
    <xf numFmtId="167" fontId="0" fillId="0" borderId="0" xfId="8" applyNumberFormat="1" applyFont="1" applyAlignment="1">
      <alignment horizontal="center" vertical="top"/>
    </xf>
    <xf numFmtId="169" fontId="38" fillId="0" borderId="0" xfId="0" applyNumberFormat="1" applyFont="1" applyAlignment="1">
      <alignment horizontal="left"/>
    </xf>
    <xf numFmtId="0" fontId="38" fillId="0" borderId="0" xfId="0" applyFont="1" applyAlignment="1">
      <alignment horizontal="right"/>
    </xf>
    <xf numFmtId="169" fontId="0" fillId="0" borderId="0" xfId="0" applyNumberFormat="1" applyAlignment="1">
      <alignment horizontal="center"/>
    </xf>
    <xf numFmtId="169" fontId="0" fillId="0" borderId="22" xfId="0" applyNumberFormat="1" applyBorder="1" applyAlignment="1">
      <alignment horizontal="center"/>
    </xf>
    <xf numFmtId="169" fontId="38" fillId="0" borderId="0" xfId="0" applyNumberFormat="1" applyFont="1" applyAlignment="1">
      <alignment horizontal="center"/>
    </xf>
    <xf numFmtId="0" fontId="39" fillId="0" borderId="0" xfId="0" applyFont="1" applyAlignment="1">
      <alignment horizontal="center" vertical="center"/>
    </xf>
    <xf numFmtId="0" fontId="39" fillId="0" borderId="0" xfId="0" applyFont="1" applyAlignment="1">
      <alignment horizontal="center" vertical="center"/>
    </xf>
    <xf numFmtId="3" fontId="34" fillId="0" borderId="23" xfId="0" applyNumberFormat="1" applyFont="1" applyBorder="1" applyAlignment="1">
      <alignment horizontal="center"/>
    </xf>
    <xf numFmtId="3" fontId="34" fillId="0" borderId="24" xfId="0" applyNumberFormat="1" applyFont="1" applyBorder="1" applyAlignment="1">
      <alignment horizontal="center"/>
    </xf>
    <xf numFmtId="3" fontId="34" fillId="0" borderId="25" xfId="0" applyNumberFormat="1" applyFont="1" applyBorder="1" applyAlignment="1">
      <alignment horizontal="center"/>
    </xf>
    <xf numFmtId="1" fontId="40" fillId="42" borderId="0" xfId="0" applyNumberFormat="1" applyFont="1" applyFill="1" applyAlignment="1">
      <alignment horizontal="center"/>
    </xf>
    <xf numFmtId="1" fontId="38" fillId="0" borderId="0" xfId="0" applyNumberFormat="1" applyFont="1" applyAlignment="1">
      <alignment horizontal="center"/>
    </xf>
    <xf numFmtId="1" fontId="38" fillId="0" borderId="0" xfId="0" applyNumberFormat="1" applyFont="1" applyAlignment="1">
      <alignment horizontal="center"/>
    </xf>
    <xf numFmtId="3" fontId="34" fillId="0" borderId="26" xfId="0" applyNumberFormat="1" applyFont="1" applyBorder="1" applyAlignment="1">
      <alignment horizontal="center"/>
    </xf>
    <xf numFmtId="3" fontId="34" fillId="0" borderId="27" xfId="0" applyNumberFormat="1" applyFont="1" applyBorder="1" applyAlignment="1">
      <alignment horizontal="center"/>
    </xf>
    <xf numFmtId="3" fontId="34" fillId="0" borderId="28" xfId="0" applyNumberFormat="1" applyFont="1" applyBorder="1" applyAlignment="1">
      <alignment horizontal="center"/>
    </xf>
    <xf numFmtId="0" fontId="40" fillId="42" borderId="0" xfId="0" applyFont="1" applyFill="1" applyAlignment="1">
      <alignment horizontal="center"/>
    </xf>
    <xf numFmtId="0" fontId="38" fillId="0" borderId="0" xfId="0" applyFont="1" applyAlignment="1">
      <alignment horizontal="center"/>
    </xf>
    <xf numFmtId="0" fontId="38" fillId="0" borderId="0" xfId="0" applyFont="1" applyAlignment="1">
      <alignment horizontal="center"/>
    </xf>
    <xf numFmtId="3" fontId="0" fillId="0" borderId="0" xfId="0" applyNumberFormat="1"/>
    <xf numFmtId="0" fontId="41" fillId="0" borderId="0" xfId="0" applyFont="1" applyAlignment="1">
      <alignment wrapText="1"/>
    </xf>
    <xf numFmtId="0" fontId="41" fillId="45" borderId="0" xfId="0" applyFont="1" applyFill="1" applyAlignment="1">
      <alignment wrapText="1"/>
    </xf>
    <xf numFmtId="3" fontId="44" fillId="0" borderId="0" xfId="0" applyNumberFormat="1" applyFont="1"/>
    <xf numFmtId="49" fontId="43" fillId="46" borderId="29" xfId="6" applyNumberFormat="1" applyFont="1" applyFill="1" applyBorder="1" applyAlignment="1">
      <alignment horizontal="center" vertical="top" wrapText="1" indent="1"/>
    </xf>
    <xf numFmtId="49" fontId="43" fillId="46" borderId="30" xfId="6" applyNumberFormat="1" applyFont="1" applyFill="1" applyBorder="1" applyAlignment="1">
      <alignment horizontal="center" wrapText="1" indent="1"/>
    </xf>
    <xf numFmtId="49" fontId="43" fillId="46" borderId="30" xfId="6" applyNumberFormat="1" applyFont="1" applyFill="1" applyBorder="1" applyAlignment="1">
      <alignment horizontal="center" vertical="top" wrapText="1" indent="1"/>
    </xf>
    <xf numFmtId="0" fontId="43" fillId="46" borderId="30" xfId="7" applyFont="1" applyFill="1" applyBorder="1" applyAlignment="1">
      <alignment horizontal="center"/>
    </xf>
    <xf numFmtId="14" fontId="43" fillId="46" borderId="30" xfId="7" applyNumberFormat="1" applyFont="1" applyFill="1" applyBorder="1" applyAlignment="1">
      <alignment horizontal="center"/>
    </xf>
    <xf numFmtId="0" fontId="43" fillId="46" borderId="31" xfId="7" applyFont="1" applyFill="1" applyBorder="1" applyAlignment="1">
      <alignment horizontal="center"/>
    </xf>
    <xf numFmtId="49" fontId="45" fillId="0" borderId="32" xfId="0" applyNumberFormat="1" applyFont="1" applyBorder="1" applyAlignment="1">
      <alignment horizontal="left" wrapText="1"/>
    </xf>
    <xf numFmtId="49" fontId="45" fillId="0" borderId="33" xfId="0" applyNumberFormat="1" applyFont="1" applyBorder="1" applyAlignment="1">
      <alignment horizontal="left" wrapText="1"/>
    </xf>
    <xf numFmtId="49" fontId="46" fillId="0" borderId="33" xfId="0" applyNumberFormat="1" applyFont="1" applyBorder="1" applyAlignment="1">
      <alignment horizontal="left" wrapText="1"/>
    </xf>
    <xf numFmtId="49" fontId="46" fillId="0" borderId="34" xfId="0" applyNumberFormat="1" applyFont="1" applyBorder="1" applyAlignment="1">
      <alignment horizontal="left" wrapText="1"/>
    </xf>
    <xf numFmtId="49" fontId="45" fillId="0" borderId="35" xfId="0" applyNumberFormat="1" applyFont="1" applyBorder="1" applyAlignment="1">
      <alignment horizontal="left" wrapText="1"/>
    </xf>
    <xf numFmtId="49" fontId="45" fillId="0" borderId="36" xfId="0" applyNumberFormat="1" applyFont="1" applyBorder="1" applyAlignment="1">
      <alignment horizontal="left" wrapText="1"/>
    </xf>
    <xf numFmtId="49" fontId="46" fillId="0" borderId="36" xfId="0" applyNumberFormat="1" applyFont="1" applyBorder="1" applyAlignment="1">
      <alignment horizontal="left" wrapText="1"/>
    </xf>
    <xf numFmtId="49" fontId="46" fillId="0" borderId="37" xfId="0" applyNumberFormat="1" applyFont="1" applyBorder="1" applyAlignment="1">
      <alignment horizontal="left" wrapText="1"/>
    </xf>
    <xf numFmtId="49" fontId="44" fillId="0" borderId="32" xfId="0" applyNumberFormat="1" applyFont="1" applyBorder="1" applyAlignment="1">
      <alignment wrapText="1"/>
    </xf>
    <xf numFmtId="49" fontId="44" fillId="0" borderId="33" xfId="0" applyNumberFormat="1" applyFont="1" applyBorder="1" applyAlignment="1">
      <alignment wrapText="1"/>
    </xf>
    <xf numFmtId="49" fontId="44" fillId="0" borderId="34" xfId="0" applyNumberFormat="1" applyFont="1" applyBorder="1" applyAlignment="1">
      <alignment wrapText="1"/>
    </xf>
    <xf numFmtId="49" fontId="44" fillId="0" borderId="33" xfId="0" applyNumberFormat="1" applyFont="1" applyBorder="1" applyAlignment="1">
      <alignment horizontal="left" wrapText="1"/>
    </xf>
    <xf numFmtId="49" fontId="44" fillId="0" borderId="33" xfId="0" applyNumberFormat="1" applyFont="1" applyBorder="1" applyAlignment="1">
      <alignment horizontal="right" wrapText="1"/>
    </xf>
    <xf numFmtId="49" fontId="44" fillId="0" borderId="36" xfId="0" applyNumberFormat="1" applyFont="1" applyBorder="1" applyAlignment="1">
      <alignment horizontal="right" wrapText="1"/>
    </xf>
    <xf numFmtId="3" fontId="44" fillId="0" borderId="33" xfId="0" applyNumberFormat="1" applyFont="1" applyBorder="1" applyAlignment="1">
      <alignment horizontal="right" wrapText="1"/>
    </xf>
    <xf numFmtId="3" fontId="46" fillId="0" borderId="33" xfId="0" applyNumberFormat="1" applyFont="1" applyBorder="1" applyAlignment="1">
      <alignment horizontal="right" wrapText="1"/>
    </xf>
    <xf numFmtId="3" fontId="46" fillId="0" borderId="36" xfId="0" applyNumberFormat="1" applyFont="1" applyBorder="1" applyAlignment="1">
      <alignment horizontal="right" wrapText="1"/>
    </xf>
    <xf numFmtId="14" fontId="6" fillId="4" borderId="0" xfId="1" applyNumberFormat="1" applyAlignment="1">
      <alignment horizontal="center"/>
    </xf>
    <xf numFmtId="14" fontId="4" fillId="2" borderId="0" xfId="0" applyNumberFormat="1" applyFont="1" applyFill="1" applyAlignment="1">
      <alignment horizontal="center" vertical="top" wrapText="1" indent="1"/>
    </xf>
    <xf numFmtId="168" fontId="44" fillId="0" borderId="33" xfId="0" applyNumberFormat="1" applyFont="1" applyBorder="1" applyAlignment="1">
      <alignment horizontal="center" wrapText="1"/>
    </xf>
    <xf numFmtId="168" fontId="46" fillId="0" borderId="33" xfId="0" applyNumberFormat="1" applyFont="1" applyBorder="1" applyAlignment="1">
      <alignment horizontal="center" wrapText="1"/>
    </xf>
    <xf numFmtId="168" fontId="46" fillId="0" borderId="36" xfId="0" applyNumberFormat="1" applyFont="1" applyBorder="1" applyAlignment="1">
      <alignment horizontal="center" wrapText="1"/>
    </xf>
    <xf numFmtId="14" fontId="2" fillId="0" borderId="0" xfId="0" applyNumberFormat="1" applyFont="1" applyAlignment="1">
      <alignment horizontal="center" wrapText="1"/>
    </xf>
    <xf numFmtId="0" fontId="42" fillId="43" borderId="5" xfId="0" applyFont="1" applyFill="1" applyBorder="1" applyAlignment="1">
      <alignment wrapText="1"/>
    </xf>
    <xf numFmtId="0" fontId="47" fillId="43" borderId="0" xfId="0" applyFont="1" applyFill="1"/>
    <xf numFmtId="0" fontId="37" fillId="46" borderId="0" xfId="0" applyFont="1" applyFill="1"/>
    <xf numFmtId="0" fontId="37" fillId="46" borderId="0" xfId="0" applyFont="1" applyFill="1"/>
    <xf numFmtId="0" fontId="52" fillId="0" borderId="0" xfId="0" applyFont="1" applyAlignment="1">
      <alignment vertical="top" wrapText="1"/>
    </xf>
    <xf numFmtId="0" fontId="43" fillId="47" borderId="0" xfId="0" applyFont="1" applyFill="1"/>
    <xf numFmtId="0" fontId="44" fillId="0" borderId="0" xfId="0" applyFont="1"/>
    <xf numFmtId="0" fontId="50" fillId="47" borderId="0" xfId="0" applyFont="1" applyFill="1" applyAlignment="1">
      <alignment horizontal="left" vertical="top"/>
    </xf>
    <xf numFmtId="0" fontId="51" fillId="0" borderId="0" xfId="0" applyFont="1" applyAlignment="1">
      <alignment vertical="top" wrapText="1"/>
    </xf>
    <xf numFmtId="0" fontId="43" fillId="46" borderId="0" xfId="0" applyFont="1" applyFill="1" applyAlignment="1">
      <alignment horizontal="left" vertical="top"/>
    </xf>
    <xf numFmtId="0" fontId="53" fillId="42" borderId="38" xfId="0" applyFont="1" applyFill="1" applyBorder="1" applyAlignment="1">
      <alignment vertical="top"/>
    </xf>
    <xf numFmtId="0" fontId="54" fillId="0" borderId="39" xfId="0" applyFont="1" applyBorder="1" applyAlignment="1">
      <alignment vertical="top"/>
    </xf>
    <xf numFmtId="0" fontId="44" fillId="0" borderId="39" xfId="0" applyFont="1" applyBorder="1" applyAlignment="1">
      <alignment vertical="top" wrapText="1"/>
    </xf>
    <xf numFmtId="3" fontId="44" fillId="0" borderId="39" xfId="0" applyNumberFormat="1" applyFont="1" applyBorder="1" applyAlignment="1">
      <alignment vertical="top"/>
    </xf>
    <xf numFmtId="0" fontId="44" fillId="0" borderId="39" xfId="0" applyFont="1" applyBorder="1" applyAlignment="1">
      <alignment vertical="top"/>
    </xf>
    <xf numFmtId="170" fontId="44" fillId="0" borderId="39" xfId="0" applyNumberFormat="1" applyFont="1" applyBorder="1" applyAlignment="1">
      <alignment vertical="top"/>
    </xf>
    <xf numFmtId="0" fontId="54" fillId="0" borderId="40" xfId="0" applyFont="1" applyBorder="1" applyAlignment="1">
      <alignment vertical="top"/>
    </xf>
    <xf numFmtId="0" fontId="44" fillId="0" borderId="40" xfId="0" applyFont="1" applyBorder="1" applyAlignment="1">
      <alignment vertical="top"/>
    </xf>
    <xf numFmtId="171" fontId="44" fillId="0" borderId="40" xfId="0" applyNumberFormat="1" applyFont="1" applyBorder="1" applyAlignment="1">
      <alignment vertical="top"/>
    </xf>
    <xf numFmtId="0" fontId="44" fillId="0" borderId="40" xfId="0" applyFont="1" applyBorder="1" applyAlignment="1">
      <alignment vertical="top" wrapText="1"/>
    </xf>
    <xf numFmtId="0" fontId="54" fillId="42" borderId="38" xfId="0" applyFont="1" applyFill="1" applyBorder="1" applyAlignment="1">
      <alignment vertical="top"/>
    </xf>
    <xf numFmtId="0" fontId="43" fillId="46" borderId="0" xfId="0" applyFont="1" applyFill="1" applyAlignment="1">
      <alignment vertical="top"/>
    </xf>
    <xf numFmtId="0" fontId="43" fillId="47" borderId="0" xfId="0" applyFont="1" applyFill="1" applyAlignment="1">
      <alignment vertical="top"/>
    </xf>
    <xf numFmtId="0" fontId="52" fillId="45" borderId="0" xfId="0" applyFont="1" applyFill="1" applyAlignment="1">
      <alignment vertical="top" wrapText="1"/>
    </xf>
    <xf numFmtId="0" fontId="44" fillId="0" borderId="0" xfId="0" applyFont="1" applyAlignment="1">
      <alignment vertical="top"/>
    </xf>
    <xf numFmtId="0" fontId="43" fillId="48" borderId="0" xfId="0" applyFont="1" applyFill="1" applyAlignment="1">
      <alignment vertical="top"/>
    </xf>
    <xf numFmtId="0" fontId="52" fillId="44" borderId="0" xfId="0" applyFont="1" applyFill="1" applyAlignment="1">
      <alignment vertical="top" wrapText="1"/>
    </xf>
    <xf numFmtId="1" fontId="44" fillId="0" borderId="39" xfId="0" applyNumberFormat="1" applyFont="1" applyBorder="1" applyAlignment="1">
      <alignment vertical="top"/>
    </xf>
    <xf numFmtId="1" fontId="44" fillId="0" borderId="40" xfId="0" applyNumberFormat="1" applyFont="1" applyBorder="1" applyAlignment="1">
      <alignment vertical="top"/>
    </xf>
    <xf numFmtId="0" fontId="48" fillId="0" borderId="0" xfId="0" applyFont="1" applyAlignment="1">
      <alignment wrapText="1"/>
    </xf>
    <xf numFmtId="1" fontId="0" fillId="0" borderId="0" xfId="0" applyNumberFormat="1"/>
    <xf numFmtId="0" fontId="50" fillId="47" borderId="0" xfId="0" applyFont="1" applyFill="1"/>
    <xf numFmtId="0" fontId="55" fillId="0" borderId="0" xfId="0" applyFont="1" applyAlignment="1">
      <alignment wrapText="1"/>
    </xf>
    <xf numFmtId="0" fontId="54" fillId="42" borderId="0" xfId="0" applyFont="1" applyFill="1"/>
    <xf numFmtId="0" fontId="54" fillId="0" borderId="0" xfId="0" applyFont="1"/>
    <xf numFmtId="1" fontId="44" fillId="0" borderId="0" xfId="0" applyNumberFormat="1" applyFont="1"/>
    <xf numFmtId="0" fontId="44" fillId="45" borderId="0" xfId="0" applyFont="1" applyFill="1" applyAlignment="1">
      <alignment wrapText="1"/>
    </xf>
    <xf numFmtId="170" fontId="44" fillId="0" borderId="0" xfId="0" applyNumberFormat="1" applyFont="1"/>
    <xf numFmtId="0" fontId="44" fillId="44" borderId="0" xfId="0" applyFont="1" applyFill="1"/>
    <xf numFmtId="0" fontId="44" fillId="49" borderId="0" xfId="0" applyFont="1" applyFill="1"/>
    <xf numFmtId="0" fontId="44" fillId="50" borderId="0" xfId="0" applyFont="1" applyFill="1"/>
    <xf numFmtId="3" fontId="44" fillId="44" borderId="0" xfId="0" applyNumberFormat="1" applyFont="1" applyFill="1"/>
    <xf numFmtId="171" fontId="44" fillId="44" borderId="0" xfId="0" applyNumberFormat="1" applyFont="1" applyFill="1"/>
    <xf numFmtId="171" fontId="44" fillId="49" borderId="0" xfId="0" applyNumberFormat="1" applyFont="1" applyFill="1"/>
    <xf numFmtId="3" fontId="44" fillId="49" borderId="0" xfId="0" applyNumberFormat="1" applyFont="1" applyFill="1"/>
    <xf numFmtId="170" fontId="44" fillId="49" borderId="0" xfId="0" applyNumberFormat="1" applyFont="1" applyFill="1"/>
    <xf numFmtId="0" fontId="44" fillId="50" borderId="0" xfId="0" applyFont="1" applyFill="1" applyAlignment="1">
      <alignment wrapText="1"/>
    </xf>
    <xf numFmtId="0" fontId="47" fillId="43" borderId="0" xfId="0" applyFont="1" applyFill="1" applyAlignment="1">
      <alignment horizontal="center"/>
    </xf>
    <xf numFmtId="0" fontId="37" fillId="46" borderId="0" xfId="0" applyFont="1" applyFill="1" applyAlignment="1">
      <alignment horizontal="center"/>
    </xf>
    <xf numFmtId="0" fontId="37" fillId="43" borderId="0" xfId="0" applyFont="1" applyFill="1"/>
    <xf numFmtId="172" fontId="0" fillId="0" borderId="0" xfId="0" applyNumberFormat="1"/>
    <xf numFmtId="0" fontId="49" fillId="51" borderId="0" xfId="0" applyFont="1" applyFill="1" applyAlignment="1">
      <alignment wrapText="1"/>
    </xf>
  </cellXfs>
  <cellStyles count="50">
    <cellStyle name="20% - Accent1" xfId="28" builtinId="30" customBuiltin="1"/>
    <cellStyle name="20% - Accent2" xfId="32" builtinId="34" customBuiltin="1"/>
    <cellStyle name="20% - Accent3" xfId="36" builtinId="38" customBuiltin="1"/>
    <cellStyle name="20% - Accent4" xfId="40" builtinId="42" customBuiltin="1"/>
    <cellStyle name="20% - Accent5" xfId="43" builtinId="46" customBuiltin="1"/>
    <cellStyle name="20% - Accent6" xfId="47" builtinId="50" customBuiltin="1"/>
    <cellStyle name="40% - Accent1" xfId="29" builtinId="31" customBuiltin="1"/>
    <cellStyle name="40% - Accent2" xfId="33" builtinId="35" customBuiltin="1"/>
    <cellStyle name="40% - Accent3" xfId="37" builtinId="39" customBuiltin="1"/>
    <cellStyle name="40% - Accent4" xfId="41" builtinId="43" customBuiltin="1"/>
    <cellStyle name="40% - Accent5" xfId="44" builtinId="47" customBuiltin="1"/>
    <cellStyle name="40% - Accent6" xfId="48" builtinId="51" customBuiltin="1"/>
    <cellStyle name="60% - Accent1" xfId="30" builtinId="32" customBuiltin="1"/>
    <cellStyle name="60% - Accent2" xfId="34" builtinId="36" customBuiltin="1"/>
    <cellStyle name="60% - Accent3" xfId="38" builtinId="40" customBuiltin="1"/>
    <cellStyle name="60% - Accent4" xfId="42" builtinId="44" customBuiltin="1"/>
    <cellStyle name="60% - Accent5" xfId="45" builtinId="48" customBuiltin="1"/>
    <cellStyle name="60% - Accent6" xfId="49" builtinId="52" customBuiltin="1"/>
    <cellStyle name="Accent1" xfId="27" builtinId="29" customBuiltin="1"/>
    <cellStyle name="Accent2" xfId="31" builtinId="33" customBuiltin="1"/>
    <cellStyle name="Accent3" xfId="35" builtinId="37" customBuiltin="1"/>
    <cellStyle name="Accent4" xfId="39" builtinId="41" customBuiltin="1"/>
    <cellStyle name="Accent5" xfId="7" builtinId="45" customBuiltin="1"/>
    <cellStyle name="Accent6" xfId="46" builtinId="49" customBuiltin="1"/>
    <cellStyle name="Bad" xfId="16" builtinId="27" customBuiltin="1"/>
    <cellStyle name="Calculation" xfId="20" builtinId="22" customBuiltin="1"/>
    <cellStyle name="Check Cell" xfId="22" builtinId="23" customBuiltin="1"/>
    <cellStyle name="Comma" xfId="8" builtinId="3" customBuiltin="1"/>
    <cellStyle name="Comma [0]" xfId="9" builtinId="6" customBuiltin="1"/>
    <cellStyle name="Currency" xfId="10" builtinId="4" customBuiltin="1"/>
    <cellStyle name="Currency [0]" xfId="11" builtinId="7" customBuiltin="1"/>
    <cellStyle name="Explanatory Text" xfId="25" builtinId="53" customBuiltin="1"/>
    <cellStyle name="Good" xfId="15" builtinId="26" customBuiltin="1"/>
    <cellStyle name="Header_LineFill" xfId="1" xr:uid="{00000000-0005-0000-0000-000000000000}"/>
    <cellStyle name="Heading 1" xfId="3" builtinId="16" customBuiltin="1"/>
    <cellStyle name="Heading 2" xfId="4" builtinId="17" customBuiltin="1"/>
    <cellStyle name="Heading 3" xfId="13" builtinId="18" customBuiltin="1"/>
    <cellStyle name="Heading 4" xfId="14" builtinId="19" customBuiltin="1"/>
    <cellStyle name="Input" xfId="18" builtinId="20" customBuiltin="1"/>
    <cellStyle name="Linked Cell" xfId="21" builtinId="24" customBuiltin="1"/>
    <cellStyle name="MetaData_Columns" xfId="6" xr:uid="{00000000-0005-0000-0000-000003000000}"/>
    <cellStyle name="Neutral" xfId="17" builtinId="28" customBuiltin="1"/>
    <cellStyle name="Normal" xfId="0" builtinId="0" customBuiltin="1"/>
    <cellStyle name="Note" xfId="24" builtinId="10" customBuiltin="1"/>
    <cellStyle name="Output" xfId="19" builtinId="21" customBuiltin="1"/>
    <cellStyle name="Percent" xfId="12" builtinId="5" customBuiltin="1"/>
    <cellStyle name="ProcessMap_Columns" xfId="5" xr:uid="{00000000-0005-0000-0000-000005000000}"/>
    <cellStyle name="Title" xfId="2" builtinId="15" customBuiltin="1"/>
    <cellStyle name="Total" xfId="26" builtinId="25" customBuiltin="1"/>
    <cellStyle name="Warning Text" xfId="23" builtinId="11" customBuiltin="1"/>
  </cellStyles>
  <dxfs count="80">
    <dxf>
      <numFmt numFmtId="172" formatCode="dd\-mmm\-yyyy"/>
    </dxf>
    <dxf>
      <numFmt numFmtId="3" formatCode="#,##0"/>
    </dxf>
    <dxf>
      <numFmt numFmtId="3" formatCode="#,##0"/>
    </dxf>
    <dxf>
      <numFmt numFmtId="3" formatCode="#,##0"/>
    </dxf>
    <dxf>
      <font>
        <b/>
        <color rgb="FFFFFFFF"/>
      </font>
      <fill>
        <patternFill patternType="solid">
          <fgColor indexed="64"/>
          <bgColor rgb="FF1F4E78"/>
        </patternFill>
      </fill>
    </dxf>
    <dxf>
      <font>
        <strike val="0"/>
        <outline val="0"/>
        <shadow val="0"/>
        <u val="none"/>
        <vertAlign val="baseline"/>
        <sz val="11"/>
        <color theme="1"/>
        <name val="Aptos"/>
        <family val="2"/>
        <scheme val="none"/>
      </font>
    </dxf>
    <dxf>
      <font>
        <name val="Aptos"/>
      </font>
    </dxf>
    <dxf>
      <font>
        <name val="Aptos"/>
      </font>
      <fill>
        <patternFill patternType="solid">
          <fgColor indexed="64"/>
          <bgColor rgb="FFFCE4D6"/>
        </patternFill>
      </fill>
      <alignment wrapText="1"/>
    </dxf>
    <dxf>
      <font>
        <name val="Aptos"/>
      </font>
      <numFmt numFmtId="170" formatCode="0.000"/>
      <fill>
        <patternFill patternType="solid">
          <fgColor indexed="64"/>
          <bgColor rgb="FFEAF3F8"/>
        </patternFill>
      </fill>
    </dxf>
    <dxf>
      <font>
        <name val="Aptos"/>
      </font>
      <numFmt numFmtId="170" formatCode="0.000"/>
      <fill>
        <patternFill patternType="solid">
          <fgColor indexed="64"/>
          <bgColor rgb="FFEAF3F8"/>
        </patternFill>
      </fill>
    </dxf>
    <dxf>
      <font>
        <name val="Aptos"/>
      </font>
      <numFmt numFmtId="3" formatCode="#,##0"/>
      <fill>
        <patternFill patternType="solid">
          <fgColor indexed="64"/>
          <bgColor rgb="FFEAF3F8"/>
        </patternFill>
      </fill>
    </dxf>
    <dxf>
      <font>
        <name val="Aptos"/>
      </font>
      <numFmt numFmtId="3" formatCode="#,##0"/>
      <fill>
        <patternFill patternType="solid">
          <fgColor indexed="64"/>
          <bgColor rgb="FFEAF3F8"/>
        </patternFill>
      </fill>
    </dxf>
    <dxf>
      <font>
        <name val="Aptos"/>
      </font>
      <numFmt numFmtId="3" formatCode="#,##0"/>
      <fill>
        <patternFill patternType="solid">
          <fgColor indexed="64"/>
          <bgColor rgb="FFEAF3F8"/>
        </patternFill>
      </fill>
    </dxf>
    <dxf>
      <font>
        <name val="Aptos"/>
      </font>
      <numFmt numFmtId="3" formatCode="#,##0"/>
      <fill>
        <patternFill patternType="solid">
          <fgColor indexed="64"/>
          <bgColor rgb="FFEAF3F8"/>
        </patternFill>
      </fill>
    </dxf>
    <dxf>
      <font>
        <name val="Aptos"/>
      </font>
      <numFmt numFmtId="171" formatCode="0.0%"/>
      <fill>
        <patternFill patternType="solid">
          <fgColor indexed="64"/>
          <bgColor rgb="FFEAF3F8"/>
        </patternFill>
      </fill>
    </dxf>
    <dxf>
      <font>
        <name val="Aptos"/>
      </font>
      <numFmt numFmtId="171" formatCode="0.0%"/>
      <fill>
        <patternFill patternType="solid">
          <fgColor indexed="64"/>
          <bgColor rgb="FFFFF2CC"/>
        </patternFill>
      </fill>
    </dxf>
    <dxf>
      <font>
        <name val="Aptos"/>
      </font>
      <numFmt numFmtId="3" formatCode="#,##0"/>
      <fill>
        <patternFill patternType="solid">
          <fgColor indexed="64"/>
          <bgColor rgb="FFFFF2CC"/>
        </patternFill>
      </fill>
    </dxf>
    <dxf>
      <font>
        <name val="Aptos"/>
      </font>
      <numFmt numFmtId="3" formatCode="#,##0"/>
      <fill>
        <patternFill patternType="solid">
          <fgColor indexed="64"/>
          <bgColor rgb="FFFFF2CC"/>
        </patternFill>
      </fill>
    </dxf>
    <dxf>
      <font>
        <name val="Aptos"/>
      </font>
      <numFmt numFmtId="3" formatCode="#,##0"/>
      <fill>
        <patternFill patternType="solid">
          <fgColor indexed="64"/>
          <bgColor rgb="FFFFF2CC"/>
        </patternFill>
      </fill>
    </dxf>
    <dxf>
      <font>
        <name val="Aptos"/>
      </font>
      <numFmt numFmtId="1" formatCode="0"/>
    </dxf>
    <dxf>
      <font>
        <name val="Aptos"/>
      </font>
      <numFmt numFmtId="1" formatCode="0"/>
    </dxf>
    <dxf>
      <font>
        <name val="Aptos"/>
      </font>
      <numFmt numFmtId="1" formatCode="0"/>
    </dxf>
    <dxf>
      <font>
        <name val="Aptos"/>
      </font>
    </dxf>
    <dxf>
      <font>
        <name val="Aptos"/>
      </font>
    </dxf>
    <dxf>
      <font>
        <name val="Aptos"/>
      </font>
    </dxf>
    <dxf>
      <font>
        <name val="Aptos"/>
      </font>
    </dxf>
    <dxf>
      <font>
        <name val="Aptos"/>
      </font>
    </dxf>
    <dxf>
      <fill>
        <patternFill patternType="solid">
          <fgColor indexed="64"/>
          <bgColor rgb="FFD9EAD3"/>
        </patternFill>
      </fill>
    </dxf>
    <dxf>
      <fill>
        <patternFill patternType="solid">
          <fgColor indexed="64"/>
          <bgColor rgb="FFF4CCCC"/>
        </patternFill>
      </fill>
    </dxf>
    <dxf>
      <fill>
        <patternFill patternType="solid">
          <fgColor indexed="64"/>
          <bgColor rgb="FFF4CCCC"/>
        </patternFill>
      </fill>
    </dxf>
    <dxf>
      <fill>
        <patternFill patternType="solid">
          <fgColor indexed="64"/>
          <bgColor rgb="FFD9EAD3"/>
        </patternFill>
      </fill>
    </dxf>
    <dxf>
      <fill>
        <patternFill patternType="solid">
          <fgColor indexed="64"/>
          <bgColor rgb="FFFFF2CC"/>
        </patternFill>
      </fill>
    </dxf>
    <dxf>
      <fill>
        <patternFill patternType="solid">
          <fgColor indexed="64"/>
          <bgColor rgb="FFF4CCCC"/>
        </patternFill>
      </fill>
    </dxf>
    <dxf>
      <font>
        <name val="Aptos"/>
      </font>
      <alignment wrapText="1"/>
      <border diagonalUp="0" diagonalDown="0">
        <left style="thin">
          <color rgb="FFD9EAF7"/>
        </left>
        <right/>
        <top style="thin">
          <color rgb="FFD9EAF7"/>
        </top>
        <bottom style="thin">
          <color rgb="FFD9EAF7"/>
        </bottom>
        <vertical style="thin">
          <color rgb="FFD9EAF7"/>
        </vertical>
        <horizontal style="thin">
          <color rgb="FFD9EAF7"/>
        </horizontal>
      </border>
    </dxf>
    <dxf>
      <font>
        <name val="Aptos"/>
      </font>
      <numFmt numFmtId="166" formatCode="dd/mm/yyyy"/>
      <alignment horizontal="center" wrapText="1"/>
      <border diagonalUp="0" diagonalDown="0">
        <left style="thin">
          <color rgb="FFD9EAF7"/>
        </left>
        <right style="thin">
          <color rgb="FFD9EAF7"/>
        </right>
        <top style="thin">
          <color rgb="FFD9EAF7"/>
        </top>
        <bottom style="thin">
          <color rgb="FFD9EAF7"/>
        </bottom>
        <vertical style="thin">
          <color rgb="FFD9EAF7"/>
        </vertical>
        <horizontal style="thin">
          <color rgb="FFD9EAF7"/>
        </horizontal>
      </border>
    </dxf>
    <dxf>
      <font>
        <name val="Aptos"/>
      </font>
      <numFmt numFmtId="166" formatCode="dd/mm/yyyy"/>
      <alignment horizontal="center" wrapText="1"/>
      <border diagonalUp="0" diagonalDown="0">
        <left style="thin">
          <color rgb="FFD9EAF7"/>
        </left>
        <right style="thin">
          <color rgb="FFD9EAF7"/>
        </right>
        <top style="thin">
          <color rgb="FFD9EAF7"/>
        </top>
        <bottom style="thin">
          <color rgb="FFD9EAF7"/>
        </bottom>
        <vertical style="thin">
          <color rgb="FFD9EAF7"/>
        </vertical>
        <horizontal style="thin">
          <color rgb="FFD9EAF7"/>
        </horizontal>
      </border>
    </dxf>
    <dxf>
      <font>
        <name val="Aptos"/>
      </font>
      <alignment horizontal="right" wrapText="1"/>
      <border diagonalUp="0" diagonalDown="0">
        <left style="thin">
          <color rgb="FFD9EAF7"/>
        </left>
        <right style="thin">
          <color rgb="FFD9EAF7"/>
        </right>
        <top style="thin">
          <color rgb="FFD9EAF7"/>
        </top>
        <bottom style="thin">
          <color rgb="FFD9EAF7"/>
        </bottom>
        <vertical style="thin">
          <color rgb="FFD9EAF7"/>
        </vertical>
        <horizontal style="thin">
          <color rgb="FFD9EAF7"/>
        </horizontal>
      </border>
    </dxf>
    <dxf>
      <font>
        <name val="Aptos"/>
      </font>
      <alignment horizontal="right" wrapText="1"/>
      <border diagonalUp="0" diagonalDown="0">
        <left style="thin">
          <color rgb="FFD9EAF7"/>
        </left>
        <right style="thin">
          <color rgb="FFD9EAF7"/>
        </right>
        <top style="thin">
          <color rgb="FFD9EAF7"/>
        </top>
        <bottom style="thin">
          <color rgb="FFD9EAF7"/>
        </bottom>
        <vertical style="thin">
          <color rgb="FFD9EAF7"/>
        </vertical>
        <horizontal style="thin">
          <color rgb="FFD9EAF7"/>
        </horizontal>
      </border>
    </dxf>
    <dxf>
      <font>
        <name val="Aptos"/>
      </font>
      <alignment wrapText="1"/>
    </dxf>
    <dxf>
      <font>
        <name val="Aptos"/>
      </font>
      <alignment wrapText="1"/>
      <border diagonalUp="0" diagonalDown="0">
        <left style="thin">
          <color rgb="FFD9EAF7"/>
        </left>
        <right style="thin">
          <color rgb="FFD9EAF7"/>
        </right>
        <top style="thin">
          <color rgb="FFD9EAF7"/>
        </top>
        <bottom style="thin">
          <color rgb="FFD9EAF7"/>
        </bottom>
        <vertical style="thin">
          <color rgb="FFD9EAF7"/>
        </vertical>
        <horizontal style="thin">
          <color rgb="FFD9EAF7"/>
        </horizontal>
      </border>
    </dxf>
    <dxf>
      <font>
        <name val="Aptos"/>
      </font>
      <numFmt numFmtId="30" formatCode="@"/>
      <alignment wrapText="1"/>
      <border diagonalUp="0" diagonalDown="0">
        <left style="thin">
          <color rgb="FFD9EAF7"/>
        </left>
        <right style="thin">
          <color rgb="FFD9EAF7"/>
        </right>
        <top style="thin">
          <color rgb="FFD9EAF7"/>
        </top>
        <bottom style="thin">
          <color rgb="FFD9EAF7"/>
        </bottom>
        <vertical style="thin">
          <color rgb="FFD9EAF7"/>
        </vertical>
        <horizontal style="thin">
          <color rgb="FFD9EAF7"/>
        </horizontal>
      </border>
    </dxf>
    <dxf>
      <font>
        <name val="Aptos"/>
      </font>
      <numFmt numFmtId="30" formatCode="@"/>
      <alignment wrapText="1"/>
      <border diagonalUp="0" diagonalDown="0">
        <left style="thin">
          <color rgb="FFD9EAF7"/>
        </left>
        <right style="thin">
          <color rgb="FFD9EAF7"/>
        </right>
        <top style="thin">
          <color rgb="FFD9EAF7"/>
        </top>
        <bottom style="thin">
          <color rgb="FFD9EAF7"/>
        </bottom>
        <vertical style="thin">
          <color rgb="FFD9EAF7"/>
        </vertical>
        <horizontal style="thin">
          <color rgb="FFD9EAF7"/>
        </horizontal>
      </border>
    </dxf>
    <dxf>
      <font>
        <name val="Aptos"/>
      </font>
      <numFmt numFmtId="30" formatCode="@"/>
      <alignment wrapText="1"/>
      <border diagonalUp="0" diagonalDown="0">
        <left style="thin">
          <color rgb="FFD9EAF7"/>
        </left>
        <right style="thin">
          <color rgb="FFD9EAF7"/>
        </right>
        <top style="thin">
          <color rgb="FFD9EAF7"/>
        </top>
        <bottom style="thin">
          <color rgb="FFD9EAF7"/>
        </bottom>
        <vertical style="thin">
          <color rgb="FFD9EAF7"/>
        </vertical>
        <horizontal style="thin">
          <color rgb="FFD9EAF7"/>
        </horizontal>
      </border>
    </dxf>
    <dxf>
      <font>
        <name val="Aptos"/>
      </font>
      <numFmt numFmtId="30" formatCode="@"/>
      <alignment wrapText="1"/>
      <border diagonalUp="0" diagonalDown="0">
        <left style="thin">
          <color rgb="FFD9EAF7"/>
        </left>
        <right style="thin">
          <color rgb="FFD9EAF7"/>
        </right>
        <top style="thin">
          <color rgb="FFD9EAF7"/>
        </top>
        <bottom style="thin">
          <color rgb="FFD9EAF7"/>
        </bottom>
        <vertical style="thin">
          <color rgb="FFD9EAF7"/>
        </vertical>
        <horizontal style="thin">
          <color rgb="FFD9EAF7"/>
        </horizontal>
      </border>
    </dxf>
    <dxf>
      <font>
        <name val="Aptos"/>
      </font>
      <numFmt numFmtId="30" formatCode="@"/>
      <alignment wrapText="1"/>
      <border diagonalUp="0" diagonalDown="0">
        <left/>
        <right style="thin">
          <color rgb="FFD9EAF7"/>
        </right>
        <top style="thin">
          <color rgb="FFD9EAF7"/>
        </top>
        <bottom style="thin">
          <color rgb="FFD9EAF7"/>
        </bottom>
        <vertical style="thin">
          <color rgb="FFD9EAF7"/>
        </vertical>
        <horizontal style="thin">
          <color rgb="FFD9EAF7"/>
        </horizontal>
      </border>
    </dxf>
    <dxf>
      <font>
        <b/>
        <color rgb="FFFFFFFF"/>
        <name val="Aptos"/>
      </font>
      <fill>
        <patternFill patternType="solid">
          <fgColor indexed="64"/>
          <bgColor rgb="FF5B9BD5"/>
        </patternFill>
      </fill>
      <alignment horizontal="center"/>
      <border diagonalUp="0" diagonalDown="0">
        <left style="thin">
          <color rgb="FFD9EAF7"/>
        </left>
        <right style="thin">
          <color rgb="FFD9EAF7"/>
        </right>
        <top/>
        <bottom/>
        <vertical style="thin">
          <color rgb="FFD9EAF7"/>
        </vertical>
        <horizontal style="thin">
          <color rgb="FFD9EAF7"/>
        </horizontal>
      </border>
    </dxf>
    <dxf>
      <border>
        <top style="thin">
          <color rgb="FFD9EAF7"/>
        </top>
      </border>
    </dxf>
    <dxf>
      <border>
        <bottom style="thin">
          <color rgb="FFD9EAF7"/>
        </bottom>
      </border>
    </dxf>
    <dxf>
      <border diagonalUp="0" diagonalDown="0">
        <left/>
        <right/>
        <top/>
        <bottom/>
      </border>
    </dxf>
    <dxf>
      <fill>
        <patternFill>
          <bgColor theme="9" tint="0.79998168889431442"/>
        </patternFill>
      </fill>
    </dxf>
    <dxf>
      <border>
        <left style="thin">
          <color auto="1"/>
        </left>
        <right/>
        <top/>
        <bottom/>
        <vertical/>
        <horizontal/>
      </border>
    </dxf>
    <dxf>
      <font>
        <color rgb="FF000000"/>
      </font>
      <fill>
        <patternFill patternType="solid">
          <fgColor indexed="64"/>
          <bgColor theme="2" tint="-9.9948118533890809E-2"/>
        </patternFill>
      </fill>
    </dxf>
    <dxf>
      <font>
        <color rgb="FF000000"/>
      </font>
      <fill>
        <patternFill patternType="solid">
          <fgColor indexed="64"/>
          <bgColor theme="2" tint="-9.9948118533890809E-2"/>
        </patternFill>
      </fill>
    </dxf>
    <dxf>
      <font>
        <color rgb="FFFFFFFF"/>
      </font>
      <fill>
        <patternFill patternType="solid">
          <fgColor indexed="64"/>
          <bgColor theme="5" tint="0.79998168889431442"/>
        </patternFill>
      </fill>
    </dxf>
    <dxf>
      <font>
        <color rgb="FF000000"/>
      </font>
      <fill>
        <patternFill patternType="solid">
          <fgColor indexed="64"/>
          <bgColor rgb="FFFFF2CC"/>
        </patternFill>
      </fill>
    </dxf>
    <dxf>
      <font>
        <b val="0"/>
        <i val="0"/>
        <strike val="0"/>
        <condense val="0"/>
        <extend val="0"/>
        <outline val="0"/>
        <shadow val="0"/>
        <u val="none"/>
        <vertAlign val="baseline"/>
        <sz val="11"/>
        <color theme="1"/>
        <name val="Calibri"/>
        <family val="2"/>
        <scheme val="minor"/>
      </font>
      <numFmt numFmtId="167" formatCode="_(* #,##0_);_(* \(#,##0\);_(* &quot;-&quot;??_);_(@_)"/>
      <fill>
        <patternFill patternType="solid">
          <fgColor indexed="64"/>
          <bgColor theme="5" tint="0.79998168889431442"/>
        </patternFill>
      </fill>
    </dxf>
    <dxf>
      <font>
        <b val="0"/>
        <i val="0"/>
        <strike val="0"/>
        <condense val="0"/>
        <extend val="0"/>
        <outline val="0"/>
        <shadow val="0"/>
        <u val="none"/>
        <vertAlign val="baseline"/>
        <sz val="11"/>
        <color theme="1"/>
        <name val="Calibri"/>
        <family val="2"/>
        <scheme val="minor"/>
      </font>
      <numFmt numFmtId="167" formatCode="_(* #,##0_);_(* \(#,##0\);_(* &quot;-&quot;??_);_(@_)"/>
    </dxf>
    <dxf>
      <font>
        <b val="0"/>
        <i val="0"/>
        <strike val="0"/>
        <condense val="0"/>
        <extend val="0"/>
        <outline val="0"/>
        <shadow val="0"/>
        <u val="none"/>
        <vertAlign val="baseline"/>
        <sz val="11"/>
        <color theme="1"/>
        <name val="Calibri"/>
        <family val="2"/>
        <scheme val="minor"/>
      </font>
      <numFmt numFmtId="167" formatCode="_(* #,##0_);_(* \(#,##0\);_(* &quot;-&quot;??_);_(@_)"/>
    </dxf>
    <dxf>
      <font>
        <b val="0"/>
        <i val="0"/>
        <strike val="0"/>
        <condense val="0"/>
        <extend val="0"/>
        <outline val="0"/>
        <shadow val="0"/>
        <u val="none"/>
        <vertAlign val="baseline"/>
        <sz val="11"/>
        <color theme="1"/>
        <name val="Calibri"/>
        <family val="2"/>
        <scheme val="minor"/>
      </font>
      <numFmt numFmtId="167" formatCode="_(* #,##0_);_(* \(#,##0\);_(* &quot;-&quot;??_);_(@_)"/>
    </dxf>
    <dxf>
      <font>
        <b val="0"/>
        <i val="0"/>
        <strike val="0"/>
        <condense val="0"/>
        <extend val="0"/>
        <outline val="0"/>
        <shadow val="0"/>
        <u val="none"/>
        <vertAlign val="baseline"/>
        <sz val="11"/>
        <color theme="1"/>
        <name val="Calibri"/>
        <family val="2"/>
        <scheme val="minor"/>
      </font>
      <numFmt numFmtId="168" formatCode="dd\.mm\.yyyy"/>
      <fill>
        <patternFill patternType="solid">
          <fgColor indexed="64"/>
          <bgColor rgb="FFFFFFCC"/>
        </patternFill>
      </fill>
      <border diagonalUp="0" diagonalDown="0">
        <left/>
        <right/>
        <top style="thin">
          <color theme="9"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7" formatCode="_(* #,##0_);_(* \(#,##0\);_(* &quot;-&quot;??_);_(@_)"/>
      <fill>
        <patternFill patternType="solid">
          <fgColor indexed="64"/>
          <bgColor rgb="FFFFFFCC"/>
        </patternFill>
      </fill>
      <border diagonalUp="0" diagonalDown="0">
        <left/>
        <right/>
        <top style="thin">
          <color theme="9"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rgb="FFFFFFCC"/>
        </patternFill>
      </fill>
      <border diagonalUp="0" diagonalDown="0">
        <left/>
        <right/>
        <top style="thin">
          <color theme="9"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indexed="64"/>
          <bgColor rgb="FFFFFFCC"/>
        </patternFill>
      </fill>
      <alignment horizontal="center"/>
    </dxf>
    <dxf>
      <font>
        <b val="0"/>
        <i val="0"/>
        <strike val="0"/>
        <condense val="0"/>
        <extend val="0"/>
        <outline val="0"/>
        <shadow val="0"/>
        <u val="none"/>
        <vertAlign val="baseline"/>
        <sz val="11"/>
        <color theme="1"/>
        <name val="Calibri"/>
        <family val="2"/>
        <scheme val="minor"/>
      </font>
      <numFmt numFmtId="1" formatCode="0"/>
      <fill>
        <patternFill patternType="solid">
          <fgColor indexed="64"/>
          <bgColor rgb="FFFFFFCC"/>
        </patternFill>
      </fill>
      <alignment horizontal="center"/>
    </dxf>
    <dxf>
      <font>
        <b val="0"/>
        <i val="0"/>
        <strike val="0"/>
        <condense val="0"/>
        <extend val="0"/>
        <outline val="0"/>
        <shadow val="0"/>
        <u val="none"/>
        <vertAlign val="baseline"/>
        <sz val="11"/>
        <color theme="1"/>
        <name val="Calibri"/>
        <family val="2"/>
        <scheme val="minor"/>
      </font>
      <numFmt numFmtId="167" formatCode="_(* #,##0_);_(* \(#,##0\);_(* &quot;-&quot;??_);_(@_)"/>
      <fill>
        <patternFill patternType="solid">
          <fgColor indexed="64"/>
          <bgColor rgb="FFFFFFCC"/>
        </patternFill>
      </fill>
    </dxf>
    <dxf>
      <font>
        <b val="0"/>
        <i val="0"/>
        <strike val="0"/>
        <condense val="0"/>
        <extend val="0"/>
        <outline val="0"/>
        <shadow val="0"/>
        <u val="none"/>
        <vertAlign val="baseline"/>
        <sz val="11"/>
        <color theme="1"/>
        <name val="Calibri"/>
        <family val="2"/>
        <scheme val="minor"/>
      </font>
      <numFmt numFmtId="167" formatCode="_(* #,##0_);_(* \(#,##0\);_(* &quot;-&quot;??_);_(@_)"/>
      <fill>
        <patternFill patternType="solid">
          <fgColor indexed="64"/>
          <bgColor rgb="FFFFFFCC"/>
        </patternFill>
      </fil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fill>
        <patternFill patternType="solid">
          <fgColor indexed="64"/>
          <bgColor rgb="FFFFFFCC"/>
        </patternFill>
      </fill>
      <border diagonalUp="0" diagonalDown="0" outline="0">
        <left style="thin">
          <color theme="9" tint="0.39997558519241921"/>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4" formatCode="0.00%"/>
      <fill>
        <patternFill patternType="solid">
          <fgColor indexed="64"/>
          <bgColor rgb="FFFFFFCC"/>
        </patternFill>
      </fill>
      <border diagonalUp="0" diagonalDown="0" outline="0">
        <left/>
        <right style="thin">
          <color theme="9" tint="0.39997558519241921"/>
        </right>
        <top style="thin">
          <color theme="9" tint="0.39997558519241921"/>
        </top>
        <bottom/>
      </border>
    </dxf>
    <dxf>
      <font>
        <b val="0"/>
        <i val="0"/>
        <strike val="0"/>
        <condense val="0"/>
        <extend val="0"/>
        <outline val="0"/>
        <shadow val="0"/>
        <u val="none"/>
        <vertAlign val="baseline"/>
        <sz val="11"/>
        <color theme="1"/>
        <name val="Calibri"/>
        <family val="2"/>
        <scheme val="minor"/>
      </font>
      <fill>
        <patternFill patternType="solid">
          <fgColor indexed="64"/>
          <bgColor rgb="FFFFFFCC"/>
        </patternFill>
      </fil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fill>
        <patternFill patternType="solid">
          <fgColor indexed="64"/>
          <bgColor rgb="FFFFFFCC"/>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rgb="FFFFFFCC"/>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rgb="FFFFFFCC"/>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rgb="FFFFFFCC"/>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rgb="FFFFFFCC"/>
        </patternFill>
      </fil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indexed="64"/>
          <bgColor rgb="FFFFFFCC"/>
        </patternFill>
      </fill>
    </dxf>
    <dxf>
      <font>
        <b/>
        <i val="0"/>
        <strike val="0"/>
        <condense val="0"/>
        <extend val="0"/>
        <outline val="0"/>
        <shadow val="0"/>
        <u val="none"/>
        <vertAlign val="baseline"/>
        <sz val="11"/>
        <color theme="0"/>
        <name val="Calibri"/>
        <family val="2"/>
        <scheme val="minor"/>
      </font>
      <fill>
        <patternFill patternType="solid">
          <fgColor indexed="64"/>
          <bgColor theme="0" tint="-0.34998626667073579"/>
        </patternFill>
      </fill>
      <border diagonalUp="0" diagonalDown="0" outline="0">
        <left style="thin">
          <color theme="9" tint="0.39997558519241921"/>
        </left>
        <right style="thin">
          <color theme="9" tint="0.39997558519241921"/>
        </right>
        <top/>
        <bottom/>
      </border>
    </dxf>
    <dxf>
      <fill>
        <patternFill patternType="solid">
          <fgColor theme="5" tint="0.59999389629810485"/>
          <bgColor theme="0" tint="-4.9989318521683403E-2"/>
        </patternFill>
      </fill>
    </dxf>
    <dxf>
      <font>
        <color theme="0"/>
      </font>
      <fill>
        <patternFill>
          <bgColor rgb="FF3E8853"/>
        </patternFill>
      </fill>
    </dxf>
    <dxf>
      <font>
        <color rgb="FF335B74"/>
      </font>
      <fill>
        <patternFill patternType="none">
          <fgColor indexed="64"/>
          <bgColor auto="1"/>
        </patternFill>
      </fill>
      <border>
        <left style="thin">
          <color theme="5" tint="0.39997558519241921"/>
        </left>
        <right style="thin">
          <color theme="5" tint="0.39997558519241921"/>
        </right>
        <top style="thin">
          <color theme="5" tint="0.39997558519241921"/>
        </top>
        <bottom style="thin">
          <color theme="5" tint="0.39997558519241921"/>
        </bottom>
        <vertical style="thin">
          <color theme="5" tint="0.39997558519241921"/>
        </vertical>
        <horizontal style="thin">
          <color theme="5" tint="0.39997558519241921"/>
        </horizontal>
      </border>
    </dxf>
  </dxfs>
  <tableStyles count="1" defaultTableStyle="ProcessMapTable" defaultPivotStyle="PivotStyleLight16">
    <tableStyle name="ProcessMapTable" pivot="0" count="3" xr9:uid="{00000000-0011-0000-FFFF-FFFF00000000}">
      <tableStyleElement type="wholeTable" dxfId="79"/>
      <tableStyleElement type="headerRow" dxfId="78"/>
      <tableStyleElement type="firstRowStripe" dxfId="77"/>
    </tableStyle>
  </tableStyles>
  <colors>
    <mruColors>
      <color rgb="FF24366A"/>
      <color rgb="FF2C4280"/>
      <color rgb="FF3652A0"/>
      <color rgb="FF217346"/>
      <color rgb="FF3E8853"/>
      <color rgb="FF777777"/>
      <color rgb="FF767676"/>
      <color rgb="FF335B7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19050" cap="rnd">
              <a:solidFill>
                <a:srgbClr val="4472C4"/>
              </a:solidFill>
              <a:prstDash val="solid"/>
              <a:round/>
            </a:ln>
            <a:effectLst/>
          </c:spPr>
          <c:marker>
            <c:symbol val="none"/>
          </c:marker>
          <c:cat>
            <c:numRef>
              <c:f>'Gantt-frame'!$K$7:$AI$7</c:f>
              <c:numCache>
                <c:formatCode>General</c:formatCod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cat>
          <c:val>
            <c:numRef>
              <c:f>'Gantt-frame'!$K$3:$AI$3</c:f>
              <c:numCache>
                <c:formatCode>#,##0</c:formatCode>
                <c:ptCount val="25"/>
                <c:pt idx="0">
                  <c:v>0</c:v>
                </c:pt>
                <c:pt idx="1">
                  <c:v>0</c:v>
                </c:pt>
                <c:pt idx="2">
                  <c:v>6</c:v>
                </c:pt>
                <c:pt idx="3">
                  <c:v>0</c:v>
                </c:pt>
                <c:pt idx="4">
                  <c:v>0</c:v>
                </c:pt>
                <c:pt idx="5">
                  <c:v>0</c:v>
                </c:pt>
                <c:pt idx="6">
                  <c:v>0</c:v>
                </c:pt>
                <c:pt idx="7">
                  <c:v>10</c:v>
                </c:pt>
                <c:pt idx="8">
                  <c:v>0</c:v>
                </c:pt>
                <c:pt idx="9">
                  <c:v>0</c:v>
                </c:pt>
                <c:pt idx="10">
                  <c:v>0</c:v>
                </c:pt>
                <c:pt idx="11">
                  <c:v>0</c:v>
                </c:pt>
                <c:pt idx="12">
                  <c:v>0</c:v>
                </c:pt>
                <c:pt idx="13">
                  <c:v>0</c:v>
                </c:pt>
                <c:pt idx="14">
                  <c:v>0</c:v>
                </c:pt>
                <c:pt idx="15">
                  <c:v>0</c:v>
                </c:pt>
                <c:pt idx="16">
                  <c:v>4</c:v>
                </c:pt>
                <c:pt idx="17">
                  <c:v>0</c:v>
                </c:pt>
                <c:pt idx="18">
                  <c:v>0</c:v>
                </c:pt>
                <c:pt idx="19">
                  <c:v>3</c:v>
                </c:pt>
                <c:pt idx="20">
                  <c:v>5</c:v>
                </c:pt>
                <c:pt idx="21">
                  <c:v>42</c:v>
                </c:pt>
                <c:pt idx="22">
                  <c:v>0</c:v>
                </c:pt>
                <c:pt idx="23">
                  <c:v>0</c:v>
                </c:pt>
                <c:pt idx="24">
                  <c:v>0</c:v>
                </c:pt>
              </c:numCache>
            </c:numRef>
          </c:val>
          <c:smooth val="0"/>
          <c:extLst>
            <c:ext xmlns:c16="http://schemas.microsoft.com/office/drawing/2014/chart" uri="{C3380CC4-5D6E-409C-BE32-E72D297353CC}">
              <c16:uniqueId val="{00000000-2312-4098-9452-814B5820FFF0}"/>
            </c:ext>
          </c:extLst>
        </c:ser>
        <c:dLbls>
          <c:showLegendKey val="0"/>
          <c:showVal val="0"/>
          <c:showCatName val="0"/>
          <c:showSerName val="0"/>
          <c:showPercent val="0"/>
          <c:showBubbleSize val="0"/>
        </c:dLbls>
        <c:smooth val="0"/>
        <c:axId val="1927468464"/>
        <c:axId val="1926348592"/>
      </c:lineChart>
      <c:catAx>
        <c:axId val="1927468464"/>
        <c:scaling>
          <c:orientation val="minMax"/>
        </c:scaling>
        <c:delete val="1"/>
        <c:axPos val="b"/>
        <c:numFmt formatCode="General" sourceLinked="1"/>
        <c:majorTickMark val="none"/>
        <c:minorTickMark val="none"/>
        <c:tickLblPos val="nextTo"/>
        <c:crossAx val="1926348592"/>
        <c:crosses val="autoZero"/>
        <c:auto val="1"/>
        <c:lblAlgn val="ctr"/>
        <c:lblOffset val="100"/>
        <c:noMultiLvlLbl val="0"/>
      </c:catAx>
      <c:valAx>
        <c:axId val="192634859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927468464"/>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19050" cap="rnd">
              <a:solidFill>
                <a:srgbClr val="70AD47"/>
              </a:solidFill>
              <a:prstDash val="solid"/>
              <a:round/>
            </a:ln>
            <a:effectLst/>
          </c:spPr>
          <c:marker>
            <c:symbol val="none"/>
          </c:marker>
          <c:cat>
            <c:numRef>
              <c:f>'Gantt-frame'!$K$7:$AI$7</c:f>
              <c:numCache>
                <c:formatCode>General</c:formatCod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cat>
          <c:val>
            <c:numRef>
              <c:f>'Gantt-frame'!$K$4:$AI$4</c:f>
              <c:numCache>
                <c:formatCode>#,##0</c:formatCode>
                <c:ptCount val="25"/>
                <c:pt idx="0">
                  <c:v>0</c:v>
                </c:pt>
                <c:pt idx="1">
                  <c:v>0</c:v>
                </c:pt>
                <c:pt idx="2">
                  <c:v>300</c:v>
                </c:pt>
                <c:pt idx="3">
                  <c:v>0</c:v>
                </c:pt>
                <c:pt idx="4">
                  <c:v>0</c:v>
                </c:pt>
                <c:pt idx="5">
                  <c:v>0</c:v>
                </c:pt>
                <c:pt idx="6">
                  <c:v>100</c:v>
                </c:pt>
                <c:pt idx="7">
                  <c:v>8500</c:v>
                </c:pt>
                <c:pt idx="8">
                  <c:v>0</c:v>
                </c:pt>
                <c:pt idx="9">
                  <c:v>0</c:v>
                </c:pt>
                <c:pt idx="10">
                  <c:v>0</c:v>
                </c:pt>
                <c:pt idx="11">
                  <c:v>0</c:v>
                </c:pt>
                <c:pt idx="12">
                  <c:v>0</c:v>
                </c:pt>
                <c:pt idx="13">
                  <c:v>0</c:v>
                </c:pt>
                <c:pt idx="14">
                  <c:v>0</c:v>
                </c:pt>
                <c:pt idx="15">
                  <c:v>0</c:v>
                </c:pt>
                <c:pt idx="16">
                  <c:v>350</c:v>
                </c:pt>
                <c:pt idx="17">
                  <c:v>0</c:v>
                </c:pt>
                <c:pt idx="18">
                  <c:v>0</c:v>
                </c:pt>
                <c:pt idx="19">
                  <c:v>700</c:v>
                </c:pt>
                <c:pt idx="20">
                  <c:v>100</c:v>
                </c:pt>
                <c:pt idx="21">
                  <c:v>8000</c:v>
                </c:pt>
                <c:pt idx="22">
                  <c:v>750</c:v>
                </c:pt>
                <c:pt idx="23">
                  <c:v>0</c:v>
                </c:pt>
                <c:pt idx="24">
                  <c:v>0</c:v>
                </c:pt>
              </c:numCache>
            </c:numRef>
          </c:val>
          <c:smooth val="0"/>
          <c:extLst>
            <c:ext xmlns:c16="http://schemas.microsoft.com/office/drawing/2014/chart" uri="{C3380CC4-5D6E-409C-BE32-E72D297353CC}">
              <c16:uniqueId val="{00000000-F2D9-4792-B4E3-686E37C60928}"/>
            </c:ext>
          </c:extLst>
        </c:ser>
        <c:dLbls>
          <c:showLegendKey val="0"/>
          <c:showVal val="0"/>
          <c:showCatName val="0"/>
          <c:showSerName val="0"/>
          <c:showPercent val="0"/>
          <c:showBubbleSize val="0"/>
        </c:dLbls>
        <c:smooth val="0"/>
        <c:axId val="1927502336"/>
        <c:axId val="1926354352"/>
      </c:lineChart>
      <c:catAx>
        <c:axId val="1927502336"/>
        <c:scaling>
          <c:orientation val="minMax"/>
        </c:scaling>
        <c:delete val="1"/>
        <c:axPos val="b"/>
        <c:numFmt formatCode="General" sourceLinked="1"/>
        <c:majorTickMark val="none"/>
        <c:minorTickMark val="none"/>
        <c:tickLblPos val="nextTo"/>
        <c:crossAx val="1926354352"/>
        <c:crosses val="autoZero"/>
        <c:auto val="1"/>
        <c:lblAlgn val="ctr"/>
        <c:lblOffset val="100"/>
        <c:noMultiLvlLbl val="0"/>
      </c:catAx>
      <c:valAx>
        <c:axId val="192635435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927502336"/>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Project S-Curve: PV vs EV vs AC</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lineChart>
        <c:grouping val="standard"/>
        <c:varyColors val="0"/>
        <c:ser>
          <c:idx val="0"/>
          <c:order val="0"/>
          <c:tx>
            <c:strRef>
              <c:f>'S-Curve'!$C$11</c:f>
              <c:strCache>
                <c:ptCount val="1"/>
                <c:pt idx="0">
                  <c:v>Planned Value</c:v>
                </c:pt>
              </c:strCache>
            </c:strRef>
          </c:tx>
          <c:spPr>
            <a:ln w="28575" cap="rnd">
              <a:solidFill>
                <a:schemeClr val="accent1"/>
              </a:solidFill>
              <a:round/>
            </a:ln>
            <a:effectLst/>
          </c:spPr>
          <c:marker>
            <c:symbol val="none"/>
          </c:marker>
          <c:cat>
            <c:numRef>
              <c:f>'S-Curve'!$A$12:$A$63</c:f>
              <c:numCache>
                <c:formatCode>General</c:formatCod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numCache>
            </c:numRef>
          </c:cat>
          <c:val>
            <c:numRef>
              <c:f>'S-Curve'!$C$12:$C$63</c:f>
              <c:numCache>
                <c:formatCode>#,##0</c:formatCode>
                <c:ptCount val="52"/>
                <c:pt idx="0">
                  <c:v>0</c:v>
                </c:pt>
                <c:pt idx="1">
                  <c:v>0</c:v>
                </c:pt>
                <c:pt idx="2">
                  <c:v>300</c:v>
                </c:pt>
                <c:pt idx="3">
                  <c:v>300</c:v>
                </c:pt>
                <c:pt idx="4">
                  <c:v>300</c:v>
                </c:pt>
                <c:pt idx="5">
                  <c:v>300</c:v>
                </c:pt>
                <c:pt idx="6">
                  <c:v>310</c:v>
                </c:pt>
                <c:pt idx="7">
                  <c:v>8445</c:v>
                </c:pt>
                <c:pt idx="8">
                  <c:v>8580</c:v>
                </c:pt>
                <c:pt idx="9">
                  <c:v>8715</c:v>
                </c:pt>
                <c:pt idx="10">
                  <c:v>8850</c:v>
                </c:pt>
                <c:pt idx="11">
                  <c:v>8860</c:v>
                </c:pt>
                <c:pt idx="12">
                  <c:v>8870</c:v>
                </c:pt>
                <c:pt idx="13">
                  <c:v>8880</c:v>
                </c:pt>
                <c:pt idx="14">
                  <c:v>8890</c:v>
                </c:pt>
                <c:pt idx="15">
                  <c:v>8900</c:v>
                </c:pt>
                <c:pt idx="16">
                  <c:v>9250</c:v>
                </c:pt>
                <c:pt idx="17">
                  <c:v>9250</c:v>
                </c:pt>
                <c:pt idx="18">
                  <c:v>9250</c:v>
                </c:pt>
                <c:pt idx="19">
                  <c:v>9950</c:v>
                </c:pt>
                <c:pt idx="20">
                  <c:v>10050</c:v>
                </c:pt>
                <c:pt idx="21">
                  <c:v>12050</c:v>
                </c:pt>
                <c:pt idx="22">
                  <c:v>14800</c:v>
                </c:pt>
                <c:pt idx="23">
                  <c:v>16800</c:v>
                </c:pt>
                <c:pt idx="24">
                  <c:v>18800</c:v>
                </c:pt>
                <c:pt idx="25">
                  <c:v>18800</c:v>
                </c:pt>
                <c:pt idx="26">
                  <c:v>18800</c:v>
                </c:pt>
                <c:pt idx="27">
                  <c:v>18800</c:v>
                </c:pt>
                <c:pt idx="28">
                  <c:v>18800</c:v>
                </c:pt>
                <c:pt idx="29">
                  <c:v>18800</c:v>
                </c:pt>
                <c:pt idx="30">
                  <c:v>18800</c:v>
                </c:pt>
                <c:pt idx="31">
                  <c:v>18800</c:v>
                </c:pt>
                <c:pt idx="32">
                  <c:v>18800</c:v>
                </c:pt>
                <c:pt idx="33">
                  <c:v>18800</c:v>
                </c:pt>
                <c:pt idx="34">
                  <c:v>18800</c:v>
                </c:pt>
                <c:pt idx="35">
                  <c:v>18800</c:v>
                </c:pt>
                <c:pt idx="36">
                  <c:v>18800</c:v>
                </c:pt>
                <c:pt idx="37">
                  <c:v>18800</c:v>
                </c:pt>
                <c:pt idx="38">
                  <c:v>18800</c:v>
                </c:pt>
                <c:pt idx="39">
                  <c:v>18800</c:v>
                </c:pt>
                <c:pt idx="40">
                  <c:v>18800</c:v>
                </c:pt>
                <c:pt idx="41">
                  <c:v>18800</c:v>
                </c:pt>
                <c:pt idx="42">
                  <c:v>18800</c:v>
                </c:pt>
                <c:pt idx="43">
                  <c:v>18800</c:v>
                </c:pt>
                <c:pt idx="44">
                  <c:v>18800</c:v>
                </c:pt>
                <c:pt idx="45">
                  <c:v>18800</c:v>
                </c:pt>
                <c:pt idx="46">
                  <c:v>18800</c:v>
                </c:pt>
                <c:pt idx="47">
                  <c:v>18800</c:v>
                </c:pt>
                <c:pt idx="48">
                  <c:v>18800</c:v>
                </c:pt>
                <c:pt idx="49">
                  <c:v>18800</c:v>
                </c:pt>
                <c:pt idx="50">
                  <c:v>18800</c:v>
                </c:pt>
                <c:pt idx="51">
                  <c:v>18800</c:v>
                </c:pt>
              </c:numCache>
            </c:numRef>
          </c:val>
          <c:smooth val="0"/>
          <c:extLst>
            <c:ext xmlns:c16="http://schemas.microsoft.com/office/drawing/2014/chart" uri="{C3380CC4-5D6E-409C-BE32-E72D297353CC}">
              <c16:uniqueId val="{00000000-F6E4-4747-80F5-69253CD321F8}"/>
            </c:ext>
          </c:extLst>
        </c:ser>
        <c:ser>
          <c:idx val="1"/>
          <c:order val="1"/>
          <c:tx>
            <c:strRef>
              <c:f>'S-Curve'!$D$11</c:f>
              <c:strCache>
                <c:ptCount val="1"/>
                <c:pt idx="0">
                  <c:v>Earned Value</c:v>
                </c:pt>
              </c:strCache>
            </c:strRef>
          </c:tx>
          <c:spPr>
            <a:ln w="28575" cap="rnd">
              <a:solidFill>
                <a:schemeClr val="accent2"/>
              </a:solidFill>
              <a:round/>
            </a:ln>
            <a:effectLst/>
          </c:spPr>
          <c:marker>
            <c:symbol val="none"/>
          </c:marker>
          <c:cat>
            <c:numRef>
              <c:f>'S-Curve'!$A$12:$A$63</c:f>
              <c:numCache>
                <c:formatCode>General</c:formatCod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numCache>
            </c:numRef>
          </c:cat>
          <c:val>
            <c:numRef>
              <c:f>'S-Curve'!$D$12:$D$63</c:f>
              <c:numCache>
                <c:formatCode>#,##0</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20</c:v>
                </c:pt>
                <c:pt idx="16">
                  <c:v>20</c:v>
                </c:pt>
                <c:pt idx="17">
                  <c:v>20</c:v>
                </c:pt>
                <c:pt idx="18">
                  <c:v>20</c:v>
                </c:pt>
                <c:pt idx="19">
                  <c:v>20</c:v>
                </c:pt>
                <c:pt idx="20">
                  <c:v>20</c:v>
                </c:pt>
                <c:pt idx="21">
                  <c:v>20</c:v>
                </c:pt>
                <c:pt idx="22">
                  <c:v>20</c:v>
                </c:pt>
                <c:pt idx="23">
                  <c:v>20</c:v>
                </c:pt>
                <c:pt idx="24">
                  <c:v>20</c:v>
                </c:pt>
                <c:pt idx="25">
                  <c:v>20</c:v>
                </c:pt>
                <c:pt idx="26">
                  <c:v>20</c:v>
                </c:pt>
                <c:pt idx="27">
                  <c:v>20</c:v>
                </c:pt>
                <c:pt idx="28">
                  <c:v>20</c:v>
                </c:pt>
                <c:pt idx="29">
                  <c:v>20</c:v>
                </c:pt>
                <c:pt idx="30">
                  <c:v>20</c:v>
                </c:pt>
                <c:pt idx="31">
                  <c:v>20</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numCache>
            </c:numRef>
          </c:val>
          <c:smooth val="0"/>
          <c:extLst>
            <c:ext xmlns:c16="http://schemas.microsoft.com/office/drawing/2014/chart" uri="{C3380CC4-5D6E-409C-BE32-E72D297353CC}">
              <c16:uniqueId val="{00000001-F6E4-4747-80F5-69253CD321F8}"/>
            </c:ext>
          </c:extLst>
        </c:ser>
        <c:ser>
          <c:idx val="2"/>
          <c:order val="2"/>
          <c:tx>
            <c:strRef>
              <c:f>'S-Curve'!$E$11</c:f>
              <c:strCache>
                <c:ptCount val="1"/>
                <c:pt idx="0">
                  <c:v>Actual Cost</c:v>
                </c:pt>
              </c:strCache>
            </c:strRef>
          </c:tx>
          <c:spPr>
            <a:ln w="28575" cap="rnd">
              <a:solidFill>
                <a:schemeClr val="accent3"/>
              </a:solidFill>
              <a:round/>
            </a:ln>
            <a:effectLst/>
          </c:spPr>
          <c:marker>
            <c:symbol val="none"/>
          </c:marker>
          <c:cat>
            <c:numRef>
              <c:f>'S-Curve'!$A$12:$A$63</c:f>
              <c:numCache>
                <c:formatCode>General</c:formatCod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numCache>
            </c:numRef>
          </c:cat>
          <c:val>
            <c:numRef>
              <c:f>'S-Curve'!$E$12:$E$63</c:f>
              <c:numCache>
                <c:formatCode>#,##0</c:formatCode>
                <c:ptCount val="52"/>
                <c:pt idx="0">
                  <c:v>0</c:v>
                </c:pt>
                <c:pt idx="1">
                  <c:v>0</c:v>
                </c:pt>
                <c:pt idx="2">
                  <c:v>300</c:v>
                </c:pt>
                <c:pt idx="3">
                  <c:v>300</c:v>
                </c:pt>
                <c:pt idx="4">
                  <c:v>300</c:v>
                </c:pt>
                <c:pt idx="5">
                  <c:v>300</c:v>
                </c:pt>
                <c:pt idx="6">
                  <c:v>300</c:v>
                </c:pt>
                <c:pt idx="7">
                  <c:v>8300</c:v>
                </c:pt>
                <c:pt idx="8">
                  <c:v>8300</c:v>
                </c:pt>
                <c:pt idx="9">
                  <c:v>8300</c:v>
                </c:pt>
                <c:pt idx="10">
                  <c:v>8800</c:v>
                </c:pt>
                <c:pt idx="11">
                  <c:v>8800</c:v>
                </c:pt>
                <c:pt idx="12">
                  <c:v>8800</c:v>
                </c:pt>
                <c:pt idx="13">
                  <c:v>8800</c:v>
                </c:pt>
                <c:pt idx="14">
                  <c:v>8800</c:v>
                </c:pt>
                <c:pt idx="15">
                  <c:v>8900</c:v>
                </c:pt>
                <c:pt idx="16">
                  <c:v>9300</c:v>
                </c:pt>
                <c:pt idx="17">
                  <c:v>9300</c:v>
                </c:pt>
                <c:pt idx="18">
                  <c:v>9300</c:v>
                </c:pt>
                <c:pt idx="19">
                  <c:v>10100</c:v>
                </c:pt>
                <c:pt idx="20">
                  <c:v>10200</c:v>
                </c:pt>
                <c:pt idx="21">
                  <c:v>10200</c:v>
                </c:pt>
                <c:pt idx="22">
                  <c:v>10950</c:v>
                </c:pt>
                <c:pt idx="23">
                  <c:v>10950</c:v>
                </c:pt>
                <c:pt idx="24">
                  <c:v>19450</c:v>
                </c:pt>
                <c:pt idx="25">
                  <c:v>19450</c:v>
                </c:pt>
                <c:pt idx="26">
                  <c:v>19450</c:v>
                </c:pt>
                <c:pt idx="27">
                  <c:v>19450</c:v>
                </c:pt>
                <c:pt idx="28">
                  <c:v>19450</c:v>
                </c:pt>
                <c:pt idx="29">
                  <c:v>19450</c:v>
                </c:pt>
                <c:pt idx="30">
                  <c:v>19450</c:v>
                </c:pt>
                <c:pt idx="31">
                  <c:v>19450</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numCache>
            </c:numRef>
          </c:val>
          <c:smooth val="0"/>
          <c:extLst>
            <c:ext xmlns:c16="http://schemas.microsoft.com/office/drawing/2014/chart" uri="{C3380CC4-5D6E-409C-BE32-E72D297353CC}">
              <c16:uniqueId val="{00000002-F6E4-4747-80F5-69253CD321F8}"/>
            </c:ext>
          </c:extLst>
        </c:ser>
        <c:dLbls>
          <c:showLegendKey val="0"/>
          <c:showVal val="0"/>
          <c:showCatName val="0"/>
          <c:showSerName val="0"/>
          <c:showPercent val="0"/>
          <c:showBubbleSize val="0"/>
        </c:dLbls>
        <c:smooth val="0"/>
        <c:axId val="1917344896"/>
        <c:axId val="1994126384"/>
      </c:lineChart>
      <c:catAx>
        <c:axId val="1917344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Project week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994126384"/>
        <c:crosses val="autoZero"/>
        <c:auto val="1"/>
        <c:lblAlgn val="ctr"/>
        <c:lblOffset val="100"/>
        <c:tickLblSkip val="4"/>
        <c:noMultiLvlLbl val="0"/>
      </c:catAx>
      <c:valAx>
        <c:axId val="1994126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Cumulative cost / 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917344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Forst&#229; prosesskartet'!D2"/></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hyperlink" Target="#'Prosesskart'!A5"/><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aka.ms/VisioPlans_DVExcelAdd-in" TargetMode="External"/></Relationships>
</file>

<file path=xl/drawings/drawing1.xml><?xml version="1.0" encoding="utf-8"?>
<xdr:wsDr xmlns:xdr="http://schemas.openxmlformats.org/drawingml/2006/spreadsheetDrawing" xmlns:a="http://schemas.openxmlformats.org/drawingml/2006/main">
  <xdr:twoCellAnchor>
    <xdr:from>
      <xdr:col>1</xdr:col>
      <xdr:colOff>1168400</xdr:colOff>
      <xdr:row>22</xdr:row>
      <xdr:rowOff>76200</xdr:rowOff>
    </xdr:from>
    <xdr:to>
      <xdr:col>12</xdr:col>
      <xdr:colOff>454025</xdr:colOff>
      <xdr:row>35</xdr:row>
      <xdr:rowOff>6350</xdr:rowOff>
    </xdr:to>
    <xdr:grpSp>
      <xdr:nvGrpSpPr>
        <xdr:cNvPr id="2" name="Group 1">
          <a:extLst>
            <a:ext uri="{FF2B5EF4-FFF2-40B4-BE49-F238E27FC236}">
              <a16:creationId xmlns:a16="http://schemas.microsoft.com/office/drawing/2014/main" id="{BE221F54-4E6A-4F7A-A299-BEE55BEDB98B}"/>
            </a:ext>
          </a:extLst>
        </xdr:cNvPr>
        <xdr:cNvGrpSpPr/>
      </xdr:nvGrpSpPr>
      <xdr:grpSpPr>
        <a:xfrm>
          <a:off x="1822450" y="4127500"/>
          <a:ext cx="10429875" cy="2324100"/>
          <a:chOff x="8677275" y="654050"/>
          <a:chExt cx="8877300" cy="2374900"/>
        </a:xfrm>
      </xdr:grpSpPr>
      <xdr:sp macro="" textlink="">
        <xdr:nvSpPr>
          <xdr:cNvPr id="3" name="Rectangle 2">
            <a:extLst>
              <a:ext uri="{FF2B5EF4-FFF2-40B4-BE49-F238E27FC236}">
                <a16:creationId xmlns:a16="http://schemas.microsoft.com/office/drawing/2014/main" id="{25212C59-1589-8538-5463-4C86943CEC84}"/>
              </a:ext>
            </a:extLst>
          </xdr:cNvPr>
          <xdr:cNvSpPr/>
        </xdr:nvSpPr>
        <xdr:spPr>
          <a:xfrm>
            <a:off x="10315575" y="701675"/>
            <a:ext cx="1190625" cy="498475"/>
          </a:xfrm>
          <a:prstGeom prst="rect">
            <a:avLst/>
          </a:prstGeom>
          <a:solidFill>
            <a:srgbClr val="FFFFCC"/>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nb-NO" sz="1100"/>
              <a:t>Demolish Old Shed 1wk</a:t>
            </a:r>
          </a:p>
        </xdr:txBody>
      </xdr:sp>
      <xdr:sp macro="" textlink="">
        <xdr:nvSpPr>
          <xdr:cNvPr id="4" name="Rectangle 3">
            <a:extLst>
              <a:ext uri="{FF2B5EF4-FFF2-40B4-BE49-F238E27FC236}">
                <a16:creationId xmlns:a16="http://schemas.microsoft.com/office/drawing/2014/main" id="{E46DDD0C-6629-B527-7168-4C8BE660DEA2}"/>
              </a:ext>
            </a:extLst>
          </xdr:cNvPr>
          <xdr:cNvSpPr/>
        </xdr:nvSpPr>
        <xdr:spPr>
          <a:xfrm>
            <a:off x="8677275" y="914400"/>
            <a:ext cx="1187450" cy="492125"/>
          </a:xfrm>
          <a:prstGeom prst="rect">
            <a:avLst/>
          </a:prstGeom>
          <a:solidFill>
            <a:srgbClr val="FFFFCC"/>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nb-NO" sz="1100"/>
              <a:t>Check funds</a:t>
            </a:r>
          </a:p>
        </xdr:txBody>
      </xdr:sp>
      <xdr:sp macro="" textlink="">
        <xdr:nvSpPr>
          <xdr:cNvPr id="5" name="Rectangle 4">
            <a:extLst>
              <a:ext uri="{FF2B5EF4-FFF2-40B4-BE49-F238E27FC236}">
                <a16:creationId xmlns:a16="http://schemas.microsoft.com/office/drawing/2014/main" id="{73AB1288-9C99-D240-08D8-DFEF208C2B23}"/>
              </a:ext>
            </a:extLst>
          </xdr:cNvPr>
          <xdr:cNvSpPr/>
        </xdr:nvSpPr>
        <xdr:spPr>
          <a:xfrm>
            <a:off x="8788984" y="1581150"/>
            <a:ext cx="1193800" cy="495300"/>
          </a:xfrm>
          <a:prstGeom prst="rect">
            <a:avLst/>
          </a:prstGeom>
          <a:solidFill>
            <a:srgbClr val="FFFFCC"/>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nb-NO" sz="1100"/>
              <a:t>Planning Perm 6 wk</a:t>
            </a:r>
          </a:p>
        </xdr:txBody>
      </xdr:sp>
      <xdr:sp macro="" textlink="">
        <xdr:nvSpPr>
          <xdr:cNvPr id="6" name="Rectangle 5">
            <a:extLst>
              <a:ext uri="{FF2B5EF4-FFF2-40B4-BE49-F238E27FC236}">
                <a16:creationId xmlns:a16="http://schemas.microsoft.com/office/drawing/2014/main" id="{3710D670-61DD-41A5-B775-1250A58AC21C}"/>
              </a:ext>
            </a:extLst>
          </xdr:cNvPr>
          <xdr:cNvSpPr/>
        </xdr:nvSpPr>
        <xdr:spPr>
          <a:xfrm>
            <a:off x="10189159" y="1590675"/>
            <a:ext cx="1193800" cy="495300"/>
          </a:xfrm>
          <a:prstGeom prst="rect">
            <a:avLst/>
          </a:prstGeom>
          <a:solidFill>
            <a:srgbClr val="FFFFCC"/>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nb-NO" sz="1100"/>
              <a:t>Wait</a:t>
            </a:r>
            <a:r>
              <a:rPr lang="nb-NO" sz="1100" baseline="0"/>
              <a:t> Perm</a:t>
            </a:r>
            <a:r>
              <a:rPr lang="nb-NO" sz="1100"/>
              <a:t> 10wk</a:t>
            </a:r>
          </a:p>
        </xdr:txBody>
      </xdr:sp>
      <xdr:sp macro="" textlink="">
        <xdr:nvSpPr>
          <xdr:cNvPr id="7" name="Rectangle 6">
            <a:extLst>
              <a:ext uri="{FF2B5EF4-FFF2-40B4-BE49-F238E27FC236}">
                <a16:creationId xmlns:a16="http://schemas.microsoft.com/office/drawing/2014/main" id="{22A56301-9AFD-2B31-A32E-15EEF2ED2A64}"/>
              </a:ext>
            </a:extLst>
          </xdr:cNvPr>
          <xdr:cNvSpPr/>
        </xdr:nvSpPr>
        <xdr:spPr>
          <a:xfrm>
            <a:off x="11693525" y="701675"/>
            <a:ext cx="1190625" cy="498475"/>
          </a:xfrm>
          <a:prstGeom prst="rect">
            <a:avLst/>
          </a:prstGeom>
          <a:solidFill>
            <a:srgbClr val="FFFFCC"/>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nb-NO" sz="1100"/>
              <a:t>Cutfoliage</a:t>
            </a:r>
            <a:r>
              <a:rPr lang="nb-NO" sz="1100" baseline="0"/>
              <a:t> back </a:t>
            </a:r>
            <a:r>
              <a:rPr lang="nb-NO" sz="1100"/>
              <a:t>4 wk</a:t>
            </a:r>
          </a:p>
        </xdr:txBody>
      </xdr:sp>
      <xdr:sp macro="" textlink="">
        <xdr:nvSpPr>
          <xdr:cNvPr id="8" name="Rectangle 7">
            <a:extLst>
              <a:ext uri="{FF2B5EF4-FFF2-40B4-BE49-F238E27FC236}">
                <a16:creationId xmlns:a16="http://schemas.microsoft.com/office/drawing/2014/main" id="{C1EE256C-573A-8853-FBE2-DBC7781A8A4F}"/>
              </a:ext>
            </a:extLst>
          </xdr:cNvPr>
          <xdr:cNvSpPr/>
        </xdr:nvSpPr>
        <xdr:spPr>
          <a:xfrm>
            <a:off x="11572802" y="1600200"/>
            <a:ext cx="1193800" cy="495300"/>
          </a:xfrm>
          <a:prstGeom prst="rect">
            <a:avLst/>
          </a:prstGeom>
          <a:solidFill>
            <a:srgbClr val="FFFFCC"/>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nb-NO" sz="1100"/>
              <a:t>Hire Digger</a:t>
            </a:r>
            <a:r>
              <a:rPr lang="nb-NO" sz="1100" baseline="0"/>
              <a:t> 2</a:t>
            </a:r>
            <a:r>
              <a:rPr lang="nb-NO" sz="1100"/>
              <a:t>wk</a:t>
            </a:r>
          </a:p>
        </xdr:txBody>
      </xdr:sp>
      <xdr:sp macro="" textlink="">
        <xdr:nvSpPr>
          <xdr:cNvPr id="9" name="Rectangle 8">
            <a:extLst>
              <a:ext uri="{FF2B5EF4-FFF2-40B4-BE49-F238E27FC236}">
                <a16:creationId xmlns:a16="http://schemas.microsoft.com/office/drawing/2014/main" id="{40B4DCFE-E972-3B43-B926-D66AC724F081}"/>
              </a:ext>
            </a:extLst>
          </xdr:cNvPr>
          <xdr:cNvSpPr/>
        </xdr:nvSpPr>
        <xdr:spPr>
          <a:xfrm>
            <a:off x="12905463" y="1591067"/>
            <a:ext cx="1193800" cy="508000"/>
          </a:xfrm>
          <a:prstGeom prst="rect">
            <a:avLst/>
          </a:prstGeom>
          <a:solidFill>
            <a:srgbClr val="FFFFCC"/>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nb-NO" sz="1100"/>
              <a:t>Dig Trench </a:t>
            </a:r>
            <a:r>
              <a:rPr lang="nb-NO" sz="1100" baseline="0"/>
              <a:t>1 </a:t>
            </a:r>
            <a:r>
              <a:rPr lang="nb-NO" sz="1100"/>
              <a:t>wk</a:t>
            </a:r>
          </a:p>
        </xdr:txBody>
      </xdr:sp>
      <xdr:sp macro="" textlink="">
        <xdr:nvSpPr>
          <xdr:cNvPr id="10" name="Rectangle 9">
            <a:extLst>
              <a:ext uri="{FF2B5EF4-FFF2-40B4-BE49-F238E27FC236}">
                <a16:creationId xmlns:a16="http://schemas.microsoft.com/office/drawing/2014/main" id="{2EAAF1A2-EC7F-70B3-30AE-ACEDE17ADCCC}"/>
              </a:ext>
            </a:extLst>
          </xdr:cNvPr>
          <xdr:cNvSpPr/>
        </xdr:nvSpPr>
        <xdr:spPr>
          <a:xfrm>
            <a:off x="14254181" y="1553104"/>
            <a:ext cx="1190625" cy="508000"/>
          </a:xfrm>
          <a:prstGeom prst="rect">
            <a:avLst/>
          </a:prstGeom>
          <a:solidFill>
            <a:srgbClr val="FFFFCC"/>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nb-NO" sz="1100"/>
              <a:t>Fill Concret</a:t>
            </a:r>
            <a:r>
              <a:rPr lang="nb-NO" sz="1100" baseline="0"/>
              <a:t> 2 </a:t>
            </a:r>
            <a:r>
              <a:rPr lang="nb-NO" sz="1100"/>
              <a:t>wk</a:t>
            </a:r>
          </a:p>
        </xdr:txBody>
      </xdr:sp>
      <xdr:sp macro="" textlink="">
        <xdr:nvSpPr>
          <xdr:cNvPr id="11" name="Rectangle 10">
            <a:extLst>
              <a:ext uri="{FF2B5EF4-FFF2-40B4-BE49-F238E27FC236}">
                <a16:creationId xmlns:a16="http://schemas.microsoft.com/office/drawing/2014/main" id="{FF383015-3A0B-0B75-836E-8C7DA6CA6F00}"/>
              </a:ext>
            </a:extLst>
          </xdr:cNvPr>
          <xdr:cNvSpPr/>
        </xdr:nvSpPr>
        <xdr:spPr>
          <a:xfrm>
            <a:off x="15564434" y="1537805"/>
            <a:ext cx="1187450" cy="501650"/>
          </a:xfrm>
          <a:prstGeom prst="rect">
            <a:avLst/>
          </a:prstGeom>
          <a:solidFill>
            <a:srgbClr val="FFFFCC"/>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nb-NO" sz="1100"/>
              <a:t>Level Base </a:t>
            </a:r>
            <a:r>
              <a:rPr lang="nb-NO" sz="1100" baseline="0"/>
              <a:t>1 </a:t>
            </a:r>
            <a:r>
              <a:rPr lang="nb-NO" sz="1100"/>
              <a:t>wk</a:t>
            </a:r>
          </a:p>
        </xdr:txBody>
      </xdr:sp>
      <xdr:sp macro="" textlink="">
        <xdr:nvSpPr>
          <xdr:cNvPr id="12" name="Rectangle 11">
            <a:extLst>
              <a:ext uri="{FF2B5EF4-FFF2-40B4-BE49-F238E27FC236}">
                <a16:creationId xmlns:a16="http://schemas.microsoft.com/office/drawing/2014/main" id="{E2FFA92E-7036-AF49-1D59-3EA416E003A4}"/>
              </a:ext>
            </a:extLst>
          </xdr:cNvPr>
          <xdr:cNvSpPr/>
        </xdr:nvSpPr>
        <xdr:spPr>
          <a:xfrm>
            <a:off x="13379450" y="663575"/>
            <a:ext cx="1193800" cy="504825"/>
          </a:xfrm>
          <a:prstGeom prst="rect">
            <a:avLst/>
          </a:prstGeom>
          <a:solidFill>
            <a:srgbClr val="FFFFCC"/>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nb-NO" sz="1100"/>
              <a:t>Wire Down Garden </a:t>
            </a:r>
            <a:r>
              <a:rPr lang="nb-NO" sz="1100" baseline="0"/>
              <a:t>1 </a:t>
            </a:r>
            <a:r>
              <a:rPr lang="nb-NO" sz="1100"/>
              <a:t>wk</a:t>
            </a:r>
          </a:p>
        </xdr:txBody>
      </xdr:sp>
      <xdr:sp macro="" textlink="">
        <xdr:nvSpPr>
          <xdr:cNvPr id="13" name="Rectangle 12">
            <a:extLst>
              <a:ext uri="{FF2B5EF4-FFF2-40B4-BE49-F238E27FC236}">
                <a16:creationId xmlns:a16="http://schemas.microsoft.com/office/drawing/2014/main" id="{42D6D3DD-F470-9F4C-65AE-04A20A5ED5A7}"/>
              </a:ext>
            </a:extLst>
          </xdr:cNvPr>
          <xdr:cNvSpPr/>
        </xdr:nvSpPr>
        <xdr:spPr>
          <a:xfrm>
            <a:off x="14916151" y="654050"/>
            <a:ext cx="914399" cy="508000"/>
          </a:xfrm>
          <a:prstGeom prst="rect">
            <a:avLst/>
          </a:prstGeom>
          <a:solidFill>
            <a:srgbClr val="FFFFCC"/>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nb-NO" sz="1100"/>
              <a:t>Connect Power</a:t>
            </a:r>
          </a:p>
        </xdr:txBody>
      </xdr:sp>
      <xdr:sp macro="" textlink="">
        <xdr:nvSpPr>
          <xdr:cNvPr id="14" name="Rectangle 13">
            <a:extLst>
              <a:ext uri="{FF2B5EF4-FFF2-40B4-BE49-F238E27FC236}">
                <a16:creationId xmlns:a16="http://schemas.microsoft.com/office/drawing/2014/main" id="{646E6ABB-EFB4-E809-6894-1B67C5C9A7FD}"/>
              </a:ext>
            </a:extLst>
          </xdr:cNvPr>
          <xdr:cNvSpPr/>
        </xdr:nvSpPr>
        <xdr:spPr>
          <a:xfrm>
            <a:off x="9093200" y="2533650"/>
            <a:ext cx="1190625" cy="495300"/>
          </a:xfrm>
          <a:prstGeom prst="rect">
            <a:avLst/>
          </a:prstGeom>
          <a:solidFill>
            <a:srgbClr val="FFFFCC"/>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nb-NO" sz="1100"/>
              <a:t>Reasearh</a:t>
            </a:r>
            <a:r>
              <a:rPr lang="nb-NO" sz="1100" baseline="0"/>
              <a:t> 3wk</a:t>
            </a:r>
            <a:endParaRPr lang="nb-NO" sz="1100"/>
          </a:p>
        </xdr:txBody>
      </xdr:sp>
      <xdr:sp macro="" textlink="">
        <xdr:nvSpPr>
          <xdr:cNvPr id="15" name="Rectangle 14">
            <a:extLst>
              <a:ext uri="{FF2B5EF4-FFF2-40B4-BE49-F238E27FC236}">
                <a16:creationId xmlns:a16="http://schemas.microsoft.com/office/drawing/2014/main" id="{424787C4-30A9-D622-A433-F172B56A2AA6}"/>
              </a:ext>
            </a:extLst>
          </xdr:cNvPr>
          <xdr:cNvSpPr/>
        </xdr:nvSpPr>
        <xdr:spPr>
          <a:xfrm>
            <a:off x="10534650" y="2533650"/>
            <a:ext cx="1190625" cy="492125"/>
          </a:xfrm>
          <a:prstGeom prst="rect">
            <a:avLst/>
          </a:prstGeom>
          <a:solidFill>
            <a:srgbClr val="FFFFCC"/>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nb-NO" sz="1100"/>
              <a:t>Find Supplier 1</a:t>
            </a:r>
            <a:r>
              <a:rPr lang="nb-NO" sz="1100" baseline="0"/>
              <a:t>wk</a:t>
            </a:r>
            <a:endParaRPr lang="nb-NO" sz="1100"/>
          </a:p>
        </xdr:txBody>
      </xdr:sp>
      <xdr:sp macro="" textlink="">
        <xdr:nvSpPr>
          <xdr:cNvPr id="16" name="Rectangle 15">
            <a:extLst>
              <a:ext uri="{FF2B5EF4-FFF2-40B4-BE49-F238E27FC236}">
                <a16:creationId xmlns:a16="http://schemas.microsoft.com/office/drawing/2014/main" id="{49A5CFC1-CB1A-7DB9-98B4-471B3B2E565B}"/>
              </a:ext>
            </a:extLst>
          </xdr:cNvPr>
          <xdr:cNvSpPr/>
        </xdr:nvSpPr>
        <xdr:spPr>
          <a:xfrm>
            <a:off x="11922125" y="2524125"/>
            <a:ext cx="1193800" cy="492125"/>
          </a:xfrm>
          <a:prstGeom prst="rect">
            <a:avLst/>
          </a:prstGeom>
          <a:solidFill>
            <a:srgbClr val="FFFFCC"/>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nb-NO" sz="1100"/>
              <a:t>Get Quotes</a:t>
            </a:r>
            <a:r>
              <a:rPr lang="nb-NO" sz="1100" baseline="0"/>
              <a:t> 4wk</a:t>
            </a:r>
            <a:endParaRPr lang="nb-NO" sz="1100"/>
          </a:p>
        </xdr:txBody>
      </xdr:sp>
      <xdr:sp macro="" textlink="">
        <xdr:nvSpPr>
          <xdr:cNvPr id="17" name="Rectangle 16">
            <a:extLst>
              <a:ext uri="{FF2B5EF4-FFF2-40B4-BE49-F238E27FC236}">
                <a16:creationId xmlns:a16="http://schemas.microsoft.com/office/drawing/2014/main" id="{0C636861-1542-628B-ED47-9BBC0D665ECD}"/>
              </a:ext>
            </a:extLst>
          </xdr:cNvPr>
          <xdr:cNvSpPr/>
        </xdr:nvSpPr>
        <xdr:spPr>
          <a:xfrm>
            <a:off x="13741400" y="2524125"/>
            <a:ext cx="1190625" cy="492125"/>
          </a:xfrm>
          <a:prstGeom prst="rect">
            <a:avLst/>
          </a:prstGeom>
          <a:solidFill>
            <a:srgbClr val="FFFFCC"/>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nb-NO" sz="1100"/>
              <a:t>Wait for</a:t>
            </a:r>
            <a:r>
              <a:rPr lang="nb-NO" sz="1100" baseline="0"/>
              <a:t> Delivery 6wk</a:t>
            </a:r>
            <a:endParaRPr lang="nb-NO" sz="1100"/>
          </a:p>
        </xdr:txBody>
      </xdr:sp>
      <xdr:sp macro="" textlink="">
        <xdr:nvSpPr>
          <xdr:cNvPr id="18" name="Rectangle 17">
            <a:extLst>
              <a:ext uri="{FF2B5EF4-FFF2-40B4-BE49-F238E27FC236}">
                <a16:creationId xmlns:a16="http://schemas.microsoft.com/office/drawing/2014/main" id="{1B63F182-DC8A-3D6C-8BA0-A286399E5409}"/>
              </a:ext>
            </a:extLst>
          </xdr:cNvPr>
          <xdr:cNvSpPr/>
        </xdr:nvSpPr>
        <xdr:spPr>
          <a:xfrm>
            <a:off x="15803946" y="2359025"/>
            <a:ext cx="1190625" cy="498476"/>
          </a:xfrm>
          <a:prstGeom prst="rect">
            <a:avLst/>
          </a:prstGeom>
          <a:solidFill>
            <a:srgbClr val="FFFFCC"/>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nb-NO" sz="1100" baseline="0"/>
              <a:t>Assembly 1wk</a:t>
            </a:r>
            <a:endParaRPr lang="nb-NO" sz="1100"/>
          </a:p>
        </xdr:txBody>
      </xdr:sp>
      <xdr:sp macro="" textlink="">
        <xdr:nvSpPr>
          <xdr:cNvPr id="19" name="Rectangle 18">
            <a:extLst>
              <a:ext uri="{FF2B5EF4-FFF2-40B4-BE49-F238E27FC236}">
                <a16:creationId xmlns:a16="http://schemas.microsoft.com/office/drawing/2014/main" id="{74F89D47-AE0D-6D4C-51B7-A9849AFF8A1E}"/>
              </a:ext>
            </a:extLst>
          </xdr:cNvPr>
          <xdr:cNvSpPr/>
        </xdr:nvSpPr>
        <xdr:spPr>
          <a:xfrm>
            <a:off x="16986361" y="685337"/>
            <a:ext cx="552450" cy="1454150"/>
          </a:xfrm>
          <a:prstGeom prst="rect">
            <a:avLst/>
          </a:prstGeom>
          <a:solidFill>
            <a:srgbClr val="FFFFCC"/>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nb-NO" sz="1100" baseline="0"/>
              <a:t>Finish 4 wk</a:t>
            </a:r>
            <a:endParaRPr lang="nb-NO" sz="1100"/>
          </a:p>
        </xdr:txBody>
      </xdr:sp>
      <xdr:sp macro="" textlink="">
        <xdr:nvSpPr>
          <xdr:cNvPr id="20" name="Flowchart: Decision 19">
            <a:extLst>
              <a:ext uri="{FF2B5EF4-FFF2-40B4-BE49-F238E27FC236}">
                <a16:creationId xmlns:a16="http://schemas.microsoft.com/office/drawing/2014/main" id="{049662A0-49BD-46FD-D6A8-9382BD8A04FB}"/>
              </a:ext>
            </a:extLst>
          </xdr:cNvPr>
          <xdr:cNvSpPr/>
        </xdr:nvSpPr>
        <xdr:spPr>
          <a:xfrm>
            <a:off x="13293725" y="2492375"/>
            <a:ext cx="247650" cy="260350"/>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sz="1100"/>
          </a:p>
        </xdr:txBody>
      </xdr:sp>
      <xdr:sp macro="" textlink="">
        <xdr:nvSpPr>
          <xdr:cNvPr id="21" name="Flowchart: Decision 20">
            <a:extLst>
              <a:ext uri="{FF2B5EF4-FFF2-40B4-BE49-F238E27FC236}">
                <a16:creationId xmlns:a16="http://schemas.microsoft.com/office/drawing/2014/main" id="{AC93FCB1-2125-ED87-B3BF-90DACB9F4D9F}"/>
              </a:ext>
            </a:extLst>
          </xdr:cNvPr>
          <xdr:cNvSpPr/>
        </xdr:nvSpPr>
        <xdr:spPr>
          <a:xfrm>
            <a:off x="9988550" y="781050"/>
            <a:ext cx="247650" cy="266700"/>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sz="1100"/>
          </a:p>
        </xdr:txBody>
      </xdr:sp>
      <xdr:sp macro="" textlink="">
        <xdr:nvSpPr>
          <xdr:cNvPr id="22" name="Flowchart: Decision 21">
            <a:extLst>
              <a:ext uri="{FF2B5EF4-FFF2-40B4-BE49-F238E27FC236}">
                <a16:creationId xmlns:a16="http://schemas.microsoft.com/office/drawing/2014/main" id="{F62AEEE8-4CB9-5140-7409-754D11BB7B3D}"/>
              </a:ext>
            </a:extLst>
          </xdr:cNvPr>
          <xdr:cNvSpPr/>
        </xdr:nvSpPr>
        <xdr:spPr>
          <a:xfrm>
            <a:off x="14627225" y="714375"/>
            <a:ext cx="247650" cy="263525"/>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sz="1100"/>
          </a:p>
        </xdr:txBody>
      </xdr:sp>
      <xdr:sp macro="" textlink="">
        <xdr:nvSpPr>
          <xdr:cNvPr id="23" name="Flowchart: Decision 22">
            <a:extLst>
              <a:ext uri="{FF2B5EF4-FFF2-40B4-BE49-F238E27FC236}">
                <a16:creationId xmlns:a16="http://schemas.microsoft.com/office/drawing/2014/main" id="{EB041387-E9FB-3083-0F6A-91E456AD4F6B}"/>
              </a:ext>
            </a:extLst>
          </xdr:cNvPr>
          <xdr:cNvSpPr/>
        </xdr:nvSpPr>
        <xdr:spPr>
          <a:xfrm>
            <a:off x="17306925" y="2533650"/>
            <a:ext cx="247650" cy="266700"/>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486709</xdr:colOff>
      <xdr:row>30</xdr:row>
      <xdr:rowOff>145675</xdr:rowOff>
    </xdr:from>
    <xdr:to>
      <xdr:col>32</xdr:col>
      <xdr:colOff>426384</xdr:colOff>
      <xdr:row>43</xdr:row>
      <xdr:rowOff>104027</xdr:rowOff>
    </xdr:to>
    <xdr:grpSp>
      <xdr:nvGrpSpPr>
        <xdr:cNvPr id="2" name="Group 1">
          <a:extLst>
            <a:ext uri="{FF2B5EF4-FFF2-40B4-BE49-F238E27FC236}">
              <a16:creationId xmlns:a16="http://schemas.microsoft.com/office/drawing/2014/main" id="{D3D1E8B3-694D-4188-9764-516C75EE8500}"/>
            </a:ext>
          </a:extLst>
        </xdr:cNvPr>
        <xdr:cNvGrpSpPr/>
      </xdr:nvGrpSpPr>
      <xdr:grpSpPr>
        <a:xfrm>
          <a:off x="483534" y="5655794"/>
          <a:ext cx="17785790" cy="2295526"/>
          <a:chOff x="8677275" y="654050"/>
          <a:chExt cx="8877300" cy="2374900"/>
        </a:xfrm>
      </xdr:grpSpPr>
      <xdr:sp macro="" textlink="">
        <xdr:nvSpPr>
          <xdr:cNvPr id="3" name="Rectangle 2">
            <a:extLst>
              <a:ext uri="{FF2B5EF4-FFF2-40B4-BE49-F238E27FC236}">
                <a16:creationId xmlns:a16="http://schemas.microsoft.com/office/drawing/2014/main" id="{477C88DF-B6F7-2347-1286-619B9E134291}"/>
              </a:ext>
            </a:extLst>
          </xdr:cNvPr>
          <xdr:cNvSpPr/>
        </xdr:nvSpPr>
        <xdr:spPr>
          <a:xfrm>
            <a:off x="10290746" y="736504"/>
            <a:ext cx="1190625" cy="498475"/>
          </a:xfrm>
          <a:prstGeom prst="rect">
            <a:avLst/>
          </a:prstGeom>
          <a:solidFill>
            <a:srgbClr val="FFFFCC"/>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nb-NO" sz="1100"/>
              <a:t>Demolish Old Shed 1wk</a:t>
            </a:r>
          </a:p>
        </xdr:txBody>
      </xdr:sp>
      <xdr:sp macro="" textlink="">
        <xdr:nvSpPr>
          <xdr:cNvPr id="4" name="Rectangle 3">
            <a:extLst>
              <a:ext uri="{FF2B5EF4-FFF2-40B4-BE49-F238E27FC236}">
                <a16:creationId xmlns:a16="http://schemas.microsoft.com/office/drawing/2014/main" id="{07AD8387-BD4C-1612-960F-3AB528335AE7}"/>
              </a:ext>
            </a:extLst>
          </xdr:cNvPr>
          <xdr:cNvSpPr/>
        </xdr:nvSpPr>
        <xdr:spPr>
          <a:xfrm>
            <a:off x="8677275" y="914400"/>
            <a:ext cx="1187450" cy="492125"/>
          </a:xfrm>
          <a:prstGeom prst="rect">
            <a:avLst/>
          </a:prstGeom>
          <a:solidFill>
            <a:srgbClr val="FFFFCC"/>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nb-NO" sz="1100"/>
              <a:t>Check funds</a:t>
            </a:r>
          </a:p>
        </xdr:txBody>
      </xdr:sp>
      <xdr:sp macro="" textlink="">
        <xdr:nvSpPr>
          <xdr:cNvPr id="5" name="Rectangle 4">
            <a:extLst>
              <a:ext uri="{FF2B5EF4-FFF2-40B4-BE49-F238E27FC236}">
                <a16:creationId xmlns:a16="http://schemas.microsoft.com/office/drawing/2014/main" id="{F5C6142F-0E89-44D4-67C0-0D251FD1D129}"/>
              </a:ext>
            </a:extLst>
          </xdr:cNvPr>
          <xdr:cNvSpPr/>
        </xdr:nvSpPr>
        <xdr:spPr>
          <a:xfrm>
            <a:off x="8788984" y="1581150"/>
            <a:ext cx="1193800" cy="495300"/>
          </a:xfrm>
          <a:prstGeom prst="rect">
            <a:avLst/>
          </a:prstGeom>
          <a:solidFill>
            <a:srgbClr val="FFFFCC"/>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nb-NO" sz="1100"/>
              <a:t>Planning Perm 6 wk</a:t>
            </a:r>
          </a:p>
        </xdr:txBody>
      </xdr:sp>
      <xdr:sp macro="" textlink="">
        <xdr:nvSpPr>
          <xdr:cNvPr id="6" name="Rectangle 5">
            <a:extLst>
              <a:ext uri="{FF2B5EF4-FFF2-40B4-BE49-F238E27FC236}">
                <a16:creationId xmlns:a16="http://schemas.microsoft.com/office/drawing/2014/main" id="{D6AD16E3-FF0B-0F87-2AA3-3D3A01555412}"/>
              </a:ext>
            </a:extLst>
          </xdr:cNvPr>
          <xdr:cNvSpPr/>
        </xdr:nvSpPr>
        <xdr:spPr>
          <a:xfrm>
            <a:off x="10189159" y="1590675"/>
            <a:ext cx="1193800" cy="495300"/>
          </a:xfrm>
          <a:prstGeom prst="rect">
            <a:avLst/>
          </a:prstGeom>
          <a:solidFill>
            <a:srgbClr val="FFFFCC"/>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nb-NO" sz="1100"/>
              <a:t>Wait</a:t>
            </a:r>
            <a:r>
              <a:rPr lang="nb-NO" sz="1100" baseline="0"/>
              <a:t> Perm</a:t>
            </a:r>
            <a:r>
              <a:rPr lang="nb-NO" sz="1100"/>
              <a:t> 10wk</a:t>
            </a:r>
          </a:p>
        </xdr:txBody>
      </xdr:sp>
      <xdr:sp macro="" textlink="">
        <xdr:nvSpPr>
          <xdr:cNvPr id="7" name="Rectangle 6">
            <a:extLst>
              <a:ext uri="{FF2B5EF4-FFF2-40B4-BE49-F238E27FC236}">
                <a16:creationId xmlns:a16="http://schemas.microsoft.com/office/drawing/2014/main" id="{1B7D6617-1035-DDE4-3C55-9386AB661305}"/>
              </a:ext>
            </a:extLst>
          </xdr:cNvPr>
          <xdr:cNvSpPr/>
        </xdr:nvSpPr>
        <xdr:spPr>
          <a:xfrm>
            <a:off x="11693525" y="701675"/>
            <a:ext cx="1190625" cy="498475"/>
          </a:xfrm>
          <a:prstGeom prst="rect">
            <a:avLst/>
          </a:prstGeom>
          <a:solidFill>
            <a:srgbClr val="FFFFCC"/>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nb-NO" sz="1100"/>
              <a:t>Cutfoliage</a:t>
            </a:r>
            <a:r>
              <a:rPr lang="nb-NO" sz="1100" baseline="0"/>
              <a:t> back </a:t>
            </a:r>
            <a:r>
              <a:rPr lang="nb-NO" sz="1100"/>
              <a:t>4 wk</a:t>
            </a:r>
          </a:p>
        </xdr:txBody>
      </xdr:sp>
      <xdr:sp macro="" textlink="">
        <xdr:nvSpPr>
          <xdr:cNvPr id="8" name="Rectangle 7">
            <a:extLst>
              <a:ext uri="{FF2B5EF4-FFF2-40B4-BE49-F238E27FC236}">
                <a16:creationId xmlns:a16="http://schemas.microsoft.com/office/drawing/2014/main" id="{5194EE92-EE49-5FAA-E2C5-B6387571D139}"/>
              </a:ext>
            </a:extLst>
          </xdr:cNvPr>
          <xdr:cNvSpPr/>
        </xdr:nvSpPr>
        <xdr:spPr>
          <a:xfrm>
            <a:off x="11572802" y="1600200"/>
            <a:ext cx="1193800" cy="495300"/>
          </a:xfrm>
          <a:prstGeom prst="rect">
            <a:avLst/>
          </a:prstGeom>
          <a:solidFill>
            <a:srgbClr val="FFFFCC"/>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nb-NO" sz="1100"/>
              <a:t>Hire Digger</a:t>
            </a:r>
            <a:r>
              <a:rPr lang="nb-NO" sz="1100" baseline="0"/>
              <a:t> 2</a:t>
            </a:r>
            <a:r>
              <a:rPr lang="nb-NO" sz="1100"/>
              <a:t>wk</a:t>
            </a:r>
          </a:p>
        </xdr:txBody>
      </xdr:sp>
      <xdr:sp macro="" textlink="">
        <xdr:nvSpPr>
          <xdr:cNvPr id="9" name="Rectangle 8">
            <a:extLst>
              <a:ext uri="{FF2B5EF4-FFF2-40B4-BE49-F238E27FC236}">
                <a16:creationId xmlns:a16="http://schemas.microsoft.com/office/drawing/2014/main" id="{FDEFE2A3-52E8-1956-5F38-D9F18E75875F}"/>
              </a:ext>
            </a:extLst>
          </xdr:cNvPr>
          <xdr:cNvSpPr/>
        </xdr:nvSpPr>
        <xdr:spPr>
          <a:xfrm>
            <a:off x="12905463" y="1591067"/>
            <a:ext cx="1193800" cy="508000"/>
          </a:xfrm>
          <a:prstGeom prst="rect">
            <a:avLst/>
          </a:prstGeom>
          <a:solidFill>
            <a:srgbClr val="FFFFCC"/>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nb-NO" sz="1100"/>
              <a:t>Dig Trench </a:t>
            </a:r>
            <a:r>
              <a:rPr lang="nb-NO" sz="1100" baseline="0"/>
              <a:t>1 </a:t>
            </a:r>
            <a:r>
              <a:rPr lang="nb-NO" sz="1100"/>
              <a:t>wk</a:t>
            </a:r>
          </a:p>
        </xdr:txBody>
      </xdr:sp>
      <xdr:sp macro="" textlink="">
        <xdr:nvSpPr>
          <xdr:cNvPr id="10" name="Rectangle 9">
            <a:extLst>
              <a:ext uri="{FF2B5EF4-FFF2-40B4-BE49-F238E27FC236}">
                <a16:creationId xmlns:a16="http://schemas.microsoft.com/office/drawing/2014/main" id="{9A6354E6-5A8D-B11F-B3E5-356ECEFF608E}"/>
              </a:ext>
            </a:extLst>
          </xdr:cNvPr>
          <xdr:cNvSpPr/>
        </xdr:nvSpPr>
        <xdr:spPr>
          <a:xfrm>
            <a:off x="14254181" y="1553104"/>
            <a:ext cx="1190625" cy="508000"/>
          </a:xfrm>
          <a:prstGeom prst="rect">
            <a:avLst/>
          </a:prstGeom>
          <a:solidFill>
            <a:srgbClr val="FFFFCC"/>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nb-NO" sz="1100"/>
              <a:t>Fill Concret</a:t>
            </a:r>
            <a:r>
              <a:rPr lang="nb-NO" sz="1100" baseline="0"/>
              <a:t> 2 </a:t>
            </a:r>
            <a:r>
              <a:rPr lang="nb-NO" sz="1100"/>
              <a:t>wk</a:t>
            </a:r>
          </a:p>
        </xdr:txBody>
      </xdr:sp>
      <xdr:sp macro="" textlink="">
        <xdr:nvSpPr>
          <xdr:cNvPr id="11" name="Rectangle 10">
            <a:extLst>
              <a:ext uri="{FF2B5EF4-FFF2-40B4-BE49-F238E27FC236}">
                <a16:creationId xmlns:a16="http://schemas.microsoft.com/office/drawing/2014/main" id="{9C815584-9744-6AB5-F456-1DA3705F6C30}"/>
              </a:ext>
            </a:extLst>
          </xdr:cNvPr>
          <xdr:cNvSpPr/>
        </xdr:nvSpPr>
        <xdr:spPr>
          <a:xfrm>
            <a:off x="15564434" y="1537805"/>
            <a:ext cx="1187450" cy="501650"/>
          </a:xfrm>
          <a:prstGeom prst="rect">
            <a:avLst/>
          </a:prstGeom>
          <a:solidFill>
            <a:srgbClr val="FFFFCC"/>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nb-NO" sz="1100"/>
              <a:t>Level Base </a:t>
            </a:r>
            <a:r>
              <a:rPr lang="nb-NO" sz="1100" baseline="0"/>
              <a:t>1 </a:t>
            </a:r>
            <a:r>
              <a:rPr lang="nb-NO" sz="1100"/>
              <a:t>wk</a:t>
            </a:r>
          </a:p>
        </xdr:txBody>
      </xdr:sp>
      <xdr:sp macro="" textlink="">
        <xdr:nvSpPr>
          <xdr:cNvPr id="12" name="Rectangle 11">
            <a:extLst>
              <a:ext uri="{FF2B5EF4-FFF2-40B4-BE49-F238E27FC236}">
                <a16:creationId xmlns:a16="http://schemas.microsoft.com/office/drawing/2014/main" id="{D3705E64-1AB4-B45A-CB08-7E7EC3C786A1}"/>
              </a:ext>
            </a:extLst>
          </xdr:cNvPr>
          <xdr:cNvSpPr/>
        </xdr:nvSpPr>
        <xdr:spPr>
          <a:xfrm>
            <a:off x="13379450" y="663575"/>
            <a:ext cx="1193800" cy="504825"/>
          </a:xfrm>
          <a:prstGeom prst="rect">
            <a:avLst/>
          </a:prstGeom>
          <a:solidFill>
            <a:srgbClr val="FFFFCC"/>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nb-NO" sz="1100"/>
              <a:t>Wire Down Garden </a:t>
            </a:r>
            <a:r>
              <a:rPr lang="nb-NO" sz="1100" baseline="0"/>
              <a:t>1 </a:t>
            </a:r>
            <a:r>
              <a:rPr lang="nb-NO" sz="1100"/>
              <a:t>wk</a:t>
            </a:r>
          </a:p>
        </xdr:txBody>
      </xdr:sp>
      <xdr:sp macro="" textlink="">
        <xdr:nvSpPr>
          <xdr:cNvPr id="13" name="Rectangle 12">
            <a:extLst>
              <a:ext uri="{FF2B5EF4-FFF2-40B4-BE49-F238E27FC236}">
                <a16:creationId xmlns:a16="http://schemas.microsoft.com/office/drawing/2014/main" id="{05269E6C-1C4B-3ED1-998B-47FC111F3D89}"/>
              </a:ext>
            </a:extLst>
          </xdr:cNvPr>
          <xdr:cNvSpPr/>
        </xdr:nvSpPr>
        <xdr:spPr>
          <a:xfrm>
            <a:off x="14916151" y="654050"/>
            <a:ext cx="914399" cy="508000"/>
          </a:xfrm>
          <a:prstGeom prst="rect">
            <a:avLst/>
          </a:prstGeom>
          <a:solidFill>
            <a:srgbClr val="FFFFCC"/>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nb-NO" sz="1100"/>
              <a:t>Connect Power</a:t>
            </a:r>
          </a:p>
        </xdr:txBody>
      </xdr:sp>
      <xdr:sp macro="" textlink="">
        <xdr:nvSpPr>
          <xdr:cNvPr id="14" name="Rectangle 13">
            <a:extLst>
              <a:ext uri="{FF2B5EF4-FFF2-40B4-BE49-F238E27FC236}">
                <a16:creationId xmlns:a16="http://schemas.microsoft.com/office/drawing/2014/main" id="{9069E704-6A7F-C415-434D-FC70C4F65AA1}"/>
              </a:ext>
            </a:extLst>
          </xdr:cNvPr>
          <xdr:cNvSpPr/>
        </xdr:nvSpPr>
        <xdr:spPr>
          <a:xfrm>
            <a:off x="9093200" y="2533650"/>
            <a:ext cx="1190625" cy="495300"/>
          </a:xfrm>
          <a:prstGeom prst="rect">
            <a:avLst/>
          </a:prstGeom>
          <a:solidFill>
            <a:srgbClr val="FFFFCC"/>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nb-NO" sz="1100"/>
              <a:t>Reasearh</a:t>
            </a:r>
            <a:r>
              <a:rPr lang="nb-NO" sz="1100" baseline="0"/>
              <a:t> 3wk</a:t>
            </a:r>
            <a:endParaRPr lang="nb-NO" sz="1100"/>
          </a:p>
        </xdr:txBody>
      </xdr:sp>
      <xdr:sp macro="" textlink="">
        <xdr:nvSpPr>
          <xdr:cNvPr id="15" name="Rectangle 14">
            <a:extLst>
              <a:ext uri="{FF2B5EF4-FFF2-40B4-BE49-F238E27FC236}">
                <a16:creationId xmlns:a16="http://schemas.microsoft.com/office/drawing/2014/main" id="{6AE88B23-4E39-6387-632C-FDD2751ABA37}"/>
              </a:ext>
            </a:extLst>
          </xdr:cNvPr>
          <xdr:cNvSpPr/>
        </xdr:nvSpPr>
        <xdr:spPr>
          <a:xfrm>
            <a:off x="10534650" y="2533650"/>
            <a:ext cx="1190625" cy="492125"/>
          </a:xfrm>
          <a:prstGeom prst="rect">
            <a:avLst/>
          </a:prstGeom>
          <a:solidFill>
            <a:srgbClr val="FFFFCC"/>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nb-NO" sz="1100"/>
              <a:t>Find Supplier 1</a:t>
            </a:r>
            <a:r>
              <a:rPr lang="nb-NO" sz="1100" baseline="0"/>
              <a:t>wk</a:t>
            </a:r>
            <a:endParaRPr lang="nb-NO" sz="1100"/>
          </a:p>
        </xdr:txBody>
      </xdr:sp>
      <xdr:sp macro="" textlink="">
        <xdr:nvSpPr>
          <xdr:cNvPr id="16" name="Rectangle 15">
            <a:extLst>
              <a:ext uri="{FF2B5EF4-FFF2-40B4-BE49-F238E27FC236}">
                <a16:creationId xmlns:a16="http://schemas.microsoft.com/office/drawing/2014/main" id="{3B84DDCE-D97A-6471-BB0F-31597FF06C03}"/>
              </a:ext>
            </a:extLst>
          </xdr:cNvPr>
          <xdr:cNvSpPr/>
        </xdr:nvSpPr>
        <xdr:spPr>
          <a:xfrm>
            <a:off x="11922125" y="2524125"/>
            <a:ext cx="1193800" cy="492125"/>
          </a:xfrm>
          <a:prstGeom prst="rect">
            <a:avLst/>
          </a:prstGeom>
          <a:solidFill>
            <a:srgbClr val="FFFFCC"/>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nb-NO" sz="1100"/>
              <a:t>Get Quotes</a:t>
            </a:r>
            <a:r>
              <a:rPr lang="nb-NO" sz="1100" baseline="0"/>
              <a:t> 4wk</a:t>
            </a:r>
            <a:endParaRPr lang="nb-NO" sz="1100"/>
          </a:p>
        </xdr:txBody>
      </xdr:sp>
      <xdr:sp macro="" textlink="">
        <xdr:nvSpPr>
          <xdr:cNvPr id="17" name="Rectangle 16">
            <a:extLst>
              <a:ext uri="{FF2B5EF4-FFF2-40B4-BE49-F238E27FC236}">
                <a16:creationId xmlns:a16="http://schemas.microsoft.com/office/drawing/2014/main" id="{F48464A2-6F81-ED4A-3C24-DC355E35DCEB}"/>
              </a:ext>
            </a:extLst>
          </xdr:cNvPr>
          <xdr:cNvSpPr/>
        </xdr:nvSpPr>
        <xdr:spPr>
          <a:xfrm>
            <a:off x="13741400" y="2524125"/>
            <a:ext cx="1190625" cy="492125"/>
          </a:xfrm>
          <a:prstGeom prst="rect">
            <a:avLst/>
          </a:prstGeom>
          <a:solidFill>
            <a:srgbClr val="FFFFCC"/>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nb-NO" sz="1100"/>
              <a:t>Wait for</a:t>
            </a:r>
            <a:r>
              <a:rPr lang="nb-NO" sz="1100" baseline="0"/>
              <a:t> Delivery 6wk</a:t>
            </a:r>
            <a:endParaRPr lang="nb-NO" sz="1100"/>
          </a:p>
        </xdr:txBody>
      </xdr:sp>
      <xdr:sp macro="" textlink="">
        <xdr:nvSpPr>
          <xdr:cNvPr id="18" name="Rectangle 17">
            <a:extLst>
              <a:ext uri="{FF2B5EF4-FFF2-40B4-BE49-F238E27FC236}">
                <a16:creationId xmlns:a16="http://schemas.microsoft.com/office/drawing/2014/main" id="{7C0ECBEC-5E31-6962-12AF-825862910049}"/>
              </a:ext>
            </a:extLst>
          </xdr:cNvPr>
          <xdr:cNvSpPr/>
        </xdr:nvSpPr>
        <xdr:spPr>
          <a:xfrm>
            <a:off x="15803946" y="2359025"/>
            <a:ext cx="1190625" cy="498476"/>
          </a:xfrm>
          <a:prstGeom prst="rect">
            <a:avLst/>
          </a:prstGeom>
          <a:solidFill>
            <a:srgbClr val="FFFFCC"/>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nb-NO" sz="1100" baseline="0"/>
              <a:t>Assembly 1wk</a:t>
            </a:r>
            <a:endParaRPr lang="nb-NO" sz="1100"/>
          </a:p>
        </xdr:txBody>
      </xdr:sp>
      <xdr:sp macro="" textlink="">
        <xdr:nvSpPr>
          <xdr:cNvPr id="19" name="Rectangle 18">
            <a:extLst>
              <a:ext uri="{FF2B5EF4-FFF2-40B4-BE49-F238E27FC236}">
                <a16:creationId xmlns:a16="http://schemas.microsoft.com/office/drawing/2014/main" id="{66D41F65-AAC9-B116-F751-2F2339669B2E}"/>
              </a:ext>
            </a:extLst>
          </xdr:cNvPr>
          <xdr:cNvSpPr/>
        </xdr:nvSpPr>
        <xdr:spPr>
          <a:xfrm>
            <a:off x="16986361" y="685337"/>
            <a:ext cx="552450" cy="1454150"/>
          </a:xfrm>
          <a:prstGeom prst="rect">
            <a:avLst/>
          </a:prstGeom>
          <a:solidFill>
            <a:srgbClr val="FFFFCC"/>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nb-NO" sz="1100" baseline="0"/>
              <a:t>Finish 4 wk</a:t>
            </a:r>
            <a:endParaRPr lang="nb-NO" sz="1100"/>
          </a:p>
        </xdr:txBody>
      </xdr:sp>
      <xdr:sp macro="" textlink="">
        <xdr:nvSpPr>
          <xdr:cNvPr id="20" name="Flowchart: Decision 19">
            <a:extLst>
              <a:ext uri="{FF2B5EF4-FFF2-40B4-BE49-F238E27FC236}">
                <a16:creationId xmlns:a16="http://schemas.microsoft.com/office/drawing/2014/main" id="{08266AD0-599D-A6F8-9080-4155A90ADE2F}"/>
              </a:ext>
            </a:extLst>
          </xdr:cNvPr>
          <xdr:cNvSpPr/>
        </xdr:nvSpPr>
        <xdr:spPr>
          <a:xfrm>
            <a:off x="15190734" y="2457595"/>
            <a:ext cx="247650" cy="260350"/>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sz="1100"/>
          </a:p>
        </xdr:txBody>
      </xdr:sp>
      <xdr:sp macro="" textlink="">
        <xdr:nvSpPr>
          <xdr:cNvPr id="21" name="Flowchart: Decision 20">
            <a:extLst>
              <a:ext uri="{FF2B5EF4-FFF2-40B4-BE49-F238E27FC236}">
                <a16:creationId xmlns:a16="http://schemas.microsoft.com/office/drawing/2014/main" id="{83A6BD00-683C-3815-ED3D-355FDD270E62}"/>
              </a:ext>
            </a:extLst>
          </xdr:cNvPr>
          <xdr:cNvSpPr/>
        </xdr:nvSpPr>
        <xdr:spPr>
          <a:xfrm>
            <a:off x="9988550" y="781050"/>
            <a:ext cx="247650" cy="266700"/>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sz="1100"/>
          </a:p>
        </xdr:txBody>
      </xdr:sp>
      <xdr:sp macro="" textlink="">
        <xdr:nvSpPr>
          <xdr:cNvPr id="22" name="Flowchart: Decision 21">
            <a:extLst>
              <a:ext uri="{FF2B5EF4-FFF2-40B4-BE49-F238E27FC236}">
                <a16:creationId xmlns:a16="http://schemas.microsoft.com/office/drawing/2014/main" id="{36EA5132-4B90-8897-F3DE-46E94E18150E}"/>
              </a:ext>
            </a:extLst>
          </xdr:cNvPr>
          <xdr:cNvSpPr/>
        </xdr:nvSpPr>
        <xdr:spPr>
          <a:xfrm>
            <a:off x="14627225" y="714375"/>
            <a:ext cx="247650" cy="263525"/>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sz="1100"/>
          </a:p>
        </xdr:txBody>
      </xdr:sp>
      <xdr:sp macro="" textlink="">
        <xdr:nvSpPr>
          <xdr:cNvPr id="23" name="Flowchart: Decision 22">
            <a:extLst>
              <a:ext uri="{FF2B5EF4-FFF2-40B4-BE49-F238E27FC236}">
                <a16:creationId xmlns:a16="http://schemas.microsoft.com/office/drawing/2014/main" id="{596229F6-9A70-924A-D729-EBBD6CD48B53}"/>
              </a:ext>
            </a:extLst>
          </xdr:cNvPr>
          <xdr:cNvSpPr/>
        </xdr:nvSpPr>
        <xdr:spPr>
          <a:xfrm>
            <a:off x="17306925" y="2533650"/>
            <a:ext cx="247650" cy="266700"/>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sz="1100"/>
          </a:p>
        </xdr:txBody>
      </xdr:sp>
    </xdr:grpSp>
    <xdr:clientData/>
  </xdr:twoCellAnchor>
  <xdr:twoCellAnchor>
    <xdr:from>
      <xdr:col>31</xdr:col>
      <xdr:colOff>190500</xdr:colOff>
      <xdr:row>14</xdr:row>
      <xdr:rowOff>44824</xdr:rowOff>
    </xdr:from>
    <xdr:to>
      <xdr:col>31</xdr:col>
      <xdr:colOff>324971</xdr:colOff>
      <xdr:row>15</xdr:row>
      <xdr:rowOff>0</xdr:rowOff>
    </xdr:to>
    <xdr:sp macro="" textlink="">
      <xdr:nvSpPr>
        <xdr:cNvPr id="24" name="Flowchart: Decision 23">
          <a:extLst>
            <a:ext uri="{FF2B5EF4-FFF2-40B4-BE49-F238E27FC236}">
              <a16:creationId xmlns:a16="http://schemas.microsoft.com/office/drawing/2014/main" id="{07E923DD-BCFB-477B-928E-D7EE139CAE0D}"/>
            </a:ext>
          </a:extLst>
        </xdr:cNvPr>
        <xdr:cNvSpPr/>
      </xdr:nvSpPr>
      <xdr:spPr>
        <a:xfrm>
          <a:off x="19088100" y="2581649"/>
          <a:ext cx="134471" cy="132976"/>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sz="1100"/>
        </a:p>
      </xdr:txBody>
    </xdr:sp>
    <xdr:clientData/>
  </xdr:twoCellAnchor>
  <xdr:twoCellAnchor>
    <xdr:from>
      <xdr:col>22</xdr:col>
      <xdr:colOff>134471</xdr:colOff>
      <xdr:row>18</xdr:row>
      <xdr:rowOff>22412</xdr:rowOff>
    </xdr:from>
    <xdr:to>
      <xdr:col>22</xdr:col>
      <xdr:colOff>268942</xdr:colOff>
      <xdr:row>18</xdr:row>
      <xdr:rowOff>153708</xdr:rowOff>
    </xdr:to>
    <xdr:sp macro="" textlink="">
      <xdr:nvSpPr>
        <xdr:cNvPr id="25" name="Flowchart: Decision 24">
          <a:extLst>
            <a:ext uri="{FF2B5EF4-FFF2-40B4-BE49-F238E27FC236}">
              <a16:creationId xmlns:a16="http://schemas.microsoft.com/office/drawing/2014/main" id="{189BDB79-D7AE-4EF9-85CB-BF9E2D95EAB9}"/>
            </a:ext>
          </a:extLst>
        </xdr:cNvPr>
        <xdr:cNvSpPr/>
      </xdr:nvSpPr>
      <xdr:spPr>
        <a:xfrm>
          <a:off x="13545671" y="3283137"/>
          <a:ext cx="134471" cy="128121"/>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sz="1100"/>
        </a:p>
      </xdr:txBody>
    </xdr:sp>
    <xdr:clientData/>
  </xdr:twoCellAnchor>
  <xdr:twoCellAnchor>
    <xdr:from>
      <xdr:col>35</xdr:col>
      <xdr:colOff>44823</xdr:colOff>
      <xdr:row>13</xdr:row>
      <xdr:rowOff>44823</xdr:rowOff>
    </xdr:from>
    <xdr:to>
      <xdr:col>35</xdr:col>
      <xdr:colOff>179294</xdr:colOff>
      <xdr:row>13</xdr:row>
      <xdr:rowOff>176119</xdr:rowOff>
    </xdr:to>
    <xdr:sp macro="" textlink="">
      <xdr:nvSpPr>
        <xdr:cNvPr id="26" name="Flowchart: Decision 25">
          <a:extLst>
            <a:ext uri="{FF2B5EF4-FFF2-40B4-BE49-F238E27FC236}">
              <a16:creationId xmlns:a16="http://schemas.microsoft.com/office/drawing/2014/main" id="{F362C563-F04A-4A04-8D15-DEE3797155F7}"/>
            </a:ext>
          </a:extLst>
        </xdr:cNvPr>
        <xdr:cNvSpPr/>
      </xdr:nvSpPr>
      <xdr:spPr>
        <a:xfrm>
          <a:off x="21383998" y="2400673"/>
          <a:ext cx="134471" cy="131296"/>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sz="1100"/>
        </a:p>
      </xdr:txBody>
    </xdr:sp>
    <xdr:clientData/>
  </xdr:twoCellAnchor>
  <xdr:twoCellAnchor>
    <xdr:from>
      <xdr:col>6</xdr:col>
      <xdr:colOff>502584</xdr:colOff>
      <xdr:row>0</xdr:row>
      <xdr:rowOff>33618</xdr:rowOff>
    </xdr:from>
    <xdr:to>
      <xdr:col>8</xdr:col>
      <xdr:colOff>555437</xdr:colOff>
      <xdr:row>2</xdr:row>
      <xdr:rowOff>201334</xdr:rowOff>
    </xdr:to>
    <xdr:graphicFrame macro="">
      <xdr:nvGraphicFramePr>
        <xdr:cNvPr id="27" name="Hours Sparkline">
          <a:extLst>
            <a:ext uri="{FF2B5EF4-FFF2-40B4-BE49-F238E27FC236}">
              <a16:creationId xmlns:a16="http://schemas.microsoft.com/office/drawing/2014/main" id="{FE636E8F-5502-4B6D-A579-8F50314945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502584</xdr:colOff>
      <xdr:row>2</xdr:row>
      <xdr:rowOff>160058</xdr:rowOff>
    </xdr:from>
    <xdr:to>
      <xdr:col>8</xdr:col>
      <xdr:colOff>568137</xdr:colOff>
      <xdr:row>4</xdr:row>
      <xdr:rowOff>190500</xdr:rowOff>
    </xdr:to>
    <xdr:graphicFrame macro="">
      <xdr:nvGraphicFramePr>
        <xdr:cNvPr id="28" name="Cost Sparkline">
          <a:extLst>
            <a:ext uri="{FF2B5EF4-FFF2-40B4-BE49-F238E27FC236}">
              <a16:creationId xmlns:a16="http://schemas.microsoft.com/office/drawing/2014/main" id="{723664F1-FC5E-4A9F-9B0A-559B30FE2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180975</xdr:colOff>
      <xdr:row>3</xdr:row>
      <xdr:rowOff>6350</xdr:rowOff>
    </xdr:from>
    <xdr:to>
      <xdr:col>13</xdr:col>
      <xdr:colOff>600075</xdr:colOff>
      <xdr:row>25</xdr:row>
      <xdr:rowOff>53975</xdr:rowOff>
    </xdr:to>
    <xdr:graphicFrame macro="">
      <xdr:nvGraphicFramePr>
        <xdr:cNvPr id="3" name="S-Curve Chart">
          <a:extLst>
            <a:ext uri="{FF2B5EF4-FFF2-40B4-BE49-F238E27FC236}">
              <a16:creationId xmlns:a16="http://schemas.microsoft.com/office/drawing/2014/main" id="{DE007D47-887D-7AD7-6763-4176FFDDF8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4397</xdr:colOff>
      <xdr:row>10</xdr:row>
      <xdr:rowOff>10885</xdr:rowOff>
    </xdr:from>
    <xdr:to>
      <xdr:col>6</xdr:col>
      <xdr:colOff>2230302</xdr:colOff>
      <xdr:row>10</xdr:row>
      <xdr:rowOff>376645</xdr:rowOff>
    </xdr:to>
    <xdr:sp macro="" textlink="">
      <xdr:nvSpPr>
        <xdr:cNvPr id="15" name="Navigasjonsfigur" descr="Velg for å se regnearket Forstå prosesskartet" title="Navigasjonsfigur">
          <a:hlinkClick xmlns:r="http://schemas.openxmlformats.org/officeDocument/2006/relationships" r:id="rId1" tooltip="Velg for å se regnearket Forstå prosesskartet"/>
          <a:extLst>
            <a:ext uri="{FF2B5EF4-FFF2-40B4-BE49-F238E27FC236}">
              <a16:creationId xmlns:a16="http://schemas.microsoft.com/office/drawing/2014/main" id="{00000000-0008-0000-0000-00000F000000}"/>
            </a:ext>
          </a:extLst>
        </xdr:cNvPr>
        <xdr:cNvSpPr txBox="1"/>
      </xdr:nvSpPr>
      <xdr:spPr>
        <a:xfrm>
          <a:off x="7405322" y="5735410"/>
          <a:ext cx="2673580" cy="365760"/>
        </a:xfrm>
        <a:prstGeom prst="rect">
          <a:avLst/>
        </a:prstGeom>
        <a:solidFill>
          <a:srgbClr val="3652A0"/>
        </a:solidFill>
      </xdr:spPr>
      <xdr:txBody>
        <a:bodyPr wrap="square" rtlCol="0" anchor="ctr">
          <a:noAutofit/>
        </a:bodyPr>
        <a:lstStyle/>
        <a:p>
          <a:pPr marL="0" indent="0" algn="ctr" defTabSz="914400" rtl="0" eaLnBrk="1" latinLnBrk="0" hangingPunct="1">
            <a:spcAft>
              <a:spcPts val="600"/>
            </a:spcAft>
          </a:pPr>
          <a:r>
            <a:rPr lang="nb-no" sz="1400" b="0" kern="1200">
              <a:solidFill>
                <a:schemeClr val="bg1"/>
              </a:solidFill>
              <a:latin typeface="Segoe UI" panose="020B0502040204020203" pitchFamily="34" charset="0"/>
              <a:ea typeface="+mn-ea"/>
              <a:cs typeface="Segoe UI" panose="020B0502040204020203" pitchFamily="34" charset="0"/>
            </a:rPr>
            <a:t>Forstå prosesskartet &gt;</a:t>
          </a:r>
        </a:p>
      </xdr:txBody>
    </xdr:sp>
    <xdr:clientData/>
  </xdr:twoCellAnchor>
  <xdr:twoCellAnchor editAs="oneCell">
    <xdr:from>
      <xdr:col>1</xdr:col>
      <xdr:colOff>0</xdr:colOff>
      <xdr:row>3</xdr:row>
      <xdr:rowOff>361950</xdr:rowOff>
    </xdr:from>
    <xdr:to>
      <xdr:col>4</xdr:col>
      <xdr:colOff>5715</xdr:colOff>
      <xdr:row>12</xdr:row>
      <xdr:rowOff>680932</xdr:rowOff>
    </xdr:to>
    <xdr:pic>
      <xdr:nvPicPr>
        <xdr:cNvPr id="3" name="Eksporter tabell til Visio-diagram" descr="Legg til prosessdataene i arket kalt Prosesskart, og bruk deretter Eksporter tabell til Visio-diagram i fanen Utforming for tabellverktøy for å opprette diagrammet automatisk i Visio." title="Hjelp-bilde">
          <a:extLst>
            <a:ext uri="{FF2B5EF4-FFF2-40B4-BE49-F238E27FC236}">
              <a16:creationId xmlns:a16="http://schemas.microsoft.com/office/drawing/2014/main" id="{F58A9641-CEB0-4B91-A07E-74461DDE5A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1125" y="1762125"/>
          <a:ext cx="5577840" cy="5595832"/>
        </a:xfrm>
        <a:prstGeom prst="rect">
          <a:avLst/>
        </a:prstGeom>
      </xdr:spPr>
    </xdr:pic>
    <xdr:clientData/>
  </xdr:twoCellAnchor>
  <xdr:oneCellAnchor>
    <xdr:from>
      <xdr:col>0</xdr:col>
      <xdr:colOff>104782</xdr:colOff>
      <xdr:row>1</xdr:row>
      <xdr:rowOff>66689</xdr:rowOff>
    </xdr:from>
    <xdr:ext cx="1270510" cy="665098"/>
    <xdr:pic>
      <xdr:nvPicPr>
        <xdr:cNvPr id="6" name="Microsoft Visio-logo" descr="Microsoft Visio-logo">
          <a:extLst>
            <a:ext uri="{FF2B5EF4-FFF2-40B4-BE49-F238E27FC236}">
              <a16:creationId xmlns:a16="http://schemas.microsoft.com/office/drawing/2014/main" id="{A57C1938-1203-4B73-9F2F-9E850B2FF7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104782" y="161939"/>
          <a:ext cx="1270510" cy="665098"/>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3</xdr:col>
      <xdr:colOff>5798</xdr:colOff>
      <xdr:row>14</xdr:row>
      <xdr:rowOff>379445</xdr:rowOff>
    </xdr:from>
    <xdr:to>
      <xdr:col>4</xdr:col>
      <xdr:colOff>1028699</xdr:colOff>
      <xdr:row>14</xdr:row>
      <xdr:rowOff>745205</xdr:rowOff>
    </xdr:to>
    <xdr:sp macro="" textlink="">
      <xdr:nvSpPr>
        <xdr:cNvPr id="32" name="Navigasjonsfigur" descr="Velg for å komme i gang" title="Navigasjonsfigur">
          <a:hlinkClick xmlns:r="http://schemas.openxmlformats.org/officeDocument/2006/relationships" r:id="rId1" tooltip="Velg for å komme i gang"/>
          <a:extLst>
            <a:ext uri="{FF2B5EF4-FFF2-40B4-BE49-F238E27FC236}">
              <a16:creationId xmlns:a16="http://schemas.microsoft.com/office/drawing/2014/main" id="{00000000-0008-0000-0100-000020000000}"/>
            </a:ext>
          </a:extLst>
        </xdr:cNvPr>
        <xdr:cNvSpPr txBox="1"/>
      </xdr:nvSpPr>
      <xdr:spPr>
        <a:xfrm>
          <a:off x="5882723" y="6342095"/>
          <a:ext cx="2127801" cy="365760"/>
        </a:xfrm>
        <a:prstGeom prst="rect">
          <a:avLst/>
        </a:prstGeom>
        <a:solidFill>
          <a:srgbClr val="3652A0"/>
        </a:solidFill>
      </xdr:spPr>
      <xdr:txBody>
        <a:bodyPr wrap="square" rtlCol="0" anchor="ctr">
          <a:noAutofit/>
        </a:bodyPr>
        <a:lstStyle/>
        <a:p>
          <a:pPr marL="0" indent="0" algn="ctr" defTabSz="914400" rtl="0" eaLnBrk="1" latinLnBrk="0" hangingPunct="1">
            <a:spcAft>
              <a:spcPts val="600"/>
            </a:spcAft>
          </a:pPr>
          <a:r>
            <a:rPr lang="nb-no" sz="1400" b="0" kern="1200">
              <a:solidFill>
                <a:schemeClr val="bg1"/>
              </a:solidFill>
              <a:latin typeface="Segoe UI" panose="020B0502040204020203" pitchFamily="34" charset="0"/>
              <a:ea typeface="+mn-ea"/>
              <a:cs typeface="Segoe UI" panose="020B0502040204020203" pitchFamily="34" charset="0"/>
            </a:rPr>
            <a:t>La oss komme i gang &gt;</a:t>
          </a:r>
          <a:endParaRPr lang="en-US" sz="1400" kern="1200">
            <a:solidFill>
              <a:schemeClr val="bg1"/>
            </a:solidFill>
            <a:latin typeface="Segoe UI" panose="020B0502040204020203" pitchFamily="34" charset="0"/>
            <a:ea typeface="+mn-ea"/>
            <a:cs typeface="Segoe UI" panose="020B0502040204020203" pitchFamily="34" charset="0"/>
          </a:endParaRPr>
        </a:p>
      </xdr:txBody>
    </xdr:sp>
    <xdr:clientData/>
  </xdr:twoCellAnchor>
  <xdr:twoCellAnchor editAs="oneCell">
    <xdr:from>
      <xdr:col>3</xdr:col>
      <xdr:colOff>5800</xdr:colOff>
      <xdr:row>8</xdr:row>
      <xdr:rowOff>669925</xdr:rowOff>
    </xdr:from>
    <xdr:to>
      <xdr:col>9</xdr:col>
      <xdr:colOff>310598</xdr:colOff>
      <xdr:row>12</xdr:row>
      <xdr:rowOff>159280</xdr:rowOff>
    </xdr:to>
    <xdr:pic>
      <xdr:nvPicPr>
        <xdr:cNvPr id="17" name="Eksempel på grunnleggende flytskjema" descr="Eksempel på grunnleggende flytskjema&#10;&#10;Dette bildet viser et eksempel på et grunnleggende flytskjema som ble opprettet automatisk fra Prosesskart-tabellen med eksempeldata.">
          <a:extLst>
            <a:ext uri="{FF2B5EF4-FFF2-40B4-BE49-F238E27FC236}">
              <a16:creationId xmlns:a16="http://schemas.microsoft.com/office/drawing/2014/main" id="{AD6FF3C5-3496-47E9-8F2F-46E248FEDA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882725" y="3927475"/>
          <a:ext cx="8229598" cy="1746780"/>
        </a:xfrm>
        <a:prstGeom prst="rect">
          <a:avLst/>
        </a:prstGeom>
      </xdr:spPr>
    </xdr:pic>
    <xdr:clientData/>
  </xdr:twoCellAnchor>
  <xdr:twoCellAnchor editAs="oneCell">
    <xdr:from>
      <xdr:col>3</xdr:col>
      <xdr:colOff>38100</xdr:colOff>
      <xdr:row>4</xdr:row>
      <xdr:rowOff>47104</xdr:rowOff>
    </xdr:from>
    <xdr:to>
      <xdr:col>9</xdr:col>
      <xdr:colOff>342900</xdr:colOff>
      <xdr:row>8</xdr:row>
      <xdr:rowOff>38021</xdr:rowOff>
    </xdr:to>
    <xdr:pic>
      <xdr:nvPicPr>
        <xdr:cNvPr id="8" name="Bilde 7" descr="Eksempel på Prosesskart-tabell&#10;&#10;Bildet viser et eksempel på en Prosesskart-tabell.">
          <a:extLst>
            <a:ext uri="{FF2B5EF4-FFF2-40B4-BE49-F238E27FC236}">
              <a16:creationId xmlns:a16="http://schemas.microsoft.com/office/drawing/2014/main" id="{27DA196D-A81F-4DB3-A22C-86A056BE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5915025" y="1828279"/>
          <a:ext cx="8229600" cy="1467292"/>
        </a:xfrm>
        <a:prstGeom prst="rect">
          <a:avLst/>
        </a:prstGeom>
      </xdr:spPr>
    </xdr:pic>
    <xdr:clientData/>
  </xdr:twoCellAnchor>
  <xdr:oneCellAnchor>
    <xdr:from>
      <xdr:col>0</xdr:col>
      <xdr:colOff>104778</xdr:colOff>
      <xdr:row>1</xdr:row>
      <xdr:rowOff>66682</xdr:rowOff>
    </xdr:from>
    <xdr:ext cx="1270510" cy="665098"/>
    <xdr:pic>
      <xdr:nvPicPr>
        <xdr:cNvPr id="6" name="Microsoft Visio-logo" descr="Microsoft Visio-logo">
          <a:extLst>
            <a:ext uri="{FF2B5EF4-FFF2-40B4-BE49-F238E27FC236}">
              <a16:creationId xmlns:a16="http://schemas.microsoft.com/office/drawing/2014/main" id="{40438993-C951-44B8-8014-E8BCD0377AA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104778" y="161932"/>
          <a:ext cx="1270510" cy="665098"/>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109549</xdr:colOff>
      <xdr:row>1</xdr:row>
      <xdr:rowOff>61924</xdr:rowOff>
    </xdr:from>
    <xdr:ext cx="1270510" cy="665098"/>
    <xdr:pic>
      <xdr:nvPicPr>
        <xdr:cNvPr id="3" name="Microsoft Visio-logo" descr="Microsoft Visio-logo">
          <a:extLst>
            <a:ext uri="{FF2B5EF4-FFF2-40B4-BE49-F238E27FC236}">
              <a16:creationId xmlns:a16="http://schemas.microsoft.com/office/drawing/2014/main" id="{7ABE0F2C-9BB7-46C0-8915-60DB3D90E18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09549" y="157174"/>
          <a:ext cx="1270510" cy="665098"/>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xdr:from>
      <xdr:col>3</xdr:col>
      <xdr:colOff>495300</xdr:colOff>
      <xdr:row>10</xdr:row>
      <xdr:rowOff>142875</xdr:rowOff>
    </xdr:from>
    <xdr:to>
      <xdr:col>4</xdr:col>
      <xdr:colOff>571500</xdr:colOff>
      <xdr:row>11</xdr:row>
      <xdr:rowOff>165100</xdr:rowOff>
    </xdr:to>
    <xdr:sp macro="" textlink="">
      <xdr:nvSpPr>
        <xdr:cNvPr id="27" name="Pil 1: T002 til T003">
          <a:extLst>
            <a:ext uri="{FF2B5EF4-FFF2-40B4-BE49-F238E27FC236}">
              <a16:creationId xmlns:a16="http://schemas.microsoft.com/office/drawing/2014/main" id="{76CC2918-1EED-46D4-9AA6-B7148BF37E34}"/>
            </a:ext>
          </a:extLst>
        </xdr:cNvPr>
        <xdr:cNvSpPr/>
      </xdr:nvSpPr>
      <xdr:spPr>
        <a:xfrm>
          <a:off x="2324100" y="2397125"/>
          <a:ext cx="685800" cy="203200"/>
        </a:xfrm>
        <a:prstGeom prst="rightArrow">
          <a:avLst/>
        </a:prstGeom>
        <a:solidFill>
          <a:srgbClr val="C00000"/>
        </a:solidFill>
        <a:ln w="12700" cap="flat" cmpd="sng" algn="ctr">
          <a:solidFill>
            <a:srgbClr val="C00000"/>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a:p>
      </xdr:txBody>
    </xdr:sp>
    <xdr:clientData/>
  </xdr:twoCellAnchor>
  <xdr:twoCellAnchor>
    <xdr:from>
      <xdr:col>4</xdr:col>
      <xdr:colOff>228600</xdr:colOff>
      <xdr:row>10</xdr:row>
      <xdr:rowOff>15875</xdr:rowOff>
    </xdr:from>
    <xdr:to>
      <xdr:col>4</xdr:col>
      <xdr:colOff>542925</xdr:colOff>
      <xdr:row>11</xdr:row>
      <xdr:rowOff>152400</xdr:rowOff>
    </xdr:to>
    <xdr:sp macro="" textlink="">
      <xdr:nvSpPr>
        <xdr:cNvPr id="28" name="Retning T002 til T003">
          <a:extLst>
            <a:ext uri="{FF2B5EF4-FFF2-40B4-BE49-F238E27FC236}">
              <a16:creationId xmlns:a16="http://schemas.microsoft.com/office/drawing/2014/main" id="{6C9E9094-71AB-4D39-D720-B3CB4286A11A}"/>
            </a:ext>
          </a:extLst>
        </xdr:cNvPr>
        <xdr:cNvSpPr txBox="1"/>
      </xdr:nvSpPr>
      <xdr:spPr>
        <a:xfrm>
          <a:off x="2667000" y="2273300"/>
          <a:ext cx="314325" cy="317500"/>
        </a:xfrm>
        <a:prstGeom prst="rect">
          <a:avLst/>
        </a:prstGeom>
        <a:solidFill>
          <a:prstClr val="white"/>
        </a:solidFill>
        <a:ln>
          <a:solidFill>
            <a:prstClr val="black"/>
          </a:solidFill>
        </a:ln>
      </xdr:spPr>
      <xdr:txBody>
        <a:bodyPr vertOverflow="overflow" vert="horz" wrap="square" rtlCol="0" anchor="t">
          <a:spAutoFit/>
        </a:bodyPr>
        <a:lstStyle/>
        <a:p>
          <a:pPr algn="l"/>
          <a:r>
            <a:rPr kumimoji="0" lang="nb-NO" sz="1600" b="0" i="0" u="none" strike="noStrike" kern="0" cap="none" spc="0" normalizeH="0" baseline="0" noProof="0">
              <a:ln>
                <a:noFill/>
              </a:ln>
              <a:solidFill>
                <a:srgbClr val="C00000"/>
              </a:solidFill>
              <a:effectLst/>
              <a:uLnTx/>
              <a:uFillTx/>
              <a:latin typeface="Calibri" panose="020F0502020204030204"/>
            </a:rPr>
            <a:t>↗</a:t>
          </a:r>
        </a:p>
      </xdr:txBody>
    </xdr:sp>
    <xdr:clientData/>
  </xdr:twoCellAnchor>
  <xdr:twoCellAnchor>
    <xdr:from>
      <xdr:col>8</xdr:col>
      <xdr:colOff>180975</xdr:colOff>
      <xdr:row>12</xdr:row>
      <xdr:rowOff>123825</xdr:rowOff>
    </xdr:from>
    <xdr:to>
      <xdr:col>9</xdr:col>
      <xdr:colOff>257175</xdr:colOff>
      <xdr:row>13</xdr:row>
      <xdr:rowOff>146050</xdr:rowOff>
    </xdr:to>
    <xdr:sp macro="" textlink="">
      <xdr:nvSpPr>
        <xdr:cNvPr id="29" name="Pil 2: T003 til T007">
          <a:extLst>
            <a:ext uri="{FF2B5EF4-FFF2-40B4-BE49-F238E27FC236}">
              <a16:creationId xmlns:a16="http://schemas.microsoft.com/office/drawing/2014/main" id="{1D547409-6017-4A3D-8723-9F7AD40197DB}"/>
            </a:ext>
          </a:extLst>
        </xdr:cNvPr>
        <xdr:cNvSpPr/>
      </xdr:nvSpPr>
      <xdr:spPr>
        <a:xfrm>
          <a:off x="5054600" y="2740025"/>
          <a:ext cx="685800" cy="203200"/>
        </a:xfrm>
        <a:prstGeom prst="rightArrow">
          <a:avLst/>
        </a:prstGeom>
        <a:solidFill>
          <a:srgbClr val="C00000"/>
        </a:solidFill>
        <a:ln w="12700" cap="flat" cmpd="sng" algn="ctr">
          <a:solidFill>
            <a:srgbClr val="C00000"/>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a:p>
      </xdr:txBody>
    </xdr:sp>
    <xdr:clientData/>
  </xdr:twoCellAnchor>
  <xdr:twoCellAnchor>
    <xdr:from>
      <xdr:col>8</xdr:col>
      <xdr:colOff>523875</xdr:colOff>
      <xdr:row>11</xdr:row>
      <xdr:rowOff>171450</xdr:rowOff>
    </xdr:from>
    <xdr:to>
      <xdr:col>9</xdr:col>
      <xdr:colOff>228600</xdr:colOff>
      <xdr:row>13</xdr:row>
      <xdr:rowOff>127000</xdr:rowOff>
    </xdr:to>
    <xdr:sp macro="" textlink="">
      <xdr:nvSpPr>
        <xdr:cNvPr id="30" name="Retning T003 til T007">
          <a:extLst>
            <a:ext uri="{FF2B5EF4-FFF2-40B4-BE49-F238E27FC236}">
              <a16:creationId xmlns:a16="http://schemas.microsoft.com/office/drawing/2014/main" id="{89C571BC-63CE-9B90-DB1C-AD9F752786CC}"/>
            </a:ext>
          </a:extLst>
        </xdr:cNvPr>
        <xdr:cNvSpPr txBox="1"/>
      </xdr:nvSpPr>
      <xdr:spPr>
        <a:xfrm>
          <a:off x="5400675" y="2609850"/>
          <a:ext cx="314325" cy="317500"/>
        </a:xfrm>
        <a:prstGeom prst="rect">
          <a:avLst/>
        </a:prstGeom>
        <a:solidFill>
          <a:prstClr val="white"/>
        </a:solidFill>
        <a:ln>
          <a:solidFill>
            <a:prstClr val="black"/>
          </a:solidFill>
        </a:ln>
      </xdr:spPr>
      <xdr:txBody>
        <a:bodyPr vertOverflow="overflow" vert="horz" wrap="square" rtlCol="0" anchor="t">
          <a:spAutoFit/>
        </a:bodyPr>
        <a:lstStyle/>
        <a:p>
          <a:pPr algn="l"/>
          <a:r>
            <a:rPr kumimoji="0" lang="nb-NO" sz="1600" b="0" i="0" u="none" strike="noStrike" kern="0" cap="none" spc="0" normalizeH="0" baseline="0" noProof="0">
              <a:ln>
                <a:noFill/>
              </a:ln>
              <a:solidFill>
                <a:srgbClr val="C00000"/>
              </a:solidFill>
              <a:effectLst/>
              <a:uLnTx/>
              <a:uFillTx/>
              <a:latin typeface="Calibri" panose="020F0502020204030204"/>
            </a:rPr>
            <a:t>↘</a:t>
          </a:r>
        </a:p>
      </xdr:txBody>
    </xdr:sp>
    <xdr:clientData/>
  </xdr:twoCellAnchor>
  <xdr:twoCellAnchor>
    <xdr:from>
      <xdr:col>17</xdr:col>
      <xdr:colOff>152400</xdr:colOff>
      <xdr:row>21</xdr:row>
      <xdr:rowOff>171450</xdr:rowOff>
    </xdr:from>
    <xdr:to>
      <xdr:col>18</xdr:col>
      <xdr:colOff>228600</xdr:colOff>
      <xdr:row>23</xdr:row>
      <xdr:rowOff>12700</xdr:rowOff>
    </xdr:to>
    <xdr:sp macro="" textlink="">
      <xdr:nvSpPr>
        <xdr:cNvPr id="31" name="Pil 3: T006 til T015">
          <a:extLst>
            <a:ext uri="{FF2B5EF4-FFF2-40B4-BE49-F238E27FC236}">
              <a16:creationId xmlns:a16="http://schemas.microsoft.com/office/drawing/2014/main" id="{BF80AB0D-B966-4E5D-B2C3-A500CC682BBB}"/>
            </a:ext>
          </a:extLst>
        </xdr:cNvPr>
        <xdr:cNvSpPr/>
      </xdr:nvSpPr>
      <xdr:spPr>
        <a:xfrm>
          <a:off x="10515600" y="4419600"/>
          <a:ext cx="685800" cy="200025"/>
        </a:xfrm>
        <a:prstGeom prst="rightArrow">
          <a:avLst/>
        </a:prstGeom>
        <a:solidFill>
          <a:srgbClr val="C00000"/>
        </a:solidFill>
        <a:ln w="12700" cap="flat" cmpd="sng" algn="ctr">
          <a:solidFill>
            <a:srgbClr val="C00000"/>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a:p>
      </xdr:txBody>
    </xdr:sp>
    <xdr:clientData/>
  </xdr:twoCellAnchor>
  <xdr:twoCellAnchor>
    <xdr:from>
      <xdr:col>12</xdr:col>
      <xdr:colOff>466725</xdr:colOff>
      <xdr:row>20</xdr:row>
      <xdr:rowOff>15875</xdr:rowOff>
    </xdr:from>
    <xdr:to>
      <xdr:col>13</xdr:col>
      <xdr:colOff>542925</xdr:colOff>
      <xdr:row>21</xdr:row>
      <xdr:rowOff>38100</xdr:rowOff>
    </xdr:to>
    <xdr:sp macro="" textlink="">
      <xdr:nvSpPr>
        <xdr:cNvPr id="32" name="Pil 4: T007 til T006">
          <a:extLst>
            <a:ext uri="{FF2B5EF4-FFF2-40B4-BE49-F238E27FC236}">
              <a16:creationId xmlns:a16="http://schemas.microsoft.com/office/drawing/2014/main" id="{CA4E3762-C6D2-498E-80DE-74F775AF416E}"/>
            </a:ext>
          </a:extLst>
        </xdr:cNvPr>
        <xdr:cNvSpPr/>
      </xdr:nvSpPr>
      <xdr:spPr>
        <a:xfrm>
          <a:off x="7778750" y="4083050"/>
          <a:ext cx="685800" cy="203200"/>
        </a:xfrm>
        <a:prstGeom prst="rightArrow">
          <a:avLst/>
        </a:prstGeom>
        <a:solidFill>
          <a:srgbClr val="C00000"/>
        </a:solidFill>
        <a:ln w="12700" cap="flat" cmpd="sng" algn="ctr">
          <a:solidFill>
            <a:srgbClr val="C00000"/>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a:p>
      </xdr:txBody>
    </xdr:sp>
    <xdr:clientData/>
  </xdr:twoCellAnchor>
  <xdr:twoCellAnchor>
    <xdr:from>
      <xdr:col>13</xdr:col>
      <xdr:colOff>200025</xdr:colOff>
      <xdr:row>19</xdr:row>
      <xdr:rowOff>63500</xdr:rowOff>
    </xdr:from>
    <xdr:to>
      <xdr:col>13</xdr:col>
      <xdr:colOff>514350</xdr:colOff>
      <xdr:row>21</xdr:row>
      <xdr:rowOff>19050</xdr:rowOff>
    </xdr:to>
    <xdr:sp macro="" textlink="">
      <xdr:nvSpPr>
        <xdr:cNvPr id="33" name="Retning T007 til T006">
          <a:extLst>
            <a:ext uri="{FF2B5EF4-FFF2-40B4-BE49-F238E27FC236}">
              <a16:creationId xmlns:a16="http://schemas.microsoft.com/office/drawing/2014/main" id="{4C5073D3-ACF1-1013-C0A8-E85FC211DDB1}"/>
            </a:ext>
          </a:extLst>
        </xdr:cNvPr>
        <xdr:cNvSpPr txBox="1"/>
      </xdr:nvSpPr>
      <xdr:spPr>
        <a:xfrm>
          <a:off x="8124825" y="3949700"/>
          <a:ext cx="314325" cy="317500"/>
        </a:xfrm>
        <a:prstGeom prst="rect">
          <a:avLst/>
        </a:prstGeom>
        <a:solidFill>
          <a:prstClr val="white"/>
        </a:solidFill>
        <a:ln>
          <a:solidFill>
            <a:prstClr val="black"/>
          </a:solidFill>
        </a:ln>
      </xdr:spPr>
      <xdr:txBody>
        <a:bodyPr vertOverflow="overflow" vert="horz" wrap="square" rtlCol="0" anchor="t">
          <a:spAutoFit/>
        </a:bodyPr>
        <a:lstStyle/>
        <a:p>
          <a:pPr algn="l"/>
          <a:r>
            <a:rPr kumimoji="0" lang="nb-NO" sz="1600" b="0" i="0" u="none" strike="noStrike" kern="0" cap="none" spc="0" normalizeH="0" baseline="0" noProof="0">
              <a:ln>
                <a:noFill/>
              </a:ln>
              <a:solidFill>
                <a:srgbClr val="C00000"/>
              </a:solidFill>
              <a:effectLst/>
              <a:uLnTx/>
              <a:uFillTx/>
              <a:latin typeface="Calibri" panose="020F0502020204030204"/>
            </a:rPr>
            <a:t>↘</a:t>
          </a:r>
        </a:p>
      </xdr:txBody>
    </xdr:sp>
    <xdr:clientData/>
  </xdr:twoCellAnchor>
  <xdr:twoCellAnchor>
    <xdr:from>
      <xdr:col>3</xdr:col>
      <xdr:colOff>495300</xdr:colOff>
      <xdr:row>21</xdr:row>
      <xdr:rowOff>171450</xdr:rowOff>
    </xdr:from>
    <xdr:to>
      <xdr:col>4</xdr:col>
      <xdr:colOff>571500</xdr:colOff>
      <xdr:row>23</xdr:row>
      <xdr:rowOff>12700</xdr:rowOff>
    </xdr:to>
    <xdr:sp macro="" textlink="">
      <xdr:nvSpPr>
        <xdr:cNvPr id="34" name="Pil 5: T009 til T010">
          <a:extLst>
            <a:ext uri="{FF2B5EF4-FFF2-40B4-BE49-F238E27FC236}">
              <a16:creationId xmlns:a16="http://schemas.microsoft.com/office/drawing/2014/main" id="{04668834-12F9-4D93-8124-C700EBF06D07}"/>
            </a:ext>
          </a:extLst>
        </xdr:cNvPr>
        <xdr:cNvSpPr/>
      </xdr:nvSpPr>
      <xdr:spPr>
        <a:xfrm>
          <a:off x="2324100" y="4419600"/>
          <a:ext cx="685800" cy="200025"/>
        </a:xfrm>
        <a:prstGeom prst="rightArrow">
          <a:avLst/>
        </a:prstGeom>
        <a:solidFill>
          <a:srgbClr val="C00000"/>
        </a:solidFill>
        <a:ln w="12700" cap="flat" cmpd="sng" algn="ctr">
          <a:solidFill>
            <a:srgbClr val="C00000"/>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a:p>
      </xdr:txBody>
    </xdr:sp>
    <xdr:clientData/>
  </xdr:twoCellAnchor>
  <xdr:twoCellAnchor>
    <xdr:from>
      <xdr:col>8</xdr:col>
      <xdr:colOff>180975</xdr:colOff>
      <xdr:row>27</xdr:row>
      <xdr:rowOff>95250</xdr:rowOff>
    </xdr:from>
    <xdr:to>
      <xdr:col>9</xdr:col>
      <xdr:colOff>257175</xdr:colOff>
      <xdr:row>28</xdr:row>
      <xdr:rowOff>117475</xdr:rowOff>
    </xdr:to>
    <xdr:sp macro="" textlink="">
      <xdr:nvSpPr>
        <xdr:cNvPr id="35" name="Pil 6: T010 til T016">
          <a:extLst>
            <a:ext uri="{FF2B5EF4-FFF2-40B4-BE49-F238E27FC236}">
              <a16:creationId xmlns:a16="http://schemas.microsoft.com/office/drawing/2014/main" id="{8EDA168A-8B04-45F2-9FAA-60C06459F979}"/>
            </a:ext>
          </a:extLst>
        </xdr:cNvPr>
        <xdr:cNvSpPr/>
      </xdr:nvSpPr>
      <xdr:spPr>
        <a:xfrm>
          <a:off x="5054600" y="5429250"/>
          <a:ext cx="685800" cy="206375"/>
        </a:xfrm>
        <a:prstGeom prst="rightArrow">
          <a:avLst/>
        </a:prstGeom>
        <a:solidFill>
          <a:srgbClr val="C00000"/>
        </a:solidFill>
        <a:ln w="12700" cap="flat" cmpd="sng" algn="ctr">
          <a:solidFill>
            <a:srgbClr val="C00000"/>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a:p>
      </xdr:txBody>
    </xdr:sp>
    <xdr:clientData/>
  </xdr:twoCellAnchor>
  <xdr:twoCellAnchor>
    <xdr:from>
      <xdr:col>8</xdr:col>
      <xdr:colOff>523875</xdr:colOff>
      <xdr:row>26</xdr:row>
      <xdr:rowOff>149225</xdr:rowOff>
    </xdr:from>
    <xdr:to>
      <xdr:col>9</xdr:col>
      <xdr:colOff>228600</xdr:colOff>
      <xdr:row>28</xdr:row>
      <xdr:rowOff>104775</xdr:rowOff>
    </xdr:to>
    <xdr:sp macro="" textlink="">
      <xdr:nvSpPr>
        <xdr:cNvPr id="36" name="Retning T010 til T016">
          <a:extLst>
            <a:ext uri="{FF2B5EF4-FFF2-40B4-BE49-F238E27FC236}">
              <a16:creationId xmlns:a16="http://schemas.microsoft.com/office/drawing/2014/main" id="{A3714057-D470-C316-4813-634B115B6F65}"/>
            </a:ext>
          </a:extLst>
        </xdr:cNvPr>
        <xdr:cNvSpPr txBox="1"/>
      </xdr:nvSpPr>
      <xdr:spPr>
        <a:xfrm>
          <a:off x="5400675" y="5302250"/>
          <a:ext cx="314325" cy="317500"/>
        </a:xfrm>
        <a:prstGeom prst="rect">
          <a:avLst/>
        </a:prstGeom>
        <a:solidFill>
          <a:prstClr val="white"/>
        </a:solidFill>
        <a:ln>
          <a:solidFill>
            <a:prstClr val="black"/>
          </a:solidFill>
        </a:ln>
      </xdr:spPr>
      <xdr:txBody>
        <a:bodyPr vertOverflow="overflow" vert="horz" wrap="square" rtlCol="0" anchor="t">
          <a:spAutoFit/>
        </a:bodyPr>
        <a:lstStyle/>
        <a:p>
          <a:pPr algn="l"/>
          <a:r>
            <a:rPr kumimoji="0" lang="nb-NO" sz="1600" b="0" i="0" u="none" strike="noStrike" kern="0" cap="none" spc="0" normalizeH="0" baseline="0" noProof="0">
              <a:ln>
                <a:noFill/>
              </a:ln>
              <a:solidFill>
                <a:srgbClr val="C00000"/>
              </a:solidFill>
              <a:effectLst/>
              <a:uLnTx/>
              <a:uFillTx/>
              <a:latin typeface="Calibri" panose="020F0502020204030204"/>
            </a:rPr>
            <a:t>↘</a:t>
          </a:r>
        </a:p>
      </xdr:txBody>
    </xdr:sp>
    <xdr:clientData/>
  </xdr:twoCellAnchor>
  <xdr:twoCellAnchor>
    <xdr:from>
      <xdr:col>3</xdr:col>
      <xdr:colOff>495300</xdr:colOff>
      <xdr:row>36</xdr:row>
      <xdr:rowOff>149225</xdr:rowOff>
    </xdr:from>
    <xdr:to>
      <xdr:col>4</xdr:col>
      <xdr:colOff>571500</xdr:colOff>
      <xdr:row>37</xdr:row>
      <xdr:rowOff>171450</xdr:rowOff>
    </xdr:to>
    <xdr:sp macro="" textlink="">
      <xdr:nvSpPr>
        <xdr:cNvPr id="37" name="Pil 7: T019 til T014">
          <a:extLst>
            <a:ext uri="{FF2B5EF4-FFF2-40B4-BE49-F238E27FC236}">
              <a16:creationId xmlns:a16="http://schemas.microsoft.com/office/drawing/2014/main" id="{91FB1359-C5AE-4217-A10C-5A15AD0697FA}"/>
            </a:ext>
          </a:extLst>
        </xdr:cNvPr>
        <xdr:cNvSpPr/>
      </xdr:nvSpPr>
      <xdr:spPr>
        <a:xfrm>
          <a:off x="2324100" y="7112000"/>
          <a:ext cx="685800" cy="203200"/>
        </a:xfrm>
        <a:prstGeom prst="rightArrow">
          <a:avLst/>
        </a:prstGeom>
        <a:solidFill>
          <a:srgbClr val="C00000"/>
        </a:solidFill>
        <a:ln w="12700" cap="flat" cmpd="sng" algn="ctr">
          <a:solidFill>
            <a:srgbClr val="C00000"/>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a:p>
      </xdr:txBody>
    </xdr:sp>
    <xdr:clientData/>
  </xdr:twoCellAnchor>
  <xdr:twoCellAnchor>
    <xdr:from>
      <xdr:col>3</xdr:col>
      <xdr:colOff>495300</xdr:colOff>
      <xdr:row>10</xdr:row>
      <xdr:rowOff>142875</xdr:rowOff>
    </xdr:from>
    <xdr:to>
      <xdr:col>4</xdr:col>
      <xdr:colOff>571500</xdr:colOff>
      <xdr:row>11</xdr:row>
      <xdr:rowOff>165100</xdr:rowOff>
    </xdr:to>
    <xdr:sp macro="" textlink="">
      <xdr:nvSpPr>
        <xdr:cNvPr id="38" name="Pil 8: T001 til T004">
          <a:extLst>
            <a:ext uri="{FF2B5EF4-FFF2-40B4-BE49-F238E27FC236}">
              <a16:creationId xmlns:a16="http://schemas.microsoft.com/office/drawing/2014/main" id="{8E5C570D-3D15-4ECC-878C-752F38BBFD27}"/>
            </a:ext>
          </a:extLst>
        </xdr:cNvPr>
        <xdr:cNvSpPr/>
      </xdr:nvSpPr>
      <xdr:spPr>
        <a:xfrm>
          <a:off x="2324100" y="2397125"/>
          <a:ext cx="685800" cy="203200"/>
        </a:xfrm>
        <a:prstGeom prst="rightArrow">
          <a:avLst/>
        </a:prstGeom>
        <a:solidFill>
          <a:srgbClr val="5B9BD5"/>
        </a:solidFill>
        <a:ln w="12700" cap="flat" cmpd="sng" algn="ctr">
          <a:solidFill>
            <a:srgbClr val="5B9BD5"/>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a:p>
      </xdr:txBody>
    </xdr:sp>
    <xdr:clientData/>
  </xdr:twoCellAnchor>
  <xdr:twoCellAnchor>
    <xdr:from>
      <xdr:col>4</xdr:col>
      <xdr:colOff>228600</xdr:colOff>
      <xdr:row>10</xdr:row>
      <xdr:rowOff>15875</xdr:rowOff>
    </xdr:from>
    <xdr:to>
      <xdr:col>4</xdr:col>
      <xdr:colOff>542925</xdr:colOff>
      <xdr:row>11</xdr:row>
      <xdr:rowOff>152400</xdr:rowOff>
    </xdr:to>
    <xdr:sp macro="" textlink="">
      <xdr:nvSpPr>
        <xdr:cNvPr id="39" name="Retning T001 til T004">
          <a:extLst>
            <a:ext uri="{FF2B5EF4-FFF2-40B4-BE49-F238E27FC236}">
              <a16:creationId xmlns:a16="http://schemas.microsoft.com/office/drawing/2014/main" id="{22F0247C-B31C-BDAA-D902-E7E452C03E5B}"/>
            </a:ext>
          </a:extLst>
        </xdr:cNvPr>
        <xdr:cNvSpPr txBox="1"/>
      </xdr:nvSpPr>
      <xdr:spPr>
        <a:xfrm>
          <a:off x="2667000" y="2273300"/>
          <a:ext cx="314325" cy="317500"/>
        </a:xfrm>
        <a:prstGeom prst="rect">
          <a:avLst/>
        </a:prstGeom>
        <a:solidFill>
          <a:prstClr val="white"/>
        </a:solidFill>
        <a:ln>
          <a:solidFill>
            <a:prstClr val="black"/>
          </a:solidFill>
        </a:ln>
      </xdr:spPr>
      <xdr:txBody>
        <a:bodyPr vertOverflow="overflow" vert="horz" wrap="square" rtlCol="0" anchor="t">
          <a:spAutoFit/>
        </a:bodyPr>
        <a:lstStyle/>
        <a:p>
          <a:pPr algn="l"/>
          <a:r>
            <a:rPr kumimoji="0" lang="nb-NO" sz="1600" b="0" i="0" u="none" strike="noStrike" kern="0" cap="none" spc="0" normalizeH="0" baseline="0" noProof="0">
              <a:ln>
                <a:noFill/>
              </a:ln>
              <a:solidFill>
                <a:srgbClr val="5B9BD5"/>
              </a:solidFill>
              <a:effectLst/>
              <a:uLnTx/>
              <a:uFillTx/>
              <a:latin typeface="Calibri" panose="020F0502020204030204"/>
            </a:rPr>
            <a:t>↘</a:t>
          </a:r>
        </a:p>
      </xdr:txBody>
    </xdr:sp>
    <xdr:clientData/>
  </xdr:twoCellAnchor>
  <xdr:twoCellAnchor>
    <xdr:from>
      <xdr:col>8</xdr:col>
      <xdr:colOff>180975</xdr:colOff>
      <xdr:row>12</xdr:row>
      <xdr:rowOff>123825</xdr:rowOff>
    </xdr:from>
    <xdr:to>
      <xdr:col>9</xdr:col>
      <xdr:colOff>257175</xdr:colOff>
      <xdr:row>13</xdr:row>
      <xdr:rowOff>146050</xdr:rowOff>
    </xdr:to>
    <xdr:sp macro="" textlink="">
      <xdr:nvSpPr>
        <xdr:cNvPr id="40" name="Pil 9: T004 til T005">
          <a:extLst>
            <a:ext uri="{FF2B5EF4-FFF2-40B4-BE49-F238E27FC236}">
              <a16:creationId xmlns:a16="http://schemas.microsoft.com/office/drawing/2014/main" id="{0E1035B0-36DE-4BA1-A124-12F6A4ECC7D1}"/>
            </a:ext>
          </a:extLst>
        </xdr:cNvPr>
        <xdr:cNvSpPr/>
      </xdr:nvSpPr>
      <xdr:spPr>
        <a:xfrm>
          <a:off x="5054600" y="2740025"/>
          <a:ext cx="685800" cy="203200"/>
        </a:xfrm>
        <a:prstGeom prst="rightArrow">
          <a:avLst/>
        </a:prstGeom>
        <a:solidFill>
          <a:srgbClr val="5B9BD5"/>
        </a:solidFill>
        <a:ln w="12700" cap="flat" cmpd="sng" algn="ctr">
          <a:solidFill>
            <a:srgbClr val="5B9BD5"/>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a:p>
      </xdr:txBody>
    </xdr:sp>
    <xdr:clientData/>
  </xdr:twoCellAnchor>
  <xdr:twoCellAnchor>
    <xdr:from>
      <xdr:col>8</xdr:col>
      <xdr:colOff>523875</xdr:colOff>
      <xdr:row>11</xdr:row>
      <xdr:rowOff>171450</xdr:rowOff>
    </xdr:from>
    <xdr:to>
      <xdr:col>9</xdr:col>
      <xdr:colOff>228600</xdr:colOff>
      <xdr:row>13</xdr:row>
      <xdr:rowOff>127000</xdr:rowOff>
    </xdr:to>
    <xdr:sp macro="" textlink="">
      <xdr:nvSpPr>
        <xdr:cNvPr id="41" name="Retning T004 til T005">
          <a:extLst>
            <a:ext uri="{FF2B5EF4-FFF2-40B4-BE49-F238E27FC236}">
              <a16:creationId xmlns:a16="http://schemas.microsoft.com/office/drawing/2014/main" id="{C44119AA-776C-BBC2-2ACC-B3CB8DCE4060}"/>
            </a:ext>
          </a:extLst>
        </xdr:cNvPr>
        <xdr:cNvSpPr txBox="1"/>
      </xdr:nvSpPr>
      <xdr:spPr>
        <a:xfrm>
          <a:off x="5400675" y="2609850"/>
          <a:ext cx="314325" cy="317500"/>
        </a:xfrm>
        <a:prstGeom prst="rect">
          <a:avLst/>
        </a:prstGeom>
        <a:solidFill>
          <a:prstClr val="white"/>
        </a:solidFill>
        <a:ln>
          <a:solidFill>
            <a:prstClr val="black"/>
          </a:solidFill>
        </a:ln>
      </xdr:spPr>
      <xdr:txBody>
        <a:bodyPr vertOverflow="overflow" vert="horz" wrap="square" rtlCol="0" anchor="t">
          <a:spAutoFit/>
        </a:bodyPr>
        <a:lstStyle/>
        <a:p>
          <a:pPr algn="l"/>
          <a:r>
            <a:rPr kumimoji="0" lang="nb-NO" sz="1600" b="0" i="0" u="none" strike="noStrike" kern="0" cap="none" spc="0" normalizeH="0" baseline="0" noProof="0">
              <a:ln>
                <a:noFill/>
              </a:ln>
              <a:solidFill>
                <a:srgbClr val="5B9BD5"/>
              </a:solidFill>
              <a:effectLst/>
              <a:uLnTx/>
              <a:uFillTx/>
              <a:latin typeface="Calibri" panose="020F0502020204030204"/>
            </a:rPr>
            <a:t>↗</a:t>
          </a:r>
        </a:p>
      </xdr:txBody>
    </xdr:sp>
    <xdr:clientData/>
  </xdr:twoCellAnchor>
  <xdr:twoCellAnchor>
    <xdr:from>
      <xdr:col>12</xdr:col>
      <xdr:colOff>466725</xdr:colOff>
      <xdr:row>16</xdr:row>
      <xdr:rowOff>66675</xdr:rowOff>
    </xdr:from>
    <xdr:to>
      <xdr:col>13</xdr:col>
      <xdr:colOff>542925</xdr:colOff>
      <xdr:row>17</xdr:row>
      <xdr:rowOff>88900</xdr:rowOff>
    </xdr:to>
    <xdr:sp macro="" textlink="">
      <xdr:nvSpPr>
        <xdr:cNvPr id="42" name="Pil 10: T005 til T006">
          <a:extLst>
            <a:ext uri="{FF2B5EF4-FFF2-40B4-BE49-F238E27FC236}">
              <a16:creationId xmlns:a16="http://schemas.microsoft.com/office/drawing/2014/main" id="{7F1CBBBF-B8E4-47E1-9CFA-40EE036466B3}"/>
            </a:ext>
          </a:extLst>
        </xdr:cNvPr>
        <xdr:cNvSpPr/>
      </xdr:nvSpPr>
      <xdr:spPr>
        <a:xfrm>
          <a:off x="7778750" y="3406775"/>
          <a:ext cx="685800" cy="203200"/>
        </a:xfrm>
        <a:prstGeom prst="rightArrow">
          <a:avLst/>
        </a:prstGeom>
        <a:solidFill>
          <a:srgbClr val="5B9BD5"/>
        </a:solidFill>
        <a:ln w="12700" cap="flat" cmpd="sng" algn="ctr">
          <a:solidFill>
            <a:srgbClr val="5B9BD5"/>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a:p>
      </xdr:txBody>
    </xdr:sp>
    <xdr:clientData/>
  </xdr:twoCellAnchor>
  <xdr:twoCellAnchor>
    <xdr:from>
      <xdr:col>13</xdr:col>
      <xdr:colOff>200025</xdr:colOff>
      <xdr:row>15</xdr:row>
      <xdr:rowOff>120650</xdr:rowOff>
    </xdr:from>
    <xdr:to>
      <xdr:col>13</xdr:col>
      <xdr:colOff>514350</xdr:colOff>
      <xdr:row>17</xdr:row>
      <xdr:rowOff>76200</xdr:rowOff>
    </xdr:to>
    <xdr:sp macro="" textlink="">
      <xdr:nvSpPr>
        <xdr:cNvPr id="43" name="Retning T005 til T006">
          <a:extLst>
            <a:ext uri="{FF2B5EF4-FFF2-40B4-BE49-F238E27FC236}">
              <a16:creationId xmlns:a16="http://schemas.microsoft.com/office/drawing/2014/main" id="{61A4E888-87CC-ADBE-7543-034E0012F447}"/>
            </a:ext>
          </a:extLst>
        </xdr:cNvPr>
        <xdr:cNvSpPr txBox="1"/>
      </xdr:nvSpPr>
      <xdr:spPr>
        <a:xfrm>
          <a:off x="8124825" y="3282950"/>
          <a:ext cx="314325" cy="317500"/>
        </a:xfrm>
        <a:prstGeom prst="rect">
          <a:avLst/>
        </a:prstGeom>
        <a:solidFill>
          <a:prstClr val="white"/>
        </a:solidFill>
        <a:ln>
          <a:solidFill>
            <a:prstClr val="black"/>
          </a:solidFill>
        </a:ln>
      </xdr:spPr>
      <xdr:txBody>
        <a:bodyPr vertOverflow="overflow" vert="horz" wrap="square" rtlCol="0" anchor="t">
          <a:spAutoFit/>
        </a:bodyPr>
        <a:lstStyle/>
        <a:p>
          <a:pPr algn="l"/>
          <a:r>
            <a:rPr kumimoji="0" lang="nb-NO" sz="1600" b="0" i="0" u="none" strike="noStrike" kern="0" cap="none" spc="0" normalizeH="0" baseline="0" noProof="0">
              <a:ln>
                <a:noFill/>
              </a:ln>
              <a:solidFill>
                <a:srgbClr val="5B9BD5"/>
              </a:solidFill>
              <a:effectLst/>
              <a:uLnTx/>
              <a:uFillTx/>
              <a:latin typeface="Calibri" panose="020F0502020204030204"/>
            </a:rPr>
            <a:t>↘</a:t>
          </a:r>
        </a:p>
      </xdr:txBody>
    </xdr:sp>
    <xdr:clientData/>
  </xdr:twoCellAnchor>
  <xdr:twoCellAnchor>
    <xdr:from>
      <xdr:col>26</xdr:col>
      <xdr:colOff>123825</xdr:colOff>
      <xdr:row>21</xdr:row>
      <xdr:rowOff>171450</xdr:rowOff>
    </xdr:from>
    <xdr:to>
      <xdr:col>27</xdr:col>
      <xdr:colOff>200025</xdr:colOff>
      <xdr:row>23</xdr:row>
      <xdr:rowOff>12700</xdr:rowOff>
    </xdr:to>
    <xdr:sp macro="" textlink="">
      <xdr:nvSpPr>
        <xdr:cNvPr id="44" name="Pil 11: T008 til T017">
          <a:extLst>
            <a:ext uri="{FF2B5EF4-FFF2-40B4-BE49-F238E27FC236}">
              <a16:creationId xmlns:a16="http://schemas.microsoft.com/office/drawing/2014/main" id="{1E3A9705-9376-440C-BFFA-932103E06EBA}"/>
            </a:ext>
          </a:extLst>
        </xdr:cNvPr>
        <xdr:cNvSpPr/>
      </xdr:nvSpPr>
      <xdr:spPr>
        <a:xfrm>
          <a:off x="15970250" y="4419600"/>
          <a:ext cx="685800" cy="200025"/>
        </a:xfrm>
        <a:prstGeom prst="rightArrow">
          <a:avLst/>
        </a:prstGeom>
        <a:solidFill>
          <a:srgbClr val="5B9BD5"/>
        </a:solidFill>
        <a:ln w="12700" cap="flat" cmpd="sng" algn="ctr">
          <a:solidFill>
            <a:srgbClr val="5B9BD5"/>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a:p>
      </xdr:txBody>
    </xdr:sp>
    <xdr:clientData/>
  </xdr:twoCellAnchor>
  <xdr:twoCellAnchor>
    <xdr:from>
      <xdr:col>3</xdr:col>
      <xdr:colOff>495300</xdr:colOff>
      <xdr:row>29</xdr:row>
      <xdr:rowOff>63500</xdr:rowOff>
    </xdr:from>
    <xdr:to>
      <xdr:col>4</xdr:col>
      <xdr:colOff>571500</xdr:colOff>
      <xdr:row>30</xdr:row>
      <xdr:rowOff>85725</xdr:rowOff>
    </xdr:to>
    <xdr:sp macro="" textlink="">
      <xdr:nvSpPr>
        <xdr:cNvPr id="45" name="Pil 12: T011 til T012">
          <a:extLst>
            <a:ext uri="{FF2B5EF4-FFF2-40B4-BE49-F238E27FC236}">
              <a16:creationId xmlns:a16="http://schemas.microsoft.com/office/drawing/2014/main" id="{76A62A96-95AB-4FB5-AA3C-9AA705147CDD}"/>
            </a:ext>
          </a:extLst>
        </xdr:cNvPr>
        <xdr:cNvSpPr/>
      </xdr:nvSpPr>
      <xdr:spPr>
        <a:xfrm>
          <a:off x="2324100" y="5762625"/>
          <a:ext cx="685800" cy="196850"/>
        </a:xfrm>
        <a:prstGeom prst="rightArrow">
          <a:avLst/>
        </a:prstGeom>
        <a:solidFill>
          <a:srgbClr val="5B9BD5"/>
        </a:solidFill>
        <a:ln w="12700" cap="flat" cmpd="sng" algn="ctr">
          <a:solidFill>
            <a:srgbClr val="5B9BD5"/>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a:p>
      </xdr:txBody>
    </xdr:sp>
    <xdr:clientData/>
  </xdr:twoCellAnchor>
  <xdr:twoCellAnchor>
    <xdr:from>
      <xdr:col>8</xdr:col>
      <xdr:colOff>180975</xdr:colOff>
      <xdr:row>27</xdr:row>
      <xdr:rowOff>95250</xdr:rowOff>
    </xdr:from>
    <xdr:to>
      <xdr:col>9</xdr:col>
      <xdr:colOff>257175</xdr:colOff>
      <xdr:row>28</xdr:row>
      <xdr:rowOff>117475</xdr:rowOff>
    </xdr:to>
    <xdr:sp macro="" textlink="">
      <xdr:nvSpPr>
        <xdr:cNvPr id="46" name="Pil 13: T012 til T013">
          <a:extLst>
            <a:ext uri="{FF2B5EF4-FFF2-40B4-BE49-F238E27FC236}">
              <a16:creationId xmlns:a16="http://schemas.microsoft.com/office/drawing/2014/main" id="{63B4FFD7-8CDE-4C6C-94B3-2732AB28F297}"/>
            </a:ext>
          </a:extLst>
        </xdr:cNvPr>
        <xdr:cNvSpPr/>
      </xdr:nvSpPr>
      <xdr:spPr>
        <a:xfrm>
          <a:off x="5054600" y="5429250"/>
          <a:ext cx="685800" cy="206375"/>
        </a:xfrm>
        <a:prstGeom prst="rightArrow">
          <a:avLst/>
        </a:prstGeom>
        <a:solidFill>
          <a:srgbClr val="5B9BD5"/>
        </a:solidFill>
        <a:ln w="12700" cap="flat" cmpd="sng" algn="ctr">
          <a:solidFill>
            <a:srgbClr val="5B9BD5"/>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a:p>
      </xdr:txBody>
    </xdr:sp>
    <xdr:clientData/>
  </xdr:twoCellAnchor>
  <xdr:twoCellAnchor>
    <xdr:from>
      <xdr:col>8</xdr:col>
      <xdr:colOff>523875</xdr:colOff>
      <xdr:row>26</xdr:row>
      <xdr:rowOff>149225</xdr:rowOff>
    </xdr:from>
    <xdr:to>
      <xdr:col>9</xdr:col>
      <xdr:colOff>228600</xdr:colOff>
      <xdr:row>28</xdr:row>
      <xdr:rowOff>104775</xdr:rowOff>
    </xdr:to>
    <xdr:sp macro="" textlink="">
      <xdr:nvSpPr>
        <xdr:cNvPr id="47" name="Retning T012 til T013">
          <a:extLst>
            <a:ext uri="{FF2B5EF4-FFF2-40B4-BE49-F238E27FC236}">
              <a16:creationId xmlns:a16="http://schemas.microsoft.com/office/drawing/2014/main" id="{5407ABAB-9B2D-9E52-4315-4DEE6BBA13AF}"/>
            </a:ext>
          </a:extLst>
        </xdr:cNvPr>
        <xdr:cNvSpPr txBox="1"/>
      </xdr:nvSpPr>
      <xdr:spPr>
        <a:xfrm>
          <a:off x="5400675" y="5302250"/>
          <a:ext cx="314325" cy="317500"/>
        </a:xfrm>
        <a:prstGeom prst="rect">
          <a:avLst/>
        </a:prstGeom>
        <a:solidFill>
          <a:prstClr val="white"/>
        </a:solidFill>
        <a:ln>
          <a:solidFill>
            <a:prstClr val="black"/>
          </a:solidFill>
        </a:ln>
      </xdr:spPr>
      <xdr:txBody>
        <a:bodyPr vertOverflow="overflow" vert="horz" wrap="square" rtlCol="0" anchor="t">
          <a:spAutoFit/>
        </a:bodyPr>
        <a:lstStyle/>
        <a:p>
          <a:pPr algn="l"/>
          <a:r>
            <a:rPr kumimoji="0" lang="nb-NO" sz="1600" b="0" i="0" u="none" strike="noStrike" kern="0" cap="none" spc="0" normalizeH="0" baseline="0" noProof="0">
              <a:ln>
                <a:noFill/>
              </a:ln>
              <a:solidFill>
                <a:srgbClr val="5B9BD5"/>
              </a:solidFill>
              <a:effectLst/>
              <a:uLnTx/>
              <a:uFillTx/>
              <a:latin typeface="Calibri" panose="020F0502020204030204"/>
            </a:rPr>
            <a:t>↗</a:t>
          </a:r>
        </a:p>
      </xdr:txBody>
    </xdr:sp>
    <xdr:clientData/>
  </xdr:twoCellAnchor>
  <xdr:twoCellAnchor>
    <xdr:from>
      <xdr:col>8</xdr:col>
      <xdr:colOff>180975</xdr:colOff>
      <xdr:row>35</xdr:row>
      <xdr:rowOff>0</xdr:rowOff>
    </xdr:from>
    <xdr:to>
      <xdr:col>9</xdr:col>
      <xdr:colOff>257175</xdr:colOff>
      <xdr:row>36</xdr:row>
      <xdr:rowOff>22225</xdr:rowOff>
    </xdr:to>
    <xdr:sp macro="" textlink="">
      <xdr:nvSpPr>
        <xdr:cNvPr id="48" name="Pil 14: T014 til T016">
          <a:extLst>
            <a:ext uri="{FF2B5EF4-FFF2-40B4-BE49-F238E27FC236}">
              <a16:creationId xmlns:a16="http://schemas.microsoft.com/office/drawing/2014/main" id="{9D177B88-3E9A-4E19-AFF3-963091017CD1}"/>
            </a:ext>
          </a:extLst>
        </xdr:cNvPr>
        <xdr:cNvSpPr/>
      </xdr:nvSpPr>
      <xdr:spPr>
        <a:xfrm>
          <a:off x="5054600" y="6781800"/>
          <a:ext cx="685800" cy="206375"/>
        </a:xfrm>
        <a:prstGeom prst="rightArrow">
          <a:avLst/>
        </a:prstGeom>
        <a:solidFill>
          <a:srgbClr val="5B9BD5"/>
        </a:solidFill>
        <a:ln w="12700" cap="flat" cmpd="sng" algn="ctr">
          <a:solidFill>
            <a:srgbClr val="5B9BD5"/>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a:p>
      </xdr:txBody>
    </xdr:sp>
    <xdr:clientData/>
  </xdr:twoCellAnchor>
  <xdr:twoCellAnchor>
    <xdr:from>
      <xdr:col>8</xdr:col>
      <xdr:colOff>523875</xdr:colOff>
      <xdr:row>34</xdr:row>
      <xdr:rowOff>47625</xdr:rowOff>
    </xdr:from>
    <xdr:to>
      <xdr:col>9</xdr:col>
      <xdr:colOff>228600</xdr:colOff>
      <xdr:row>36</xdr:row>
      <xdr:rowOff>3175</xdr:rowOff>
    </xdr:to>
    <xdr:sp macro="" textlink="">
      <xdr:nvSpPr>
        <xdr:cNvPr id="49" name="Retning T014 til T016">
          <a:extLst>
            <a:ext uri="{FF2B5EF4-FFF2-40B4-BE49-F238E27FC236}">
              <a16:creationId xmlns:a16="http://schemas.microsoft.com/office/drawing/2014/main" id="{DB47C573-197A-5509-00A3-11492BF524EC}"/>
            </a:ext>
          </a:extLst>
        </xdr:cNvPr>
        <xdr:cNvSpPr txBox="1"/>
      </xdr:nvSpPr>
      <xdr:spPr>
        <a:xfrm>
          <a:off x="5400675" y="6648450"/>
          <a:ext cx="314325" cy="317500"/>
        </a:xfrm>
        <a:prstGeom prst="rect">
          <a:avLst/>
        </a:prstGeom>
        <a:solidFill>
          <a:prstClr val="white"/>
        </a:solidFill>
        <a:ln>
          <a:solidFill>
            <a:prstClr val="black"/>
          </a:solidFill>
        </a:ln>
      </xdr:spPr>
      <xdr:txBody>
        <a:bodyPr vertOverflow="overflow" vert="horz" wrap="square" rtlCol="0" anchor="t">
          <a:spAutoFit/>
        </a:bodyPr>
        <a:lstStyle/>
        <a:p>
          <a:pPr algn="l"/>
          <a:r>
            <a:rPr kumimoji="0" lang="nb-NO" sz="1600" b="0" i="0" u="none" strike="noStrike" kern="0" cap="none" spc="0" normalizeH="0" baseline="0" noProof="0">
              <a:ln>
                <a:noFill/>
              </a:ln>
              <a:solidFill>
                <a:srgbClr val="5B9BD5"/>
              </a:solidFill>
              <a:effectLst/>
              <a:uLnTx/>
              <a:uFillTx/>
              <a:latin typeface="Calibri" panose="020F0502020204030204"/>
            </a:rPr>
            <a:t>↗</a:t>
          </a:r>
        </a:p>
      </xdr:txBody>
    </xdr:sp>
    <xdr:clientData/>
  </xdr:twoCellAnchor>
  <xdr:twoCellAnchor>
    <xdr:from>
      <xdr:col>21</xdr:col>
      <xdr:colOff>447675</xdr:colOff>
      <xdr:row>21</xdr:row>
      <xdr:rowOff>171450</xdr:rowOff>
    </xdr:from>
    <xdr:to>
      <xdr:col>22</xdr:col>
      <xdr:colOff>523875</xdr:colOff>
      <xdr:row>23</xdr:row>
      <xdr:rowOff>12700</xdr:rowOff>
    </xdr:to>
    <xdr:sp macro="" textlink="">
      <xdr:nvSpPr>
        <xdr:cNvPr id="50" name="Pil 15: T015 til T008">
          <a:extLst>
            <a:ext uri="{FF2B5EF4-FFF2-40B4-BE49-F238E27FC236}">
              <a16:creationId xmlns:a16="http://schemas.microsoft.com/office/drawing/2014/main" id="{599FF7C0-7C9B-4F2D-B267-FE7ABFDEE8C4}"/>
            </a:ext>
          </a:extLst>
        </xdr:cNvPr>
        <xdr:cNvSpPr/>
      </xdr:nvSpPr>
      <xdr:spPr>
        <a:xfrm>
          <a:off x="13246100" y="4419600"/>
          <a:ext cx="685800" cy="200025"/>
        </a:xfrm>
        <a:prstGeom prst="rightArrow">
          <a:avLst/>
        </a:prstGeom>
        <a:solidFill>
          <a:srgbClr val="5B9BD5"/>
        </a:solidFill>
        <a:ln w="12700" cap="flat" cmpd="sng" algn="ctr">
          <a:solidFill>
            <a:srgbClr val="5B9BD5"/>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a:p>
      </xdr:txBody>
    </xdr:sp>
    <xdr:clientData/>
  </xdr:twoCellAnchor>
  <xdr:twoCellAnchor>
    <xdr:from>
      <xdr:col>0</xdr:col>
      <xdr:colOff>381000</xdr:colOff>
      <xdr:row>12</xdr:row>
      <xdr:rowOff>66675</xdr:rowOff>
    </xdr:from>
    <xdr:to>
      <xdr:col>3</xdr:col>
      <xdr:colOff>390525</xdr:colOff>
      <xdr:row>17</xdr:row>
      <xdr:rowOff>152400</xdr:rowOff>
    </xdr:to>
    <xdr:sp macro="" textlink="">
      <xdr:nvSpPr>
        <xdr:cNvPr id="51" name="T002 Planning permission">
          <a:extLst>
            <a:ext uri="{FF2B5EF4-FFF2-40B4-BE49-F238E27FC236}">
              <a16:creationId xmlns:a16="http://schemas.microsoft.com/office/drawing/2014/main" id="{4583F2AE-97B6-4F41-87A5-F2F990B86BE5}"/>
            </a:ext>
          </a:extLst>
        </xdr:cNvPr>
        <xdr:cNvSpPr/>
      </xdr:nvSpPr>
      <xdr:spPr>
        <a:xfrm>
          <a:off x="381000" y="2682875"/>
          <a:ext cx="1835150" cy="993775"/>
        </a:xfrm>
        <a:prstGeom prst="flowChartTerminator">
          <a:avLst/>
        </a:prstGeom>
        <a:solidFill>
          <a:srgbClr val="C6E0B4"/>
        </a:solidFill>
        <a:ln w="12700" cap="flat" cmpd="sng" algn="ctr">
          <a:solidFill>
            <a:srgbClr val="C00000"/>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nb-NO" sz="850" b="0" i="0" u="none" strike="noStrike" kern="0" cap="none" spc="0" normalizeH="0" baseline="0" noProof="0">
              <a:ln>
                <a:noFill/>
              </a:ln>
              <a:solidFill>
                <a:srgbClr val="1F1F1F"/>
              </a:solidFill>
              <a:effectLst/>
              <a:uLnTx/>
              <a:uFillTx/>
              <a:latin typeface="Aptos"/>
            </a:rPr>
            <a:t>T002  Planning permission
FE | Fullført
01.06.2026–06.07.2026</a:t>
          </a:r>
        </a:p>
      </xdr:txBody>
    </xdr:sp>
    <xdr:clientData/>
  </xdr:twoCellAnchor>
  <xdr:twoCellAnchor>
    <xdr:from>
      <xdr:col>5</xdr:col>
      <xdr:colOff>66675</xdr:colOff>
      <xdr:row>4</xdr:row>
      <xdr:rowOff>161925</xdr:rowOff>
    </xdr:from>
    <xdr:to>
      <xdr:col>8</xdr:col>
      <xdr:colOff>76200</xdr:colOff>
      <xdr:row>10</xdr:row>
      <xdr:rowOff>66675</xdr:rowOff>
    </xdr:to>
    <xdr:sp macro="" textlink="">
      <xdr:nvSpPr>
        <xdr:cNvPr id="52" name="T003 Wait for planning permission">
          <a:extLst>
            <a:ext uri="{FF2B5EF4-FFF2-40B4-BE49-F238E27FC236}">
              <a16:creationId xmlns:a16="http://schemas.microsoft.com/office/drawing/2014/main" id="{EF7562DB-C931-4023-AA6F-A7BB975D0D14}"/>
            </a:ext>
          </a:extLst>
        </xdr:cNvPr>
        <xdr:cNvSpPr/>
      </xdr:nvSpPr>
      <xdr:spPr>
        <a:xfrm>
          <a:off x="3111500" y="1330325"/>
          <a:ext cx="1841500" cy="990600"/>
        </a:xfrm>
        <a:prstGeom prst="flowChartProcess">
          <a:avLst/>
        </a:prstGeom>
        <a:solidFill>
          <a:srgbClr val="FFD966"/>
        </a:solidFill>
        <a:ln w="12700" cap="flat" cmpd="sng" algn="ctr">
          <a:solidFill>
            <a:srgbClr val="C00000"/>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nb-NO" sz="850" b="0" i="0" u="none" strike="noStrike" kern="0" cap="none" spc="0" normalizeH="0" baseline="0" noProof="0">
              <a:ln>
                <a:noFill/>
              </a:ln>
              <a:solidFill>
                <a:srgbClr val="1F1F1F"/>
              </a:solidFill>
              <a:effectLst/>
              <a:uLnTx/>
              <a:uFillTx/>
              <a:latin typeface="Aptos"/>
            </a:rPr>
            <a:t>T003  Wait for planning permission
FE | Pågår
13.07.2026–14.09.2026
Kost: 100</a:t>
          </a:r>
        </a:p>
      </xdr:txBody>
    </xdr:sp>
    <xdr:clientData/>
  </xdr:twoCellAnchor>
  <xdr:twoCellAnchor>
    <xdr:from>
      <xdr:col>14</xdr:col>
      <xdr:colOff>38100</xdr:colOff>
      <xdr:row>19</xdr:row>
      <xdr:rowOff>139700</xdr:rowOff>
    </xdr:from>
    <xdr:to>
      <xdr:col>17</xdr:col>
      <xdr:colOff>47625</xdr:colOff>
      <xdr:row>25</xdr:row>
      <xdr:rowOff>44450</xdr:rowOff>
    </xdr:to>
    <xdr:sp macro="" textlink="">
      <xdr:nvSpPr>
        <xdr:cNvPr id="53" name="T006 Dig trench">
          <a:extLst>
            <a:ext uri="{FF2B5EF4-FFF2-40B4-BE49-F238E27FC236}">
              <a16:creationId xmlns:a16="http://schemas.microsoft.com/office/drawing/2014/main" id="{CC6123D0-92D3-4900-B993-0976DC4CD294}"/>
            </a:ext>
          </a:extLst>
        </xdr:cNvPr>
        <xdr:cNvSpPr/>
      </xdr:nvSpPr>
      <xdr:spPr>
        <a:xfrm>
          <a:off x="8572500" y="4029075"/>
          <a:ext cx="1835150" cy="990600"/>
        </a:xfrm>
        <a:prstGeom prst="flowChartProcess">
          <a:avLst/>
        </a:prstGeom>
        <a:solidFill>
          <a:srgbClr val="D9EAF7"/>
        </a:solidFill>
        <a:ln w="12700" cap="flat" cmpd="sng" algn="ctr">
          <a:solidFill>
            <a:srgbClr val="C00000"/>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nb-NO" sz="850" b="0" i="0" u="none" strike="noStrike" kern="0" cap="none" spc="0" normalizeH="0" baseline="0" noProof="0">
              <a:ln>
                <a:noFill/>
              </a:ln>
              <a:solidFill>
                <a:srgbClr val="1F1F1F"/>
              </a:solidFill>
              <a:effectLst/>
              <a:uLnTx/>
              <a:uFillTx/>
              <a:latin typeface="Aptos"/>
            </a:rPr>
            <a:t>T006  Dig trench
NN | Ikke startet
21.09.2026–21.09.2026
Kost: 350</a:t>
          </a:r>
        </a:p>
      </xdr:txBody>
    </xdr:sp>
    <xdr:clientData/>
  </xdr:twoCellAnchor>
  <xdr:twoCellAnchor>
    <xdr:from>
      <xdr:col>9</xdr:col>
      <xdr:colOff>352425</xdr:colOff>
      <xdr:row>16</xdr:row>
      <xdr:rowOff>9525</xdr:rowOff>
    </xdr:from>
    <xdr:to>
      <xdr:col>12</xdr:col>
      <xdr:colOff>361950</xdr:colOff>
      <xdr:row>21</xdr:row>
      <xdr:rowOff>95250</xdr:rowOff>
    </xdr:to>
    <xdr:sp macro="" textlink="">
      <xdr:nvSpPr>
        <xdr:cNvPr id="54" name="T007 Hire digger">
          <a:extLst>
            <a:ext uri="{FF2B5EF4-FFF2-40B4-BE49-F238E27FC236}">
              <a16:creationId xmlns:a16="http://schemas.microsoft.com/office/drawing/2014/main" id="{CB34DDF4-7B5C-4A88-BAC5-1EB8E5E5E852}"/>
            </a:ext>
          </a:extLst>
        </xdr:cNvPr>
        <xdr:cNvSpPr/>
      </xdr:nvSpPr>
      <xdr:spPr>
        <a:xfrm>
          <a:off x="5835650" y="3349625"/>
          <a:ext cx="1841500" cy="993775"/>
        </a:xfrm>
        <a:prstGeom prst="flowChartProcess">
          <a:avLst/>
        </a:prstGeom>
        <a:solidFill>
          <a:srgbClr val="D9EAF7"/>
        </a:solidFill>
        <a:ln w="12700" cap="flat" cmpd="sng" algn="ctr">
          <a:solidFill>
            <a:srgbClr val="C00000"/>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nb-NO" sz="850" b="0" i="0" u="none" strike="noStrike" kern="0" cap="none" spc="0" normalizeH="0" baseline="0" noProof="0">
              <a:ln>
                <a:noFill/>
              </a:ln>
              <a:solidFill>
                <a:srgbClr val="1F1F1F"/>
              </a:solidFill>
              <a:effectLst/>
              <a:uLnTx/>
              <a:uFillTx/>
              <a:latin typeface="Aptos"/>
            </a:rPr>
            <a:t>T007  Hire digger
FE | Ikke startet
28.09.2026–05.10.2026</a:t>
          </a:r>
        </a:p>
      </xdr:txBody>
    </xdr:sp>
    <xdr:clientData/>
  </xdr:twoCellAnchor>
  <xdr:twoCellAnchor>
    <xdr:from>
      <xdr:col>0</xdr:col>
      <xdr:colOff>381000</xdr:colOff>
      <xdr:row>19</xdr:row>
      <xdr:rowOff>139700</xdr:rowOff>
    </xdr:from>
    <xdr:to>
      <xdr:col>3</xdr:col>
      <xdr:colOff>390525</xdr:colOff>
      <xdr:row>25</xdr:row>
      <xdr:rowOff>44450</xdr:rowOff>
    </xdr:to>
    <xdr:sp macro="" textlink="">
      <xdr:nvSpPr>
        <xdr:cNvPr id="55" name="T009 Fill with concrete">
          <a:extLst>
            <a:ext uri="{FF2B5EF4-FFF2-40B4-BE49-F238E27FC236}">
              <a16:creationId xmlns:a16="http://schemas.microsoft.com/office/drawing/2014/main" id="{10B41DF1-8DC2-4C32-88E4-C6B4E727200E}"/>
            </a:ext>
          </a:extLst>
        </xdr:cNvPr>
        <xdr:cNvSpPr/>
      </xdr:nvSpPr>
      <xdr:spPr>
        <a:xfrm>
          <a:off x="381000" y="4029075"/>
          <a:ext cx="1835150" cy="990600"/>
        </a:xfrm>
        <a:prstGeom prst="flowChartTerminator">
          <a:avLst/>
        </a:prstGeom>
        <a:solidFill>
          <a:srgbClr val="D9EAF7"/>
        </a:solidFill>
        <a:ln w="12700" cap="flat" cmpd="sng" algn="ctr">
          <a:solidFill>
            <a:srgbClr val="C00000"/>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nb-NO" sz="850" b="0" i="0" u="none" strike="noStrike" kern="0" cap="none" spc="0" normalizeH="0" baseline="0" noProof="0">
              <a:ln>
                <a:noFill/>
              </a:ln>
              <a:solidFill>
                <a:srgbClr val="1F1F1F"/>
              </a:solidFill>
              <a:effectLst/>
              <a:uLnTx/>
              <a:uFillTx/>
              <a:latin typeface="Aptos"/>
            </a:rPr>
            <a:t>T009  Fill with concrete
NN | Ikke startet
12.10.2026–12.10.2026
Kost: 700</a:t>
          </a:r>
        </a:p>
      </xdr:txBody>
    </xdr:sp>
    <xdr:clientData/>
  </xdr:twoCellAnchor>
  <xdr:twoCellAnchor>
    <xdr:from>
      <xdr:col>5</xdr:col>
      <xdr:colOff>66675</xdr:colOff>
      <xdr:row>19</xdr:row>
      <xdr:rowOff>139700</xdr:rowOff>
    </xdr:from>
    <xdr:to>
      <xdr:col>8</xdr:col>
      <xdr:colOff>76200</xdr:colOff>
      <xdr:row>25</xdr:row>
      <xdr:rowOff>44450</xdr:rowOff>
    </xdr:to>
    <xdr:sp macro="" textlink="">
      <xdr:nvSpPr>
        <xdr:cNvPr id="56" name="T010 Level the base">
          <a:extLst>
            <a:ext uri="{FF2B5EF4-FFF2-40B4-BE49-F238E27FC236}">
              <a16:creationId xmlns:a16="http://schemas.microsoft.com/office/drawing/2014/main" id="{FB1691C1-8C61-4293-8A88-87C0F7F94EA0}"/>
            </a:ext>
          </a:extLst>
        </xdr:cNvPr>
        <xdr:cNvSpPr/>
      </xdr:nvSpPr>
      <xdr:spPr>
        <a:xfrm>
          <a:off x="3111500" y="4029075"/>
          <a:ext cx="1841500" cy="990600"/>
        </a:xfrm>
        <a:prstGeom prst="flowChartProcess">
          <a:avLst/>
        </a:prstGeom>
        <a:solidFill>
          <a:srgbClr val="D9EAF7"/>
        </a:solidFill>
        <a:ln w="12700" cap="flat" cmpd="sng" algn="ctr">
          <a:solidFill>
            <a:srgbClr val="C00000"/>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nb-NO" sz="850" b="0" i="0" u="none" strike="noStrike" kern="0" cap="none" spc="0" normalizeH="0" baseline="0" noProof="0">
              <a:ln>
                <a:noFill/>
              </a:ln>
              <a:solidFill>
                <a:srgbClr val="1F1F1F"/>
              </a:solidFill>
              <a:effectLst/>
              <a:uLnTx/>
              <a:uFillTx/>
              <a:latin typeface="Aptos"/>
            </a:rPr>
            <a:t>T010  Level the base
NN | Ikke startet
19.10.2026–19.10.2026
Kost: 100</a:t>
          </a:r>
        </a:p>
      </xdr:txBody>
    </xdr:sp>
    <xdr:clientData/>
  </xdr:twoCellAnchor>
  <xdr:twoCellAnchor>
    <xdr:from>
      <xdr:col>27</xdr:col>
      <xdr:colOff>304800</xdr:colOff>
      <xdr:row>19</xdr:row>
      <xdr:rowOff>139700</xdr:rowOff>
    </xdr:from>
    <xdr:to>
      <xdr:col>30</xdr:col>
      <xdr:colOff>314325</xdr:colOff>
      <xdr:row>25</xdr:row>
      <xdr:rowOff>44450</xdr:rowOff>
    </xdr:to>
    <xdr:sp macro="" textlink="">
      <xdr:nvSpPr>
        <xdr:cNvPr id="57" name="T017 the Finish">
          <a:extLst>
            <a:ext uri="{FF2B5EF4-FFF2-40B4-BE49-F238E27FC236}">
              <a16:creationId xmlns:a16="http://schemas.microsoft.com/office/drawing/2014/main" id="{F982587B-E16B-4883-83CD-194A32BD5500}"/>
            </a:ext>
          </a:extLst>
        </xdr:cNvPr>
        <xdr:cNvSpPr/>
      </xdr:nvSpPr>
      <xdr:spPr>
        <a:xfrm>
          <a:off x="16764000" y="4029075"/>
          <a:ext cx="1835150" cy="990600"/>
        </a:xfrm>
        <a:prstGeom prst="flowChartTerminator">
          <a:avLst/>
        </a:prstGeom>
        <a:solidFill>
          <a:srgbClr val="D9EAF7"/>
        </a:solidFill>
        <a:ln w="12700" cap="flat" cmpd="sng" algn="ctr">
          <a:solidFill>
            <a:srgbClr val="5B9BD5"/>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nb-NO" sz="850" b="0" i="0" u="none" strike="noStrike" kern="0" cap="none" spc="0" normalizeH="0" baseline="0" noProof="0">
              <a:ln>
                <a:noFill/>
              </a:ln>
              <a:solidFill>
                <a:srgbClr val="1F1F1F"/>
              </a:solidFill>
              <a:effectLst/>
              <a:uLnTx/>
              <a:uFillTx/>
              <a:latin typeface="Aptos"/>
            </a:rPr>
            <a:t>T017  the Finish
FE | Ikke startet
26.10.2026–16.11.2026
Kost: 8,000</a:t>
          </a:r>
        </a:p>
      </xdr:txBody>
    </xdr:sp>
    <xdr:clientData/>
  </xdr:twoCellAnchor>
  <xdr:twoCellAnchor>
    <xdr:from>
      <xdr:col>0</xdr:col>
      <xdr:colOff>381000</xdr:colOff>
      <xdr:row>34</xdr:row>
      <xdr:rowOff>123825</xdr:rowOff>
    </xdr:from>
    <xdr:to>
      <xdr:col>3</xdr:col>
      <xdr:colOff>390525</xdr:colOff>
      <xdr:row>40</xdr:row>
      <xdr:rowOff>28575</xdr:rowOff>
    </xdr:to>
    <xdr:sp macro="" textlink="">
      <xdr:nvSpPr>
        <xdr:cNvPr id="58" name="T019 Delivery">
          <a:extLst>
            <a:ext uri="{FF2B5EF4-FFF2-40B4-BE49-F238E27FC236}">
              <a16:creationId xmlns:a16="http://schemas.microsoft.com/office/drawing/2014/main" id="{A64B9797-9C52-483B-A55E-EBF9E62A5685}"/>
            </a:ext>
          </a:extLst>
        </xdr:cNvPr>
        <xdr:cNvSpPr/>
      </xdr:nvSpPr>
      <xdr:spPr>
        <a:xfrm>
          <a:off x="381000" y="6721475"/>
          <a:ext cx="1835150" cy="990600"/>
        </a:xfrm>
        <a:prstGeom prst="flowChartTerminator">
          <a:avLst/>
        </a:prstGeom>
        <a:solidFill>
          <a:srgbClr val="D9EAF7"/>
        </a:solidFill>
        <a:ln w="12700" cap="flat" cmpd="sng" algn="ctr">
          <a:solidFill>
            <a:srgbClr val="C00000"/>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nb-NO" sz="850" b="0" i="0" u="none" strike="noStrike" kern="0" cap="none" spc="0" normalizeH="0" baseline="0" noProof="0">
              <a:ln>
                <a:noFill/>
              </a:ln>
              <a:solidFill>
                <a:srgbClr val="1F1F1F"/>
              </a:solidFill>
              <a:effectLst/>
              <a:uLnTx/>
              <a:uFillTx/>
              <a:latin typeface="Aptos"/>
            </a:rPr>
            <a:t>T019  Delivery
NN | Ikke startet
26.10.2026–26.10.2026</a:t>
          </a:r>
        </a:p>
      </xdr:txBody>
    </xdr:sp>
    <xdr:clientData/>
  </xdr:twoCellAnchor>
  <xdr:twoCellAnchor>
    <xdr:from>
      <xdr:col>0</xdr:col>
      <xdr:colOff>381000</xdr:colOff>
      <xdr:row>4</xdr:row>
      <xdr:rowOff>161925</xdr:rowOff>
    </xdr:from>
    <xdr:to>
      <xdr:col>3</xdr:col>
      <xdr:colOff>390525</xdr:colOff>
      <xdr:row>10</xdr:row>
      <xdr:rowOff>66675</xdr:rowOff>
    </xdr:to>
    <xdr:sp macro="" textlink="">
      <xdr:nvSpPr>
        <xdr:cNvPr id="59" name="T001 Check funds">
          <a:extLst>
            <a:ext uri="{FF2B5EF4-FFF2-40B4-BE49-F238E27FC236}">
              <a16:creationId xmlns:a16="http://schemas.microsoft.com/office/drawing/2014/main" id="{3505364C-10C0-4025-91AD-FF4F9F6268D5}"/>
            </a:ext>
          </a:extLst>
        </xdr:cNvPr>
        <xdr:cNvSpPr/>
      </xdr:nvSpPr>
      <xdr:spPr>
        <a:xfrm>
          <a:off x="381000" y="1330325"/>
          <a:ext cx="1835150" cy="990600"/>
        </a:xfrm>
        <a:prstGeom prst="flowChartTerminator">
          <a:avLst/>
        </a:prstGeom>
        <a:solidFill>
          <a:srgbClr val="C6E0B4"/>
        </a:solidFill>
        <a:ln w="12700" cap="flat" cmpd="sng" algn="ctr">
          <a:solidFill>
            <a:srgbClr val="5B9BD5"/>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nb-NO" sz="850" b="0" i="0" u="none" strike="noStrike" kern="0" cap="none" spc="0" normalizeH="0" baseline="0" noProof="0">
              <a:ln>
                <a:noFill/>
              </a:ln>
              <a:solidFill>
                <a:srgbClr val="1F1F1F"/>
              </a:solidFill>
              <a:effectLst/>
              <a:uLnTx/>
              <a:uFillTx/>
              <a:latin typeface="Aptos"/>
            </a:rPr>
            <a:t>T001  Check funds
FE | Fullført
08.06.2026–08.06.2026</a:t>
          </a:r>
        </a:p>
      </xdr:txBody>
    </xdr:sp>
    <xdr:clientData/>
  </xdr:twoCellAnchor>
  <xdr:twoCellAnchor>
    <xdr:from>
      <xdr:col>5</xdr:col>
      <xdr:colOff>66675</xdr:colOff>
      <xdr:row>12</xdr:row>
      <xdr:rowOff>66675</xdr:rowOff>
    </xdr:from>
    <xdr:to>
      <xdr:col>8</xdr:col>
      <xdr:colOff>76200</xdr:colOff>
      <xdr:row>17</xdr:row>
      <xdr:rowOff>152400</xdr:rowOff>
    </xdr:to>
    <xdr:sp macro="" textlink="">
      <xdr:nvSpPr>
        <xdr:cNvPr id="60" name="T004 Demolish old shed">
          <a:extLst>
            <a:ext uri="{FF2B5EF4-FFF2-40B4-BE49-F238E27FC236}">
              <a16:creationId xmlns:a16="http://schemas.microsoft.com/office/drawing/2014/main" id="{B2400C0A-23AE-4CB2-8596-710AEF220059}"/>
            </a:ext>
          </a:extLst>
        </xdr:cNvPr>
        <xdr:cNvSpPr/>
      </xdr:nvSpPr>
      <xdr:spPr>
        <a:xfrm>
          <a:off x="3111500" y="2682875"/>
          <a:ext cx="1841500" cy="993775"/>
        </a:xfrm>
        <a:prstGeom prst="flowChartProcess">
          <a:avLst/>
        </a:prstGeom>
        <a:solidFill>
          <a:srgbClr val="D9EAF7"/>
        </a:solidFill>
        <a:ln w="12700" cap="flat" cmpd="sng" algn="ctr">
          <a:solidFill>
            <a:srgbClr val="5B9BD5"/>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nb-NO" sz="850" b="0" i="0" u="none" strike="noStrike" kern="0" cap="none" spc="0" normalizeH="0" baseline="0" noProof="0">
              <a:ln>
                <a:noFill/>
              </a:ln>
              <a:solidFill>
                <a:srgbClr val="1F1F1F"/>
              </a:solidFill>
              <a:effectLst/>
              <a:uLnTx/>
              <a:uFillTx/>
              <a:latin typeface="Aptos"/>
            </a:rPr>
            <a:t>T004  Demolish old shed
NN | Ikke startet
15.06.2026–15.06.2026
Kost: 300</a:t>
          </a:r>
        </a:p>
      </xdr:txBody>
    </xdr:sp>
    <xdr:clientData/>
  </xdr:twoCellAnchor>
  <xdr:twoCellAnchor>
    <xdr:from>
      <xdr:col>9</xdr:col>
      <xdr:colOff>352425</xdr:colOff>
      <xdr:row>8</xdr:row>
      <xdr:rowOff>111125</xdr:rowOff>
    </xdr:from>
    <xdr:to>
      <xdr:col>12</xdr:col>
      <xdr:colOff>361950</xdr:colOff>
      <xdr:row>14</xdr:row>
      <xdr:rowOff>15875</xdr:rowOff>
    </xdr:to>
    <xdr:sp macro="" textlink="">
      <xdr:nvSpPr>
        <xdr:cNvPr id="61" name="T005 Cut foliage back">
          <a:extLst>
            <a:ext uri="{FF2B5EF4-FFF2-40B4-BE49-F238E27FC236}">
              <a16:creationId xmlns:a16="http://schemas.microsoft.com/office/drawing/2014/main" id="{39D3507A-5A1A-4876-A862-63D7B36BC679}"/>
            </a:ext>
          </a:extLst>
        </xdr:cNvPr>
        <xdr:cNvSpPr/>
      </xdr:nvSpPr>
      <xdr:spPr>
        <a:xfrm>
          <a:off x="5835650" y="2006600"/>
          <a:ext cx="1841500" cy="990600"/>
        </a:xfrm>
        <a:prstGeom prst="flowChartProcess">
          <a:avLst/>
        </a:prstGeom>
        <a:solidFill>
          <a:srgbClr val="D9EAF7"/>
        </a:solidFill>
        <a:ln w="12700" cap="flat" cmpd="sng" algn="ctr">
          <a:solidFill>
            <a:srgbClr val="5B9BD5"/>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nb-NO" sz="850" b="0" i="0" u="none" strike="noStrike" kern="0" cap="none" spc="0" normalizeH="0" baseline="0" noProof="0">
              <a:ln>
                <a:noFill/>
              </a:ln>
              <a:solidFill>
                <a:srgbClr val="1F1F1F"/>
              </a:solidFill>
              <a:effectLst/>
              <a:uLnTx/>
              <a:uFillTx/>
              <a:latin typeface="Aptos"/>
            </a:rPr>
            <a:t>T005  Cut foliage back
NN | Ikke startet
20.07.2026–10.08.2026
Kost: 500</a:t>
          </a:r>
        </a:p>
      </xdr:txBody>
    </xdr:sp>
    <xdr:clientData/>
  </xdr:twoCellAnchor>
  <xdr:twoCellAnchor>
    <xdr:from>
      <xdr:col>23</xdr:col>
      <xdr:colOff>9525</xdr:colOff>
      <xdr:row>19</xdr:row>
      <xdr:rowOff>139700</xdr:rowOff>
    </xdr:from>
    <xdr:to>
      <xdr:col>26</xdr:col>
      <xdr:colOff>19050</xdr:colOff>
      <xdr:row>25</xdr:row>
      <xdr:rowOff>44450</xdr:rowOff>
    </xdr:to>
    <xdr:sp macro="" textlink="">
      <xdr:nvSpPr>
        <xdr:cNvPr id="62" name="T008 Connect Power">
          <a:extLst>
            <a:ext uri="{FF2B5EF4-FFF2-40B4-BE49-F238E27FC236}">
              <a16:creationId xmlns:a16="http://schemas.microsoft.com/office/drawing/2014/main" id="{9D712E60-3819-4BA0-AB1A-558666F3E9AA}"/>
            </a:ext>
          </a:extLst>
        </xdr:cNvPr>
        <xdr:cNvSpPr/>
      </xdr:nvSpPr>
      <xdr:spPr>
        <a:xfrm>
          <a:off x="14027150" y="4029075"/>
          <a:ext cx="1841500" cy="990600"/>
        </a:xfrm>
        <a:prstGeom prst="flowChartProcess">
          <a:avLst/>
        </a:prstGeom>
        <a:solidFill>
          <a:srgbClr val="D9EAF7"/>
        </a:solidFill>
        <a:ln w="12700" cap="flat" cmpd="sng" algn="ctr">
          <a:solidFill>
            <a:srgbClr val="5B9BD5"/>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nb-NO" sz="850" b="0" i="0" u="none" strike="noStrike" kern="0" cap="none" spc="0" normalizeH="0" baseline="0" noProof="0">
              <a:ln>
                <a:noFill/>
              </a:ln>
              <a:solidFill>
                <a:srgbClr val="1F1F1F"/>
              </a:solidFill>
              <a:effectLst/>
              <a:uLnTx/>
              <a:uFillTx/>
              <a:latin typeface="Aptos"/>
            </a:rPr>
            <a:t>T008  Connect Power
NN | Ikke startet
24.08.2026–24.08.2026</a:t>
          </a:r>
        </a:p>
      </xdr:txBody>
    </xdr:sp>
    <xdr:clientData/>
  </xdr:twoCellAnchor>
  <xdr:twoCellAnchor>
    <xdr:from>
      <xdr:col>0</xdr:col>
      <xdr:colOff>381000</xdr:colOff>
      <xdr:row>27</xdr:row>
      <xdr:rowOff>38100</xdr:rowOff>
    </xdr:from>
    <xdr:to>
      <xdr:col>3</xdr:col>
      <xdr:colOff>390525</xdr:colOff>
      <xdr:row>32</xdr:row>
      <xdr:rowOff>123825</xdr:rowOff>
    </xdr:to>
    <xdr:sp macro="" textlink="">
      <xdr:nvSpPr>
        <xdr:cNvPr id="63" name="T011 Find suppliers">
          <a:extLst>
            <a:ext uri="{FF2B5EF4-FFF2-40B4-BE49-F238E27FC236}">
              <a16:creationId xmlns:a16="http://schemas.microsoft.com/office/drawing/2014/main" id="{7FD6F4B4-484D-4CAF-A473-B8E5094AAF34}"/>
            </a:ext>
          </a:extLst>
        </xdr:cNvPr>
        <xdr:cNvSpPr/>
      </xdr:nvSpPr>
      <xdr:spPr>
        <a:xfrm>
          <a:off x="381000" y="5372100"/>
          <a:ext cx="1835150" cy="987425"/>
        </a:xfrm>
        <a:prstGeom prst="flowChartTerminator">
          <a:avLst/>
        </a:prstGeom>
        <a:solidFill>
          <a:srgbClr val="C6E0B4"/>
        </a:solidFill>
        <a:ln w="12700" cap="flat" cmpd="sng" algn="ctr">
          <a:solidFill>
            <a:srgbClr val="5B9BD5"/>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nb-NO" sz="850" b="0" i="0" u="none" strike="noStrike" kern="0" cap="none" spc="0" normalizeH="0" baseline="0" noProof="0">
              <a:ln>
                <a:noFill/>
              </a:ln>
              <a:solidFill>
                <a:srgbClr val="1F1F1F"/>
              </a:solidFill>
              <a:effectLst/>
              <a:uLnTx/>
              <a:uFillTx/>
              <a:latin typeface="Aptos"/>
            </a:rPr>
            <a:t>T011  Find suppliers
FE | Fullført
22.06.2026–22.06.2026</a:t>
          </a:r>
        </a:p>
      </xdr:txBody>
    </xdr:sp>
    <xdr:clientData/>
  </xdr:twoCellAnchor>
  <xdr:twoCellAnchor>
    <xdr:from>
      <xdr:col>5</xdr:col>
      <xdr:colOff>66675</xdr:colOff>
      <xdr:row>27</xdr:row>
      <xdr:rowOff>38100</xdr:rowOff>
    </xdr:from>
    <xdr:to>
      <xdr:col>8</xdr:col>
      <xdr:colOff>76200</xdr:colOff>
      <xdr:row>32</xdr:row>
      <xdr:rowOff>123825</xdr:rowOff>
    </xdr:to>
    <xdr:sp macro="" textlink="">
      <xdr:nvSpPr>
        <xdr:cNvPr id="64" name="T012 Get quotes">
          <a:extLst>
            <a:ext uri="{FF2B5EF4-FFF2-40B4-BE49-F238E27FC236}">
              <a16:creationId xmlns:a16="http://schemas.microsoft.com/office/drawing/2014/main" id="{054AF46B-64E7-4CCC-A263-B490CE79C162}"/>
            </a:ext>
          </a:extLst>
        </xdr:cNvPr>
        <xdr:cNvSpPr/>
      </xdr:nvSpPr>
      <xdr:spPr>
        <a:xfrm>
          <a:off x="3111500" y="5372100"/>
          <a:ext cx="1841500" cy="987425"/>
        </a:xfrm>
        <a:prstGeom prst="flowChartProcess">
          <a:avLst/>
        </a:prstGeom>
        <a:solidFill>
          <a:srgbClr val="D9EAF7"/>
        </a:solidFill>
        <a:ln w="12700" cap="flat" cmpd="sng" algn="ctr">
          <a:solidFill>
            <a:srgbClr val="5B9BD5"/>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nb-NO" sz="850" b="0" i="0" u="none" strike="noStrike" kern="0" cap="none" spc="0" normalizeH="0" baseline="0" noProof="0">
              <a:ln>
                <a:noFill/>
              </a:ln>
              <a:solidFill>
                <a:srgbClr val="1F1F1F"/>
              </a:solidFill>
              <a:effectLst/>
              <a:uLnTx/>
              <a:uFillTx/>
              <a:latin typeface="Aptos"/>
            </a:rPr>
            <a:t>T012  Get quotes
FE | Ikke startet
13.07.2026–27.07.2026</a:t>
          </a:r>
        </a:p>
      </xdr:txBody>
    </xdr:sp>
    <xdr:clientData/>
  </xdr:twoCellAnchor>
  <xdr:twoCellAnchor>
    <xdr:from>
      <xdr:col>9</xdr:col>
      <xdr:colOff>352425</xdr:colOff>
      <xdr:row>23</xdr:row>
      <xdr:rowOff>82550</xdr:rowOff>
    </xdr:from>
    <xdr:to>
      <xdr:col>12</xdr:col>
      <xdr:colOff>361950</xdr:colOff>
      <xdr:row>28</xdr:row>
      <xdr:rowOff>168275</xdr:rowOff>
    </xdr:to>
    <xdr:sp macro="" textlink="">
      <xdr:nvSpPr>
        <xdr:cNvPr id="65" name="T013 Buy the shed">
          <a:extLst>
            <a:ext uri="{FF2B5EF4-FFF2-40B4-BE49-F238E27FC236}">
              <a16:creationId xmlns:a16="http://schemas.microsoft.com/office/drawing/2014/main" id="{A927286B-BBF5-4555-98F5-ADF3F1824296}"/>
            </a:ext>
          </a:extLst>
        </xdr:cNvPr>
        <xdr:cNvSpPr/>
      </xdr:nvSpPr>
      <xdr:spPr>
        <a:xfrm>
          <a:off x="5835650" y="4695825"/>
          <a:ext cx="1841500" cy="987425"/>
        </a:xfrm>
        <a:prstGeom prst="flowChartTerminator">
          <a:avLst/>
        </a:prstGeom>
        <a:solidFill>
          <a:srgbClr val="D9EAF7"/>
        </a:solidFill>
        <a:ln w="12700" cap="flat" cmpd="sng" algn="ctr">
          <a:solidFill>
            <a:srgbClr val="5B9BD5"/>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nb-NO" sz="850" b="0" i="0" u="none" strike="noStrike" kern="0" cap="none" spc="0" normalizeH="0" baseline="0" noProof="0">
              <a:ln>
                <a:noFill/>
              </a:ln>
              <a:solidFill>
                <a:srgbClr val="1F1F1F"/>
              </a:solidFill>
              <a:effectLst/>
              <a:uLnTx/>
              <a:uFillTx/>
              <a:latin typeface="Aptos"/>
            </a:rPr>
            <a:t>T013  Buy the shed
FE | Ikke startet
20.07.2026–20.07.2026
Kost: 8,000</a:t>
          </a:r>
        </a:p>
      </xdr:txBody>
    </xdr:sp>
    <xdr:clientData/>
  </xdr:twoCellAnchor>
  <xdr:twoCellAnchor>
    <xdr:from>
      <xdr:col>5</xdr:col>
      <xdr:colOff>66675</xdr:colOff>
      <xdr:row>34</xdr:row>
      <xdr:rowOff>123825</xdr:rowOff>
    </xdr:from>
    <xdr:to>
      <xdr:col>8</xdr:col>
      <xdr:colOff>76200</xdr:colOff>
      <xdr:row>40</xdr:row>
      <xdr:rowOff>28575</xdr:rowOff>
    </xdr:to>
    <xdr:sp macro="" textlink="">
      <xdr:nvSpPr>
        <xdr:cNvPr id="66" name="T014 Wait for Delivery">
          <a:extLst>
            <a:ext uri="{FF2B5EF4-FFF2-40B4-BE49-F238E27FC236}">
              <a16:creationId xmlns:a16="http://schemas.microsoft.com/office/drawing/2014/main" id="{ABBC94A6-CDB0-43AF-B5B4-C129CB077CE7}"/>
            </a:ext>
          </a:extLst>
        </xdr:cNvPr>
        <xdr:cNvSpPr/>
      </xdr:nvSpPr>
      <xdr:spPr>
        <a:xfrm>
          <a:off x="3111500" y="6721475"/>
          <a:ext cx="1841500" cy="990600"/>
        </a:xfrm>
        <a:prstGeom prst="flowChartProcess">
          <a:avLst/>
        </a:prstGeom>
        <a:solidFill>
          <a:srgbClr val="D9EAF7"/>
        </a:solidFill>
        <a:ln w="12700" cap="flat" cmpd="sng" algn="ctr">
          <a:solidFill>
            <a:srgbClr val="5B9BD5"/>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nb-NO" sz="850" b="0" i="0" u="none" strike="noStrike" kern="0" cap="none" spc="0" normalizeH="0" baseline="0" noProof="0">
              <a:ln>
                <a:noFill/>
              </a:ln>
              <a:solidFill>
                <a:srgbClr val="1F1F1F"/>
              </a:solidFill>
              <a:effectLst/>
              <a:uLnTx/>
              <a:uFillTx/>
              <a:latin typeface="Aptos"/>
            </a:rPr>
            <a:t>T014  Wait for Delivery
FE | Ikke startet
13.07.2026–17.08.2026</a:t>
          </a:r>
        </a:p>
      </xdr:txBody>
    </xdr:sp>
    <xdr:clientData/>
  </xdr:twoCellAnchor>
  <xdr:twoCellAnchor>
    <xdr:from>
      <xdr:col>18</xdr:col>
      <xdr:colOff>333375</xdr:colOff>
      <xdr:row>19</xdr:row>
      <xdr:rowOff>139700</xdr:rowOff>
    </xdr:from>
    <xdr:to>
      <xdr:col>21</xdr:col>
      <xdr:colOff>342900</xdr:colOff>
      <xdr:row>25</xdr:row>
      <xdr:rowOff>44450</xdr:rowOff>
    </xdr:to>
    <xdr:sp macro="" textlink="">
      <xdr:nvSpPr>
        <xdr:cNvPr id="67" name="T015 Wire down the garden">
          <a:extLst>
            <a:ext uri="{FF2B5EF4-FFF2-40B4-BE49-F238E27FC236}">
              <a16:creationId xmlns:a16="http://schemas.microsoft.com/office/drawing/2014/main" id="{0C6771A0-5093-4FEB-A923-8CE0424E6B21}"/>
            </a:ext>
          </a:extLst>
        </xdr:cNvPr>
        <xdr:cNvSpPr/>
      </xdr:nvSpPr>
      <xdr:spPr>
        <a:xfrm>
          <a:off x="11303000" y="4029075"/>
          <a:ext cx="1841500" cy="990600"/>
        </a:xfrm>
        <a:prstGeom prst="flowChartProcess">
          <a:avLst/>
        </a:prstGeom>
        <a:solidFill>
          <a:srgbClr val="D9EAF7"/>
        </a:solidFill>
        <a:ln w="12700" cap="flat" cmpd="sng" algn="ctr">
          <a:solidFill>
            <a:srgbClr val="5B9BD5"/>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nb-NO" sz="850" b="0" i="0" u="none" strike="noStrike" kern="0" cap="none" spc="0" normalizeH="0" baseline="0" noProof="0">
              <a:ln>
                <a:noFill/>
              </a:ln>
              <a:solidFill>
                <a:srgbClr val="1F1F1F"/>
              </a:solidFill>
              <a:effectLst/>
              <a:uLnTx/>
              <a:uFillTx/>
              <a:latin typeface="Aptos"/>
            </a:rPr>
            <a:t>T015  Wire down the garden
NN | Ikke startet
26.10.2026–26.10.2026</a:t>
          </a:r>
        </a:p>
      </xdr:txBody>
    </xdr:sp>
    <xdr:clientData/>
  </xdr:twoCellAnchor>
  <xdr:twoCellAnchor>
    <xdr:from>
      <xdr:col>9</xdr:col>
      <xdr:colOff>352425</xdr:colOff>
      <xdr:row>30</xdr:row>
      <xdr:rowOff>168275</xdr:rowOff>
    </xdr:from>
    <xdr:to>
      <xdr:col>12</xdr:col>
      <xdr:colOff>361950</xdr:colOff>
      <xdr:row>36</xdr:row>
      <xdr:rowOff>73025</xdr:rowOff>
    </xdr:to>
    <xdr:sp macro="" textlink="">
      <xdr:nvSpPr>
        <xdr:cNvPr id="68" name="T016 Assembly">
          <a:extLst>
            <a:ext uri="{FF2B5EF4-FFF2-40B4-BE49-F238E27FC236}">
              <a16:creationId xmlns:a16="http://schemas.microsoft.com/office/drawing/2014/main" id="{E1DF953C-915C-4720-BA27-95656B2B13F0}"/>
            </a:ext>
          </a:extLst>
        </xdr:cNvPr>
        <xdr:cNvSpPr/>
      </xdr:nvSpPr>
      <xdr:spPr>
        <a:xfrm>
          <a:off x="5835650" y="6045200"/>
          <a:ext cx="1841500" cy="990600"/>
        </a:xfrm>
        <a:prstGeom prst="flowChartTerminator">
          <a:avLst/>
        </a:prstGeom>
        <a:solidFill>
          <a:srgbClr val="D9EAF7"/>
        </a:solidFill>
        <a:ln w="12700" cap="flat" cmpd="sng" algn="ctr">
          <a:solidFill>
            <a:srgbClr val="5B9BD5"/>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nb-NO" sz="850" b="0" i="0" u="none" strike="noStrike" kern="0" cap="none" spc="0" normalizeH="0" baseline="0" noProof="0">
              <a:ln>
                <a:noFill/>
              </a:ln>
              <a:solidFill>
                <a:srgbClr val="1F1F1F"/>
              </a:solidFill>
              <a:effectLst/>
              <a:uLnTx/>
              <a:uFillTx/>
              <a:latin typeface="Aptos"/>
            </a:rPr>
            <a:t>T016  Assembly
NN | Ikke startet
02.11.2026–02.11.2026
Kost: 750</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85801</xdr:colOff>
      <xdr:row>2</xdr:row>
      <xdr:rowOff>478630</xdr:rowOff>
    </xdr:from>
    <xdr:to>
      <xdr:col>2</xdr:col>
      <xdr:colOff>120878</xdr:colOff>
      <xdr:row>3</xdr:row>
      <xdr:rowOff>272890</xdr:rowOff>
    </xdr:to>
    <xdr:sp macro="" textlink="">
      <xdr:nvSpPr>
        <xdr:cNvPr id="2" name="Navigasjonsfigur" descr="Velg for å prøve prøveversjonen av Visio Pro for Microsoft Office 365." title="Navigasjonsfigur">
          <a:hlinkClick xmlns:r="http://schemas.openxmlformats.org/officeDocument/2006/relationships" r:id="rId1" tooltip="Velg for gratis prøveversjon av Visio Plan 2"/>
          <a:extLst>
            <a:ext uri="{FF2B5EF4-FFF2-40B4-BE49-F238E27FC236}">
              <a16:creationId xmlns:a16="http://schemas.microsoft.com/office/drawing/2014/main" id="{700FE65D-1DAF-4D9E-9D7F-B709EF2A2D8F}"/>
            </a:ext>
          </a:extLst>
        </xdr:cNvPr>
        <xdr:cNvSpPr txBox="1"/>
      </xdr:nvSpPr>
      <xdr:spPr>
        <a:xfrm>
          <a:off x="1466926" y="1307305"/>
          <a:ext cx="1282852" cy="365760"/>
        </a:xfrm>
        <a:prstGeom prst="rect">
          <a:avLst/>
        </a:prstGeom>
        <a:solidFill>
          <a:srgbClr val="3652A0"/>
        </a:solidFill>
      </xdr:spPr>
      <xdr:txBody>
        <a:bodyPr wrap="square" rtlCol="0" anchor="ctr">
          <a:noAutofit/>
        </a:bodyPr>
        <a:lstStyle/>
        <a:p>
          <a:pPr marL="0" indent="0" algn="ctr" defTabSz="914400" rtl="0" eaLnBrk="1" latinLnBrk="0" hangingPunct="1">
            <a:spcAft>
              <a:spcPts val="600"/>
            </a:spcAft>
          </a:pPr>
          <a:r>
            <a:rPr lang="nb-no" sz="1400" b="0" u="sng" kern="1200">
              <a:solidFill>
                <a:schemeClr val="bg1"/>
              </a:solidFill>
              <a:latin typeface="Segoe UI" panose="020B0502040204020203" pitchFamily="34" charset="0"/>
              <a:ea typeface="+mn-ea"/>
              <a:cs typeface="Segoe UI" panose="020B0502040204020203" pitchFamily="34" charset="0"/>
            </a:rPr>
            <a:t>Prøv nå</a:t>
          </a:r>
          <a:endParaRPr lang="en-US" sz="1400" u="sng" kern="1200">
            <a:solidFill>
              <a:schemeClr val="bg1"/>
            </a:solidFill>
            <a:latin typeface="Segoe UI" panose="020B0502040204020203" pitchFamily="34" charset="0"/>
            <a:ea typeface="+mn-ea"/>
            <a:cs typeface="Segoe UI" panose="020B0502040204020203" pitchFamily="34" charset="0"/>
          </a:endParaRPr>
        </a:p>
      </xdr:txBody>
    </xdr:sp>
    <xdr:clientData/>
  </xdr:twoCellAnchor>
  <xdr:oneCellAnchor>
    <xdr:from>
      <xdr:col>0</xdr:col>
      <xdr:colOff>100018</xdr:colOff>
      <xdr:row>1</xdr:row>
      <xdr:rowOff>76206</xdr:rowOff>
    </xdr:from>
    <xdr:ext cx="1270510" cy="665098"/>
    <xdr:pic>
      <xdr:nvPicPr>
        <xdr:cNvPr id="4" name="Microsoft Visio-logo" descr="Microsoft Visio-logo">
          <a:extLst>
            <a:ext uri="{FF2B5EF4-FFF2-40B4-BE49-F238E27FC236}">
              <a16:creationId xmlns:a16="http://schemas.microsoft.com/office/drawing/2014/main" id="{CD46EC06-2EF3-46F6-8724-74E8396A80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100018" y="171456"/>
          <a:ext cx="1270510" cy="665098"/>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xdr:from>
      <xdr:col>1</xdr:col>
      <xdr:colOff>464820</xdr:colOff>
      <xdr:row>1</xdr:row>
      <xdr:rowOff>91440</xdr:rowOff>
    </xdr:from>
    <xdr:to>
      <xdr:col>1</xdr:col>
      <xdr:colOff>1203960</xdr:colOff>
      <xdr:row>1</xdr:row>
      <xdr:rowOff>670560</xdr:rowOff>
    </xdr:to>
    <xdr:sp macro="" textlink="">
      <xdr:nvSpPr>
        <xdr:cNvPr id="2" name="Rektangel 1">
          <a:extLst>
            <a:ext uri="{FF2B5EF4-FFF2-40B4-BE49-F238E27FC236}">
              <a16:creationId xmlns:a16="http://schemas.microsoft.com/office/drawing/2014/main" id="{00000000-0008-0000-0400-000002000000}"/>
            </a:ext>
          </a:extLst>
        </xdr:cNvPr>
        <xdr:cNvSpPr/>
      </xdr:nvSpPr>
      <xdr:spPr>
        <a:xfrm>
          <a:off x="1645920" y="385354"/>
          <a:ext cx="739140" cy="579120"/>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0"/>
          <a:endParaRPr lang="en-US" sz="1100">
            <a:solidFill>
              <a:srgbClr val="FF0000"/>
            </a:solidFill>
          </a:endParaRPr>
        </a:p>
      </xdr:txBody>
    </xdr:sp>
    <xdr:clientData/>
  </xdr:twoCellAnchor>
  <xdr:twoCellAnchor>
    <xdr:from>
      <xdr:col>1</xdr:col>
      <xdr:colOff>457200</xdr:colOff>
      <xdr:row>2</xdr:row>
      <xdr:rowOff>121920</xdr:rowOff>
    </xdr:from>
    <xdr:to>
      <xdr:col>1</xdr:col>
      <xdr:colOff>1158240</xdr:colOff>
      <xdr:row>2</xdr:row>
      <xdr:rowOff>693420</xdr:rowOff>
    </xdr:to>
    <xdr:sp macro="" textlink="">
      <xdr:nvSpPr>
        <xdr:cNvPr id="3" name="Rombe 2">
          <a:extLst>
            <a:ext uri="{FF2B5EF4-FFF2-40B4-BE49-F238E27FC236}">
              <a16:creationId xmlns:a16="http://schemas.microsoft.com/office/drawing/2014/main" id="{00000000-0008-0000-0400-000003000000}"/>
            </a:ext>
          </a:extLst>
        </xdr:cNvPr>
        <xdr:cNvSpPr/>
      </xdr:nvSpPr>
      <xdr:spPr>
        <a:xfrm>
          <a:off x="1638300" y="1194163"/>
          <a:ext cx="701040" cy="571500"/>
        </a:xfrm>
        <a:prstGeom prst="diamond">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solidFill>
              <a:srgbClr val="FF0000"/>
            </a:solidFill>
          </a:endParaRPr>
        </a:p>
      </xdr:txBody>
    </xdr:sp>
    <xdr:clientData/>
  </xdr:twoCellAnchor>
  <xdr:twoCellAnchor>
    <xdr:from>
      <xdr:col>1</xdr:col>
      <xdr:colOff>441960</xdr:colOff>
      <xdr:row>3</xdr:row>
      <xdr:rowOff>129540</xdr:rowOff>
    </xdr:from>
    <xdr:to>
      <xdr:col>1</xdr:col>
      <xdr:colOff>1234440</xdr:colOff>
      <xdr:row>3</xdr:row>
      <xdr:rowOff>647700</xdr:rowOff>
    </xdr:to>
    <xdr:sp macro="" textlink="">
      <xdr:nvSpPr>
        <xdr:cNvPr id="4" name="Flytskjema: Forhåndsdefinert prosess 3">
          <a:extLst>
            <a:ext uri="{FF2B5EF4-FFF2-40B4-BE49-F238E27FC236}">
              <a16:creationId xmlns:a16="http://schemas.microsoft.com/office/drawing/2014/main" id="{00000000-0008-0000-0400-000004000000}"/>
            </a:ext>
          </a:extLst>
        </xdr:cNvPr>
        <xdr:cNvSpPr/>
      </xdr:nvSpPr>
      <xdr:spPr>
        <a:xfrm>
          <a:off x="1623060" y="2029097"/>
          <a:ext cx="792480" cy="518160"/>
        </a:xfrm>
        <a:prstGeom prst="flowChartPredefinedProcess">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solidFill>
              <a:srgbClr val="FF0000"/>
            </a:solidFill>
          </a:endParaRPr>
        </a:p>
      </xdr:txBody>
    </xdr:sp>
    <xdr:clientData/>
  </xdr:twoCellAnchor>
  <xdr:twoCellAnchor>
    <xdr:from>
      <xdr:col>1</xdr:col>
      <xdr:colOff>472440</xdr:colOff>
      <xdr:row>4</xdr:row>
      <xdr:rowOff>228600</xdr:rowOff>
    </xdr:from>
    <xdr:to>
      <xdr:col>1</xdr:col>
      <xdr:colOff>1310640</xdr:colOff>
      <xdr:row>4</xdr:row>
      <xdr:rowOff>556260</xdr:rowOff>
    </xdr:to>
    <xdr:sp macro="" textlink="">
      <xdr:nvSpPr>
        <xdr:cNvPr id="5" name="Flytskjema: Terminator 4">
          <a:extLst>
            <a:ext uri="{FF2B5EF4-FFF2-40B4-BE49-F238E27FC236}">
              <a16:creationId xmlns:a16="http://schemas.microsoft.com/office/drawing/2014/main" id="{00000000-0008-0000-0400-000005000000}"/>
            </a:ext>
          </a:extLst>
        </xdr:cNvPr>
        <xdr:cNvSpPr/>
      </xdr:nvSpPr>
      <xdr:spPr>
        <a:xfrm>
          <a:off x="1653540" y="2895600"/>
          <a:ext cx="838200" cy="327660"/>
        </a:xfrm>
        <a:prstGeom prst="flowChartTerminator">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solidFill>
              <a:srgbClr val="FF0000"/>
            </a:solidFill>
          </a:endParaRPr>
        </a:p>
      </xdr:txBody>
    </xdr:sp>
    <xdr:clientData/>
  </xdr:twoCellAnchor>
  <xdr:twoCellAnchor>
    <xdr:from>
      <xdr:col>1</xdr:col>
      <xdr:colOff>518160</xdr:colOff>
      <xdr:row>6</xdr:row>
      <xdr:rowOff>121920</xdr:rowOff>
    </xdr:from>
    <xdr:to>
      <xdr:col>1</xdr:col>
      <xdr:colOff>1356360</xdr:colOff>
      <xdr:row>6</xdr:row>
      <xdr:rowOff>632460</xdr:rowOff>
    </xdr:to>
    <xdr:sp macro="" textlink="">
      <xdr:nvSpPr>
        <xdr:cNvPr id="6" name="Flytskjema: Dokument 5">
          <a:extLst>
            <a:ext uri="{FF2B5EF4-FFF2-40B4-BE49-F238E27FC236}">
              <a16:creationId xmlns:a16="http://schemas.microsoft.com/office/drawing/2014/main" id="{00000000-0008-0000-0400-000006000000}"/>
            </a:ext>
          </a:extLst>
        </xdr:cNvPr>
        <xdr:cNvSpPr/>
      </xdr:nvSpPr>
      <xdr:spPr>
        <a:xfrm>
          <a:off x="1699260" y="4291149"/>
          <a:ext cx="838200" cy="510540"/>
        </a:xfrm>
        <a:prstGeom prst="flowChartDocumen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clientData/>
  </xdr:twoCellAnchor>
  <xdr:twoCellAnchor>
    <xdr:from>
      <xdr:col>1</xdr:col>
      <xdr:colOff>510540</xdr:colOff>
      <xdr:row>7</xdr:row>
      <xdr:rowOff>129540</xdr:rowOff>
    </xdr:from>
    <xdr:to>
      <xdr:col>1</xdr:col>
      <xdr:colOff>1242060</xdr:colOff>
      <xdr:row>7</xdr:row>
      <xdr:rowOff>624840</xdr:rowOff>
    </xdr:to>
    <xdr:sp macro="" textlink="">
      <xdr:nvSpPr>
        <xdr:cNvPr id="7" name="Flytskjema: Data 6">
          <a:extLst>
            <a:ext uri="{FF2B5EF4-FFF2-40B4-BE49-F238E27FC236}">
              <a16:creationId xmlns:a16="http://schemas.microsoft.com/office/drawing/2014/main" id="{00000000-0008-0000-0400-000007000000}"/>
            </a:ext>
          </a:extLst>
        </xdr:cNvPr>
        <xdr:cNvSpPr/>
      </xdr:nvSpPr>
      <xdr:spPr>
        <a:xfrm>
          <a:off x="1691640" y="5028111"/>
          <a:ext cx="731520" cy="495300"/>
        </a:xfrm>
        <a:prstGeom prst="flowChartInputOutpu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solidFill>
              <a:srgbClr val="FF0000"/>
            </a:solidFill>
          </a:endParaRPr>
        </a:p>
      </xdr:txBody>
    </xdr:sp>
    <xdr:clientData/>
  </xdr:twoCellAnchor>
  <xdr:twoCellAnchor>
    <xdr:from>
      <xdr:col>1</xdr:col>
      <xdr:colOff>472440</xdr:colOff>
      <xdr:row>8</xdr:row>
      <xdr:rowOff>152400</xdr:rowOff>
    </xdr:from>
    <xdr:to>
      <xdr:col>1</xdr:col>
      <xdr:colOff>1287780</xdr:colOff>
      <xdr:row>8</xdr:row>
      <xdr:rowOff>548640</xdr:rowOff>
    </xdr:to>
    <xdr:sp macro="" textlink="">
      <xdr:nvSpPr>
        <xdr:cNvPr id="8" name="Flytskjema: Lagringsplass med direkte tilgang 7">
          <a:extLst>
            <a:ext uri="{FF2B5EF4-FFF2-40B4-BE49-F238E27FC236}">
              <a16:creationId xmlns:a16="http://schemas.microsoft.com/office/drawing/2014/main" id="{00000000-0008-0000-0400-000008000000}"/>
            </a:ext>
          </a:extLst>
        </xdr:cNvPr>
        <xdr:cNvSpPr/>
      </xdr:nvSpPr>
      <xdr:spPr>
        <a:xfrm>
          <a:off x="1653540" y="5774871"/>
          <a:ext cx="815340" cy="396240"/>
        </a:xfrm>
        <a:prstGeom prst="flowChartMagneticDrum">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solidFill>
              <a:srgbClr val="FF0000"/>
            </a:solidFill>
          </a:endParaRPr>
        </a:p>
      </xdr:txBody>
    </xdr:sp>
    <xdr:clientData/>
  </xdr:twoCellAnchor>
  <xdr:twoCellAnchor>
    <xdr:from>
      <xdr:col>1</xdr:col>
      <xdr:colOff>541020</xdr:colOff>
      <xdr:row>9</xdr:row>
      <xdr:rowOff>114300</xdr:rowOff>
    </xdr:from>
    <xdr:to>
      <xdr:col>1</xdr:col>
      <xdr:colOff>1264920</xdr:colOff>
      <xdr:row>9</xdr:row>
      <xdr:rowOff>548640</xdr:rowOff>
    </xdr:to>
    <xdr:sp macro="" textlink="">
      <xdr:nvSpPr>
        <xdr:cNvPr id="9" name="Flytskjema: lagrede data 8">
          <a:extLst>
            <a:ext uri="{FF2B5EF4-FFF2-40B4-BE49-F238E27FC236}">
              <a16:creationId xmlns:a16="http://schemas.microsoft.com/office/drawing/2014/main" id="{00000000-0008-0000-0400-000009000000}"/>
            </a:ext>
          </a:extLst>
        </xdr:cNvPr>
        <xdr:cNvSpPr/>
      </xdr:nvSpPr>
      <xdr:spPr>
        <a:xfrm>
          <a:off x="1722120" y="6411686"/>
          <a:ext cx="723900" cy="434340"/>
        </a:xfrm>
        <a:prstGeom prst="flowChartOnlineStorage">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solidFill>
              <a:srgbClr val="FF0000"/>
            </a:solidFill>
          </a:endParaRPr>
        </a:p>
      </xdr:txBody>
    </xdr:sp>
    <xdr:clientData/>
  </xdr:twoCellAnchor>
  <xdr:twoCellAnchor>
    <xdr:from>
      <xdr:col>1</xdr:col>
      <xdr:colOff>739140</xdr:colOff>
      <xdr:row>10</xdr:row>
      <xdr:rowOff>175260</xdr:rowOff>
    </xdr:from>
    <xdr:to>
      <xdr:col>1</xdr:col>
      <xdr:colOff>1082040</xdr:colOff>
      <xdr:row>10</xdr:row>
      <xdr:rowOff>510540</xdr:rowOff>
    </xdr:to>
    <xdr:sp macro="" textlink="">
      <xdr:nvSpPr>
        <xdr:cNvPr id="10" name="Flytskjema: kobling 9">
          <a:extLst>
            <a:ext uri="{FF2B5EF4-FFF2-40B4-BE49-F238E27FC236}">
              <a16:creationId xmlns:a16="http://schemas.microsoft.com/office/drawing/2014/main" id="{00000000-0008-0000-0400-00000A000000}"/>
            </a:ext>
          </a:extLst>
        </xdr:cNvPr>
        <xdr:cNvSpPr/>
      </xdr:nvSpPr>
      <xdr:spPr>
        <a:xfrm>
          <a:off x="1920240" y="7147560"/>
          <a:ext cx="342900" cy="335280"/>
        </a:xfrm>
        <a:prstGeom prst="flowChartConnector">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solidFill>
              <a:srgbClr val="FF0000"/>
            </a:solidFill>
          </a:endParaRPr>
        </a:p>
      </xdr:txBody>
    </xdr:sp>
    <xdr:clientData/>
  </xdr:twoCellAnchor>
  <xdr:twoCellAnchor>
    <xdr:from>
      <xdr:col>1</xdr:col>
      <xdr:colOff>563880</xdr:colOff>
      <xdr:row>12</xdr:row>
      <xdr:rowOff>114300</xdr:rowOff>
    </xdr:from>
    <xdr:to>
      <xdr:col>1</xdr:col>
      <xdr:colOff>1287780</xdr:colOff>
      <xdr:row>12</xdr:row>
      <xdr:rowOff>502920</xdr:rowOff>
    </xdr:to>
    <xdr:sp macro="" textlink="">
      <xdr:nvSpPr>
        <xdr:cNvPr id="11" name="Flytskjema: manuell innmating 10">
          <a:extLst>
            <a:ext uri="{FF2B5EF4-FFF2-40B4-BE49-F238E27FC236}">
              <a16:creationId xmlns:a16="http://schemas.microsoft.com/office/drawing/2014/main" id="{00000000-0008-0000-0400-00000B000000}"/>
            </a:ext>
          </a:extLst>
        </xdr:cNvPr>
        <xdr:cNvSpPr/>
      </xdr:nvSpPr>
      <xdr:spPr>
        <a:xfrm>
          <a:off x="1744980" y="8360229"/>
          <a:ext cx="723900" cy="388620"/>
        </a:xfrm>
        <a:prstGeom prst="flowChartManualInpu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solidFill>
              <a:srgbClr val="FF0000"/>
            </a:solidFill>
          </a:endParaRPr>
        </a:p>
      </xdr:txBody>
    </xdr:sp>
    <xdr:clientData/>
  </xdr:twoCellAnchor>
  <xdr:twoCellAnchor>
    <xdr:from>
      <xdr:col>1</xdr:col>
      <xdr:colOff>655320</xdr:colOff>
      <xdr:row>13</xdr:row>
      <xdr:rowOff>106680</xdr:rowOff>
    </xdr:from>
    <xdr:to>
      <xdr:col>1</xdr:col>
      <xdr:colOff>1219200</xdr:colOff>
      <xdr:row>13</xdr:row>
      <xdr:rowOff>518160</xdr:rowOff>
    </xdr:to>
    <xdr:sp macro="" textlink="">
      <xdr:nvSpPr>
        <xdr:cNvPr id="12" name="Flytskjema: manuell operasjon 11">
          <a:extLst>
            <a:ext uri="{FF2B5EF4-FFF2-40B4-BE49-F238E27FC236}">
              <a16:creationId xmlns:a16="http://schemas.microsoft.com/office/drawing/2014/main" id="{00000000-0008-0000-0400-00000C000000}"/>
            </a:ext>
          </a:extLst>
        </xdr:cNvPr>
        <xdr:cNvSpPr/>
      </xdr:nvSpPr>
      <xdr:spPr>
        <a:xfrm>
          <a:off x="1836420" y="8951323"/>
          <a:ext cx="563880" cy="411480"/>
        </a:xfrm>
        <a:prstGeom prst="flowChartManualOperation">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solidFill>
              <a:srgbClr val="FF0000"/>
            </a:solidFill>
          </a:endParaRPr>
        </a:p>
      </xdr:txBody>
    </xdr:sp>
    <xdr:clientData/>
  </xdr:twoCellAnchor>
  <xdr:twoCellAnchor>
    <xdr:from>
      <xdr:col>1</xdr:col>
      <xdr:colOff>624840</xdr:colOff>
      <xdr:row>14</xdr:row>
      <xdr:rowOff>137160</xdr:rowOff>
    </xdr:from>
    <xdr:to>
      <xdr:col>1</xdr:col>
      <xdr:colOff>1264920</xdr:colOff>
      <xdr:row>14</xdr:row>
      <xdr:rowOff>510540</xdr:rowOff>
    </xdr:to>
    <xdr:sp macro="" textlink="">
      <xdr:nvSpPr>
        <xdr:cNvPr id="13" name="Flytdiagram: kort 12">
          <a:extLst>
            <a:ext uri="{FF2B5EF4-FFF2-40B4-BE49-F238E27FC236}">
              <a16:creationId xmlns:a16="http://schemas.microsoft.com/office/drawing/2014/main" id="{00000000-0008-0000-0400-00000D000000}"/>
            </a:ext>
          </a:extLst>
        </xdr:cNvPr>
        <xdr:cNvSpPr/>
      </xdr:nvSpPr>
      <xdr:spPr>
        <a:xfrm>
          <a:off x="1805940" y="9591403"/>
          <a:ext cx="640080" cy="373380"/>
        </a:xfrm>
        <a:prstGeom prst="flowChartPunchedCard">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solidFill>
              <a:srgbClr val="FF0000"/>
            </a:solidFill>
          </a:endParaRPr>
        </a:p>
      </xdr:txBody>
    </xdr:sp>
    <xdr:clientData/>
  </xdr:twoCellAnchor>
  <xdr:twoCellAnchor>
    <xdr:from>
      <xdr:col>1</xdr:col>
      <xdr:colOff>624840</xdr:colOff>
      <xdr:row>15</xdr:row>
      <xdr:rowOff>137160</xdr:rowOff>
    </xdr:from>
    <xdr:to>
      <xdr:col>1</xdr:col>
      <xdr:colOff>1272540</xdr:colOff>
      <xdr:row>15</xdr:row>
      <xdr:rowOff>541020</xdr:rowOff>
    </xdr:to>
    <xdr:sp macro="" textlink="">
      <xdr:nvSpPr>
        <xdr:cNvPr id="14" name="Sekskant 13">
          <a:extLst>
            <a:ext uri="{FF2B5EF4-FFF2-40B4-BE49-F238E27FC236}">
              <a16:creationId xmlns:a16="http://schemas.microsoft.com/office/drawing/2014/main" id="{00000000-0008-0000-0400-00000E000000}"/>
            </a:ext>
          </a:extLst>
        </xdr:cNvPr>
        <xdr:cNvSpPr/>
      </xdr:nvSpPr>
      <xdr:spPr>
        <a:xfrm>
          <a:off x="1805940" y="10244546"/>
          <a:ext cx="647700" cy="403860"/>
        </a:xfrm>
        <a:prstGeom prst="hexagon">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solidFill>
              <a:srgbClr val="FF0000"/>
            </a:solidFill>
          </a:endParaRPr>
        </a:p>
      </xdr:txBody>
    </xdr:sp>
    <xdr:clientData/>
  </xdr:twoCellAnchor>
  <xdr:twoCellAnchor>
    <xdr:from>
      <xdr:col>1</xdr:col>
      <xdr:colOff>701040</xdr:colOff>
      <xdr:row>11</xdr:row>
      <xdr:rowOff>121920</xdr:rowOff>
    </xdr:from>
    <xdr:to>
      <xdr:col>1</xdr:col>
      <xdr:colOff>1120140</xdr:colOff>
      <xdr:row>11</xdr:row>
      <xdr:rowOff>502920</xdr:rowOff>
    </xdr:to>
    <xdr:sp macro="" textlink="">
      <xdr:nvSpPr>
        <xdr:cNvPr id="15" name="Flytskjema: kobling på annen side 14">
          <a:extLst>
            <a:ext uri="{FF2B5EF4-FFF2-40B4-BE49-F238E27FC236}">
              <a16:creationId xmlns:a16="http://schemas.microsoft.com/office/drawing/2014/main" id="{00000000-0008-0000-0400-00000F000000}"/>
            </a:ext>
          </a:extLst>
        </xdr:cNvPr>
        <xdr:cNvSpPr/>
      </xdr:nvSpPr>
      <xdr:spPr>
        <a:xfrm>
          <a:off x="1882140" y="7731034"/>
          <a:ext cx="419100" cy="381000"/>
        </a:xfrm>
        <a:prstGeom prst="flowChartOffpageConnector">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solidFill>
              <a:srgbClr val="FF0000"/>
            </a:solidFill>
          </a:endParaRPr>
        </a:p>
      </xdr:txBody>
    </xdr:sp>
    <xdr:clientData/>
  </xdr:twoCellAnchor>
  <xdr:twoCellAnchor>
    <xdr:from>
      <xdr:col>1</xdr:col>
      <xdr:colOff>472440</xdr:colOff>
      <xdr:row>5</xdr:row>
      <xdr:rowOff>228600</xdr:rowOff>
    </xdr:from>
    <xdr:to>
      <xdr:col>1</xdr:col>
      <xdr:colOff>1310640</xdr:colOff>
      <xdr:row>5</xdr:row>
      <xdr:rowOff>556260</xdr:rowOff>
    </xdr:to>
    <xdr:sp macro="" textlink="">
      <xdr:nvSpPr>
        <xdr:cNvPr id="16" name="Flytskjema: terminator 15">
          <a:extLst>
            <a:ext uri="{FF2B5EF4-FFF2-40B4-BE49-F238E27FC236}">
              <a16:creationId xmlns:a16="http://schemas.microsoft.com/office/drawing/2014/main" id="{00000000-0008-0000-0400-000010000000}"/>
            </a:ext>
          </a:extLst>
        </xdr:cNvPr>
        <xdr:cNvSpPr/>
      </xdr:nvSpPr>
      <xdr:spPr>
        <a:xfrm>
          <a:off x="1653540" y="3646714"/>
          <a:ext cx="838200" cy="327660"/>
        </a:xfrm>
        <a:prstGeom prst="flowChartTerminator">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solidFill>
              <a:srgbClr val="FF0000"/>
            </a:solidFill>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frank\Desktop\Shed%20Project\PM-Simplified.xlsx" TargetMode="External"/><Relationship Id="rId1" Type="http://schemas.openxmlformats.org/officeDocument/2006/relationships/externalLinkPath" Target="Shed%20Project/PM-Simplifi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ject Init"/>
      <sheetName val="tblTaskList"/>
      <sheetName val="MS VISIO"/>
      <sheetName val="Swimlane Diagram"/>
    </sheetNames>
    <sheetDataSet>
      <sheetData sheetId="0"/>
      <sheetData sheetId="1">
        <row r="2">
          <cell r="N2" t="str">
            <v>New Garden Shed</v>
          </cell>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B8F1EB-5FB3-4E00-9ABF-AEF20CD4866E}" name="tblTaskList" displayName="tblTaskList" ref="A1:L19" totalsRowShown="0" headerRowDxfId="76" dataDxfId="75" tableBorderDxfId="74">
  <autoFilter ref="A1:L19" xr:uid="{6935DD1C-6AAA-4569-8740-F88E2BA33338}"/>
  <sortState xmlns:xlrd2="http://schemas.microsoft.com/office/spreadsheetml/2017/richdata2" ref="A2:I19">
    <sortCondition ref="D2:D19"/>
  </sortState>
  <tableColumns count="12">
    <tableColumn id="1" xr3:uid="{3CA2C90D-B88E-4F37-B6C3-272F36F0E98F}" name="Task ID" dataDxfId="73"/>
    <tableColumn id="2" xr3:uid="{684EFA0F-6F89-427B-A887-F9193A0F81E7}" name="Task Name" dataDxfId="72"/>
    <tableColumn id="8" xr3:uid="{3007D0C1-79AA-4C6A-B1E1-E6C84F7FCB1C}" name="Resource" dataDxfId="71"/>
    <tableColumn id="7" xr3:uid="{949D5D26-F4A6-4743-8D05-59FB432CA6DB}" name="IsInCriticalPath" dataDxfId="70"/>
    <tableColumn id="3" xr3:uid="{9B62F2D7-97CE-4925-805B-4CEBCFBD9D4E}" name="Predecessor Tasks" dataDxfId="69"/>
    <tableColumn id="4" xr3:uid="{679548EF-6FB1-4FFF-9FFC-1EC6BF0E07B9}" name="Duration (Weeks)" dataDxfId="68"/>
    <tableColumn id="10" xr3:uid="{AB211910-9292-4B08-92D1-E707DE41CBB0}" name="Progress" dataDxfId="67"/>
    <tableColumn id="5" xr3:uid="{30F38975-27FD-4276-A4B2-A9B6B2573723}" name="Hours" dataDxfId="66"/>
    <tableColumn id="6" xr3:uid="{D1731076-42B7-4643-92CC-9B45A31778D1}" name="Cost" dataDxfId="65" dataCellStyle="Comma"/>
    <tableColumn id="13" xr3:uid="{C3661849-4D7D-4669-B0A5-A4EB27F284D9}" name="Actual Cost" dataDxfId="64" dataCellStyle="Comma"/>
    <tableColumn id="11" xr3:uid="{4AC1BC23-2F78-4ABE-A3C0-A9BE1A7F482B}" name="Start wk" dataDxfId="63">
      <calculatedColumnFormula>_xlfn.XLOOKUP(tblTaskList[[#This Row],[Task Name]],'Gantt-frame'!$E$8:$E$25,'Gantt-frame'!$G$8:$G$25,"")</calculatedColumnFormula>
    </tableColumn>
    <tableColumn id="12" xr3:uid="{2A7D2307-839A-4E22-8048-007ABCA83B44}" name="Finish wk" dataDxfId="62">
      <calculatedColumnFormula>_xlfn.LET(_xlpm.s,tblTaskList[[#This Row],[Start wk]],_xlpm.d,IF(tblTaskList[[#This Row],[Duration (Weeks)]]="",_xlfn.XLOOKUP(tblTaskList[[#This Row],[Task Name]],'Gantt-frame'!$E$8:$E$25,'Gantt-frame'!$B$8:$B$25,0),tblTaskList[[#This Row],[Duration (Weeks)]]),IF(_xlpm.s="","",_xlpm.s+MAX(_xlpm.d,1)-1))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A0673C-ED6A-437E-AF9B-184DF76886A0}" name="tblBudget" displayName="tblBudget" ref="N1:T2" totalsRowShown="0">
  <autoFilter ref="N1:T2" xr:uid="{2C03658F-B887-4F30-B6CA-B7DA2D01969C}"/>
  <tableColumns count="7">
    <tableColumn id="1" xr3:uid="{710A5ACB-7CC2-4535-A00B-5FA2687BDA37}" name="Project" dataDxfId="61"/>
    <tableColumn id="2" xr3:uid="{DDE186B6-5FAF-4884-8BF3-D8A84DF94D5F}" name="Budget" dataDxfId="60" dataCellStyle="Comma"/>
    <tableColumn id="3" xr3:uid="{A1D35382-5FDD-4FB4-BA39-E63A263D23ED}" name="Start Date" dataDxfId="59"/>
    <tableColumn id="5" xr3:uid="{E8CFB740-115E-49C5-AADD-45983FBD8345}" name="total hours" dataDxfId="58" dataCellStyle="Comma">
      <calculatedColumnFormula>SUM(tblTaskList[Hours])</calculatedColumnFormula>
    </tableColumn>
    <tableColumn id="6" xr3:uid="{0A489AA3-713F-408E-819F-DB1B74583DA4}" name="total cost" dataDxfId="57" dataCellStyle="Comma">
      <calculatedColumnFormula>SUM(tblTaskList[Cost])</calculatedColumnFormula>
    </tableColumn>
    <tableColumn id="7" xr3:uid="{640082A7-ECE0-4446-9E90-A7C31CFBF2F9}" name="ActCost" dataDxfId="56" dataCellStyle="Comma">
      <calculatedColumnFormula>SUM(tblTaskList[Actual Cost])</calculatedColumnFormula>
    </tableColumn>
    <tableColumn id="8" xr3:uid="{A451E0E5-2D2C-4987-90AF-3128F74512BB}" name="Diff" dataDxfId="55" dataCellStyle="Comma">
      <calculatedColumnFormula>tblBudget[[#This Row],[total cost]]-tblBudget[[#This Row],[ActCost]]</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4101330-9FFF-4B19-8F5C-37965CD48D8E}" name="tblEVMData" displayName="tblEVMData" ref="A9:T27" totalsRowShown="0" headerRowDxfId="5" dataDxfId="6">
  <autoFilter ref="A9:T27" xr:uid="{04101330-9FFF-4B19-8F5C-37965CD48D8E}"/>
  <tableColumns count="20">
    <tableColumn id="1" xr3:uid="{CB689987-BD79-435B-87F3-55EBCC5864F4}" name="Task ID" dataDxfId="26">
      <calculatedColumnFormula array="1">IFERROR(INDEX(tblTaskList[Task ID],ROWS($A$10:A10)),"")</calculatedColumnFormula>
    </tableColumn>
    <tableColumn id="2" xr3:uid="{1E197A4A-4373-4D28-9838-8E7BDE078E50}" name="Task Name" dataDxfId="25">
      <calculatedColumnFormula array="1">IFERROR(INDEX(tblTaskList[Task Name],ROWS($A$10:A10)),"")</calculatedColumnFormula>
    </tableColumn>
    <tableColumn id="3" xr3:uid="{A9F40303-DA5B-41B2-A35F-D55F69EDB12D}" name="Resource" dataDxfId="24">
      <calculatedColumnFormula array="1">IFERROR(INDEX(tblTaskList[Resource],ROWS($A$10:A10)),"")</calculatedColumnFormula>
    </tableColumn>
    <tableColumn id="4" xr3:uid="{455706BE-BE91-4AA9-97CA-484682B9FC7E}" name="Critical Path" dataDxfId="23">
      <calculatedColumnFormula array="1">IFERROR(INDEX(tblTaskList[IsInCriticalPath],ROWS($A$10:A10)),"")</calculatedColumnFormula>
    </tableColumn>
    <tableColumn id="5" xr3:uid="{6534A2A3-D1AE-4AFA-998E-9FD7EE33EDE3}" name="Predecessor Tasks" dataDxfId="22">
      <calculatedColumnFormula array="1">IFERROR(INDEX(tblTaskList[Predecessor Tasks],ROWS($A$10:A10)),"")</calculatedColumnFormula>
    </tableColumn>
    <tableColumn id="6" xr3:uid="{51C3B595-C317-44AF-AF75-2B8F98A5F4D3}" name="Start wk" dataDxfId="21">
      <calculatedColumnFormula array="1">IFERROR(INDEX(tblTaskList[Start wk],ROWS($A$10:A10)),"")</calculatedColumnFormula>
    </tableColumn>
    <tableColumn id="7" xr3:uid="{DD24A6AF-3896-4A54-BCAB-21F88295D12F}" name="Finish wk" dataDxfId="20">
      <calculatedColumnFormula array="1">IFERROR(INDEX(tblTaskList[Finish wk],ROWS($A$10:A10)),"")</calculatedColumnFormula>
    </tableColumn>
    <tableColumn id="8" xr3:uid="{B4C10A79-5654-40CE-9056-52CEAE43717E}" name="Duration (Weeks)" dataDxfId="19">
      <calculatedColumnFormula array="1">IFERROR(INDEX(tblTaskList[Duration (Weeks)],ROWS($A$10:A10)),"")</calculatedColumnFormula>
    </tableColumn>
    <tableColumn id="9" xr3:uid="{FCA0917F-235D-4609-BEAB-01143AC86AFA}" name="Baseline Cost" dataDxfId="18">
      <calculatedColumnFormula array="1">IFERROR(INDEX(tblTaskList[Cost],ROWS($A$10:A10)),"")</calculatedColumnFormula>
    </tableColumn>
    <tableColumn id="10" xr3:uid="{6F6BBE1E-606C-4AF5-AF8D-6C26B489493B}" name="Actual Cost" dataDxfId="17">
      <calculatedColumnFormula array="1">IFERROR(INDEX(tblTaskList[Actual Cost],ROWS($A$10:A10)),"")</calculatedColumnFormula>
    </tableColumn>
    <tableColumn id="11" xr3:uid="{12EBB568-DE01-4E63-959A-6CA6D2C86312}" name="Hours" dataDxfId="16">
      <calculatedColumnFormula array="1">IFERROR(INDEX(tblTaskList[Hours],ROWS($A$10:A10)),"")</calculatedColumnFormula>
    </tableColumn>
    <tableColumn id="12" xr3:uid="{29C152EC-5574-44CC-8A74-20F04CEFA2D6}" name="Actual % Complete" dataDxfId="15">
      <calculatedColumnFormula array="1">IFERROR(INDEX(tblTaskList[Progress],ROWS($A$10:A10)),"")</calculatedColumnFormula>
    </tableColumn>
    <tableColumn id="13" xr3:uid="{63035BBA-4207-4DB1-A2DE-524E1132E107}" name="Planned % Complete" dataDxfId="14">
      <calculatedColumnFormula>IF(OR(tblEVMData[[#This Row],[Start wk]]="",tblEVMData[[#This Row],[Finish wk]]="",tblEVMData[[#This Row],[Baseline Cost]]=""),"",IF($B$5&lt;tblEVMData[[#This Row],[Start wk]],0,IF($B$5&gt;tblEVMData[[#This Row],[Finish wk]],1,($B$5-tblEVMData[[#This Row],[Start wk]]+1)/MAX(1,tblEVMData[[#This Row],[Finish wk]]-tblEVMData[[#This Row],[Start wk]]+1))))</calculatedColumnFormula>
    </tableColumn>
    <tableColumn id="14" xr3:uid="{BDB6B100-6FD2-44DB-90E5-CAAA1C0F3E25}" name="Earned Value" dataDxfId="13">
      <calculatedColumnFormula>IFERROR(tblEVMData[[#This Row],[Baseline Cost]]*tblEVMData[[#This Row],[Actual % Complete]],"")</calculatedColumnFormula>
    </tableColumn>
    <tableColumn id="15" xr3:uid="{FF73617F-3695-4ED3-B600-95782D89DBD9}" name="Planned Value" dataDxfId="12">
      <calculatedColumnFormula>IFERROR(tblEVMData[[#This Row],[Baseline Cost]]*tblEVMData[[#This Row],[Planned % Complete]],"")</calculatedColumnFormula>
    </tableColumn>
    <tableColumn id="16" xr3:uid="{C10B80C3-96F6-474E-8BFA-16CB4F7B9935}" name="Schedule Variance" dataDxfId="11">
      <calculatedColumnFormula>IFERROR(tblEVMData[[#This Row],[Earned Value]]-tblEVMData[[#This Row],[Planned Value]],"")</calculatedColumnFormula>
    </tableColumn>
    <tableColumn id="17" xr3:uid="{A3C0D532-F202-433B-B6DD-301A8BB54742}" name="Cost Variance" dataDxfId="10">
      <calculatedColumnFormula>IFERROR(tblEVMData[[#This Row],[Earned Value]]-tblEVMData[[#This Row],[Actual Cost]],"")</calculatedColumnFormula>
    </tableColumn>
    <tableColumn id="18" xr3:uid="{E8D10837-E917-4AA6-A69B-40DB91F94A8B}" name="SPI" dataDxfId="9">
      <calculatedColumnFormula>IFERROR(tblEVMData[[#This Row],[Earned Value]]/tblEVMData[[#This Row],[Planned Value]],"")</calculatedColumnFormula>
    </tableColumn>
    <tableColumn id="19" xr3:uid="{ECDF31A5-ADE2-434D-A042-756F73740386}" name="CPI" dataDxfId="8">
      <calculatedColumnFormula>IFERROR(tblEVMData[[#This Row],[Earned Value]]/tblEVMData[[#This Row],[Actual Cost]],"")</calculatedColumnFormula>
    </tableColumn>
    <tableColumn id="20" xr3:uid="{708BD516-8BAE-4C6D-8404-375B49160B10}" name="Data Gap / Action Needed" dataDxfId="7">
      <calculatedColumnFormula>_xlfn.TEXTJOIN("; ",TRUE,IF(tblEVMData[[#This Row],[Baseline Cost]]="","Add baseline cost", ""),IF(tblEVMData[[#This Row],[Actual Cost]]="","Add actual cost", ""),IF(tblEVMData[[#This Row],[Hours]]="","Add hours", ""),IF(tblEVMData[[#This Row],[Duration (Weeks)]]="","Add duration", ""),IF(tblEVMData[[#This Row],[Actual % Complete]]="","Add progress", ""),IF(tblEVMData[[#This Row],[Start wk]]="","Add start week", ""),IF(tblEVMData[[#This Row],[Finish wk]]="","Add finish week", ""))</calculatedColumnFormula>
    </tableColumn>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C7B4C5D-0476-4404-99C0-2086C07D4892}" name="SCurveData" displayName="SCurveData" ref="A11:E63" totalsRowShown="0" headerRowDxfId="4">
  <autoFilter ref="A11:E63" xr:uid="{7C7B4C5D-0476-4404-99C0-2086C07D4892}"/>
  <tableColumns count="5">
    <tableColumn id="1" xr3:uid="{34B22EE5-57E0-417B-BA8E-08969F6E50C7}" name="Week"/>
    <tableColumn id="2" xr3:uid="{166C1E9E-FA5D-4032-9C9C-3DAC18197C54}" name="Week Start" dataDxfId="0">
      <calculatedColumnFormula>IF(ISNUMBER('Gantt-frame'!$F$5),'Gantt-frame'!$F$5,DATE(VALUE(RIGHT('Gantt-frame'!$F$5,4)),VALUE(MID('Gantt-frame'!$F$5,4,2)),VALUE(LEFT('Gantt-frame'!$F$5,2))))+(SCurveData[[#This Row],[Week]]-1)*7</calculatedColumnFormula>
    </tableColumn>
    <tableColumn id="3" xr3:uid="{FDE49B51-5E6D-4D7E-AC85-57E4C353F671}" name="Planned Value" dataDxfId="3">
      <calculatedColumnFormula array="1">SUMPRODUCT(tblEVMData[Baseline Cost]*IF(SCurveData[[#This Row],[Week]]&lt;tblEVMData[Start wk],0,IF(SCurveData[[#This Row],[Week]]&gt;=tblEVMData[Finish wk],1,(SCurveData[[#This Row],[Week]]-tblEVMData[Start wk]+1)/tblEVMData[Duration (Weeks)])))</calculatedColumnFormula>
    </tableColumn>
    <tableColumn id="4" xr3:uid="{26425EC8-BF4E-4EA2-9BF5-69B1A0981121}" name="Earned Value" dataDxfId="2">
      <calculatedColumnFormula array="1">IF(SCurveData[[#This Row],[Week]]&gt;'EVM Data'!$B$5,NA(),SUMPRODUCT(tblEVMData[Earned Value]*--(tblEVMData[Finish wk]&lt;=SCurveData[[#This Row],[Week]])))</calculatedColumnFormula>
    </tableColumn>
    <tableColumn id="5" xr3:uid="{CF1AF620-3B56-4216-BC59-26504EC3AF0D}" name="Actual Cost" dataDxfId="1">
      <calculatedColumnFormula array="1">IF(SCurveData[[#This Row],[Week]]&gt;'EVM Data'!$B$5,NA(),SUMPRODUCT(tblEVMData[Actual Cost]*--(tblEVMData[Finish wk]&lt;=SCurveData[[#This Row],[Week]])))</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ProcessMapData" displayName="ProcessMapData" ref="B5:L23" totalsRowShown="0" headerRowDxfId="45" dataDxfId="38" headerRowBorderDxfId="47" tableBorderDxfId="48" totalsRowBorderDxfId="46">
  <autoFilter ref="B5:L23"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0000000-0010-0000-0000-000001000000}" name="ID for prosesstrinnet" dataDxfId="44"/>
    <tableColumn id="2" xr3:uid="{00000000-0010-0000-0000-000002000000}" name="Beskrivelse av prosesstrinnet" dataDxfId="43"/>
    <tableColumn id="3" xr3:uid="{00000000-0010-0000-0000-000003000000}" name="ID for neste trinn" dataDxfId="42"/>
    <tableColumn id="4" xr3:uid="{00000000-0010-0000-0000-000004000000}" name="Koblingsetikett" dataDxfId="41"/>
    <tableColumn id="5" xr3:uid="{00000000-0010-0000-0000-000005000000}" name="Formtype" dataDxfId="40"/>
    <tableColumn id="6" xr3:uid="{00000000-0010-0000-0000-000006000000}" name="Eier" dataDxfId="37"/>
    <tableColumn id="7" xr3:uid="{00000000-0010-0000-0000-000007000000}" name="Kostnader" dataDxfId="36"/>
    <tableColumn id="8" xr3:uid="{00000000-0010-0000-0000-000008000000}" name="Startdato" dataDxfId="35"/>
    <tableColumn id="9" xr3:uid="{00000000-0010-0000-0000-000009000000}" name="Sluttdato" dataDxfId="34"/>
    <tableColumn id="10" xr3:uid="{00000000-0010-0000-0000-00000A000000}" name="Status" dataDxfId="39"/>
    <tableColumn id="11" xr3:uid="{00000000-0010-0000-0000-00000B000000}" name="Alternativ beskrivelse" dataDxfId="33"/>
  </tableColumns>
  <tableStyleInfo name="ProcessMapTable" showFirstColumn="0" showLastColumn="0" showRowStripes="1" showColumnStripes="0"/>
  <extLst>
    <ext xmlns:x14="http://schemas.microsoft.com/office/spreadsheetml/2009/9/main" uri="{504A1905-F514-4f6f-8877-14C23A59335A}">
      <x14:table altText="Process map for generating Viso diagrams. " altTextSummary="Angi en prosesstrinn-ID og -beskrivelse, neste trinn-ID, koblingsetiketter og figurtype for å komme i gang. Legg til egendefinerte oppføringer i kolonnene til høyre."/>
    </ext>
  </extLst>
</table>
</file>

<file path=xl/theme/theme1.xml><?xml version="1.0" encoding="utf-8"?>
<a:theme xmlns:a="http://schemas.openxmlformats.org/drawingml/2006/main" name="Office Theme">
  <a:themeElements>
    <a:clrScheme name="Custom 2">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A0ACB2"/>
      </a:hlink>
      <a:folHlink>
        <a:srgbClr val="A0ACB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BA84E-6BC6-47EE-B243-5F5DBD33219D}">
  <sheetPr>
    <tabColor theme="3" tint="0.89999084444715716"/>
  </sheetPr>
  <dimension ref="A1:V31"/>
  <sheetViews>
    <sheetView showGridLines="0" tabSelected="1" workbookViewId="0">
      <selection activeCell="H15" sqref="H15"/>
    </sheetView>
  </sheetViews>
  <sheetFormatPr defaultRowHeight="14.5" x14ac:dyDescent="0.35"/>
  <cols>
    <col min="2" max="2" width="20.08984375" customWidth="1"/>
    <col min="3" max="3" width="11.08984375" customWidth="1"/>
    <col min="9" max="9" width="12.36328125" customWidth="1"/>
    <col min="10" max="10" width="4.08984375" customWidth="1"/>
  </cols>
  <sheetData>
    <row r="1" spans="1:22" x14ac:dyDescent="0.35">
      <c r="A1" s="38" t="s">
        <v>46</v>
      </c>
      <c r="B1" s="38"/>
      <c r="E1">
        <v>1</v>
      </c>
      <c r="F1" t="s">
        <v>47</v>
      </c>
      <c r="J1">
        <v>2</v>
      </c>
      <c r="K1" t="s">
        <v>48</v>
      </c>
      <c r="M1" t="s">
        <v>49</v>
      </c>
      <c r="P1" t="s">
        <v>50</v>
      </c>
      <c r="V1" t="s">
        <v>51</v>
      </c>
    </row>
    <row r="2" spans="1:22" x14ac:dyDescent="0.35">
      <c r="F2" t="s">
        <v>52</v>
      </c>
      <c r="K2" t="s">
        <v>53</v>
      </c>
      <c r="V2" t="s">
        <v>54</v>
      </c>
    </row>
    <row r="3" spans="1:22" x14ac:dyDescent="0.35">
      <c r="A3" t="s">
        <v>55</v>
      </c>
      <c r="F3" t="s">
        <v>56</v>
      </c>
      <c r="K3" t="s">
        <v>57</v>
      </c>
      <c r="V3" t="s">
        <v>58</v>
      </c>
    </row>
    <row r="4" spans="1:22" x14ac:dyDescent="0.35">
      <c r="A4" t="s">
        <v>59</v>
      </c>
      <c r="F4" t="s">
        <v>60</v>
      </c>
      <c r="K4" t="s">
        <v>61</v>
      </c>
      <c r="V4" t="s">
        <v>62</v>
      </c>
    </row>
    <row r="5" spans="1:22" x14ac:dyDescent="0.35">
      <c r="A5" t="s">
        <v>63</v>
      </c>
      <c r="F5" t="s">
        <v>64</v>
      </c>
      <c r="K5" t="s">
        <v>65</v>
      </c>
      <c r="V5" t="s">
        <v>66</v>
      </c>
    </row>
    <row r="6" spans="1:22" x14ac:dyDescent="0.35">
      <c r="A6" t="s">
        <v>67</v>
      </c>
      <c r="F6" t="s">
        <v>68</v>
      </c>
      <c r="V6" t="s">
        <v>69</v>
      </c>
    </row>
    <row r="7" spans="1:22" x14ac:dyDescent="0.35">
      <c r="A7" t="s">
        <v>70</v>
      </c>
      <c r="F7" t="s">
        <v>71</v>
      </c>
      <c r="K7" t="s">
        <v>72</v>
      </c>
      <c r="V7" t="s">
        <v>73</v>
      </c>
    </row>
    <row r="8" spans="1:22" x14ac:dyDescent="0.35">
      <c r="A8" t="s">
        <v>74</v>
      </c>
      <c r="F8" t="s">
        <v>75</v>
      </c>
      <c r="K8" t="s">
        <v>76</v>
      </c>
      <c r="V8" t="s">
        <v>77</v>
      </c>
    </row>
    <row r="9" spans="1:22" x14ac:dyDescent="0.35">
      <c r="K9" t="s">
        <v>78</v>
      </c>
      <c r="V9" t="s">
        <v>79</v>
      </c>
    </row>
    <row r="10" spans="1:22" x14ac:dyDescent="0.35">
      <c r="A10" t="s">
        <v>80</v>
      </c>
      <c r="K10" t="s">
        <v>81</v>
      </c>
      <c r="V10" t="s">
        <v>82</v>
      </c>
    </row>
    <row r="11" spans="1:22" x14ac:dyDescent="0.35">
      <c r="A11" t="s">
        <v>83</v>
      </c>
      <c r="K11" t="s">
        <v>84</v>
      </c>
      <c r="V11" t="s">
        <v>85</v>
      </c>
    </row>
    <row r="12" spans="1:22" x14ac:dyDescent="0.35">
      <c r="A12" t="s">
        <v>86</v>
      </c>
      <c r="K12" t="s">
        <v>87</v>
      </c>
      <c r="V12" t="s">
        <v>88</v>
      </c>
    </row>
    <row r="13" spans="1:22" x14ac:dyDescent="0.35">
      <c r="A13" t="s">
        <v>89</v>
      </c>
      <c r="K13" t="s">
        <v>90</v>
      </c>
    </row>
    <row r="14" spans="1:22" x14ac:dyDescent="0.35">
      <c r="A14" t="s">
        <v>91</v>
      </c>
    </row>
    <row r="15" spans="1:22" x14ac:dyDescent="0.35">
      <c r="A15" t="s">
        <v>92</v>
      </c>
      <c r="K15" t="s">
        <v>93</v>
      </c>
    </row>
    <row r="16" spans="1:22" x14ac:dyDescent="0.35">
      <c r="A16" t="s">
        <v>94</v>
      </c>
      <c r="K16" t="s">
        <v>95</v>
      </c>
    </row>
    <row r="17" spans="1:11" x14ac:dyDescent="0.35">
      <c r="A17" t="s">
        <v>96</v>
      </c>
      <c r="K17" t="s">
        <v>97</v>
      </c>
    </row>
    <row r="18" spans="1:11" x14ac:dyDescent="0.35">
      <c r="A18" t="s">
        <v>98</v>
      </c>
      <c r="K18" t="s">
        <v>99</v>
      </c>
    </row>
    <row r="19" spans="1:11" x14ac:dyDescent="0.35">
      <c r="K19" t="s">
        <v>100</v>
      </c>
    </row>
    <row r="20" spans="1:11" x14ac:dyDescent="0.35">
      <c r="A20" t="s">
        <v>101</v>
      </c>
      <c r="K20" t="s">
        <v>102</v>
      </c>
    </row>
    <row r="21" spans="1:11" x14ac:dyDescent="0.35">
      <c r="A21" t="s">
        <v>103</v>
      </c>
      <c r="K21" t="s">
        <v>104</v>
      </c>
    </row>
    <row r="22" spans="1:11" x14ac:dyDescent="0.35">
      <c r="A22" t="s">
        <v>105</v>
      </c>
      <c r="K22" t="s">
        <v>106</v>
      </c>
    </row>
    <row r="23" spans="1:11" x14ac:dyDescent="0.35">
      <c r="A23" t="s">
        <v>107</v>
      </c>
      <c r="K23" t="s">
        <v>108</v>
      </c>
    </row>
    <row r="24" spans="1:11" x14ac:dyDescent="0.35">
      <c r="A24" t="s">
        <v>109</v>
      </c>
    </row>
    <row r="25" spans="1:11" x14ac:dyDescent="0.35">
      <c r="A25" t="s">
        <v>110</v>
      </c>
      <c r="K25" t="s">
        <v>111</v>
      </c>
    </row>
    <row r="26" spans="1:11" x14ac:dyDescent="0.35">
      <c r="A26" t="s">
        <v>112</v>
      </c>
      <c r="K26" t="s">
        <v>113</v>
      </c>
    </row>
    <row r="27" spans="1:11" x14ac:dyDescent="0.35">
      <c r="A27" t="s">
        <v>114</v>
      </c>
      <c r="K27" t="s">
        <v>115</v>
      </c>
    </row>
    <row r="28" spans="1:11" x14ac:dyDescent="0.35">
      <c r="A28" t="s">
        <v>116</v>
      </c>
      <c r="K28" t="s">
        <v>440</v>
      </c>
    </row>
    <row r="29" spans="1:11" x14ac:dyDescent="0.35">
      <c r="A29" t="s">
        <v>117</v>
      </c>
    </row>
    <row r="30" spans="1:11" x14ac:dyDescent="0.35">
      <c r="A30" t="s">
        <v>118</v>
      </c>
    </row>
    <row r="31" spans="1:11" x14ac:dyDescent="0.35">
      <c r="A31" t="s">
        <v>119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1E43A-BB55-43D3-A18C-D8DA8D6DAF6B}">
  <sheetPr>
    <tabColor rgb="FFFFFF99"/>
  </sheetPr>
  <dimension ref="A1:Y32"/>
  <sheetViews>
    <sheetView workbookViewId="0">
      <selection activeCell="G9" sqref="G9"/>
    </sheetView>
  </sheetViews>
  <sheetFormatPr defaultRowHeight="14.5" x14ac:dyDescent="0.35"/>
  <cols>
    <col min="1" max="1" width="9.36328125" bestFit="1" customWidth="1"/>
    <col min="2" max="2" width="25.90625" bestFit="1" customWidth="1"/>
    <col min="3" max="3" width="11.453125" bestFit="1" customWidth="1"/>
    <col min="4" max="4" width="16.6328125" bestFit="1" customWidth="1"/>
    <col min="5" max="5" width="25.90625" bestFit="1" customWidth="1"/>
    <col min="6" max="6" width="18.54296875" bestFit="1" customWidth="1"/>
    <col min="7" max="7" width="10.7265625" bestFit="1" customWidth="1"/>
    <col min="8" max="8" width="8.453125" bestFit="1" customWidth="1"/>
    <col min="9" max="9" width="7.36328125" bestFit="1" customWidth="1"/>
    <col min="10" max="10" width="8.90625" customWidth="1"/>
    <col min="11" max="11" width="12.26953125" bestFit="1" customWidth="1"/>
    <col min="12" max="12" width="13.36328125" bestFit="1" customWidth="1"/>
    <col min="13" max="13" width="17.36328125" customWidth="1"/>
    <col min="14" max="14" width="8.90625" customWidth="1"/>
    <col min="15" max="15" width="11.453125" customWidth="1"/>
    <col min="16" max="16" width="10.6328125" customWidth="1"/>
    <col min="17" max="17" width="12.1796875" customWidth="1"/>
    <col min="18" max="18" width="10.90625" customWidth="1"/>
    <col min="20" max="20" width="8.7265625" customWidth="1"/>
  </cols>
  <sheetData>
    <row r="1" spans="1:25" x14ac:dyDescent="0.35">
      <c r="A1" s="39" t="s">
        <v>120</v>
      </c>
      <c r="B1" s="39" t="s">
        <v>121</v>
      </c>
      <c r="C1" s="39" t="s">
        <v>122</v>
      </c>
      <c r="D1" s="39" t="s">
        <v>123</v>
      </c>
      <c r="E1" s="39" t="s">
        <v>124</v>
      </c>
      <c r="F1" s="40" t="s">
        <v>125</v>
      </c>
      <c r="G1" s="40" t="s">
        <v>126</v>
      </c>
      <c r="H1" s="40" t="s">
        <v>127</v>
      </c>
      <c r="I1" s="39" t="s">
        <v>98</v>
      </c>
      <c r="J1" s="39" t="s">
        <v>128</v>
      </c>
      <c r="K1" s="40" t="s">
        <v>129</v>
      </c>
      <c r="L1" s="40" t="s">
        <v>130</v>
      </c>
      <c r="N1" s="41" t="s">
        <v>131</v>
      </c>
      <c r="O1" s="41" t="s">
        <v>132</v>
      </c>
      <c r="P1" s="41" t="s">
        <v>133</v>
      </c>
      <c r="Q1" s="39" t="s">
        <v>134</v>
      </c>
      <c r="R1" s="39" t="s">
        <v>135</v>
      </c>
      <c r="S1" s="39" t="s">
        <v>136</v>
      </c>
      <c r="T1" s="42" t="s">
        <v>137</v>
      </c>
    </row>
    <row r="2" spans="1:25" x14ac:dyDescent="0.35">
      <c r="A2" s="43">
        <v>2</v>
      </c>
      <c r="B2" s="43" t="s">
        <v>138</v>
      </c>
      <c r="C2" s="43" t="s">
        <v>139</v>
      </c>
      <c r="D2" s="43" t="s">
        <v>140</v>
      </c>
      <c r="E2" s="43" t="s">
        <v>141</v>
      </c>
      <c r="F2" s="44">
        <v>6</v>
      </c>
      <c r="G2" s="45">
        <v>1</v>
      </c>
      <c r="H2" s="44"/>
      <c r="I2" s="46"/>
      <c r="J2" s="47"/>
      <c r="K2" s="48">
        <f>_xlfn.XLOOKUP(tblTaskList[[#This Row],[Task Name]],'Gantt-frame'!$E$8:$E$25,'Gantt-frame'!$G$8:$G$25,"")</f>
        <v>1</v>
      </c>
      <c r="L2" s="48">
        <f>_xlfn.LET(_xlpm.s,tblTaskList[[#This Row],[Start wk]],_xlpm.d,IF(tblTaskList[[#This Row],[Duration (Weeks)]]="",_xlfn.XLOOKUP(tblTaskList[[#This Row],[Task Name]],'Gantt-frame'!$E$8:$E$25,'Gantt-frame'!$B$8:$B$25,0),tblTaskList[[#This Row],[Duration (Weeks)]]),IF(_xlpm.s="","",_xlpm.s+MAX(_xlpm.d,1)-1))</f>
        <v>6</v>
      </c>
      <c r="N2" s="49" t="s">
        <v>142</v>
      </c>
      <c r="O2" s="50">
        <v>20000</v>
      </c>
      <c r="P2" s="51" t="s">
        <v>143</v>
      </c>
      <c r="Q2" s="52">
        <f>SUM(tblTaskList[Hours])</f>
        <v>70</v>
      </c>
      <c r="R2" s="52">
        <f>SUM(tblTaskList[Cost])</f>
        <v>18800</v>
      </c>
      <c r="S2" s="52">
        <f>SUM(tblTaskList[Actual Cost])</f>
        <v>19450</v>
      </c>
      <c r="T2" s="53">
        <f>tblBudget[[#This Row],[total cost]]-tblBudget[[#This Row],[ActCost]]</f>
        <v>-650</v>
      </c>
    </row>
    <row r="3" spans="1:25" x14ac:dyDescent="0.35">
      <c r="A3" s="43">
        <v>3</v>
      </c>
      <c r="B3" s="43" t="s">
        <v>141</v>
      </c>
      <c r="C3" s="43" t="s">
        <v>139</v>
      </c>
      <c r="D3" s="43" t="s">
        <v>140</v>
      </c>
      <c r="E3" s="43" t="s">
        <v>144</v>
      </c>
      <c r="F3" s="44">
        <v>10</v>
      </c>
      <c r="G3" s="45">
        <v>0.2</v>
      </c>
      <c r="H3" s="44"/>
      <c r="I3" s="46">
        <v>100</v>
      </c>
      <c r="J3" s="47">
        <v>100</v>
      </c>
      <c r="K3" s="48">
        <f>_xlfn.XLOOKUP(tblTaskList[[#This Row],[Task Name]],'Gantt-frame'!$E$8:$E$25,'Gantt-frame'!$G$8:$G$25,"")</f>
        <v>7</v>
      </c>
      <c r="L3" s="48">
        <f>_xlfn.LET(_xlpm.s,tblTaskList[[#This Row],[Start wk]],_xlpm.d,IF(tblTaskList[[#This Row],[Duration (Weeks)]]="",_xlfn.XLOOKUP(tblTaskList[[#This Row],[Task Name]],'Gantt-frame'!$E$8:$E$25,'Gantt-frame'!$B$8:$B$25,0),tblTaskList[[#This Row],[Duration (Weeks)]]),IF(_xlpm.s="","",_xlpm.s+MAX(_xlpm.d,1)-1))</f>
        <v>16</v>
      </c>
    </row>
    <row r="4" spans="1:25" x14ac:dyDescent="0.35">
      <c r="A4" s="43">
        <v>6</v>
      </c>
      <c r="B4" s="43" t="s">
        <v>145</v>
      </c>
      <c r="C4" s="43" t="s">
        <v>146</v>
      </c>
      <c r="D4" s="43" t="s">
        <v>140</v>
      </c>
      <c r="E4" s="43" t="s">
        <v>147</v>
      </c>
      <c r="F4" s="44">
        <v>1</v>
      </c>
      <c r="G4" s="45">
        <v>0</v>
      </c>
      <c r="H4" s="44">
        <v>4</v>
      </c>
      <c r="I4" s="46">
        <v>350</v>
      </c>
      <c r="J4" s="47">
        <v>400</v>
      </c>
      <c r="K4" s="48">
        <f>_xlfn.XLOOKUP(tblTaskList[[#This Row],[Task Name]],'Gantt-frame'!$E$8:$E$25,'Gantt-frame'!$G$8:$G$25,"")</f>
        <v>17</v>
      </c>
      <c r="L4" s="48">
        <f>_xlfn.LET(_xlpm.s,tblTaskList[[#This Row],[Start wk]],_xlpm.d,IF(tblTaskList[[#This Row],[Duration (Weeks)]]="",_xlfn.XLOOKUP(tblTaskList[[#This Row],[Task Name]],'Gantt-frame'!$E$8:$E$25,'Gantt-frame'!$B$8:$B$25,0),tblTaskList[[#This Row],[Duration (Weeks)]]),IF(_xlpm.s="","",_xlpm.s+MAX(_xlpm.d,1)-1))</f>
        <v>17</v>
      </c>
    </row>
    <row r="5" spans="1:25" x14ac:dyDescent="0.35">
      <c r="A5" s="43">
        <v>7</v>
      </c>
      <c r="B5" s="43" t="s">
        <v>144</v>
      </c>
      <c r="C5" s="43" t="s">
        <v>139</v>
      </c>
      <c r="D5" s="43" t="s">
        <v>140</v>
      </c>
      <c r="E5" s="43" t="s">
        <v>145</v>
      </c>
      <c r="F5" s="44">
        <v>2</v>
      </c>
      <c r="G5" s="45">
        <v>0</v>
      </c>
      <c r="H5" s="44"/>
      <c r="I5" s="46"/>
      <c r="J5" s="47"/>
      <c r="K5" s="48">
        <f>_xlfn.XLOOKUP(tblTaskList[[#This Row],[Task Name]],'Gantt-frame'!$E$8:$E$25,'Gantt-frame'!$G$8:$G$25,"")</f>
        <v>18</v>
      </c>
      <c r="L5" s="48">
        <f>_xlfn.LET(_xlpm.s,tblTaskList[[#This Row],[Start wk]],_xlpm.d,IF(tblTaskList[[#This Row],[Duration (Weeks)]]="",_xlfn.XLOOKUP(tblTaskList[[#This Row],[Task Name]],'Gantt-frame'!$E$8:$E$25,'Gantt-frame'!$B$8:$B$25,0),tblTaskList[[#This Row],[Duration (Weeks)]]),IF(_xlpm.s="","",_xlpm.s+MAX(_xlpm.d,1)-1))</f>
        <v>19</v>
      </c>
    </row>
    <row r="6" spans="1:25" x14ac:dyDescent="0.35">
      <c r="A6" s="43">
        <v>9</v>
      </c>
      <c r="B6" s="43" t="s">
        <v>148</v>
      </c>
      <c r="C6" s="43" t="s">
        <v>146</v>
      </c>
      <c r="D6" s="43" t="s">
        <v>140</v>
      </c>
      <c r="E6" s="43" t="s">
        <v>149</v>
      </c>
      <c r="F6" s="44">
        <v>1</v>
      </c>
      <c r="G6" s="45">
        <v>0</v>
      </c>
      <c r="H6" s="44">
        <v>3</v>
      </c>
      <c r="I6" s="46">
        <v>700</v>
      </c>
      <c r="J6" s="47">
        <v>800</v>
      </c>
      <c r="K6" s="48">
        <f>_xlfn.XLOOKUP(tblTaskList[[#This Row],[Task Name]],'Gantt-frame'!$E$8:$E$25,'Gantt-frame'!$G$8:$G$25,"")</f>
        <v>20</v>
      </c>
      <c r="L6" s="48">
        <f>_xlfn.LET(_xlpm.s,tblTaskList[[#This Row],[Start wk]],_xlpm.d,IF(tblTaskList[[#This Row],[Duration (Weeks)]]="",_xlfn.XLOOKUP(tblTaskList[[#This Row],[Task Name]],'Gantt-frame'!$E$8:$E$25,'Gantt-frame'!$B$8:$B$25,0),tblTaskList[[#This Row],[Duration (Weeks)]]),IF(_xlpm.s="","",_xlpm.s+MAX(_xlpm.d,1)-1))</f>
        <v>20</v>
      </c>
    </row>
    <row r="7" spans="1:25" x14ac:dyDescent="0.35">
      <c r="A7" s="43">
        <v>10</v>
      </c>
      <c r="B7" s="43" t="s">
        <v>149</v>
      </c>
      <c r="C7" s="43" t="s">
        <v>146</v>
      </c>
      <c r="D7" s="43" t="s">
        <v>140</v>
      </c>
      <c r="E7" s="43" t="s">
        <v>150</v>
      </c>
      <c r="F7" s="44">
        <v>1</v>
      </c>
      <c r="G7" s="45">
        <v>0</v>
      </c>
      <c r="H7" s="44">
        <v>5</v>
      </c>
      <c r="I7" s="46">
        <v>100</v>
      </c>
      <c r="J7" s="47">
        <v>100</v>
      </c>
      <c r="K7" s="48">
        <f>_xlfn.XLOOKUP(tblTaskList[[#This Row],[Task Name]],'Gantt-frame'!$E$8:$E$25,'Gantt-frame'!$G$8:$G$25,"")</f>
        <v>21</v>
      </c>
      <c r="L7" s="48">
        <f>_xlfn.LET(_xlpm.s,tblTaskList[[#This Row],[Start wk]],_xlpm.d,IF(tblTaskList[[#This Row],[Duration (Weeks)]]="",_xlfn.XLOOKUP(tblTaskList[[#This Row],[Task Name]],'Gantt-frame'!$E$8:$E$25,'Gantt-frame'!$B$8:$B$25,0),tblTaskList[[#This Row],[Duration (Weeks)]]),IF(_xlpm.s="","",_xlpm.s+MAX(_xlpm.d,1)-1))</f>
        <v>21</v>
      </c>
    </row>
    <row r="8" spans="1:25" x14ac:dyDescent="0.35">
      <c r="A8" s="43">
        <v>17</v>
      </c>
      <c r="B8" s="43" t="s">
        <v>151</v>
      </c>
      <c r="C8" s="43" t="s">
        <v>139</v>
      </c>
      <c r="D8" s="43" t="s">
        <v>140</v>
      </c>
      <c r="E8" s="43"/>
      <c r="F8" s="44">
        <v>4</v>
      </c>
      <c r="G8" s="45">
        <v>0</v>
      </c>
      <c r="H8" s="44">
        <v>34</v>
      </c>
      <c r="I8" s="46">
        <v>8000</v>
      </c>
      <c r="J8" s="47">
        <v>8500</v>
      </c>
      <c r="K8" s="48">
        <f>_xlfn.XLOOKUP(tblTaskList[[#This Row],[Task Name]],'Gantt-frame'!$E$8:$E$25,'Gantt-frame'!$G$8:$G$25,"")</f>
        <v>22</v>
      </c>
      <c r="L8" s="48">
        <f>_xlfn.LET(_xlpm.s,tblTaskList[[#This Row],[Start wk]],_xlpm.d,IF(tblTaskList[[#This Row],[Duration (Weeks)]]="",_xlfn.XLOOKUP(tblTaskList[[#This Row],[Task Name]],'Gantt-frame'!$E$8:$E$25,'Gantt-frame'!$B$8:$B$25,0),tblTaskList[[#This Row],[Duration (Weeks)]]),IF(_xlpm.s="","",_xlpm.s+MAX(_xlpm.d,1)-1))</f>
        <v>25</v>
      </c>
    </row>
    <row r="9" spans="1:25" x14ac:dyDescent="0.35">
      <c r="A9" s="43">
        <v>19</v>
      </c>
      <c r="B9" s="43" t="s">
        <v>152</v>
      </c>
      <c r="C9" s="43" t="s">
        <v>146</v>
      </c>
      <c r="D9" s="43" t="s">
        <v>140</v>
      </c>
      <c r="E9" s="43" t="s">
        <v>153</v>
      </c>
      <c r="F9" s="44">
        <v>0</v>
      </c>
      <c r="G9" s="45">
        <v>0</v>
      </c>
      <c r="H9" s="44"/>
      <c r="I9" s="46"/>
      <c r="J9" s="47"/>
      <c r="K9" s="48">
        <f>_xlfn.XLOOKUP(tblTaskList[[#This Row],[Task Name]],'Gantt-frame'!$E$8:$E$25,'Gantt-frame'!$G$8:$G$25,"")</f>
        <v>22</v>
      </c>
      <c r="L9" s="48">
        <f>_xlfn.LET(_xlpm.s,tblTaskList[[#This Row],[Start wk]],_xlpm.d,IF(tblTaskList[[#This Row],[Duration (Weeks)]]="",_xlfn.XLOOKUP(tblTaskList[[#This Row],[Task Name]],'Gantt-frame'!$E$8:$E$25,'Gantt-frame'!$B$8:$B$25,0),tblTaskList[[#This Row],[Duration (Weeks)]]),IF(_xlpm.s="","",_xlpm.s+MAX(_xlpm.d,1)-1))</f>
        <v>22</v>
      </c>
    </row>
    <row r="10" spans="1:25" x14ac:dyDescent="0.35">
      <c r="A10" s="43">
        <v>1</v>
      </c>
      <c r="B10" s="43" t="s">
        <v>154</v>
      </c>
      <c r="C10" s="43" t="s">
        <v>139</v>
      </c>
      <c r="D10" s="43" t="s">
        <v>155</v>
      </c>
      <c r="E10" s="43" t="s">
        <v>156</v>
      </c>
      <c r="F10" s="44">
        <v>0</v>
      </c>
      <c r="G10" s="45">
        <v>1</v>
      </c>
      <c r="H10" s="44"/>
      <c r="I10" s="46"/>
      <c r="J10" s="47"/>
      <c r="K10" s="48">
        <f>_xlfn.XLOOKUP(tblTaskList[[#This Row],[Task Name]],'Gantt-frame'!$E$8:$E$25,'Gantt-frame'!$G$8:$G$25,"")</f>
        <v>2</v>
      </c>
      <c r="L10" s="48">
        <f>_xlfn.LET(_xlpm.s,tblTaskList[[#This Row],[Start wk]],_xlpm.d,IF(tblTaskList[[#This Row],[Duration (Weeks)]]="",_xlfn.XLOOKUP(tblTaskList[[#This Row],[Task Name]],'Gantt-frame'!$E$8:$E$25,'Gantt-frame'!$B$8:$B$25,0),tblTaskList[[#This Row],[Duration (Weeks)]]),IF(_xlpm.s="","",_xlpm.s+MAX(_xlpm.d,1)-1))</f>
        <v>2</v>
      </c>
    </row>
    <row r="11" spans="1:25" x14ac:dyDescent="0.35">
      <c r="A11" s="43">
        <v>4</v>
      </c>
      <c r="B11" s="43" t="s">
        <v>156</v>
      </c>
      <c r="C11" s="43" t="s">
        <v>146</v>
      </c>
      <c r="D11" s="43" t="s">
        <v>155</v>
      </c>
      <c r="E11" s="43" t="s">
        <v>157</v>
      </c>
      <c r="F11" s="44">
        <v>1</v>
      </c>
      <c r="G11" s="45">
        <v>0</v>
      </c>
      <c r="H11" s="44">
        <v>6</v>
      </c>
      <c r="I11" s="46">
        <v>300</v>
      </c>
      <c r="J11" s="46">
        <v>300</v>
      </c>
      <c r="K11" s="48">
        <f>_xlfn.XLOOKUP(tblTaskList[[#This Row],[Task Name]],'Gantt-frame'!$E$8:$E$25,'Gantt-frame'!$G$8:$G$25,"")</f>
        <v>3</v>
      </c>
      <c r="L11" s="48">
        <f>_xlfn.LET(_xlpm.s,tblTaskList[[#This Row],[Start wk]],_xlpm.d,IF(tblTaskList[[#This Row],[Duration (Weeks)]]="",_xlfn.XLOOKUP(tblTaskList[[#This Row],[Task Name]],'Gantt-frame'!$E$8:$E$25,'Gantt-frame'!$B$8:$B$25,0),tblTaskList[[#This Row],[Duration (Weeks)]]),IF(_xlpm.s="","",_xlpm.s+MAX(_xlpm.d,1)-1))</f>
        <v>3</v>
      </c>
      <c r="Y11" t="s">
        <v>158</v>
      </c>
    </row>
    <row r="12" spans="1:25" x14ac:dyDescent="0.35">
      <c r="A12" s="43">
        <v>5</v>
      </c>
      <c r="B12" s="43" t="s">
        <v>157</v>
      </c>
      <c r="C12" s="43" t="s">
        <v>146</v>
      </c>
      <c r="D12" s="43" t="s">
        <v>155</v>
      </c>
      <c r="E12" s="43" t="s">
        <v>145</v>
      </c>
      <c r="F12" s="44">
        <v>4</v>
      </c>
      <c r="G12" s="45">
        <v>0</v>
      </c>
      <c r="H12" s="44">
        <v>10</v>
      </c>
      <c r="I12" s="46">
        <v>500</v>
      </c>
      <c r="J12" s="46">
        <v>500</v>
      </c>
      <c r="K12" s="48">
        <f>_xlfn.XLOOKUP(tblTaskList[[#This Row],[Task Name]],'Gantt-frame'!$E$8:$E$25,'Gantt-frame'!$G$8:$G$25,"")</f>
        <v>8</v>
      </c>
      <c r="L12" s="48">
        <f>_xlfn.LET(_xlpm.s,tblTaskList[[#This Row],[Start wk]],_xlpm.d,IF(tblTaskList[[#This Row],[Duration (Weeks)]]="",_xlfn.XLOOKUP(tblTaskList[[#This Row],[Task Name]],'Gantt-frame'!$E$8:$E$25,'Gantt-frame'!$B$8:$B$25,0),tblTaskList[[#This Row],[Duration (Weeks)]]),IF(_xlpm.s="","",_xlpm.s+MAX(_xlpm.d,1)-1))</f>
        <v>11</v>
      </c>
      <c r="Y12" t="s">
        <v>159</v>
      </c>
    </row>
    <row r="13" spans="1:25" x14ac:dyDescent="0.35">
      <c r="A13" s="43">
        <v>8</v>
      </c>
      <c r="B13" s="43" t="s">
        <v>160</v>
      </c>
      <c r="C13" s="43" t="s">
        <v>146</v>
      </c>
      <c r="D13" s="43" t="s">
        <v>155</v>
      </c>
      <c r="E13" s="43" t="s">
        <v>151</v>
      </c>
      <c r="F13" s="44"/>
      <c r="G13" s="45">
        <v>0</v>
      </c>
      <c r="H13" s="44"/>
      <c r="I13" s="46"/>
      <c r="J13" s="46"/>
      <c r="K13" s="48">
        <f>_xlfn.XLOOKUP(tblTaskList[[#This Row],[Task Name]],'Gantt-frame'!$E$8:$E$25,'Gantt-frame'!$G$8:$G$25,"")</f>
        <v>13</v>
      </c>
      <c r="L13" s="48">
        <f>_xlfn.LET(_xlpm.s,tblTaskList[[#This Row],[Start wk]],_xlpm.d,IF(tblTaskList[[#This Row],[Duration (Weeks)]]="",_xlfn.XLOOKUP(tblTaskList[[#This Row],[Task Name]],'Gantt-frame'!$E$8:$E$25,'Gantt-frame'!$B$8:$B$25,0),tblTaskList[[#This Row],[Duration (Weeks)]]),IF(_xlpm.s="","",_xlpm.s+MAX(_xlpm.d,1)-1))</f>
        <v>13</v>
      </c>
      <c r="Y13" t="s">
        <v>161</v>
      </c>
    </row>
    <row r="14" spans="1:25" x14ac:dyDescent="0.35">
      <c r="A14" s="43">
        <v>11</v>
      </c>
      <c r="B14" s="43" t="s">
        <v>162</v>
      </c>
      <c r="C14" s="43" t="s">
        <v>139</v>
      </c>
      <c r="D14" s="43" t="s">
        <v>155</v>
      </c>
      <c r="E14" s="43" t="s">
        <v>163</v>
      </c>
      <c r="F14" s="44">
        <v>1</v>
      </c>
      <c r="G14" s="45">
        <v>1</v>
      </c>
      <c r="H14" s="44"/>
      <c r="I14" s="46"/>
      <c r="J14" s="46"/>
      <c r="K14" s="48">
        <f>_xlfn.XLOOKUP(tblTaskList[[#This Row],[Task Name]],'Gantt-frame'!$E$8:$E$25,'Gantt-frame'!$G$8:$G$25,"")</f>
        <v>4</v>
      </c>
      <c r="L14" s="48">
        <f>_xlfn.LET(_xlpm.s,tblTaskList[[#This Row],[Start wk]],_xlpm.d,IF(tblTaskList[[#This Row],[Duration (Weeks)]]="",_xlfn.XLOOKUP(tblTaskList[[#This Row],[Task Name]],'Gantt-frame'!$E$8:$E$25,'Gantt-frame'!$B$8:$B$25,0),tblTaskList[[#This Row],[Duration (Weeks)]]),IF(_xlpm.s="","",_xlpm.s+MAX(_xlpm.d,1)-1))</f>
        <v>4</v>
      </c>
      <c r="Y14" s="32">
        <f>6+10+2+1+2+1+4</f>
        <v>26</v>
      </c>
    </row>
    <row r="15" spans="1:25" x14ac:dyDescent="0.35">
      <c r="A15" s="43">
        <v>12</v>
      </c>
      <c r="B15" s="43" t="s">
        <v>163</v>
      </c>
      <c r="C15" s="43" t="s">
        <v>139</v>
      </c>
      <c r="D15" s="43" t="s">
        <v>155</v>
      </c>
      <c r="E15" s="43" t="s">
        <v>164</v>
      </c>
      <c r="F15" s="44">
        <v>3</v>
      </c>
      <c r="G15" s="45">
        <v>0</v>
      </c>
      <c r="H15" s="44"/>
      <c r="I15" s="46"/>
      <c r="J15" s="46"/>
      <c r="K15" s="48">
        <f>_xlfn.XLOOKUP(tblTaskList[[#This Row],[Task Name]],'Gantt-frame'!$E$8:$E$25,'Gantt-frame'!$G$8:$G$25,"")</f>
        <v>7</v>
      </c>
      <c r="L15" s="48">
        <f>_xlfn.LET(_xlpm.s,tblTaskList[[#This Row],[Start wk]],_xlpm.d,IF(tblTaskList[[#This Row],[Duration (Weeks)]]="",_xlfn.XLOOKUP(tblTaskList[[#This Row],[Task Name]],'Gantt-frame'!$E$8:$E$25,'Gantt-frame'!$B$8:$B$25,0),tblTaskList[[#This Row],[Duration (Weeks)]]),IF(_xlpm.s="","",_xlpm.s+MAX(_xlpm.d,1)-1))</f>
        <v>9</v>
      </c>
    </row>
    <row r="16" spans="1:25" x14ac:dyDescent="0.35">
      <c r="A16" s="43">
        <v>13</v>
      </c>
      <c r="B16" s="43" t="s">
        <v>164</v>
      </c>
      <c r="C16" s="43" t="s">
        <v>139</v>
      </c>
      <c r="D16" s="43" t="s">
        <v>155</v>
      </c>
      <c r="E16" s="43"/>
      <c r="F16" s="44">
        <v>0</v>
      </c>
      <c r="G16" s="45">
        <v>0</v>
      </c>
      <c r="H16" s="44"/>
      <c r="I16" s="46">
        <v>8000</v>
      </c>
      <c r="J16" s="46">
        <v>8000</v>
      </c>
      <c r="K16" s="48">
        <f>_xlfn.XLOOKUP(tblTaskList[[#This Row],[Task Name]],'Gantt-frame'!$E$8:$E$25,'Gantt-frame'!$G$8:$G$25,"")</f>
        <v>8</v>
      </c>
      <c r="L16" s="48">
        <f>_xlfn.LET(_xlpm.s,tblTaskList[[#This Row],[Start wk]],_xlpm.d,IF(tblTaskList[[#This Row],[Duration (Weeks)]]="",_xlfn.XLOOKUP(tblTaskList[[#This Row],[Task Name]],'Gantt-frame'!$E$8:$E$25,'Gantt-frame'!$B$8:$B$25,0),tblTaskList[[#This Row],[Duration (Weeks)]]),IF(_xlpm.s="","",_xlpm.s+MAX(_xlpm.d,1)-1))</f>
        <v>8</v>
      </c>
    </row>
    <row r="17" spans="1:15" x14ac:dyDescent="0.35">
      <c r="A17" s="43">
        <v>14</v>
      </c>
      <c r="B17" s="43" t="s">
        <v>153</v>
      </c>
      <c r="C17" s="43" t="s">
        <v>139</v>
      </c>
      <c r="D17" s="43" t="s">
        <v>155</v>
      </c>
      <c r="E17" s="43" t="s">
        <v>150</v>
      </c>
      <c r="F17" s="44">
        <v>6</v>
      </c>
      <c r="G17" s="45">
        <v>0</v>
      </c>
      <c r="H17" s="44"/>
      <c r="I17" s="46"/>
      <c r="J17" s="46"/>
      <c r="K17" s="48">
        <f>_xlfn.XLOOKUP(tblTaskList[[#This Row],[Task Name]],'Gantt-frame'!$E$8:$E$25,'Gantt-frame'!$G$8:$G$25,"")</f>
        <v>7</v>
      </c>
      <c r="L17" s="48">
        <f>_xlfn.LET(_xlpm.s,tblTaskList[[#This Row],[Start wk]],_xlpm.d,IF(tblTaskList[[#This Row],[Duration (Weeks)]]="",_xlfn.XLOOKUP(tblTaskList[[#This Row],[Task Name]],'Gantt-frame'!$E$8:$E$25,'Gantt-frame'!$B$8:$B$25,0),tblTaskList[[#This Row],[Duration (Weeks)]]),IF(_xlpm.s="","",_xlpm.s+MAX(_xlpm.d,1)-1))</f>
        <v>12</v>
      </c>
    </row>
    <row r="18" spans="1:15" x14ac:dyDescent="0.35">
      <c r="A18" s="43">
        <v>15</v>
      </c>
      <c r="B18" s="43" t="s">
        <v>147</v>
      </c>
      <c r="C18" s="43" t="s">
        <v>146</v>
      </c>
      <c r="D18" s="43" t="s">
        <v>155</v>
      </c>
      <c r="E18" s="43" t="s">
        <v>160</v>
      </c>
      <c r="F18" s="44">
        <v>1</v>
      </c>
      <c r="G18" s="45">
        <v>0</v>
      </c>
      <c r="H18" s="44">
        <v>8</v>
      </c>
      <c r="I18" s="46"/>
      <c r="J18" s="46"/>
      <c r="K18" s="48">
        <f>_xlfn.XLOOKUP(tblTaskList[[#This Row],[Task Name]],'Gantt-frame'!$E$8:$E$25,'Gantt-frame'!$G$8:$G$25,"")</f>
        <v>22</v>
      </c>
      <c r="L18" s="48">
        <f>_xlfn.LET(_xlpm.s,tblTaskList[[#This Row],[Start wk]],_xlpm.d,IF(tblTaskList[[#This Row],[Duration (Weeks)]]="",_xlfn.XLOOKUP(tblTaskList[[#This Row],[Task Name]],'Gantt-frame'!$E$8:$E$25,'Gantt-frame'!$B$8:$B$25,0),tblTaskList[[#This Row],[Duration (Weeks)]]),IF(_xlpm.s="","",_xlpm.s+MAX(_xlpm.d,1)-1))</f>
        <v>22</v>
      </c>
    </row>
    <row r="19" spans="1:15" x14ac:dyDescent="0.35">
      <c r="A19" s="43">
        <v>16</v>
      </c>
      <c r="B19" s="43" t="s">
        <v>150</v>
      </c>
      <c r="C19" s="43" t="s">
        <v>146</v>
      </c>
      <c r="D19" s="43" t="s">
        <v>155</v>
      </c>
      <c r="E19" s="43"/>
      <c r="F19" s="44">
        <v>1</v>
      </c>
      <c r="G19" s="45">
        <v>0</v>
      </c>
      <c r="H19" s="44"/>
      <c r="I19" s="46">
        <v>750</v>
      </c>
      <c r="J19" s="46">
        <v>750</v>
      </c>
      <c r="K19" s="48">
        <f>_xlfn.XLOOKUP(tblTaskList[[#This Row],[Task Name]],'Gantt-frame'!$E$8:$E$25,'Gantt-frame'!$G$8:$G$25,"")</f>
        <v>23</v>
      </c>
      <c r="L19" s="48">
        <f>_xlfn.LET(_xlpm.s,tblTaskList[[#This Row],[Start wk]],_xlpm.d,IF(tblTaskList[[#This Row],[Duration (Weeks)]]="",_xlfn.XLOOKUP(tblTaskList[[#This Row],[Task Name]],'Gantt-frame'!$E$8:$E$25,'Gantt-frame'!$B$8:$B$25,0),tblTaskList[[#This Row],[Duration (Weeks)]]),IF(_xlpm.s="","",_xlpm.s+MAX(_xlpm.d,1)-1))</f>
        <v>23</v>
      </c>
    </row>
    <row r="20" spans="1:15" x14ac:dyDescent="0.35">
      <c r="A20" s="43"/>
      <c r="B20" s="43"/>
      <c r="C20" s="43"/>
      <c r="D20" s="43"/>
      <c r="E20" s="43"/>
      <c r="F20" s="44"/>
      <c r="G20" s="44"/>
      <c r="H20" s="44"/>
      <c r="I20" s="43"/>
      <c r="J20" s="54"/>
    </row>
    <row r="21" spans="1:15" x14ac:dyDescent="0.35">
      <c r="A21" s="43"/>
      <c r="B21" s="43"/>
      <c r="C21" s="43"/>
      <c r="D21" s="43"/>
      <c r="E21" s="43"/>
      <c r="F21" s="44"/>
      <c r="G21" s="44"/>
      <c r="H21" s="44"/>
      <c r="I21" s="43"/>
      <c r="J21" s="54"/>
    </row>
    <row r="22" spans="1:15" x14ac:dyDescent="0.35">
      <c r="A22" s="43"/>
      <c r="B22" s="43"/>
      <c r="C22" s="43"/>
      <c r="D22" s="43"/>
      <c r="E22" s="43"/>
      <c r="F22" s="44"/>
      <c r="G22" s="44"/>
      <c r="H22" s="44"/>
      <c r="I22" s="43"/>
      <c r="J22" s="54"/>
    </row>
    <row r="23" spans="1:15" x14ac:dyDescent="0.35">
      <c r="A23" s="43"/>
      <c r="B23" s="43"/>
      <c r="C23" s="43"/>
      <c r="D23" s="43"/>
      <c r="E23" s="43"/>
      <c r="F23" s="44"/>
      <c r="G23" s="44"/>
      <c r="H23" s="44"/>
      <c r="I23" s="43"/>
      <c r="J23" s="54"/>
      <c r="N23" t="s">
        <v>165</v>
      </c>
    </row>
    <row r="24" spans="1:15" x14ac:dyDescent="0.35">
      <c r="A24" s="43"/>
      <c r="B24" s="43"/>
      <c r="C24" s="43"/>
      <c r="D24" s="43"/>
      <c r="E24" s="43"/>
      <c r="F24" s="44"/>
      <c r="G24" s="44"/>
      <c r="H24" s="44"/>
      <c r="I24" s="43"/>
      <c r="J24" s="54"/>
    </row>
    <row r="25" spans="1:15" x14ac:dyDescent="0.35">
      <c r="A25" s="43"/>
      <c r="B25" s="43"/>
      <c r="C25" s="43"/>
      <c r="D25" s="43"/>
      <c r="E25" s="43"/>
      <c r="F25" s="44"/>
      <c r="G25" s="44"/>
      <c r="H25" s="44"/>
      <c r="I25" s="43"/>
      <c r="J25" s="54"/>
      <c r="N25" t="s">
        <v>166</v>
      </c>
    </row>
    <row r="26" spans="1:15" x14ac:dyDescent="0.35">
      <c r="A26" s="43"/>
      <c r="B26" s="43"/>
      <c r="C26" s="43"/>
      <c r="D26" s="43"/>
      <c r="E26" s="43"/>
      <c r="F26" s="44"/>
      <c r="G26" s="44"/>
      <c r="H26" s="44"/>
      <c r="I26" s="43"/>
      <c r="J26" s="54"/>
    </row>
    <row r="27" spans="1:15" x14ac:dyDescent="0.35">
      <c r="N27" t="s">
        <v>167</v>
      </c>
      <c r="O27" t="s">
        <v>168</v>
      </c>
    </row>
    <row r="29" spans="1:15" x14ac:dyDescent="0.35">
      <c r="N29" t="s">
        <v>169</v>
      </c>
    </row>
    <row r="32" spans="1:15" x14ac:dyDescent="0.35">
      <c r="N32" t="s">
        <v>170</v>
      </c>
    </row>
  </sheetData>
  <conditionalFormatting sqref="R2:S2">
    <cfRule type="expression" dxfId="49" priority="1">
      <formula>$R$2&lt;=$O$2</formula>
    </cfRule>
  </conditionalFormatting>
  <pageMargins left="0.7" right="0.7" top="0.75" bottom="0.75" header="0.3" footer="0.3"/>
  <drawing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CAEF9-308D-4B63-903A-FCB9DE7C6E1F}">
  <dimension ref="A1:T27"/>
  <sheetViews>
    <sheetView workbookViewId="0">
      <selection activeCell="B31" sqref="B31"/>
    </sheetView>
  </sheetViews>
  <sheetFormatPr defaultRowHeight="14.5" x14ac:dyDescent="0.35"/>
  <cols>
    <col min="1" max="1" width="10.90625" style="137" customWidth="1"/>
    <col min="2" max="2" width="28.1796875" style="137" customWidth="1"/>
    <col min="3" max="4" width="14.54296875" style="137" customWidth="1"/>
    <col min="5" max="5" width="27.26953125" style="137" customWidth="1"/>
    <col min="6" max="8" width="13.6328125" style="137" customWidth="1"/>
    <col min="9" max="17" width="16.36328125" style="137" customWidth="1"/>
    <col min="18" max="19" width="12.7265625" style="137" customWidth="1"/>
    <col min="20" max="20" width="36.36328125" style="137" customWidth="1"/>
  </cols>
  <sheetData>
    <row r="1" spans="1:20" ht="23.5" x14ac:dyDescent="0.55000000000000004">
      <c r="A1" s="162" t="s">
        <v>403</v>
      </c>
      <c r="B1" s="162"/>
      <c r="C1" s="162"/>
      <c r="D1" s="162"/>
      <c r="E1" s="162"/>
      <c r="F1" s="162"/>
      <c r="G1" s="162"/>
      <c r="H1" s="162"/>
      <c r="I1" s="162"/>
      <c r="J1" s="162"/>
      <c r="K1" s="162"/>
      <c r="L1" s="162"/>
      <c r="M1" s="162"/>
      <c r="N1" s="162"/>
      <c r="O1" s="162"/>
      <c r="P1" s="162"/>
      <c r="Q1" s="162"/>
      <c r="R1" s="162"/>
      <c r="S1" s="162"/>
      <c r="T1" s="162"/>
    </row>
    <row r="2" spans="1:20" x14ac:dyDescent="0.35">
      <c r="A2" s="163" t="s">
        <v>404</v>
      </c>
      <c r="B2" s="163"/>
      <c r="C2" s="163"/>
      <c r="D2" s="163"/>
      <c r="E2" s="163"/>
      <c r="F2" s="163"/>
      <c r="G2" s="163"/>
      <c r="H2" s="163"/>
      <c r="I2" s="163"/>
      <c r="J2" s="163"/>
      <c r="K2" s="163"/>
      <c r="L2" s="163"/>
      <c r="M2" s="163"/>
      <c r="N2" s="163"/>
      <c r="O2" s="163"/>
      <c r="P2" s="163"/>
      <c r="Q2" s="163"/>
      <c r="R2" s="163"/>
      <c r="S2" s="163"/>
      <c r="T2" s="163"/>
    </row>
    <row r="4" spans="1:20" x14ac:dyDescent="0.35">
      <c r="A4" s="164" t="s">
        <v>131</v>
      </c>
      <c r="B4" s="137" t="str">
        <f>INDEX(tblBudget[Project],1)</f>
        <v>New Garden Shed</v>
      </c>
      <c r="D4" s="164" t="s">
        <v>236</v>
      </c>
      <c r="E4" s="164" t="s">
        <v>306</v>
      </c>
      <c r="F4" s="164" t="s">
        <v>238</v>
      </c>
      <c r="G4" s="165"/>
      <c r="H4" s="164" t="s">
        <v>236</v>
      </c>
      <c r="I4" s="164" t="s">
        <v>306</v>
      </c>
      <c r="J4" s="164" t="s">
        <v>238</v>
      </c>
      <c r="K4" s="165"/>
      <c r="L4" s="164" t="s">
        <v>236</v>
      </c>
      <c r="M4" s="164" t="s">
        <v>306</v>
      </c>
      <c r="N4" s="164" t="s">
        <v>238</v>
      </c>
      <c r="P4" s="136" t="s">
        <v>422</v>
      </c>
      <c r="Q4" s="136"/>
      <c r="R4" s="136"/>
      <c r="S4" s="136"/>
      <c r="T4" s="136"/>
    </row>
    <row r="5" spans="1:20" x14ac:dyDescent="0.35">
      <c r="A5" s="164" t="s">
        <v>405</v>
      </c>
      <c r="B5" s="166">
        <f ca="1">'Gantt-frame'!$G$4</f>
        <v>32</v>
      </c>
      <c r="D5" s="137" t="s">
        <v>416</v>
      </c>
      <c r="E5" s="137" t="s">
        <v>417</v>
      </c>
      <c r="F5" s="101">
        <f>SUM(tblEVMData[Earned Value])</f>
        <v>20</v>
      </c>
      <c r="H5" s="137" t="s">
        <v>318</v>
      </c>
      <c r="I5" s="137" t="s">
        <v>293</v>
      </c>
      <c r="J5" s="101">
        <f ca="1">F5-F6</f>
        <v>-18780</v>
      </c>
      <c r="L5" s="137" t="s">
        <v>331</v>
      </c>
      <c r="M5" s="137" t="s">
        <v>297</v>
      </c>
      <c r="N5" s="101">
        <f>IFERROR($B$7/J8,"")</f>
        <v>18283000</v>
      </c>
      <c r="P5" s="167" t="s">
        <v>423</v>
      </c>
      <c r="Q5" s="167"/>
      <c r="R5" s="167"/>
      <c r="S5" s="167"/>
      <c r="T5" s="167"/>
    </row>
    <row r="6" spans="1:20" x14ac:dyDescent="0.35">
      <c r="A6" s="164" t="s">
        <v>282</v>
      </c>
      <c r="B6" s="137">
        <f ca="1">'Gantt-frame'!$F$4</f>
        <v>46240</v>
      </c>
      <c r="D6" s="137" t="s">
        <v>418</v>
      </c>
      <c r="E6" s="137" t="s">
        <v>419</v>
      </c>
      <c r="F6" s="101">
        <f ca="1">SUM(tblEVMData[Planned Value])</f>
        <v>18800</v>
      </c>
      <c r="H6" s="137" t="s">
        <v>321</v>
      </c>
      <c r="I6" s="137" t="s">
        <v>294</v>
      </c>
      <c r="J6" s="101">
        <f>F5-F7</f>
        <v>-19430</v>
      </c>
      <c r="L6" s="137" t="s">
        <v>334</v>
      </c>
      <c r="M6" s="137" t="s">
        <v>298</v>
      </c>
      <c r="N6" s="101">
        <f>IFERROR(N5-F7,"")</f>
        <v>18263550</v>
      </c>
      <c r="P6" s="167"/>
      <c r="Q6" s="167"/>
      <c r="R6" s="167"/>
      <c r="S6" s="167"/>
      <c r="T6" s="167"/>
    </row>
    <row r="7" spans="1:20" x14ac:dyDescent="0.35">
      <c r="A7" s="164" t="s">
        <v>406</v>
      </c>
      <c r="B7" s="101">
        <f>INDEX(tblBudget[total cost],1)</f>
        <v>18800</v>
      </c>
      <c r="D7" s="137" t="s">
        <v>420</v>
      </c>
      <c r="E7" s="137" t="s">
        <v>421</v>
      </c>
      <c r="F7" s="101">
        <f>SUM(tblEVMData[Actual Cost])</f>
        <v>19450</v>
      </c>
      <c r="H7" s="137" t="s">
        <v>323</v>
      </c>
      <c r="I7" s="137" t="s">
        <v>295</v>
      </c>
      <c r="J7" s="168">
        <f ca="1">IFERROR(F5/F6,"")</f>
        <v>1.0638297872340426E-3</v>
      </c>
      <c r="L7" s="137" t="s">
        <v>336</v>
      </c>
      <c r="M7" s="137" t="s">
        <v>299</v>
      </c>
      <c r="N7" s="101">
        <f>IFERROR($B$7-N5,"")</f>
        <v>-18264200</v>
      </c>
      <c r="P7" s="167"/>
      <c r="Q7" s="167"/>
      <c r="R7" s="167"/>
      <c r="S7" s="167"/>
      <c r="T7" s="167"/>
    </row>
    <row r="8" spans="1:20" x14ac:dyDescent="0.35">
      <c r="H8" s="137" t="s">
        <v>326</v>
      </c>
      <c r="I8" s="137" t="s">
        <v>296</v>
      </c>
      <c r="J8" s="168">
        <f>IFERROR(F5/F7,"")</f>
        <v>1.0282776349614395E-3</v>
      </c>
      <c r="L8" s="137" t="s">
        <v>339</v>
      </c>
      <c r="M8" s="137" t="s">
        <v>300</v>
      </c>
      <c r="N8" s="168">
        <f>IFERROR(($B$7-F5)/($B$7-F7),"")</f>
        <v>-28.892307692307693</v>
      </c>
    </row>
    <row r="9" spans="1:20" x14ac:dyDescent="0.35">
      <c r="A9" s="137" t="s">
        <v>120</v>
      </c>
      <c r="B9" s="137" t="s">
        <v>121</v>
      </c>
      <c r="C9" s="137" t="s">
        <v>122</v>
      </c>
      <c r="D9" s="137" t="s">
        <v>407</v>
      </c>
      <c r="E9" s="137" t="s">
        <v>124</v>
      </c>
      <c r="F9" s="137" t="s">
        <v>129</v>
      </c>
      <c r="G9" s="137" t="s">
        <v>130</v>
      </c>
      <c r="H9" s="137" t="s">
        <v>125</v>
      </c>
      <c r="I9" s="169" t="s">
        <v>408</v>
      </c>
      <c r="J9" s="169" t="s">
        <v>128</v>
      </c>
      <c r="K9" s="169" t="s">
        <v>127</v>
      </c>
      <c r="L9" s="169" t="s">
        <v>409</v>
      </c>
      <c r="M9" s="170" t="s">
        <v>410</v>
      </c>
      <c r="N9" s="170" t="s">
        <v>411</v>
      </c>
      <c r="O9" s="170" t="s">
        <v>412</v>
      </c>
      <c r="P9" s="170" t="s">
        <v>413</v>
      </c>
      <c r="Q9" s="170" t="s">
        <v>414</v>
      </c>
      <c r="R9" s="170" t="s">
        <v>323</v>
      </c>
      <c r="S9" s="170" t="s">
        <v>326</v>
      </c>
      <c r="T9" s="171" t="s">
        <v>415</v>
      </c>
    </row>
    <row r="10" spans="1:20" x14ac:dyDescent="0.35">
      <c r="A10" s="137" cm="1">
        <f t="array" ref="A10">IFERROR(INDEX(tblTaskList[Task ID],ROWS($A$10:A10)),"")</f>
        <v>2</v>
      </c>
      <c r="B10" s="137" t="str" cm="1">
        <f t="array" ref="B10">IFERROR(INDEX(tblTaskList[Task Name],ROWS($A$10:A10)),"")</f>
        <v>Planning permission</v>
      </c>
      <c r="C10" s="137" t="str" cm="1">
        <f t="array" ref="C10">IFERROR(INDEX(tblTaskList[Resource],ROWS($A$10:A10)),"")</f>
        <v>FE</v>
      </c>
      <c r="D10" s="137" t="str" cm="1">
        <f t="array" ref="D10">IFERROR(INDEX(tblTaskList[IsInCriticalPath],ROWS($A$10:A10)),"")</f>
        <v>Yes</v>
      </c>
      <c r="E10" s="137" t="str" cm="1">
        <f t="array" ref="E10">IFERROR(INDEX(tblTaskList[Predecessor Tasks],ROWS($A$10:A10)),"")</f>
        <v>Wait for planning permission</v>
      </c>
      <c r="F10" s="166" cm="1">
        <f t="array" ref="F10">IFERROR(INDEX(tblTaskList[Start wk],ROWS($A$10:A10)),"")</f>
        <v>1</v>
      </c>
      <c r="G10" s="166" cm="1">
        <f t="array" ref="G10">IFERROR(INDEX(tblTaskList[Finish wk],ROWS($A$10:A10)),"")</f>
        <v>6</v>
      </c>
      <c r="H10" s="166" cm="1">
        <f t="array" ref="H10">IFERROR(INDEX(tblTaskList[Duration (Weeks)],ROWS($A$10:A10)),"")</f>
        <v>6</v>
      </c>
      <c r="I10" s="172" cm="1">
        <f t="array" ref="I10">IFERROR(INDEX(tblTaskList[Cost],ROWS($A$10:A10)),"")</f>
        <v>0</v>
      </c>
      <c r="J10" s="172" cm="1">
        <f t="array" ref="J10">IFERROR(INDEX(tblTaskList[Actual Cost],ROWS($A$10:A10)),"")</f>
        <v>0</v>
      </c>
      <c r="K10" s="172" cm="1">
        <f t="array" ref="K10">IFERROR(INDEX(tblTaskList[Hours],ROWS($A$10:A10)),"")</f>
        <v>0</v>
      </c>
      <c r="L10" s="173" cm="1">
        <f t="array" ref="L10">IFERROR(INDEX(tblTaskList[Progress],ROWS($A$10:A10)),"")</f>
        <v>1</v>
      </c>
      <c r="M10" s="174">
        <f ca="1">IF(OR(tblEVMData[[#This Row],[Start wk]]="",tblEVMData[[#This Row],[Finish wk]]="",tblEVMData[[#This Row],[Baseline Cost]]=""),"",IF($B$5&lt;tblEVMData[[#This Row],[Start wk]],0,IF($B$5&gt;tblEVMData[[#This Row],[Finish wk]],1,($B$5-tblEVMData[[#This Row],[Start wk]]+1)/MAX(1,tblEVMData[[#This Row],[Finish wk]]-tblEVMData[[#This Row],[Start wk]]+1))))</f>
        <v>1</v>
      </c>
      <c r="N10" s="175">
        <f>IFERROR(tblEVMData[[#This Row],[Baseline Cost]]*tblEVMData[[#This Row],[Actual % Complete]],"")</f>
        <v>0</v>
      </c>
      <c r="O10" s="175">
        <f ca="1">IFERROR(tblEVMData[[#This Row],[Baseline Cost]]*tblEVMData[[#This Row],[Planned % Complete]],"")</f>
        <v>0</v>
      </c>
      <c r="P10" s="175">
        <f ca="1">IFERROR(tblEVMData[[#This Row],[Earned Value]]-tblEVMData[[#This Row],[Planned Value]],"")</f>
        <v>0</v>
      </c>
      <c r="Q10" s="175">
        <f>IFERROR(tblEVMData[[#This Row],[Earned Value]]-tblEVMData[[#This Row],[Actual Cost]],"")</f>
        <v>0</v>
      </c>
      <c r="R10" s="176" t="str">
        <f ca="1">IFERROR(tblEVMData[[#This Row],[Earned Value]]/tblEVMData[[#This Row],[Planned Value]],"")</f>
        <v/>
      </c>
      <c r="S10" s="176" t="str">
        <f>IFERROR(tblEVMData[[#This Row],[Earned Value]]/tblEVMData[[#This Row],[Actual Cost]],"")</f>
        <v/>
      </c>
      <c r="T10" s="177" t="str">
        <f>_xlfn.TEXTJOIN("; ",TRUE,IF(tblEVMData[[#This Row],[Baseline Cost]]="","Add baseline cost", ""),IF(tblEVMData[[#This Row],[Actual Cost]]="","Add actual cost", ""),IF(tblEVMData[[#This Row],[Hours]]="","Add hours", ""),IF(tblEVMData[[#This Row],[Duration (Weeks)]]="","Add duration", ""),IF(tblEVMData[[#This Row],[Actual % Complete]]="","Add progress", ""),IF(tblEVMData[[#This Row],[Start wk]]="","Add start week", ""),IF(tblEVMData[[#This Row],[Finish wk]]="","Add finish week", ""))</f>
        <v/>
      </c>
    </row>
    <row r="11" spans="1:20" x14ac:dyDescent="0.35">
      <c r="A11" s="137" cm="1">
        <f t="array" ref="A11">IFERROR(INDEX(tblTaskList[Task ID],ROWS($A$10:A11)),"")</f>
        <v>3</v>
      </c>
      <c r="B11" s="137" t="str" cm="1">
        <f t="array" ref="B11">IFERROR(INDEX(tblTaskList[Task Name],ROWS($A$10:A11)),"")</f>
        <v>Wait for planning permission</v>
      </c>
      <c r="C11" s="137" t="str" cm="1">
        <f t="array" ref="C11">IFERROR(INDEX(tblTaskList[Resource],ROWS($A$10:A11)),"")</f>
        <v>FE</v>
      </c>
      <c r="D11" s="137" t="str" cm="1">
        <f t="array" ref="D11">IFERROR(INDEX(tblTaskList[IsInCriticalPath],ROWS($A$10:A11)),"")</f>
        <v>Yes</v>
      </c>
      <c r="E11" s="137" t="str" cm="1">
        <f t="array" ref="E11">IFERROR(INDEX(tblTaskList[Predecessor Tasks],ROWS($A$10:A11)),"")</f>
        <v>Hire digger</v>
      </c>
      <c r="F11" s="166" cm="1">
        <f t="array" ref="F11">IFERROR(INDEX(tblTaskList[Start wk],ROWS($A$10:A11)),"")</f>
        <v>7</v>
      </c>
      <c r="G11" s="166" cm="1">
        <f t="array" ref="G11">IFERROR(INDEX(tblTaskList[Finish wk],ROWS($A$10:A11)),"")</f>
        <v>16</v>
      </c>
      <c r="H11" s="166" cm="1">
        <f t="array" ref="H11">IFERROR(INDEX(tblTaskList[Duration (Weeks)],ROWS($A$10:A11)),"")</f>
        <v>10</v>
      </c>
      <c r="I11" s="172" cm="1">
        <f t="array" ref="I11">IFERROR(INDEX(tblTaskList[Cost],ROWS($A$10:A11)),"")</f>
        <v>100</v>
      </c>
      <c r="J11" s="172" cm="1">
        <f t="array" ref="J11">IFERROR(INDEX(tblTaskList[Actual Cost],ROWS($A$10:A11)),"")</f>
        <v>100</v>
      </c>
      <c r="K11" s="172" cm="1">
        <f t="array" ref="K11">IFERROR(INDEX(tblTaskList[Hours],ROWS($A$10:A11)),"")</f>
        <v>0</v>
      </c>
      <c r="L11" s="173" cm="1">
        <f t="array" ref="L11">IFERROR(INDEX(tblTaskList[Progress],ROWS($A$10:A11)),"")</f>
        <v>0.2</v>
      </c>
      <c r="M11" s="174">
        <f ca="1">IF(OR(tblEVMData[[#This Row],[Start wk]]="",tblEVMData[[#This Row],[Finish wk]]="",tblEVMData[[#This Row],[Baseline Cost]]=""),"",IF($B$5&lt;tblEVMData[[#This Row],[Start wk]],0,IF($B$5&gt;tblEVMData[[#This Row],[Finish wk]],1,($B$5-tblEVMData[[#This Row],[Start wk]]+1)/MAX(1,tblEVMData[[#This Row],[Finish wk]]-tblEVMData[[#This Row],[Start wk]]+1))))</f>
        <v>1</v>
      </c>
      <c r="N11" s="175">
        <f>IFERROR(tblEVMData[[#This Row],[Baseline Cost]]*tblEVMData[[#This Row],[Actual % Complete]],"")</f>
        <v>20</v>
      </c>
      <c r="O11" s="175">
        <f ca="1">IFERROR(tblEVMData[[#This Row],[Baseline Cost]]*tblEVMData[[#This Row],[Planned % Complete]],"")</f>
        <v>100</v>
      </c>
      <c r="P11" s="175">
        <f ca="1">IFERROR(tblEVMData[[#This Row],[Earned Value]]-tblEVMData[[#This Row],[Planned Value]],"")</f>
        <v>-80</v>
      </c>
      <c r="Q11" s="175">
        <f>IFERROR(tblEVMData[[#This Row],[Earned Value]]-tblEVMData[[#This Row],[Actual Cost]],"")</f>
        <v>-80</v>
      </c>
      <c r="R11" s="176">
        <f ca="1">IFERROR(tblEVMData[[#This Row],[Earned Value]]/tblEVMData[[#This Row],[Planned Value]],"")</f>
        <v>0.2</v>
      </c>
      <c r="S11" s="176">
        <f>IFERROR(tblEVMData[[#This Row],[Earned Value]]/tblEVMData[[#This Row],[Actual Cost]],"")</f>
        <v>0.2</v>
      </c>
      <c r="T11" s="177" t="str">
        <f>_xlfn.TEXTJOIN("; ",TRUE,IF(tblEVMData[[#This Row],[Baseline Cost]]="","Add baseline cost", ""),IF(tblEVMData[[#This Row],[Actual Cost]]="","Add actual cost", ""),IF(tblEVMData[[#This Row],[Hours]]="","Add hours", ""),IF(tblEVMData[[#This Row],[Duration (Weeks)]]="","Add duration", ""),IF(tblEVMData[[#This Row],[Actual % Complete]]="","Add progress", ""),IF(tblEVMData[[#This Row],[Start wk]]="","Add start week", ""),IF(tblEVMData[[#This Row],[Finish wk]]="","Add finish week", ""))</f>
        <v/>
      </c>
    </row>
    <row r="12" spans="1:20" x14ac:dyDescent="0.35">
      <c r="A12" s="137" cm="1">
        <f t="array" ref="A12">IFERROR(INDEX(tblTaskList[Task ID],ROWS($A$10:A12)),"")</f>
        <v>6</v>
      </c>
      <c r="B12" s="137" t="str" cm="1">
        <f t="array" ref="B12">IFERROR(INDEX(tblTaskList[Task Name],ROWS($A$10:A12)),"")</f>
        <v>Dig trench</v>
      </c>
      <c r="C12" s="137" t="str" cm="1">
        <f t="array" ref="C12">IFERROR(INDEX(tblTaskList[Resource],ROWS($A$10:A12)),"")</f>
        <v>NN</v>
      </c>
      <c r="D12" s="137" t="str" cm="1">
        <f t="array" ref="D12">IFERROR(INDEX(tblTaskList[IsInCriticalPath],ROWS($A$10:A12)),"")</f>
        <v>Yes</v>
      </c>
      <c r="E12" s="137" t="str" cm="1">
        <f t="array" ref="E12">IFERROR(INDEX(tblTaskList[Predecessor Tasks],ROWS($A$10:A12)),"")</f>
        <v>Wire down the garden</v>
      </c>
      <c r="F12" s="166" cm="1">
        <f t="array" ref="F12">IFERROR(INDEX(tblTaskList[Start wk],ROWS($A$10:A12)),"")</f>
        <v>17</v>
      </c>
      <c r="G12" s="166" cm="1">
        <f t="array" ref="G12">IFERROR(INDEX(tblTaskList[Finish wk],ROWS($A$10:A12)),"")</f>
        <v>17</v>
      </c>
      <c r="H12" s="166" cm="1">
        <f t="array" ref="H12">IFERROR(INDEX(tblTaskList[Duration (Weeks)],ROWS($A$10:A12)),"")</f>
        <v>1</v>
      </c>
      <c r="I12" s="172" cm="1">
        <f t="array" ref="I12">IFERROR(INDEX(tblTaskList[Cost],ROWS($A$10:A12)),"")</f>
        <v>350</v>
      </c>
      <c r="J12" s="172" cm="1">
        <f t="array" ref="J12">IFERROR(INDEX(tblTaskList[Actual Cost],ROWS($A$10:A12)),"")</f>
        <v>400</v>
      </c>
      <c r="K12" s="172" cm="1">
        <f t="array" ref="K12">IFERROR(INDEX(tblTaskList[Hours],ROWS($A$10:A12)),"")</f>
        <v>4</v>
      </c>
      <c r="L12" s="173" cm="1">
        <f t="array" ref="L12">IFERROR(INDEX(tblTaskList[Progress],ROWS($A$10:A12)),"")</f>
        <v>0</v>
      </c>
      <c r="M12" s="174">
        <f ca="1">IF(OR(tblEVMData[[#This Row],[Start wk]]="",tblEVMData[[#This Row],[Finish wk]]="",tblEVMData[[#This Row],[Baseline Cost]]=""),"",IF($B$5&lt;tblEVMData[[#This Row],[Start wk]],0,IF($B$5&gt;tblEVMData[[#This Row],[Finish wk]],1,($B$5-tblEVMData[[#This Row],[Start wk]]+1)/MAX(1,tblEVMData[[#This Row],[Finish wk]]-tblEVMData[[#This Row],[Start wk]]+1))))</f>
        <v>1</v>
      </c>
      <c r="N12" s="175">
        <f>IFERROR(tblEVMData[[#This Row],[Baseline Cost]]*tblEVMData[[#This Row],[Actual % Complete]],"")</f>
        <v>0</v>
      </c>
      <c r="O12" s="175">
        <f ca="1">IFERROR(tblEVMData[[#This Row],[Baseline Cost]]*tblEVMData[[#This Row],[Planned % Complete]],"")</f>
        <v>350</v>
      </c>
      <c r="P12" s="175">
        <f ca="1">IFERROR(tblEVMData[[#This Row],[Earned Value]]-tblEVMData[[#This Row],[Planned Value]],"")</f>
        <v>-350</v>
      </c>
      <c r="Q12" s="175">
        <f>IFERROR(tblEVMData[[#This Row],[Earned Value]]-tblEVMData[[#This Row],[Actual Cost]],"")</f>
        <v>-400</v>
      </c>
      <c r="R12" s="176">
        <f ca="1">IFERROR(tblEVMData[[#This Row],[Earned Value]]/tblEVMData[[#This Row],[Planned Value]],"")</f>
        <v>0</v>
      </c>
      <c r="S12" s="176">
        <f>IFERROR(tblEVMData[[#This Row],[Earned Value]]/tblEVMData[[#This Row],[Actual Cost]],"")</f>
        <v>0</v>
      </c>
      <c r="T12" s="177" t="str">
        <f>_xlfn.TEXTJOIN("; ",TRUE,IF(tblEVMData[[#This Row],[Baseline Cost]]="","Add baseline cost", ""),IF(tblEVMData[[#This Row],[Actual Cost]]="","Add actual cost", ""),IF(tblEVMData[[#This Row],[Hours]]="","Add hours", ""),IF(tblEVMData[[#This Row],[Duration (Weeks)]]="","Add duration", ""),IF(tblEVMData[[#This Row],[Actual % Complete]]="","Add progress", ""),IF(tblEVMData[[#This Row],[Start wk]]="","Add start week", ""),IF(tblEVMData[[#This Row],[Finish wk]]="","Add finish week", ""))</f>
        <v/>
      </c>
    </row>
    <row r="13" spans="1:20" x14ac:dyDescent="0.35">
      <c r="A13" s="137" cm="1">
        <f t="array" ref="A13">IFERROR(INDEX(tblTaskList[Task ID],ROWS($A$10:A13)),"")</f>
        <v>7</v>
      </c>
      <c r="B13" s="137" t="str" cm="1">
        <f t="array" ref="B13">IFERROR(INDEX(tblTaskList[Task Name],ROWS($A$10:A13)),"")</f>
        <v>Hire digger</v>
      </c>
      <c r="C13" s="137" t="str" cm="1">
        <f t="array" ref="C13">IFERROR(INDEX(tblTaskList[Resource],ROWS($A$10:A13)),"")</f>
        <v>FE</v>
      </c>
      <c r="D13" s="137" t="str" cm="1">
        <f t="array" ref="D13">IFERROR(INDEX(tblTaskList[IsInCriticalPath],ROWS($A$10:A13)),"")</f>
        <v>Yes</v>
      </c>
      <c r="E13" s="137" t="str" cm="1">
        <f t="array" ref="E13">IFERROR(INDEX(tblTaskList[Predecessor Tasks],ROWS($A$10:A13)),"")</f>
        <v>Dig trench</v>
      </c>
      <c r="F13" s="166" cm="1">
        <f t="array" ref="F13">IFERROR(INDEX(tblTaskList[Start wk],ROWS($A$10:A13)),"")</f>
        <v>18</v>
      </c>
      <c r="G13" s="166" cm="1">
        <f t="array" ref="G13">IFERROR(INDEX(tblTaskList[Finish wk],ROWS($A$10:A13)),"")</f>
        <v>19</v>
      </c>
      <c r="H13" s="166" cm="1">
        <f t="array" ref="H13">IFERROR(INDEX(tblTaskList[Duration (Weeks)],ROWS($A$10:A13)),"")</f>
        <v>2</v>
      </c>
      <c r="I13" s="172" cm="1">
        <f t="array" ref="I13">IFERROR(INDEX(tblTaskList[Cost],ROWS($A$10:A13)),"")</f>
        <v>0</v>
      </c>
      <c r="J13" s="172" cm="1">
        <f t="array" ref="J13">IFERROR(INDEX(tblTaskList[Actual Cost],ROWS($A$10:A13)),"")</f>
        <v>0</v>
      </c>
      <c r="K13" s="172" cm="1">
        <f t="array" ref="K13">IFERROR(INDEX(tblTaskList[Hours],ROWS($A$10:A13)),"")</f>
        <v>0</v>
      </c>
      <c r="L13" s="173" cm="1">
        <f t="array" ref="L13">IFERROR(INDEX(tblTaskList[Progress],ROWS($A$10:A13)),"")</f>
        <v>0</v>
      </c>
      <c r="M13" s="174">
        <f ca="1">IF(OR(tblEVMData[[#This Row],[Start wk]]="",tblEVMData[[#This Row],[Finish wk]]="",tblEVMData[[#This Row],[Baseline Cost]]=""),"",IF($B$5&lt;tblEVMData[[#This Row],[Start wk]],0,IF($B$5&gt;tblEVMData[[#This Row],[Finish wk]],1,($B$5-tblEVMData[[#This Row],[Start wk]]+1)/MAX(1,tblEVMData[[#This Row],[Finish wk]]-tblEVMData[[#This Row],[Start wk]]+1))))</f>
        <v>1</v>
      </c>
      <c r="N13" s="175">
        <f>IFERROR(tblEVMData[[#This Row],[Baseline Cost]]*tblEVMData[[#This Row],[Actual % Complete]],"")</f>
        <v>0</v>
      </c>
      <c r="O13" s="175">
        <f ca="1">IFERROR(tblEVMData[[#This Row],[Baseline Cost]]*tblEVMData[[#This Row],[Planned % Complete]],"")</f>
        <v>0</v>
      </c>
      <c r="P13" s="175">
        <f ca="1">IFERROR(tblEVMData[[#This Row],[Earned Value]]-tblEVMData[[#This Row],[Planned Value]],"")</f>
        <v>0</v>
      </c>
      <c r="Q13" s="175">
        <f>IFERROR(tblEVMData[[#This Row],[Earned Value]]-tblEVMData[[#This Row],[Actual Cost]],"")</f>
        <v>0</v>
      </c>
      <c r="R13" s="176" t="str">
        <f ca="1">IFERROR(tblEVMData[[#This Row],[Earned Value]]/tblEVMData[[#This Row],[Planned Value]],"")</f>
        <v/>
      </c>
      <c r="S13" s="176" t="str">
        <f>IFERROR(tblEVMData[[#This Row],[Earned Value]]/tblEVMData[[#This Row],[Actual Cost]],"")</f>
        <v/>
      </c>
      <c r="T13" s="177" t="str">
        <f>_xlfn.TEXTJOIN("; ",TRUE,IF(tblEVMData[[#This Row],[Baseline Cost]]="","Add baseline cost", ""),IF(tblEVMData[[#This Row],[Actual Cost]]="","Add actual cost", ""),IF(tblEVMData[[#This Row],[Hours]]="","Add hours", ""),IF(tblEVMData[[#This Row],[Duration (Weeks)]]="","Add duration", ""),IF(tblEVMData[[#This Row],[Actual % Complete]]="","Add progress", ""),IF(tblEVMData[[#This Row],[Start wk]]="","Add start week", ""),IF(tblEVMData[[#This Row],[Finish wk]]="","Add finish week", ""))</f>
        <v/>
      </c>
    </row>
    <row r="14" spans="1:20" x14ac:dyDescent="0.35">
      <c r="A14" s="137" cm="1">
        <f t="array" ref="A14">IFERROR(INDEX(tblTaskList[Task ID],ROWS($A$10:A14)),"")</f>
        <v>9</v>
      </c>
      <c r="B14" s="137" t="str" cm="1">
        <f t="array" ref="B14">IFERROR(INDEX(tblTaskList[Task Name],ROWS($A$10:A14)),"")</f>
        <v>Fill with concrete</v>
      </c>
      <c r="C14" s="137" t="str" cm="1">
        <f t="array" ref="C14">IFERROR(INDEX(tblTaskList[Resource],ROWS($A$10:A14)),"")</f>
        <v>NN</v>
      </c>
      <c r="D14" s="137" t="str" cm="1">
        <f t="array" ref="D14">IFERROR(INDEX(tblTaskList[IsInCriticalPath],ROWS($A$10:A14)),"")</f>
        <v>Yes</v>
      </c>
      <c r="E14" s="137" t="str" cm="1">
        <f t="array" ref="E14">IFERROR(INDEX(tblTaskList[Predecessor Tasks],ROWS($A$10:A14)),"")</f>
        <v>Level the base</v>
      </c>
      <c r="F14" s="166" cm="1">
        <f t="array" ref="F14">IFERROR(INDEX(tblTaskList[Start wk],ROWS($A$10:A14)),"")</f>
        <v>20</v>
      </c>
      <c r="G14" s="166" cm="1">
        <f t="array" ref="G14">IFERROR(INDEX(tblTaskList[Finish wk],ROWS($A$10:A14)),"")</f>
        <v>20</v>
      </c>
      <c r="H14" s="166" cm="1">
        <f t="array" ref="H14">IFERROR(INDEX(tblTaskList[Duration (Weeks)],ROWS($A$10:A14)),"")</f>
        <v>1</v>
      </c>
      <c r="I14" s="172" cm="1">
        <f t="array" ref="I14">IFERROR(INDEX(tblTaskList[Cost],ROWS($A$10:A14)),"")</f>
        <v>700</v>
      </c>
      <c r="J14" s="172" cm="1">
        <f t="array" ref="J14">IFERROR(INDEX(tblTaskList[Actual Cost],ROWS($A$10:A14)),"")</f>
        <v>800</v>
      </c>
      <c r="K14" s="172" cm="1">
        <f t="array" ref="K14">IFERROR(INDEX(tblTaskList[Hours],ROWS($A$10:A14)),"")</f>
        <v>3</v>
      </c>
      <c r="L14" s="173" cm="1">
        <f t="array" ref="L14">IFERROR(INDEX(tblTaskList[Progress],ROWS($A$10:A14)),"")</f>
        <v>0</v>
      </c>
      <c r="M14" s="174">
        <f ca="1">IF(OR(tblEVMData[[#This Row],[Start wk]]="",tblEVMData[[#This Row],[Finish wk]]="",tblEVMData[[#This Row],[Baseline Cost]]=""),"",IF($B$5&lt;tblEVMData[[#This Row],[Start wk]],0,IF($B$5&gt;tblEVMData[[#This Row],[Finish wk]],1,($B$5-tblEVMData[[#This Row],[Start wk]]+1)/MAX(1,tblEVMData[[#This Row],[Finish wk]]-tblEVMData[[#This Row],[Start wk]]+1))))</f>
        <v>1</v>
      </c>
      <c r="N14" s="175">
        <f>IFERROR(tblEVMData[[#This Row],[Baseline Cost]]*tblEVMData[[#This Row],[Actual % Complete]],"")</f>
        <v>0</v>
      </c>
      <c r="O14" s="175">
        <f ca="1">IFERROR(tblEVMData[[#This Row],[Baseline Cost]]*tblEVMData[[#This Row],[Planned % Complete]],"")</f>
        <v>700</v>
      </c>
      <c r="P14" s="175">
        <f ca="1">IFERROR(tblEVMData[[#This Row],[Earned Value]]-tblEVMData[[#This Row],[Planned Value]],"")</f>
        <v>-700</v>
      </c>
      <c r="Q14" s="175">
        <f>IFERROR(tblEVMData[[#This Row],[Earned Value]]-tblEVMData[[#This Row],[Actual Cost]],"")</f>
        <v>-800</v>
      </c>
      <c r="R14" s="176">
        <f ca="1">IFERROR(tblEVMData[[#This Row],[Earned Value]]/tblEVMData[[#This Row],[Planned Value]],"")</f>
        <v>0</v>
      </c>
      <c r="S14" s="176">
        <f>IFERROR(tblEVMData[[#This Row],[Earned Value]]/tblEVMData[[#This Row],[Actual Cost]],"")</f>
        <v>0</v>
      </c>
      <c r="T14" s="177" t="str">
        <f>_xlfn.TEXTJOIN("; ",TRUE,IF(tblEVMData[[#This Row],[Baseline Cost]]="","Add baseline cost", ""),IF(tblEVMData[[#This Row],[Actual Cost]]="","Add actual cost", ""),IF(tblEVMData[[#This Row],[Hours]]="","Add hours", ""),IF(tblEVMData[[#This Row],[Duration (Weeks)]]="","Add duration", ""),IF(tblEVMData[[#This Row],[Actual % Complete]]="","Add progress", ""),IF(tblEVMData[[#This Row],[Start wk]]="","Add start week", ""),IF(tblEVMData[[#This Row],[Finish wk]]="","Add finish week", ""))</f>
        <v/>
      </c>
    </row>
    <row r="15" spans="1:20" x14ac:dyDescent="0.35">
      <c r="A15" s="137" cm="1">
        <f t="array" ref="A15">IFERROR(INDEX(tblTaskList[Task ID],ROWS($A$10:A15)),"")</f>
        <v>10</v>
      </c>
      <c r="B15" s="137" t="str" cm="1">
        <f t="array" ref="B15">IFERROR(INDEX(tblTaskList[Task Name],ROWS($A$10:A15)),"")</f>
        <v>Level the base</v>
      </c>
      <c r="C15" s="137" t="str" cm="1">
        <f t="array" ref="C15">IFERROR(INDEX(tblTaskList[Resource],ROWS($A$10:A15)),"")</f>
        <v>NN</v>
      </c>
      <c r="D15" s="137" t="str" cm="1">
        <f t="array" ref="D15">IFERROR(INDEX(tblTaskList[IsInCriticalPath],ROWS($A$10:A15)),"")</f>
        <v>Yes</v>
      </c>
      <c r="E15" s="137" t="str" cm="1">
        <f t="array" ref="E15">IFERROR(INDEX(tblTaskList[Predecessor Tasks],ROWS($A$10:A15)),"")</f>
        <v>Assembly</v>
      </c>
      <c r="F15" s="166" cm="1">
        <f t="array" ref="F15">IFERROR(INDEX(tblTaskList[Start wk],ROWS($A$10:A15)),"")</f>
        <v>21</v>
      </c>
      <c r="G15" s="166" cm="1">
        <f t="array" ref="G15">IFERROR(INDEX(tblTaskList[Finish wk],ROWS($A$10:A15)),"")</f>
        <v>21</v>
      </c>
      <c r="H15" s="166" cm="1">
        <f t="array" ref="H15">IFERROR(INDEX(tblTaskList[Duration (Weeks)],ROWS($A$10:A15)),"")</f>
        <v>1</v>
      </c>
      <c r="I15" s="172" cm="1">
        <f t="array" ref="I15">IFERROR(INDEX(tblTaskList[Cost],ROWS($A$10:A15)),"")</f>
        <v>100</v>
      </c>
      <c r="J15" s="172" cm="1">
        <f t="array" ref="J15">IFERROR(INDEX(tblTaskList[Actual Cost],ROWS($A$10:A15)),"")</f>
        <v>100</v>
      </c>
      <c r="K15" s="172" cm="1">
        <f t="array" ref="K15">IFERROR(INDEX(tblTaskList[Hours],ROWS($A$10:A15)),"")</f>
        <v>5</v>
      </c>
      <c r="L15" s="173" cm="1">
        <f t="array" ref="L15">IFERROR(INDEX(tblTaskList[Progress],ROWS($A$10:A15)),"")</f>
        <v>0</v>
      </c>
      <c r="M15" s="174">
        <f ca="1">IF(OR(tblEVMData[[#This Row],[Start wk]]="",tblEVMData[[#This Row],[Finish wk]]="",tblEVMData[[#This Row],[Baseline Cost]]=""),"",IF($B$5&lt;tblEVMData[[#This Row],[Start wk]],0,IF($B$5&gt;tblEVMData[[#This Row],[Finish wk]],1,($B$5-tblEVMData[[#This Row],[Start wk]]+1)/MAX(1,tblEVMData[[#This Row],[Finish wk]]-tblEVMData[[#This Row],[Start wk]]+1))))</f>
        <v>1</v>
      </c>
      <c r="N15" s="175">
        <f>IFERROR(tblEVMData[[#This Row],[Baseline Cost]]*tblEVMData[[#This Row],[Actual % Complete]],"")</f>
        <v>0</v>
      </c>
      <c r="O15" s="175">
        <f ca="1">IFERROR(tblEVMData[[#This Row],[Baseline Cost]]*tblEVMData[[#This Row],[Planned % Complete]],"")</f>
        <v>100</v>
      </c>
      <c r="P15" s="175">
        <f ca="1">IFERROR(tblEVMData[[#This Row],[Earned Value]]-tblEVMData[[#This Row],[Planned Value]],"")</f>
        <v>-100</v>
      </c>
      <c r="Q15" s="175">
        <f>IFERROR(tblEVMData[[#This Row],[Earned Value]]-tblEVMData[[#This Row],[Actual Cost]],"")</f>
        <v>-100</v>
      </c>
      <c r="R15" s="176">
        <f ca="1">IFERROR(tblEVMData[[#This Row],[Earned Value]]/tblEVMData[[#This Row],[Planned Value]],"")</f>
        <v>0</v>
      </c>
      <c r="S15" s="176">
        <f>IFERROR(tblEVMData[[#This Row],[Earned Value]]/tblEVMData[[#This Row],[Actual Cost]],"")</f>
        <v>0</v>
      </c>
      <c r="T15" s="177" t="str">
        <f>_xlfn.TEXTJOIN("; ",TRUE,IF(tblEVMData[[#This Row],[Baseline Cost]]="","Add baseline cost", ""),IF(tblEVMData[[#This Row],[Actual Cost]]="","Add actual cost", ""),IF(tblEVMData[[#This Row],[Hours]]="","Add hours", ""),IF(tblEVMData[[#This Row],[Duration (Weeks)]]="","Add duration", ""),IF(tblEVMData[[#This Row],[Actual % Complete]]="","Add progress", ""),IF(tblEVMData[[#This Row],[Start wk]]="","Add start week", ""),IF(tblEVMData[[#This Row],[Finish wk]]="","Add finish week", ""))</f>
        <v/>
      </c>
    </row>
    <row r="16" spans="1:20" x14ac:dyDescent="0.35">
      <c r="A16" s="137" cm="1">
        <f t="array" ref="A16">IFERROR(INDEX(tblTaskList[Task ID],ROWS($A$10:A16)),"")</f>
        <v>17</v>
      </c>
      <c r="B16" s="137" t="str" cm="1">
        <f t="array" ref="B16">IFERROR(INDEX(tblTaskList[Task Name],ROWS($A$10:A16)),"")</f>
        <v>the Finish</v>
      </c>
      <c r="C16" s="137" t="str" cm="1">
        <f t="array" ref="C16">IFERROR(INDEX(tblTaskList[Resource],ROWS($A$10:A16)),"")</f>
        <v>FE</v>
      </c>
      <c r="D16" s="137" t="str" cm="1">
        <f t="array" ref="D16">IFERROR(INDEX(tblTaskList[IsInCriticalPath],ROWS($A$10:A16)),"")</f>
        <v>Yes</v>
      </c>
      <c r="E16" s="137" cm="1">
        <f t="array" ref="E16">IFERROR(INDEX(tblTaskList[Predecessor Tasks],ROWS($A$10:A16)),"")</f>
        <v>0</v>
      </c>
      <c r="F16" s="166" cm="1">
        <f t="array" ref="F16">IFERROR(INDEX(tblTaskList[Start wk],ROWS($A$10:A16)),"")</f>
        <v>22</v>
      </c>
      <c r="G16" s="166" cm="1">
        <f t="array" ref="G16">IFERROR(INDEX(tblTaskList[Finish wk],ROWS($A$10:A16)),"")</f>
        <v>25</v>
      </c>
      <c r="H16" s="166" cm="1">
        <f t="array" ref="H16">IFERROR(INDEX(tblTaskList[Duration (Weeks)],ROWS($A$10:A16)),"")</f>
        <v>4</v>
      </c>
      <c r="I16" s="172" cm="1">
        <f t="array" ref="I16">IFERROR(INDEX(tblTaskList[Cost],ROWS($A$10:A16)),"")</f>
        <v>8000</v>
      </c>
      <c r="J16" s="172" cm="1">
        <f t="array" ref="J16">IFERROR(INDEX(tblTaskList[Actual Cost],ROWS($A$10:A16)),"")</f>
        <v>8500</v>
      </c>
      <c r="K16" s="172" cm="1">
        <f t="array" ref="K16">IFERROR(INDEX(tblTaskList[Hours],ROWS($A$10:A16)),"")</f>
        <v>34</v>
      </c>
      <c r="L16" s="173" cm="1">
        <f t="array" ref="L16">IFERROR(INDEX(tblTaskList[Progress],ROWS($A$10:A16)),"")</f>
        <v>0</v>
      </c>
      <c r="M16" s="174">
        <f ca="1">IF(OR(tblEVMData[[#This Row],[Start wk]]="",tblEVMData[[#This Row],[Finish wk]]="",tblEVMData[[#This Row],[Baseline Cost]]=""),"",IF($B$5&lt;tblEVMData[[#This Row],[Start wk]],0,IF($B$5&gt;tblEVMData[[#This Row],[Finish wk]],1,($B$5-tblEVMData[[#This Row],[Start wk]]+1)/MAX(1,tblEVMData[[#This Row],[Finish wk]]-tblEVMData[[#This Row],[Start wk]]+1))))</f>
        <v>1</v>
      </c>
      <c r="N16" s="175">
        <f>IFERROR(tblEVMData[[#This Row],[Baseline Cost]]*tblEVMData[[#This Row],[Actual % Complete]],"")</f>
        <v>0</v>
      </c>
      <c r="O16" s="175">
        <f ca="1">IFERROR(tblEVMData[[#This Row],[Baseline Cost]]*tblEVMData[[#This Row],[Planned % Complete]],"")</f>
        <v>8000</v>
      </c>
      <c r="P16" s="175">
        <f ca="1">IFERROR(tblEVMData[[#This Row],[Earned Value]]-tblEVMData[[#This Row],[Planned Value]],"")</f>
        <v>-8000</v>
      </c>
      <c r="Q16" s="175">
        <f>IFERROR(tblEVMData[[#This Row],[Earned Value]]-tblEVMData[[#This Row],[Actual Cost]],"")</f>
        <v>-8500</v>
      </c>
      <c r="R16" s="176">
        <f ca="1">IFERROR(tblEVMData[[#This Row],[Earned Value]]/tblEVMData[[#This Row],[Planned Value]],"")</f>
        <v>0</v>
      </c>
      <c r="S16" s="176">
        <f>IFERROR(tblEVMData[[#This Row],[Earned Value]]/tblEVMData[[#This Row],[Actual Cost]],"")</f>
        <v>0</v>
      </c>
      <c r="T16" s="177" t="str">
        <f>_xlfn.TEXTJOIN("; ",TRUE,IF(tblEVMData[[#This Row],[Baseline Cost]]="","Add baseline cost", ""),IF(tblEVMData[[#This Row],[Actual Cost]]="","Add actual cost", ""),IF(tblEVMData[[#This Row],[Hours]]="","Add hours", ""),IF(tblEVMData[[#This Row],[Duration (Weeks)]]="","Add duration", ""),IF(tblEVMData[[#This Row],[Actual % Complete]]="","Add progress", ""),IF(tblEVMData[[#This Row],[Start wk]]="","Add start week", ""),IF(tblEVMData[[#This Row],[Finish wk]]="","Add finish week", ""))</f>
        <v/>
      </c>
    </row>
    <row r="17" spans="1:20" x14ac:dyDescent="0.35">
      <c r="A17" s="137" cm="1">
        <f t="array" ref="A17">IFERROR(INDEX(tblTaskList[Task ID],ROWS($A$10:A17)),"")</f>
        <v>19</v>
      </c>
      <c r="B17" s="137" t="str" cm="1">
        <f t="array" ref="B17">IFERROR(INDEX(tblTaskList[Task Name],ROWS($A$10:A17)),"")</f>
        <v>Delivery</v>
      </c>
      <c r="C17" s="137" t="str" cm="1">
        <f t="array" ref="C17">IFERROR(INDEX(tblTaskList[Resource],ROWS($A$10:A17)),"")</f>
        <v>NN</v>
      </c>
      <c r="D17" s="137" t="str" cm="1">
        <f t="array" ref="D17">IFERROR(INDEX(tblTaskList[IsInCriticalPath],ROWS($A$10:A17)),"")</f>
        <v>Yes</v>
      </c>
      <c r="E17" s="137" t="str" cm="1">
        <f t="array" ref="E17">IFERROR(INDEX(tblTaskList[Predecessor Tasks],ROWS($A$10:A17)),"")</f>
        <v>Wait for Delivery</v>
      </c>
      <c r="F17" s="166" cm="1">
        <f t="array" ref="F17">IFERROR(INDEX(tblTaskList[Start wk],ROWS($A$10:A17)),"")</f>
        <v>22</v>
      </c>
      <c r="G17" s="166" cm="1">
        <f t="array" ref="G17">IFERROR(INDEX(tblTaskList[Finish wk],ROWS($A$10:A17)),"")</f>
        <v>22</v>
      </c>
      <c r="H17" s="166" cm="1">
        <f t="array" ref="H17">IFERROR(INDEX(tblTaskList[Duration (Weeks)],ROWS($A$10:A17)),"")</f>
        <v>0</v>
      </c>
      <c r="I17" s="172" cm="1">
        <f t="array" ref="I17">IFERROR(INDEX(tblTaskList[Cost],ROWS($A$10:A17)),"")</f>
        <v>0</v>
      </c>
      <c r="J17" s="172" cm="1">
        <f t="array" ref="J17">IFERROR(INDEX(tblTaskList[Actual Cost],ROWS($A$10:A17)),"")</f>
        <v>0</v>
      </c>
      <c r="K17" s="172" cm="1">
        <f t="array" ref="K17">IFERROR(INDEX(tblTaskList[Hours],ROWS($A$10:A17)),"")</f>
        <v>0</v>
      </c>
      <c r="L17" s="173" cm="1">
        <f t="array" ref="L17">IFERROR(INDEX(tblTaskList[Progress],ROWS($A$10:A17)),"")</f>
        <v>0</v>
      </c>
      <c r="M17" s="174">
        <f ca="1">IF(OR(tblEVMData[[#This Row],[Start wk]]="",tblEVMData[[#This Row],[Finish wk]]="",tblEVMData[[#This Row],[Baseline Cost]]=""),"",IF($B$5&lt;tblEVMData[[#This Row],[Start wk]],0,IF($B$5&gt;tblEVMData[[#This Row],[Finish wk]],1,($B$5-tblEVMData[[#This Row],[Start wk]]+1)/MAX(1,tblEVMData[[#This Row],[Finish wk]]-tblEVMData[[#This Row],[Start wk]]+1))))</f>
        <v>1</v>
      </c>
      <c r="N17" s="175">
        <f>IFERROR(tblEVMData[[#This Row],[Baseline Cost]]*tblEVMData[[#This Row],[Actual % Complete]],"")</f>
        <v>0</v>
      </c>
      <c r="O17" s="175">
        <f ca="1">IFERROR(tblEVMData[[#This Row],[Baseline Cost]]*tblEVMData[[#This Row],[Planned % Complete]],"")</f>
        <v>0</v>
      </c>
      <c r="P17" s="175">
        <f ca="1">IFERROR(tblEVMData[[#This Row],[Earned Value]]-tblEVMData[[#This Row],[Planned Value]],"")</f>
        <v>0</v>
      </c>
      <c r="Q17" s="175">
        <f>IFERROR(tblEVMData[[#This Row],[Earned Value]]-tblEVMData[[#This Row],[Actual Cost]],"")</f>
        <v>0</v>
      </c>
      <c r="R17" s="176" t="str">
        <f ca="1">IFERROR(tblEVMData[[#This Row],[Earned Value]]/tblEVMData[[#This Row],[Planned Value]],"")</f>
        <v/>
      </c>
      <c r="S17" s="176" t="str">
        <f>IFERROR(tblEVMData[[#This Row],[Earned Value]]/tblEVMData[[#This Row],[Actual Cost]],"")</f>
        <v/>
      </c>
      <c r="T17" s="177" t="str">
        <f>_xlfn.TEXTJOIN("; ",TRUE,IF(tblEVMData[[#This Row],[Baseline Cost]]="","Add baseline cost", ""),IF(tblEVMData[[#This Row],[Actual Cost]]="","Add actual cost", ""),IF(tblEVMData[[#This Row],[Hours]]="","Add hours", ""),IF(tblEVMData[[#This Row],[Duration (Weeks)]]="","Add duration", ""),IF(tblEVMData[[#This Row],[Actual % Complete]]="","Add progress", ""),IF(tblEVMData[[#This Row],[Start wk]]="","Add start week", ""),IF(tblEVMData[[#This Row],[Finish wk]]="","Add finish week", ""))</f>
        <v/>
      </c>
    </row>
    <row r="18" spans="1:20" x14ac:dyDescent="0.35">
      <c r="A18" s="137" cm="1">
        <f t="array" ref="A18">IFERROR(INDEX(tblTaskList[Task ID],ROWS($A$10:A18)),"")</f>
        <v>1</v>
      </c>
      <c r="B18" s="137" t="str" cm="1">
        <f t="array" ref="B18">IFERROR(INDEX(tblTaskList[Task Name],ROWS($A$10:A18)),"")</f>
        <v>Check funds</v>
      </c>
      <c r="C18" s="137" t="str" cm="1">
        <f t="array" ref="C18">IFERROR(INDEX(tblTaskList[Resource],ROWS($A$10:A18)),"")</f>
        <v>FE</v>
      </c>
      <c r="D18" s="137" t="str" cm="1">
        <f t="array" ref="D18">IFERROR(INDEX(tblTaskList[IsInCriticalPath],ROWS($A$10:A18)),"")</f>
        <v>Float</v>
      </c>
      <c r="E18" s="137" t="str" cm="1">
        <f t="array" ref="E18">IFERROR(INDEX(tblTaskList[Predecessor Tasks],ROWS($A$10:A18)),"")</f>
        <v>Demolish old shed</v>
      </c>
      <c r="F18" s="166" cm="1">
        <f t="array" ref="F18">IFERROR(INDEX(tblTaskList[Start wk],ROWS($A$10:A18)),"")</f>
        <v>2</v>
      </c>
      <c r="G18" s="166" cm="1">
        <f t="array" ref="G18">IFERROR(INDEX(tblTaskList[Finish wk],ROWS($A$10:A18)),"")</f>
        <v>2</v>
      </c>
      <c r="H18" s="166" cm="1">
        <f t="array" ref="H18">IFERROR(INDEX(tblTaskList[Duration (Weeks)],ROWS($A$10:A18)),"")</f>
        <v>0</v>
      </c>
      <c r="I18" s="172" cm="1">
        <f t="array" ref="I18">IFERROR(INDEX(tblTaskList[Cost],ROWS($A$10:A18)),"")</f>
        <v>0</v>
      </c>
      <c r="J18" s="172" cm="1">
        <f t="array" ref="J18">IFERROR(INDEX(tblTaskList[Actual Cost],ROWS($A$10:A18)),"")</f>
        <v>0</v>
      </c>
      <c r="K18" s="172" cm="1">
        <f t="array" ref="K18">IFERROR(INDEX(tblTaskList[Hours],ROWS($A$10:A18)),"")</f>
        <v>0</v>
      </c>
      <c r="L18" s="173" cm="1">
        <f t="array" ref="L18">IFERROR(INDEX(tblTaskList[Progress],ROWS($A$10:A18)),"")</f>
        <v>1</v>
      </c>
      <c r="M18" s="174">
        <f ca="1">IF(OR(tblEVMData[[#This Row],[Start wk]]="",tblEVMData[[#This Row],[Finish wk]]="",tblEVMData[[#This Row],[Baseline Cost]]=""),"",IF($B$5&lt;tblEVMData[[#This Row],[Start wk]],0,IF($B$5&gt;tblEVMData[[#This Row],[Finish wk]],1,($B$5-tblEVMData[[#This Row],[Start wk]]+1)/MAX(1,tblEVMData[[#This Row],[Finish wk]]-tblEVMData[[#This Row],[Start wk]]+1))))</f>
        <v>1</v>
      </c>
      <c r="N18" s="175">
        <f>IFERROR(tblEVMData[[#This Row],[Baseline Cost]]*tblEVMData[[#This Row],[Actual % Complete]],"")</f>
        <v>0</v>
      </c>
      <c r="O18" s="175">
        <f ca="1">IFERROR(tblEVMData[[#This Row],[Baseline Cost]]*tblEVMData[[#This Row],[Planned % Complete]],"")</f>
        <v>0</v>
      </c>
      <c r="P18" s="175">
        <f ca="1">IFERROR(tblEVMData[[#This Row],[Earned Value]]-tblEVMData[[#This Row],[Planned Value]],"")</f>
        <v>0</v>
      </c>
      <c r="Q18" s="175">
        <f>IFERROR(tblEVMData[[#This Row],[Earned Value]]-tblEVMData[[#This Row],[Actual Cost]],"")</f>
        <v>0</v>
      </c>
      <c r="R18" s="176" t="str">
        <f ca="1">IFERROR(tblEVMData[[#This Row],[Earned Value]]/tblEVMData[[#This Row],[Planned Value]],"")</f>
        <v/>
      </c>
      <c r="S18" s="176" t="str">
        <f>IFERROR(tblEVMData[[#This Row],[Earned Value]]/tblEVMData[[#This Row],[Actual Cost]],"")</f>
        <v/>
      </c>
      <c r="T18" s="177" t="str">
        <f>_xlfn.TEXTJOIN("; ",TRUE,IF(tblEVMData[[#This Row],[Baseline Cost]]="","Add baseline cost", ""),IF(tblEVMData[[#This Row],[Actual Cost]]="","Add actual cost", ""),IF(tblEVMData[[#This Row],[Hours]]="","Add hours", ""),IF(tblEVMData[[#This Row],[Duration (Weeks)]]="","Add duration", ""),IF(tblEVMData[[#This Row],[Actual % Complete]]="","Add progress", ""),IF(tblEVMData[[#This Row],[Start wk]]="","Add start week", ""),IF(tblEVMData[[#This Row],[Finish wk]]="","Add finish week", ""))</f>
        <v/>
      </c>
    </row>
    <row r="19" spans="1:20" x14ac:dyDescent="0.35">
      <c r="A19" s="137" cm="1">
        <f t="array" ref="A19">IFERROR(INDEX(tblTaskList[Task ID],ROWS($A$10:A19)),"")</f>
        <v>4</v>
      </c>
      <c r="B19" s="137" t="str" cm="1">
        <f t="array" ref="B19">IFERROR(INDEX(tblTaskList[Task Name],ROWS($A$10:A19)),"")</f>
        <v>Demolish old shed</v>
      </c>
      <c r="C19" s="137" t="str" cm="1">
        <f t="array" ref="C19">IFERROR(INDEX(tblTaskList[Resource],ROWS($A$10:A19)),"")</f>
        <v>NN</v>
      </c>
      <c r="D19" s="137" t="str" cm="1">
        <f t="array" ref="D19">IFERROR(INDEX(tblTaskList[IsInCriticalPath],ROWS($A$10:A19)),"")</f>
        <v>Float</v>
      </c>
      <c r="E19" s="137" t="str" cm="1">
        <f t="array" ref="E19">IFERROR(INDEX(tblTaskList[Predecessor Tasks],ROWS($A$10:A19)),"")</f>
        <v>Cut foliage back</v>
      </c>
      <c r="F19" s="166" cm="1">
        <f t="array" ref="F19">IFERROR(INDEX(tblTaskList[Start wk],ROWS($A$10:A19)),"")</f>
        <v>3</v>
      </c>
      <c r="G19" s="166" cm="1">
        <f t="array" ref="G19">IFERROR(INDEX(tblTaskList[Finish wk],ROWS($A$10:A19)),"")</f>
        <v>3</v>
      </c>
      <c r="H19" s="166" cm="1">
        <f t="array" ref="H19">IFERROR(INDEX(tblTaskList[Duration (Weeks)],ROWS($A$10:A19)),"")</f>
        <v>1</v>
      </c>
      <c r="I19" s="172" cm="1">
        <f t="array" ref="I19">IFERROR(INDEX(tblTaskList[Cost],ROWS($A$10:A19)),"")</f>
        <v>300</v>
      </c>
      <c r="J19" s="172" cm="1">
        <f t="array" ref="J19">IFERROR(INDEX(tblTaskList[Actual Cost],ROWS($A$10:A19)),"")</f>
        <v>300</v>
      </c>
      <c r="K19" s="172" cm="1">
        <f t="array" ref="K19">IFERROR(INDEX(tblTaskList[Hours],ROWS($A$10:A19)),"")</f>
        <v>6</v>
      </c>
      <c r="L19" s="173" cm="1">
        <f t="array" ref="L19">IFERROR(INDEX(tblTaskList[Progress],ROWS($A$10:A19)),"")</f>
        <v>0</v>
      </c>
      <c r="M19" s="174">
        <f ca="1">IF(OR(tblEVMData[[#This Row],[Start wk]]="",tblEVMData[[#This Row],[Finish wk]]="",tblEVMData[[#This Row],[Baseline Cost]]=""),"",IF($B$5&lt;tblEVMData[[#This Row],[Start wk]],0,IF($B$5&gt;tblEVMData[[#This Row],[Finish wk]],1,($B$5-tblEVMData[[#This Row],[Start wk]]+1)/MAX(1,tblEVMData[[#This Row],[Finish wk]]-tblEVMData[[#This Row],[Start wk]]+1))))</f>
        <v>1</v>
      </c>
      <c r="N19" s="175">
        <f>IFERROR(tblEVMData[[#This Row],[Baseline Cost]]*tblEVMData[[#This Row],[Actual % Complete]],"")</f>
        <v>0</v>
      </c>
      <c r="O19" s="175">
        <f ca="1">IFERROR(tblEVMData[[#This Row],[Baseline Cost]]*tblEVMData[[#This Row],[Planned % Complete]],"")</f>
        <v>300</v>
      </c>
      <c r="P19" s="175">
        <f ca="1">IFERROR(tblEVMData[[#This Row],[Earned Value]]-tblEVMData[[#This Row],[Planned Value]],"")</f>
        <v>-300</v>
      </c>
      <c r="Q19" s="175">
        <f>IFERROR(tblEVMData[[#This Row],[Earned Value]]-tblEVMData[[#This Row],[Actual Cost]],"")</f>
        <v>-300</v>
      </c>
      <c r="R19" s="176">
        <f ca="1">IFERROR(tblEVMData[[#This Row],[Earned Value]]/tblEVMData[[#This Row],[Planned Value]],"")</f>
        <v>0</v>
      </c>
      <c r="S19" s="176">
        <f>IFERROR(tblEVMData[[#This Row],[Earned Value]]/tblEVMData[[#This Row],[Actual Cost]],"")</f>
        <v>0</v>
      </c>
      <c r="T19" s="177" t="str">
        <f>_xlfn.TEXTJOIN("; ",TRUE,IF(tblEVMData[[#This Row],[Baseline Cost]]="","Add baseline cost", ""),IF(tblEVMData[[#This Row],[Actual Cost]]="","Add actual cost", ""),IF(tblEVMData[[#This Row],[Hours]]="","Add hours", ""),IF(tblEVMData[[#This Row],[Duration (Weeks)]]="","Add duration", ""),IF(tblEVMData[[#This Row],[Actual % Complete]]="","Add progress", ""),IF(tblEVMData[[#This Row],[Start wk]]="","Add start week", ""),IF(tblEVMData[[#This Row],[Finish wk]]="","Add finish week", ""))</f>
        <v/>
      </c>
    </row>
    <row r="20" spans="1:20" x14ac:dyDescent="0.35">
      <c r="A20" s="137" cm="1">
        <f t="array" ref="A20">IFERROR(INDEX(tblTaskList[Task ID],ROWS($A$10:A20)),"")</f>
        <v>5</v>
      </c>
      <c r="B20" s="137" t="str" cm="1">
        <f t="array" ref="B20">IFERROR(INDEX(tblTaskList[Task Name],ROWS($A$10:A20)),"")</f>
        <v>Cut foliage back</v>
      </c>
      <c r="C20" s="137" t="str" cm="1">
        <f t="array" ref="C20">IFERROR(INDEX(tblTaskList[Resource],ROWS($A$10:A20)),"")</f>
        <v>NN</v>
      </c>
      <c r="D20" s="137" t="str" cm="1">
        <f t="array" ref="D20">IFERROR(INDEX(tblTaskList[IsInCriticalPath],ROWS($A$10:A20)),"")</f>
        <v>Float</v>
      </c>
      <c r="E20" s="137" t="str" cm="1">
        <f t="array" ref="E20">IFERROR(INDEX(tblTaskList[Predecessor Tasks],ROWS($A$10:A20)),"")</f>
        <v>Dig trench</v>
      </c>
      <c r="F20" s="166" cm="1">
        <f t="array" ref="F20">IFERROR(INDEX(tblTaskList[Start wk],ROWS($A$10:A20)),"")</f>
        <v>8</v>
      </c>
      <c r="G20" s="166" cm="1">
        <f t="array" ref="G20">IFERROR(INDEX(tblTaskList[Finish wk],ROWS($A$10:A20)),"")</f>
        <v>11</v>
      </c>
      <c r="H20" s="166" cm="1">
        <f t="array" ref="H20">IFERROR(INDEX(tblTaskList[Duration (Weeks)],ROWS($A$10:A20)),"")</f>
        <v>4</v>
      </c>
      <c r="I20" s="172" cm="1">
        <f t="array" ref="I20">IFERROR(INDEX(tblTaskList[Cost],ROWS($A$10:A20)),"")</f>
        <v>500</v>
      </c>
      <c r="J20" s="172" cm="1">
        <f t="array" ref="J20">IFERROR(INDEX(tblTaskList[Actual Cost],ROWS($A$10:A20)),"")</f>
        <v>500</v>
      </c>
      <c r="K20" s="172" cm="1">
        <f t="array" ref="K20">IFERROR(INDEX(tblTaskList[Hours],ROWS($A$10:A20)),"")</f>
        <v>10</v>
      </c>
      <c r="L20" s="173" cm="1">
        <f t="array" ref="L20">IFERROR(INDEX(tblTaskList[Progress],ROWS($A$10:A20)),"")</f>
        <v>0</v>
      </c>
      <c r="M20" s="174">
        <f ca="1">IF(OR(tblEVMData[[#This Row],[Start wk]]="",tblEVMData[[#This Row],[Finish wk]]="",tblEVMData[[#This Row],[Baseline Cost]]=""),"",IF($B$5&lt;tblEVMData[[#This Row],[Start wk]],0,IF($B$5&gt;tblEVMData[[#This Row],[Finish wk]],1,($B$5-tblEVMData[[#This Row],[Start wk]]+1)/MAX(1,tblEVMData[[#This Row],[Finish wk]]-tblEVMData[[#This Row],[Start wk]]+1))))</f>
        <v>1</v>
      </c>
      <c r="N20" s="175">
        <f>IFERROR(tblEVMData[[#This Row],[Baseline Cost]]*tblEVMData[[#This Row],[Actual % Complete]],"")</f>
        <v>0</v>
      </c>
      <c r="O20" s="175">
        <f ca="1">IFERROR(tblEVMData[[#This Row],[Baseline Cost]]*tblEVMData[[#This Row],[Planned % Complete]],"")</f>
        <v>500</v>
      </c>
      <c r="P20" s="175">
        <f ca="1">IFERROR(tblEVMData[[#This Row],[Earned Value]]-tblEVMData[[#This Row],[Planned Value]],"")</f>
        <v>-500</v>
      </c>
      <c r="Q20" s="175">
        <f>IFERROR(tblEVMData[[#This Row],[Earned Value]]-tblEVMData[[#This Row],[Actual Cost]],"")</f>
        <v>-500</v>
      </c>
      <c r="R20" s="176">
        <f ca="1">IFERROR(tblEVMData[[#This Row],[Earned Value]]/tblEVMData[[#This Row],[Planned Value]],"")</f>
        <v>0</v>
      </c>
      <c r="S20" s="176">
        <f>IFERROR(tblEVMData[[#This Row],[Earned Value]]/tblEVMData[[#This Row],[Actual Cost]],"")</f>
        <v>0</v>
      </c>
      <c r="T20" s="177" t="str">
        <f>_xlfn.TEXTJOIN("; ",TRUE,IF(tblEVMData[[#This Row],[Baseline Cost]]="","Add baseline cost", ""),IF(tblEVMData[[#This Row],[Actual Cost]]="","Add actual cost", ""),IF(tblEVMData[[#This Row],[Hours]]="","Add hours", ""),IF(tblEVMData[[#This Row],[Duration (Weeks)]]="","Add duration", ""),IF(tblEVMData[[#This Row],[Actual % Complete]]="","Add progress", ""),IF(tblEVMData[[#This Row],[Start wk]]="","Add start week", ""),IF(tblEVMData[[#This Row],[Finish wk]]="","Add finish week", ""))</f>
        <v/>
      </c>
    </row>
    <row r="21" spans="1:20" x14ac:dyDescent="0.35">
      <c r="A21" s="137" cm="1">
        <f t="array" ref="A21">IFERROR(INDEX(tblTaskList[Task ID],ROWS($A$10:A21)),"")</f>
        <v>8</v>
      </c>
      <c r="B21" s="137" t="str" cm="1">
        <f t="array" ref="B21">IFERROR(INDEX(tblTaskList[Task Name],ROWS($A$10:A21)),"")</f>
        <v>Connect Power</v>
      </c>
      <c r="C21" s="137" t="str" cm="1">
        <f t="array" ref="C21">IFERROR(INDEX(tblTaskList[Resource],ROWS($A$10:A21)),"")</f>
        <v>NN</v>
      </c>
      <c r="D21" s="137" t="str" cm="1">
        <f t="array" ref="D21">IFERROR(INDEX(tblTaskList[IsInCriticalPath],ROWS($A$10:A21)),"")</f>
        <v>Float</v>
      </c>
      <c r="E21" s="137" t="str" cm="1">
        <f t="array" ref="E21">IFERROR(INDEX(tblTaskList[Predecessor Tasks],ROWS($A$10:A21)),"")</f>
        <v>the Finish</v>
      </c>
      <c r="F21" s="166" cm="1">
        <f t="array" ref="F21">IFERROR(INDEX(tblTaskList[Start wk],ROWS($A$10:A21)),"")</f>
        <v>13</v>
      </c>
      <c r="G21" s="166" cm="1">
        <f t="array" ref="G21">IFERROR(INDEX(tblTaskList[Finish wk],ROWS($A$10:A21)),"")</f>
        <v>13</v>
      </c>
      <c r="H21" s="166" cm="1">
        <f t="array" ref="H21">IFERROR(INDEX(tblTaskList[Duration (Weeks)],ROWS($A$10:A21)),"")</f>
        <v>0</v>
      </c>
      <c r="I21" s="172" cm="1">
        <f t="array" ref="I21">IFERROR(INDEX(tblTaskList[Cost],ROWS($A$10:A21)),"")</f>
        <v>0</v>
      </c>
      <c r="J21" s="172" cm="1">
        <f t="array" ref="J21">IFERROR(INDEX(tblTaskList[Actual Cost],ROWS($A$10:A21)),"")</f>
        <v>0</v>
      </c>
      <c r="K21" s="172" cm="1">
        <f t="array" ref="K21">IFERROR(INDEX(tblTaskList[Hours],ROWS($A$10:A21)),"")</f>
        <v>0</v>
      </c>
      <c r="L21" s="173" cm="1">
        <f t="array" ref="L21">IFERROR(INDEX(tblTaskList[Progress],ROWS($A$10:A21)),"")</f>
        <v>0</v>
      </c>
      <c r="M21" s="174">
        <f ca="1">IF(OR(tblEVMData[[#This Row],[Start wk]]="",tblEVMData[[#This Row],[Finish wk]]="",tblEVMData[[#This Row],[Baseline Cost]]=""),"",IF($B$5&lt;tblEVMData[[#This Row],[Start wk]],0,IF($B$5&gt;tblEVMData[[#This Row],[Finish wk]],1,($B$5-tblEVMData[[#This Row],[Start wk]]+1)/MAX(1,tblEVMData[[#This Row],[Finish wk]]-tblEVMData[[#This Row],[Start wk]]+1))))</f>
        <v>1</v>
      </c>
      <c r="N21" s="175">
        <f>IFERROR(tblEVMData[[#This Row],[Baseline Cost]]*tblEVMData[[#This Row],[Actual % Complete]],"")</f>
        <v>0</v>
      </c>
      <c r="O21" s="175">
        <f ca="1">IFERROR(tblEVMData[[#This Row],[Baseline Cost]]*tblEVMData[[#This Row],[Planned % Complete]],"")</f>
        <v>0</v>
      </c>
      <c r="P21" s="175">
        <f ca="1">IFERROR(tblEVMData[[#This Row],[Earned Value]]-tblEVMData[[#This Row],[Planned Value]],"")</f>
        <v>0</v>
      </c>
      <c r="Q21" s="175">
        <f>IFERROR(tblEVMData[[#This Row],[Earned Value]]-tblEVMData[[#This Row],[Actual Cost]],"")</f>
        <v>0</v>
      </c>
      <c r="R21" s="176" t="str">
        <f ca="1">IFERROR(tblEVMData[[#This Row],[Earned Value]]/tblEVMData[[#This Row],[Planned Value]],"")</f>
        <v/>
      </c>
      <c r="S21" s="176" t="str">
        <f>IFERROR(tblEVMData[[#This Row],[Earned Value]]/tblEVMData[[#This Row],[Actual Cost]],"")</f>
        <v/>
      </c>
      <c r="T21" s="177" t="str">
        <f>_xlfn.TEXTJOIN("; ",TRUE,IF(tblEVMData[[#This Row],[Baseline Cost]]="","Add baseline cost", ""),IF(tblEVMData[[#This Row],[Actual Cost]]="","Add actual cost", ""),IF(tblEVMData[[#This Row],[Hours]]="","Add hours", ""),IF(tblEVMData[[#This Row],[Duration (Weeks)]]="","Add duration", ""),IF(tblEVMData[[#This Row],[Actual % Complete]]="","Add progress", ""),IF(tblEVMData[[#This Row],[Start wk]]="","Add start week", ""),IF(tblEVMData[[#This Row],[Finish wk]]="","Add finish week", ""))</f>
        <v/>
      </c>
    </row>
    <row r="22" spans="1:20" x14ac:dyDescent="0.35">
      <c r="A22" s="137" cm="1">
        <f t="array" ref="A22">IFERROR(INDEX(tblTaskList[Task ID],ROWS($A$10:A22)),"")</f>
        <v>11</v>
      </c>
      <c r="B22" s="137" t="str" cm="1">
        <f t="array" ref="B22">IFERROR(INDEX(tblTaskList[Task Name],ROWS($A$10:A22)),"")</f>
        <v>Find suppliers</v>
      </c>
      <c r="C22" s="137" t="str" cm="1">
        <f t="array" ref="C22">IFERROR(INDEX(tblTaskList[Resource],ROWS($A$10:A22)),"")</f>
        <v>FE</v>
      </c>
      <c r="D22" s="137" t="str" cm="1">
        <f t="array" ref="D22">IFERROR(INDEX(tblTaskList[IsInCriticalPath],ROWS($A$10:A22)),"")</f>
        <v>Float</v>
      </c>
      <c r="E22" s="137" t="str" cm="1">
        <f t="array" ref="E22">IFERROR(INDEX(tblTaskList[Predecessor Tasks],ROWS($A$10:A22)),"")</f>
        <v>Get quotes</v>
      </c>
      <c r="F22" s="166" cm="1">
        <f t="array" ref="F22">IFERROR(INDEX(tblTaskList[Start wk],ROWS($A$10:A22)),"")</f>
        <v>4</v>
      </c>
      <c r="G22" s="166" cm="1">
        <f t="array" ref="G22">IFERROR(INDEX(tblTaskList[Finish wk],ROWS($A$10:A22)),"")</f>
        <v>4</v>
      </c>
      <c r="H22" s="166" cm="1">
        <f t="array" ref="H22">IFERROR(INDEX(tblTaskList[Duration (Weeks)],ROWS($A$10:A22)),"")</f>
        <v>1</v>
      </c>
      <c r="I22" s="172" cm="1">
        <f t="array" ref="I22">IFERROR(INDEX(tblTaskList[Cost],ROWS($A$10:A22)),"")</f>
        <v>0</v>
      </c>
      <c r="J22" s="172" cm="1">
        <f t="array" ref="J22">IFERROR(INDEX(tblTaskList[Actual Cost],ROWS($A$10:A22)),"")</f>
        <v>0</v>
      </c>
      <c r="K22" s="172" cm="1">
        <f t="array" ref="K22">IFERROR(INDEX(tblTaskList[Hours],ROWS($A$10:A22)),"")</f>
        <v>0</v>
      </c>
      <c r="L22" s="173" cm="1">
        <f t="array" ref="L22">IFERROR(INDEX(tblTaskList[Progress],ROWS($A$10:A22)),"")</f>
        <v>1</v>
      </c>
      <c r="M22" s="174">
        <f ca="1">IF(OR(tblEVMData[[#This Row],[Start wk]]="",tblEVMData[[#This Row],[Finish wk]]="",tblEVMData[[#This Row],[Baseline Cost]]=""),"",IF($B$5&lt;tblEVMData[[#This Row],[Start wk]],0,IF($B$5&gt;tblEVMData[[#This Row],[Finish wk]],1,($B$5-tblEVMData[[#This Row],[Start wk]]+1)/MAX(1,tblEVMData[[#This Row],[Finish wk]]-tblEVMData[[#This Row],[Start wk]]+1))))</f>
        <v>1</v>
      </c>
      <c r="N22" s="175">
        <f>IFERROR(tblEVMData[[#This Row],[Baseline Cost]]*tblEVMData[[#This Row],[Actual % Complete]],"")</f>
        <v>0</v>
      </c>
      <c r="O22" s="175">
        <f ca="1">IFERROR(tblEVMData[[#This Row],[Baseline Cost]]*tblEVMData[[#This Row],[Planned % Complete]],"")</f>
        <v>0</v>
      </c>
      <c r="P22" s="175">
        <f ca="1">IFERROR(tblEVMData[[#This Row],[Earned Value]]-tblEVMData[[#This Row],[Planned Value]],"")</f>
        <v>0</v>
      </c>
      <c r="Q22" s="175">
        <f>IFERROR(tblEVMData[[#This Row],[Earned Value]]-tblEVMData[[#This Row],[Actual Cost]],"")</f>
        <v>0</v>
      </c>
      <c r="R22" s="176" t="str">
        <f ca="1">IFERROR(tblEVMData[[#This Row],[Earned Value]]/tblEVMData[[#This Row],[Planned Value]],"")</f>
        <v/>
      </c>
      <c r="S22" s="176" t="str">
        <f>IFERROR(tblEVMData[[#This Row],[Earned Value]]/tblEVMData[[#This Row],[Actual Cost]],"")</f>
        <v/>
      </c>
      <c r="T22" s="177" t="str">
        <f>_xlfn.TEXTJOIN("; ",TRUE,IF(tblEVMData[[#This Row],[Baseline Cost]]="","Add baseline cost", ""),IF(tblEVMData[[#This Row],[Actual Cost]]="","Add actual cost", ""),IF(tblEVMData[[#This Row],[Hours]]="","Add hours", ""),IF(tblEVMData[[#This Row],[Duration (Weeks)]]="","Add duration", ""),IF(tblEVMData[[#This Row],[Actual % Complete]]="","Add progress", ""),IF(tblEVMData[[#This Row],[Start wk]]="","Add start week", ""),IF(tblEVMData[[#This Row],[Finish wk]]="","Add finish week", ""))</f>
        <v/>
      </c>
    </row>
    <row r="23" spans="1:20" x14ac:dyDescent="0.35">
      <c r="A23" s="137" cm="1">
        <f t="array" ref="A23">IFERROR(INDEX(tblTaskList[Task ID],ROWS($A$10:A23)),"")</f>
        <v>12</v>
      </c>
      <c r="B23" s="137" t="str" cm="1">
        <f t="array" ref="B23">IFERROR(INDEX(tblTaskList[Task Name],ROWS($A$10:A23)),"")</f>
        <v>Get quotes</v>
      </c>
      <c r="C23" s="137" t="str" cm="1">
        <f t="array" ref="C23">IFERROR(INDEX(tblTaskList[Resource],ROWS($A$10:A23)),"")</f>
        <v>FE</v>
      </c>
      <c r="D23" s="137" t="str" cm="1">
        <f t="array" ref="D23">IFERROR(INDEX(tblTaskList[IsInCriticalPath],ROWS($A$10:A23)),"")</f>
        <v>Float</v>
      </c>
      <c r="E23" s="137" t="str" cm="1">
        <f t="array" ref="E23">IFERROR(INDEX(tblTaskList[Predecessor Tasks],ROWS($A$10:A23)),"")</f>
        <v>Buy the shed</v>
      </c>
      <c r="F23" s="166" cm="1">
        <f t="array" ref="F23">IFERROR(INDEX(tblTaskList[Start wk],ROWS($A$10:A23)),"")</f>
        <v>7</v>
      </c>
      <c r="G23" s="166" cm="1">
        <f t="array" ref="G23">IFERROR(INDEX(tblTaskList[Finish wk],ROWS($A$10:A23)),"")</f>
        <v>9</v>
      </c>
      <c r="H23" s="166" cm="1">
        <f t="array" ref="H23">IFERROR(INDEX(tblTaskList[Duration (Weeks)],ROWS($A$10:A23)),"")</f>
        <v>3</v>
      </c>
      <c r="I23" s="172" cm="1">
        <f t="array" ref="I23">IFERROR(INDEX(tblTaskList[Cost],ROWS($A$10:A23)),"")</f>
        <v>0</v>
      </c>
      <c r="J23" s="172" cm="1">
        <f t="array" ref="J23">IFERROR(INDEX(tblTaskList[Actual Cost],ROWS($A$10:A23)),"")</f>
        <v>0</v>
      </c>
      <c r="K23" s="172" cm="1">
        <f t="array" ref="K23">IFERROR(INDEX(tblTaskList[Hours],ROWS($A$10:A23)),"")</f>
        <v>0</v>
      </c>
      <c r="L23" s="173" cm="1">
        <f t="array" ref="L23">IFERROR(INDEX(tblTaskList[Progress],ROWS($A$10:A23)),"")</f>
        <v>0</v>
      </c>
      <c r="M23" s="174">
        <f ca="1">IF(OR(tblEVMData[[#This Row],[Start wk]]="",tblEVMData[[#This Row],[Finish wk]]="",tblEVMData[[#This Row],[Baseline Cost]]=""),"",IF($B$5&lt;tblEVMData[[#This Row],[Start wk]],0,IF($B$5&gt;tblEVMData[[#This Row],[Finish wk]],1,($B$5-tblEVMData[[#This Row],[Start wk]]+1)/MAX(1,tblEVMData[[#This Row],[Finish wk]]-tblEVMData[[#This Row],[Start wk]]+1))))</f>
        <v>1</v>
      </c>
      <c r="N23" s="175">
        <f>IFERROR(tblEVMData[[#This Row],[Baseline Cost]]*tblEVMData[[#This Row],[Actual % Complete]],"")</f>
        <v>0</v>
      </c>
      <c r="O23" s="175">
        <f ca="1">IFERROR(tblEVMData[[#This Row],[Baseline Cost]]*tblEVMData[[#This Row],[Planned % Complete]],"")</f>
        <v>0</v>
      </c>
      <c r="P23" s="175">
        <f ca="1">IFERROR(tblEVMData[[#This Row],[Earned Value]]-tblEVMData[[#This Row],[Planned Value]],"")</f>
        <v>0</v>
      </c>
      <c r="Q23" s="175">
        <f>IFERROR(tblEVMData[[#This Row],[Earned Value]]-tblEVMData[[#This Row],[Actual Cost]],"")</f>
        <v>0</v>
      </c>
      <c r="R23" s="176" t="str">
        <f ca="1">IFERROR(tblEVMData[[#This Row],[Earned Value]]/tblEVMData[[#This Row],[Planned Value]],"")</f>
        <v/>
      </c>
      <c r="S23" s="176" t="str">
        <f>IFERROR(tblEVMData[[#This Row],[Earned Value]]/tblEVMData[[#This Row],[Actual Cost]],"")</f>
        <v/>
      </c>
      <c r="T23" s="177" t="str">
        <f>_xlfn.TEXTJOIN("; ",TRUE,IF(tblEVMData[[#This Row],[Baseline Cost]]="","Add baseline cost", ""),IF(tblEVMData[[#This Row],[Actual Cost]]="","Add actual cost", ""),IF(tblEVMData[[#This Row],[Hours]]="","Add hours", ""),IF(tblEVMData[[#This Row],[Duration (Weeks)]]="","Add duration", ""),IF(tblEVMData[[#This Row],[Actual % Complete]]="","Add progress", ""),IF(tblEVMData[[#This Row],[Start wk]]="","Add start week", ""),IF(tblEVMData[[#This Row],[Finish wk]]="","Add finish week", ""))</f>
        <v/>
      </c>
    </row>
    <row r="24" spans="1:20" x14ac:dyDescent="0.35">
      <c r="A24" s="137" cm="1">
        <f t="array" ref="A24">IFERROR(INDEX(tblTaskList[Task ID],ROWS($A$10:A24)),"")</f>
        <v>13</v>
      </c>
      <c r="B24" s="137" t="str" cm="1">
        <f t="array" ref="B24">IFERROR(INDEX(tblTaskList[Task Name],ROWS($A$10:A24)),"")</f>
        <v>Buy the shed</v>
      </c>
      <c r="C24" s="137" t="str" cm="1">
        <f t="array" ref="C24">IFERROR(INDEX(tblTaskList[Resource],ROWS($A$10:A24)),"")</f>
        <v>FE</v>
      </c>
      <c r="D24" s="137" t="str" cm="1">
        <f t="array" ref="D24">IFERROR(INDEX(tblTaskList[IsInCriticalPath],ROWS($A$10:A24)),"")</f>
        <v>Float</v>
      </c>
      <c r="E24" s="137" cm="1">
        <f t="array" ref="E24">IFERROR(INDEX(tblTaskList[Predecessor Tasks],ROWS($A$10:A24)),"")</f>
        <v>0</v>
      </c>
      <c r="F24" s="166" cm="1">
        <f t="array" ref="F24">IFERROR(INDEX(tblTaskList[Start wk],ROWS($A$10:A24)),"")</f>
        <v>8</v>
      </c>
      <c r="G24" s="166" cm="1">
        <f t="array" ref="G24">IFERROR(INDEX(tblTaskList[Finish wk],ROWS($A$10:A24)),"")</f>
        <v>8</v>
      </c>
      <c r="H24" s="166" cm="1">
        <f t="array" ref="H24">IFERROR(INDEX(tblTaskList[Duration (Weeks)],ROWS($A$10:A24)),"")</f>
        <v>0</v>
      </c>
      <c r="I24" s="172" cm="1">
        <f t="array" ref="I24">IFERROR(INDEX(tblTaskList[Cost],ROWS($A$10:A24)),"")</f>
        <v>8000</v>
      </c>
      <c r="J24" s="172" cm="1">
        <f t="array" ref="J24">IFERROR(INDEX(tblTaskList[Actual Cost],ROWS($A$10:A24)),"")</f>
        <v>8000</v>
      </c>
      <c r="K24" s="172" cm="1">
        <f t="array" ref="K24">IFERROR(INDEX(tblTaskList[Hours],ROWS($A$10:A24)),"")</f>
        <v>0</v>
      </c>
      <c r="L24" s="173" cm="1">
        <f t="array" ref="L24">IFERROR(INDEX(tblTaskList[Progress],ROWS($A$10:A24)),"")</f>
        <v>0</v>
      </c>
      <c r="M24" s="174">
        <f ca="1">IF(OR(tblEVMData[[#This Row],[Start wk]]="",tblEVMData[[#This Row],[Finish wk]]="",tblEVMData[[#This Row],[Baseline Cost]]=""),"",IF($B$5&lt;tblEVMData[[#This Row],[Start wk]],0,IF($B$5&gt;tblEVMData[[#This Row],[Finish wk]],1,($B$5-tblEVMData[[#This Row],[Start wk]]+1)/MAX(1,tblEVMData[[#This Row],[Finish wk]]-tblEVMData[[#This Row],[Start wk]]+1))))</f>
        <v>1</v>
      </c>
      <c r="N24" s="175">
        <f>IFERROR(tblEVMData[[#This Row],[Baseline Cost]]*tblEVMData[[#This Row],[Actual % Complete]],"")</f>
        <v>0</v>
      </c>
      <c r="O24" s="175">
        <f ca="1">IFERROR(tblEVMData[[#This Row],[Baseline Cost]]*tblEVMData[[#This Row],[Planned % Complete]],"")</f>
        <v>8000</v>
      </c>
      <c r="P24" s="175">
        <f ca="1">IFERROR(tblEVMData[[#This Row],[Earned Value]]-tblEVMData[[#This Row],[Planned Value]],"")</f>
        <v>-8000</v>
      </c>
      <c r="Q24" s="175">
        <f>IFERROR(tblEVMData[[#This Row],[Earned Value]]-tblEVMData[[#This Row],[Actual Cost]],"")</f>
        <v>-8000</v>
      </c>
      <c r="R24" s="176">
        <f ca="1">IFERROR(tblEVMData[[#This Row],[Earned Value]]/tblEVMData[[#This Row],[Planned Value]],"")</f>
        <v>0</v>
      </c>
      <c r="S24" s="176">
        <f>IFERROR(tblEVMData[[#This Row],[Earned Value]]/tblEVMData[[#This Row],[Actual Cost]],"")</f>
        <v>0</v>
      </c>
      <c r="T24" s="177" t="str">
        <f>_xlfn.TEXTJOIN("; ",TRUE,IF(tblEVMData[[#This Row],[Baseline Cost]]="","Add baseline cost", ""),IF(tblEVMData[[#This Row],[Actual Cost]]="","Add actual cost", ""),IF(tblEVMData[[#This Row],[Hours]]="","Add hours", ""),IF(tblEVMData[[#This Row],[Duration (Weeks)]]="","Add duration", ""),IF(tblEVMData[[#This Row],[Actual % Complete]]="","Add progress", ""),IF(tblEVMData[[#This Row],[Start wk]]="","Add start week", ""),IF(tblEVMData[[#This Row],[Finish wk]]="","Add finish week", ""))</f>
        <v/>
      </c>
    </row>
    <row r="25" spans="1:20" x14ac:dyDescent="0.35">
      <c r="A25" s="137" cm="1">
        <f t="array" ref="A25">IFERROR(INDEX(tblTaskList[Task ID],ROWS($A$10:A25)),"")</f>
        <v>14</v>
      </c>
      <c r="B25" s="137" t="str" cm="1">
        <f t="array" ref="B25">IFERROR(INDEX(tblTaskList[Task Name],ROWS($A$10:A25)),"")</f>
        <v>Wait for Delivery</v>
      </c>
      <c r="C25" s="137" t="str" cm="1">
        <f t="array" ref="C25">IFERROR(INDEX(tblTaskList[Resource],ROWS($A$10:A25)),"")</f>
        <v>FE</v>
      </c>
      <c r="D25" s="137" t="str" cm="1">
        <f t="array" ref="D25">IFERROR(INDEX(tblTaskList[IsInCriticalPath],ROWS($A$10:A25)),"")</f>
        <v>Float</v>
      </c>
      <c r="E25" s="137" t="str" cm="1">
        <f t="array" ref="E25">IFERROR(INDEX(tblTaskList[Predecessor Tasks],ROWS($A$10:A25)),"")</f>
        <v>Assembly</v>
      </c>
      <c r="F25" s="166" cm="1">
        <f t="array" ref="F25">IFERROR(INDEX(tblTaskList[Start wk],ROWS($A$10:A25)),"")</f>
        <v>7</v>
      </c>
      <c r="G25" s="166" cm="1">
        <f t="array" ref="G25">IFERROR(INDEX(tblTaskList[Finish wk],ROWS($A$10:A25)),"")</f>
        <v>12</v>
      </c>
      <c r="H25" s="166" cm="1">
        <f t="array" ref="H25">IFERROR(INDEX(tblTaskList[Duration (Weeks)],ROWS($A$10:A25)),"")</f>
        <v>6</v>
      </c>
      <c r="I25" s="172" cm="1">
        <f t="array" ref="I25">IFERROR(INDEX(tblTaskList[Cost],ROWS($A$10:A25)),"")</f>
        <v>0</v>
      </c>
      <c r="J25" s="172" cm="1">
        <f t="array" ref="J25">IFERROR(INDEX(tblTaskList[Actual Cost],ROWS($A$10:A25)),"")</f>
        <v>0</v>
      </c>
      <c r="K25" s="172" cm="1">
        <f t="array" ref="K25">IFERROR(INDEX(tblTaskList[Hours],ROWS($A$10:A25)),"")</f>
        <v>0</v>
      </c>
      <c r="L25" s="173" cm="1">
        <f t="array" ref="L25">IFERROR(INDEX(tblTaskList[Progress],ROWS($A$10:A25)),"")</f>
        <v>0</v>
      </c>
      <c r="M25" s="174">
        <f ca="1">IF(OR(tblEVMData[[#This Row],[Start wk]]="",tblEVMData[[#This Row],[Finish wk]]="",tblEVMData[[#This Row],[Baseline Cost]]=""),"",IF($B$5&lt;tblEVMData[[#This Row],[Start wk]],0,IF($B$5&gt;tblEVMData[[#This Row],[Finish wk]],1,($B$5-tblEVMData[[#This Row],[Start wk]]+1)/MAX(1,tblEVMData[[#This Row],[Finish wk]]-tblEVMData[[#This Row],[Start wk]]+1))))</f>
        <v>1</v>
      </c>
      <c r="N25" s="175">
        <f>IFERROR(tblEVMData[[#This Row],[Baseline Cost]]*tblEVMData[[#This Row],[Actual % Complete]],"")</f>
        <v>0</v>
      </c>
      <c r="O25" s="175">
        <f ca="1">IFERROR(tblEVMData[[#This Row],[Baseline Cost]]*tblEVMData[[#This Row],[Planned % Complete]],"")</f>
        <v>0</v>
      </c>
      <c r="P25" s="175">
        <f ca="1">IFERROR(tblEVMData[[#This Row],[Earned Value]]-tblEVMData[[#This Row],[Planned Value]],"")</f>
        <v>0</v>
      </c>
      <c r="Q25" s="175">
        <f>IFERROR(tblEVMData[[#This Row],[Earned Value]]-tblEVMData[[#This Row],[Actual Cost]],"")</f>
        <v>0</v>
      </c>
      <c r="R25" s="176" t="str">
        <f ca="1">IFERROR(tblEVMData[[#This Row],[Earned Value]]/tblEVMData[[#This Row],[Planned Value]],"")</f>
        <v/>
      </c>
      <c r="S25" s="176" t="str">
        <f>IFERROR(tblEVMData[[#This Row],[Earned Value]]/tblEVMData[[#This Row],[Actual Cost]],"")</f>
        <v/>
      </c>
      <c r="T25" s="177" t="str">
        <f>_xlfn.TEXTJOIN("; ",TRUE,IF(tblEVMData[[#This Row],[Baseline Cost]]="","Add baseline cost", ""),IF(tblEVMData[[#This Row],[Actual Cost]]="","Add actual cost", ""),IF(tblEVMData[[#This Row],[Hours]]="","Add hours", ""),IF(tblEVMData[[#This Row],[Duration (Weeks)]]="","Add duration", ""),IF(tblEVMData[[#This Row],[Actual % Complete]]="","Add progress", ""),IF(tblEVMData[[#This Row],[Start wk]]="","Add start week", ""),IF(tblEVMData[[#This Row],[Finish wk]]="","Add finish week", ""))</f>
        <v/>
      </c>
    </row>
    <row r="26" spans="1:20" x14ac:dyDescent="0.35">
      <c r="A26" s="137" cm="1">
        <f t="array" ref="A26">IFERROR(INDEX(tblTaskList[Task ID],ROWS($A$10:A26)),"")</f>
        <v>15</v>
      </c>
      <c r="B26" s="137" t="str" cm="1">
        <f t="array" ref="B26">IFERROR(INDEX(tblTaskList[Task Name],ROWS($A$10:A26)),"")</f>
        <v>Wire down the garden</v>
      </c>
      <c r="C26" s="137" t="str" cm="1">
        <f t="array" ref="C26">IFERROR(INDEX(tblTaskList[Resource],ROWS($A$10:A26)),"")</f>
        <v>NN</v>
      </c>
      <c r="D26" s="137" t="str" cm="1">
        <f t="array" ref="D26">IFERROR(INDEX(tblTaskList[IsInCriticalPath],ROWS($A$10:A26)),"")</f>
        <v>Float</v>
      </c>
      <c r="E26" s="137" t="str" cm="1">
        <f t="array" ref="E26">IFERROR(INDEX(tblTaskList[Predecessor Tasks],ROWS($A$10:A26)),"")</f>
        <v>Connect Power</v>
      </c>
      <c r="F26" s="166" cm="1">
        <f t="array" ref="F26">IFERROR(INDEX(tblTaskList[Start wk],ROWS($A$10:A26)),"")</f>
        <v>22</v>
      </c>
      <c r="G26" s="166" cm="1">
        <f t="array" ref="G26">IFERROR(INDEX(tblTaskList[Finish wk],ROWS($A$10:A26)),"")</f>
        <v>22</v>
      </c>
      <c r="H26" s="166" cm="1">
        <f t="array" ref="H26">IFERROR(INDEX(tblTaskList[Duration (Weeks)],ROWS($A$10:A26)),"")</f>
        <v>1</v>
      </c>
      <c r="I26" s="172" cm="1">
        <f t="array" ref="I26">IFERROR(INDEX(tblTaskList[Cost],ROWS($A$10:A26)),"")</f>
        <v>0</v>
      </c>
      <c r="J26" s="172" cm="1">
        <f t="array" ref="J26">IFERROR(INDEX(tblTaskList[Actual Cost],ROWS($A$10:A26)),"")</f>
        <v>0</v>
      </c>
      <c r="K26" s="172" cm="1">
        <f t="array" ref="K26">IFERROR(INDEX(tblTaskList[Hours],ROWS($A$10:A26)),"")</f>
        <v>8</v>
      </c>
      <c r="L26" s="173" cm="1">
        <f t="array" ref="L26">IFERROR(INDEX(tblTaskList[Progress],ROWS($A$10:A26)),"")</f>
        <v>0</v>
      </c>
      <c r="M26" s="174">
        <f ca="1">IF(OR(tblEVMData[[#This Row],[Start wk]]="",tblEVMData[[#This Row],[Finish wk]]="",tblEVMData[[#This Row],[Baseline Cost]]=""),"",IF($B$5&lt;tblEVMData[[#This Row],[Start wk]],0,IF($B$5&gt;tblEVMData[[#This Row],[Finish wk]],1,($B$5-tblEVMData[[#This Row],[Start wk]]+1)/MAX(1,tblEVMData[[#This Row],[Finish wk]]-tblEVMData[[#This Row],[Start wk]]+1))))</f>
        <v>1</v>
      </c>
      <c r="N26" s="175">
        <f>IFERROR(tblEVMData[[#This Row],[Baseline Cost]]*tblEVMData[[#This Row],[Actual % Complete]],"")</f>
        <v>0</v>
      </c>
      <c r="O26" s="175">
        <f ca="1">IFERROR(tblEVMData[[#This Row],[Baseline Cost]]*tblEVMData[[#This Row],[Planned % Complete]],"")</f>
        <v>0</v>
      </c>
      <c r="P26" s="175">
        <f ca="1">IFERROR(tblEVMData[[#This Row],[Earned Value]]-tblEVMData[[#This Row],[Planned Value]],"")</f>
        <v>0</v>
      </c>
      <c r="Q26" s="175">
        <f>IFERROR(tblEVMData[[#This Row],[Earned Value]]-tblEVMData[[#This Row],[Actual Cost]],"")</f>
        <v>0</v>
      </c>
      <c r="R26" s="176" t="str">
        <f ca="1">IFERROR(tblEVMData[[#This Row],[Earned Value]]/tblEVMData[[#This Row],[Planned Value]],"")</f>
        <v/>
      </c>
      <c r="S26" s="176" t="str">
        <f>IFERROR(tblEVMData[[#This Row],[Earned Value]]/tblEVMData[[#This Row],[Actual Cost]],"")</f>
        <v/>
      </c>
      <c r="T26" s="177" t="str">
        <f>_xlfn.TEXTJOIN("; ",TRUE,IF(tblEVMData[[#This Row],[Baseline Cost]]="","Add baseline cost", ""),IF(tblEVMData[[#This Row],[Actual Cost]]="","Add actual cost", ""),IF(tblEVMData[[#This Row],[Hours]]="","Add hours", ""),IF(tblEVMData[[#This Row],[Duration (Weeks)]]="","Add duration", ""),IF(tblEVMData[[#This Row],[Actual % Complete]]="","Add progress", ""),IF(tblEVMData[[#This Row],[Start wk]]="","Add start week", ""),IF(tblEVMData[[#This Row],[Finish wk]]="","Add finish week", ""))</f>
        <v/>
      </c>
    </row>
    <row r="27" spans="1:20" x14ac:dyDescent="0.35">
      <c r="A27" s="137" cm="1">
        <f t="array" ref="A27">IFERROR(INDEX(tblTaskList[Task ID],ROWS($A$10:A27)),"")</f>
        <v>16</v>
      </c>
      <c r="B27" s="137" t="str" cm="1">
        <f t="array" ref="B27">IFERROR(INDEX(tblTaskList[Task Name],ROWS($A$10:A27)),"")</f>
        <v>Assembly</v>
      </c>
      <c r="C27" s="137" t="str" cm="1">
        <f t="array" ref="C27">IFERROR(INDEX(tblTaskList[Resource],ROWS($A$10:A27)),"")</f>
        <v>NN</v>
      </c>
      <c r="D27" s="137" t="str" cm="1">
        <f t="array" ref="D27">IFERROR(INDEX(tblTaskList[IsInCriticalPath],ROWS($A$10:A27)),"")</f>
        <v>Float</v>
      </c>
      <c r="E27" s="137" cm="1">
        <f t="array" ref="E27">IFERROR(INDEX(tblTaskList[Predecessor Tasks],ROWS($A$10:A27)),"")</f>
        <v>0</v>
      </c>
      <c r="F27" s="166" cm="1">
        <f t="array" ref="F27">IFERROR(INDEX(tblTaskList[Start wk],ROWS($A$10:A27)),"")</f>
        <v>23</v>
      </c>
      <c r="G27" s="166" cm="1">
        <f t="array" ref="G27">IFERROR(INDEX(tblTaskList[Finish wk],ROWS($A$10:A27)),"")</f>
        <v>23</v>
      </c>
      <c r="H27" s="166" cm="1">
        <f t="array" ref="H27">IFERROR(INDEX(tblTaskList[Duration (Weeks)],ROWS($A$10:A27)),"")</f>
        <v>1</v>
      </c>
      <c r="I27" s="172" cm="1">
        <f t="array" ref="I27">IFERROR(INDEX(tblTaskList[Cost],ROWS($A$10:A27)),"")</f>
        <v>750</v>
      </c>
      <c r="J27" s="172" cm="1">
        <f t="array" ref="J27">IFERROR(INDEX(tblTaskList[Actual Cost],ROWS($A$10:A27)),"")</f>
        <v>750</v>
      </c>
      <c r="K27" s="172" cm="1">
        <f t="array" ref="K27">IFERROR(INDEX(tblTaskList[Hours],ROWS($A$10:A27)),"")</f>
        <v>0</v>
      </c>
      <c r="L27" s="173" cm="1">
        <f t="array" ref="L27">IFERROR(INDEX(tblTaskList[Progress],ROWS($A$10:A27)),"")</f>
        <v>0</v>
      </c>
      <c r="M27" s="174">
        <f ca="1">IF(OR(tblEVMData[[#This Row],[Start wk]]="",tblEVMData[[#This Row],[Finish wk]]="",tblEVMData[[#This Row],[Baseline Cost]]=""),"",IF($B$5&lt;tblEVMData[[#This Row],[Start wk]],0,IF($B$5&gt;tblEVMData[[#This Row],[Finish wk]],1,($B$5-tblEVMData[[#This Row],[Start wk]]+1)/MAX(1,tblEVMData[[#This Row],[Finish wk]]-tblEVMData[[#This Row],[Start wk]]+1))))</f>
        <v>1</v>
      </c>
      <c r="N27" s="175">
        <f>IFERROR(tblEVMData[[#This Row],[Baseline Cost]]*tblEVMData[[#This Row],[Actual % Complete]],"")</f>
        <v>0</v>
      </c>
      <c r="O27" s="175">
        <f ca="1">IFERROR(tblEVMData[[#This Row],[Baseline Cost]]*tblEVMData[[#This Row],[Planned % Complete]],"")</f>
        <v>750</v>
      </c>
      <c r="P27" s="175">
        <f ca="1">IFERROR(tblEVMData[[#This Row],[Earned Value]]-tblEVMData[[#This Row],[Planned Value]],"")</f>
        <v>-750</v>
      </c>
      <c r="Q27" s="175">
        <f>IFERROR(tblEVMData[[#This Row],[Earned Value]]-tblEVMData[[#This Row],[Actual Cost]],"")</f>
        <v>-750</v>
      </c>
      <c r="R27" s="176">
        <f ca="1">IFERROR(tblEVMData[[#This Row],[Earned Value]]/tblEVMData[[#This Row],[Planned Value]],"")</f>
        <v>0</v>
      </c>
      <c r="S27" s="176">
        <f>IFERROR(tblEVMData[[#This Row],[Earned Value]]/tblEVMData[[#This Row],[Actual Cost]],"")</f>
        <v>0</v>
      </c>
      <c r="T27" s="177" t="str">
        <f>_xlfn.TEXTJOIN("; ",TRUE,IF(tblEVMData[[#This Row],[Baseline Cost]]="","Add baseline cost", ""),IF(tblEVMData[[#This Row],[Actual Cost]]="","Add actual cost", ""),IF(tblEVMData[[#This Row],[Hours]]="","Add hours", ""),IF(tblEVMData[[#This Row],[Duration (Weeks)]]="","Add duration", ""),IF(tblEVMData[[#This Row],[Actual % Complete]]="","Add progress", ""),IF(tblEVMData[[#This Row],[Start wk]]="","Add start week", ""),IF(tblEVMData[[#This Row],[Finish wk]]="","Add finish week", ""))</f>
        <v/>
      </c>
    </row>
  </sheetData>
  <mergeCells count="4">
    <mergeCell ref="A1:T1"/>
    <mergeCell ref="A2:T2"/>
    <mergeCell ref="P4:T4"/>
    <mergeCell ref="P5:T7"/>
  </mergeCells>
  <conditionalFormatting sqref="T10:T27">
    <cfRule type="containsText" dxfId="29" priority="1" operator="containsText" text="Add">
      <formula>NOT(ISERROR(SEARCH("Add",T10)))</formula>
    </cfRule>
  </conditionalFormatting>
  <conditionalFormatting sqref="R10:S27">
    <cfRule type="cellIs" dxfId="28" priority="2" operator="lessThan">
      <formula>0.9</formula>
    </cfRule>
  </conditionalFormatting>
  <conditionalFormatting sqref="R10:S27">
    <cfRule type="cellIs" dxfId="27" priority="3" operator="greaterThanOrEqual">
      <formula>1</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BB56B-6B00-4205-8CC0-9652738BBB76}">
  <dimension ref="A3:BJ26"/>
  <sheetViews>
    <sheetView zoomScale="85" zoomScaleNormal="85" workbookViewId="0">
      <selection activeCell="J29" sqref="J29"/>
    </sheetView>
  </sheetViews>
  <sheetFormatPr defaultRowHeight="14.5" x14ac:dyDescent="0.35"/>
  <cols>
    <col min="1" max="1" width="10.90625" style="55" bestFit="1" customWidth="1"/>
    <col min="2" max="2" width="11.90625" style="18" bestFit="1" customWidth="1"/>
    <col min="3" max="3" width="11.90625" style="18" customWidth="1"/>
    <col min="4" max="4" width="8" style="18" customWidth="1"/>
    <col min="5" max="5" width="28.1796875" customWidth="1"/>
    <col min="6" max="6" width="10.6328125" bestFit="1" customWidth="1"/>
    <col min="7" max="7" width="7.54296875" bestFit="1" customWidth="1"/>
    <col min="8" max="9" width="8.36328125" customWidth="1"/>
    <col min="10" max="10" width="8.453125" customWidth="1"/>
    <col min="11" max="37" width="6.36328125" style="18" customWidth="1"/>
    <col min="38" max="38" width="7.6328125" style="18" customWidth="1"/>
    <col min="39" max="40" width="7.1796875" style="18" customWidth="1"/>
    <col min="41" max="62" width="6.36328125" style="18" customWidth="1"/>
  </cols>
  <sheetData>
    <row r="3" spans="1:62" ht="18" customHeight="1" x14ac:dyDescent="0.35">
      <c r="A3" s="85" t="str">
        <f>[1]tblTaskList!N2</f>
        <v>New Garden Shed</v>
      </c>
      <c r="B3" s="85"/>
      <c r="C3" s="84"/>
      <c r="D3" s="84"/>
      <c r="G3" s="97"/>
      <c r="H3" s="96"/>
      <c r="I3" s="96"/>
      <c r="J3" s="95" t="s">
        <v>127</v>
      </c>
      <c r="K3" s="94">
        <f>SUMIFS($I$8:$I$25,$G$8:$G$25,K$7)</f>
        <v>0</v>
      </c>
      <c r="L3" s="93">
        <f>SUMIFS($I$8:$I$25,$G$8:$G$25,L$7)</f>
        <v>0</v>
      </c>
      <c r="M3" s="93">
        <f>SUMIFS($I$8:$I$25,$G$8:$G$25,M$7)</f>
        <v>6</v>
      </c>
      <c r="N3" s="93">
        <f>SUMIFS($I$8:$I$25,$G$8:$G$25,N$7)</f>
        <v>0</v>
      </c>
      <c r="O3" s="93">
        <f>SUMIFS($I$8:$I$25,$G$8:$G$25,O$7)</f>
        <v>0</v>
      </c>
      <c r="P3" s="93">
        <f>SUMIFS($I$8:$I$25,$G$8:$G$25,P$7)</f>
        <v>0</v>
      </c>
      <c r="Q3" s="93">
        <f>SUMIFS($I$8:$I$25,$G$8:$G$25,Q$7)</f>
        <v>0</v>
      </c>
      <c r="R3" s="93">
        <f>SUMIFS($I$8:$I$25,$G$8:$G$25,R$7)</f>
        <v>10</v>
      </c>
      <c r="S3" s="93">
        <f>SUMIFS($I$8:$I$25,$G$8:$G$25,S$7)</f>
        <v>0</v>
      </c>
      <c r="T3" s="93">
        <f>SUMIFS($I$8:$I$25,$G$8:$G$25,T$7)</f>
        <v>0</v>
      </c>
      <c r="U3" s="93">
        <f>SUMIFS($I$8:$I$25,$G$8:$G$25,U$7)</f>
        <v>0</v>
      </c>
      <c r="V3" s="93">
        <f>SUMIFS($I$8:$I$25,$G$8:$G$25,V$7)</f>
        <v>0</v>
      </c>
      <c r="W3" s="93">
        <f>SUMIFS($I$8:$I$25,$G$8:$G$25,W$7)</f>
        <v>0</v>
      </c>
      <c r="X3" s="93">
        <f>SUMIFS($I$8:$I$25,$G$8:$G$25,X$7)</f>
        <v>0</v>
      </c>
      <c r="Y3" s="93">
        <f>SUMIFS($I$8:$I$25,$G$8:$G$25,Y$7)</f>
        <v>0</v>
      </c>
      <c r="Z3" s="93">
        <f>SUMIFS($I$8:$I$25,$G$8:$G$25,Z$7)</f>
        <v>0</v>
      </c>
      <c r="AA3" s="93">
        <f>SUMIFS($I$8:$I$25,$G$8:$G$25,AA$7)</f>
        <v>4</v>
      </c>
      <c r="AB3" s="93">
        <f>SUMIFS($I$8:$I$25,$G$8:$G$25,AB$7)</f>
        <v>0</v>
      </c>
      <c r="AC3" s="93">
        <f>SUMIFS($I$8:$I$25,$G$8:$G$25,AC$7)</f>
        <v>0</v>
      </c>
      <c r="AD3" s="93">
        <f>SUMIFS($I$8:$I$25,$G$8:$G$25,AD$7)</f>
        <v>3</v>
      </c>
      <c r="AE3" s="93">
        <f>SUMIFS($I$8:$I$25,$G$8:$G$25,AE$7)</f>
        <v>5</v>
      </c>
      <c r="AF3" s="93">
        <f>SUMIFS($I$8:$I$25,$G$8:$G$25,AF$7)</f>
        <v>42</v>
      </c>
      <c r="AG3" s="93">
        <f>SUMIFS($I$8:$I$25,$G$8:$G$25,AG$7)</f>
        <v>0</v>
      </c>
      <c r="AH3" s="93">
        <f>SUMIFS($I$8:$I$25,$G$8:$G$25,AH$7)</f>
        <v>0</v>
      </c>
      <c r="AI3" s="93">
        <f>SUMIFS($I$8:$I$25,$G$8:$G$25,AI$7)</f>
        <v>0</v>
      </c>
      <c r="AJ3" s="93">
        <f>SUMIFS($I$8:$I$25,$G$8:$G$25,AJ$7)</f>
        <v>0</v>
      </c>
      <c r="AK3" s="93">
        <f>SUMIFS($I$8:$I$25,$G$8:$G$25,AK$7)</f>
        <v>0</v>
      </c>
      <c r="AL3" s="93">
        <f>SUMIFS($I$8:$I$25,$G$8:$G$25,AL$7)</f>
        <v>0</v>
      </c>
      <c r="AM3" s="93">
        <f>SUMIFS($I$8:$I$25,$G$8:$G$25,AM$7)</f>
        <v>0</v>
      </c>
      <c r="AN3" s="93">
        <f>SUMIFS($I$8:$I$25,$G$8:$G$25,AN$7)</f>
        <v>0</v>
      </c>
      <c r="AO3" s="93">
        <f>SUMIFS($I$8:$I$25,$G$8:$G$25,AO$7)</f>
        <v>0</v>
      </c>
      <c r="AP3" s="93">
        <f>SUMIFS($I$8:$I$25,$G$8:$G$25,AP$7)</f>
        <v>0</v>
      </c>
      <c r="AQ3" s="93">
        <f>SUMIFS($I$8:$I$25,$G$8:$G$25,AQ$7)</f>
        <v>0</v>
      </c>
      <c r="AR3" s="93">
        <f>SUMIFS($I$8:$I$25,$G$8:$G$25,AR$7)</f>
        <v>0</v>
      </c>
      <c r="AS3" s="93">
        <f>SUMIFS($I$8:$I$25,$G$8:$G$25,AS$7)</f>
        <v>0</v>
      </c>
      <c r="AT3" s="93">
        <f>SUMIFS($I$8:$I$25,$G$8:$G$25,AT$7)</f>
        <v>0</v>
      </c>
      <c r="AU3" s="93">
        <f>SUMIFS($I$8:$I$25,$G$8:$G$25,AU$7)</f>
        <v>0</v>
      </c>
      <c r="AV3" s="93">
        <f>SUMIFS($I$8:$I$25,$G$8:$G$25,AV$7)</f>
        <v>0</v>
      </c>
      <c r="AW3" s="93">
        <f>SUMIFS($I$8:$I$25,$G$8:$G$25,AW$7)</f>
        <v>0</v>
      </c>
      <c r="AX3" s="93">
        <f>SUMIFS($I$8:$I$25,$G$8:$G$25,AX$7)</f>
        <v>0</v>
      </c>
      <c r="AY3" s="93">
        <f>SUMIFS($I$8:$I$25,$G$8:$G$25,AY$7)</f>
        <v>0</v>
      </c>
      <c r="AZ3" s="93">
        <f>SUMIFS($I$8:$I$25,$G$8:$G$25,AZ$7)</f>
        <v>0</v>
      </c>
      <c r="BA3" s="93">
        <f>SUMIFS($I$8:$I$25,$G$8:$G$25,BA$7)</f>
        <v>0</v>
      </c>
      <c r="BB3" s="93">
        <f>SUMIFS($I$8:$I$25,$G$8:$G$25,BB$7)</f>
        <v>0</v>
      </c>
      <c r="BC3" s="93">
        <f>SUMIFS($I$8:$I$25,$G$8:$G$25,BC$7)</f>
        <v>0</v>
      </c>
      <c r="BD3" s="93">
        <f>SUMIFS($I$8:$I$25,$G$8:$G$25,BD$7)</f>
        <v>0</v>
      </c>
      <c r="BE3" s="93">
        <f>SUMIFS($I$8:$I$25,$G$8:$G$25,BE$7)</f>
        <v>0</v>
      </c>
      <c r="BF3" s="93">
        <f>SUMIFS($I$8:$I$25,$G$8:$G$25,BF$7)</f>
        <v>0</v>
      </c>
      <c r="BG3" s="93">
        <f>SUMIFS($I$8:$I$25,$G$8:$G$25,BG$7)</f>
        <v>0</v>
      </c>
      <c r="BH3" s="93">
        <f>SUMIFS($I$8:$I$25,$G$8:$G$25,BH$7)</f>
        <v>0</v>
      </c>
      <c r="BI3" s="93">
        <f>SUMIFS($I$8:$I$25,$G$8:$G$25,BI$7)</f>
        <v>0</v>
      </c>
      <c r="BJ3" s="92">
        <f>SUMIFS($I$8:$I$25,$G$8:$G$25,BJ$7)</f>
        <v>0</v>
      </c>
    </row>
    <row r="4" spans="1:62" ht="18" customHeight="1" x14ac:dyDescent="0.35">
      <c r="A4" s="85"/>
      <c r="B4" s="85"/>
      <c r="C4" s="84"/>
      <c r="D4" s="84"/>
      <c r="E4" s="80" t="s">
        <v>177</v>
      </c>
      <c r="F4" s="83">
        <f ca="1">TODAY()</f>
        <v>46240</v>
      </c>
      <c r="G4" s="91">
        <f ca="1">WEEKNUM(F4)</f>
        <v>32</v>
      </c>
      <c r="H4" s="90"/>
      <c r="I4" s="90"/>
      <c r="J4" s="89" t="s">
        <v>98</v>
      </c>
      <c r="K4" s="88">
        <f>SUMIFS($J$8:$J$25,$G$8:$G$25,K$7)</f>
        <v>0</v>
      </c>
      <c r="L4" s="87">
        <f>SUMIFS($J$8:$J$25,$G$8:$G$25,L$7)</f>
        <v>0</v>
      </c>
      <c r="M4" s="87">
        <f>SUMIFS($J$8:$J$25,$G$8:$G$25,M$7)</f>
        <v>300</v>
      </c>
      <c r="N4" s="87">
        <f>SUMIFS($J$8:$J$25,$G$8:$G$25,N$7)</f>
        <v>0</v>
      </c>
      <c r="O4" s="87">
        <f>SUMIFS($J$8:$J$25,$G$8:$G$25,O$7)</f>
        <v>0</v>
      </c>
      <c r="P4" s="87">
        <f>SUMIFS($J$8:$J$25,$G$8:$G$25,P$7)</f>
        <v>0</v>
      </c>
      <c r="Q4" s="87">
        <f>SUMIFS($J$8:$J$25,$G$8:$G$25,Q$7)</f>
        <v>100</v>
      </c>
      <c r="R4" s="87">
        <f>SUMIFS($J$8:$J$25,$G$8:$G$25,R$7)</f>
        <v>8500</v>
      </c>
      <c r="S4" s="87">
        <f>SUMIFS($J$8:$J$25,$G$8:$G$25,S$7)</f>
        <v>0</v>
      </c>
      <c r="T4" s="87">
        <f>SUMIFS($J$8:$J$25,$G$8:$G$25,T$7)</f>
        <v>0</v>
      </c>
      <c r="U4" s="87">
        <f>SUMIFS($J$8:$J$25,$G$8:$G$25,U$7)</f>
        <v>0</v>
      </c>
      <c r="V4" s="87">
        <f>SUMIFS($J$8:$J$25,$G$8:$G$25,V$7)</f>
        <v>0</v>
      </c>
      <c r="W4" s="87">
        <f>SUMIFS($J$8:$J$25,$G$8:$G$25,W$7)</f>
        <v>0</v>
      </c>
      <c r="X4" s="87">
        <f>SUMIFS($J$8:$J$25,$G$8:$G$25,X$7)</f>
        <v>0</v>
      </c>
      <c r="Y4" s="87">
        <f>SUMIFS($J$8:$J$25,$G$8:$G$25,Y$7)</f>
        <v>0</v>
      </c>
      <c r="Z4" s="87">
        <f>SUMIFS($J$8:$J$25,$G$8:$G$25,Z$7)</f>
        <v>0</v>
      </c>
      <c r="AA4" s="87">
        <f>SUMIFS($J$8:$J$25,$G$8:$G$25,AA$7)</f>
        <v>350</v>
      </c>
      <c r="AB4" s="87">
        <f>SUMIFS($J$8:$J$25,$G$8:$G$25,AB$7)</f>
        <v>0</v>
      </c>
      <c r="AC4" s="87">
        <f>SUMIFS($J$8:$J$25,$G$8:$G$25,AC$7)</f>
        <v>0</v>
      </c>
      <c r="AD4" s="87">
        <f>SUMIFS($J$8:$J$25,$G$8:$G$25,AD$7)</f>
        <v>700</v>
      </c>
      <c r="AE4" s="87">
        <f>SUMIFS($J$8:$J$25,$G$8:$G$25,AE$7)</f>
        <v>100</v>
      </c>
      <c r="AF4" s="87">
        <f>SUMIFS($J$8:$J$25,$G$8:$G$25,AF$7)</f>
        <v>8000</v>
      </c>
      <c r="AG4" s="87">
        <f>SUMIFS($J$8:$J$25,$G$8:$G$25,AG$7)</f>
        <v>750</v>
      </c>
      <c r="AH4" s="87">
        <f>SUMIFS($J$8:$J$25,$G$8:$G$25,AH$7)</f>
        <v>0</v>
      </c>
      <c r="AI4" s="87">
        <f>SUMIFS($J$8:$J$25,$G$8:$G$25,AI$7)</f>
        <v>0</v>
      </c>
      <c r="AJ4" s="87">
        <f>SUMIFS($J$8:$J$25,$G$8:$G$25,AJ$7)</f>
        <v>0</v>
      </c>
      <c r="AK4" s="87">
        <f>SUMIFS($J$8:$J$25,$G$8:$G$25,AK$7)</f>
        <v>0</v>
      </c>
      <c r="AL4" s="87">
        <f>SUMIFS($J$8:$J$25,$G$8:$G$25,AL$7)</f>
        <v>0</v>
      </c>
      <c r="AM4" s="87">
        <f>SUMIFS($J$8:$J$25,$G$8:$G$25,AM$7)</f>
        <v>0</v>
      </c>
      <c r="AN4" s="87">
        <f>SUMIFS($J$8:$J$25,$G$8:$G$25,AN$7)</f>
        <v>0</v>
      </c>
      <c r="AO4" s="87">
        <f>SUMIFS($J$8:$J$25,$G$8:$G$25,AO$7)</f>
        <v>0</v>
      </c>
      <c r="AP4" s="87">
        <f>SUMIFS($J$8:$J$25,$G$8:$G$25,AP$7)</f>
        <v>0</v>
      </c>
      <c r="AQ4" s="87">
        <f>SUMIFS($J$8:$J$25,$G$8:$G$25,AQ$7)</f>
        <v>0</v>
      </c>
      <c r="AR4" s="87">
        <f>SUMIFS($J$8:$J$25,$G$8:$G$25,AR$7)</f>
        <v>0</v>
      </c>
      <c r="AS4" s="87">
        <f>SUMIFS($J$8:$J$25,$G$8:$G$25,AS$7)</f>
        <v>0</v>
      </c>
      <c r="AT4" s="87">
        <f>SUMIFS($J$8:$J$25,$G$8:$G$25,AT$7)</f>
        <v>0</v>
      </c>
      <c r="AU4" s="87">
        <f>SUMIFS($J$8:$J$25,$G$8:$G$25,AU$7)</f>
        <v>0</v>
      </c>
      <c r="AV4" s="87">
        <f>SUMIFS($J$8:$J$25,$G$8:$G$25,AV$7)</f>
        <v>0</v>
      </c>
      <c r="AW4" s="87">
        <f>SUMIFS($J$8:$J$25,$G$8:$G$25,AW$7)</f>
        <v>0</v>
      </c>
      <c r="AX4" s="87">
        <f>SUMIFS($J$8:$J$25,$G$8:$G$25,AX$7)</f>
        <v>0</v>
      </c>
      <c r="AY4" s="87">
        <f>SUMIFS($J$8:$J$25,$G$8:$G$25,AY$7)</f>
        <v>0</v>
      </c>
      <c r="AZ4" s="87">
        <f>SUMIFS($J$8:$J$25,$G$8:$G$25,AZ$7)</f>
        <v>0</v>
      </c>
      <c r="BA4" s="87">
        <f>SUMIFS($J$8:$J$25,$G$8:$G$25,BA$7)</f>
        <v>0</v>
      </c>
      <c r="BB4" s="87">
        <f>SUMIFS($J$8:$J$25,$G$8:$G$25,BB$7)</f>
        <v>0</v>
      </c>
      <c r="BC4" s="87">
        <f>SUMIFS($J$8:$J$25,$G$8:$G$25,BC$7)</f>
        <v>0</v>
      </c>
      <c r="BD4" s="87">
        <f>SUMIFS($J$8:$J$25,$G$8:$G$25,BD$7)</f>
        <v>0</v>
      </c>
      <c r="BE4" s="87">
        <f>SUMIFS($J$8:$J$25,$G$8:$G$25,BE$7)</f>
        <v>0</v>
      </c>
      <c r="BF4" s="87">
        <f>SUMIFS($J$8:$J$25,$G$8:$G$25,BF$7)</f>
        <v>0</v>
      </c>
      <c r="BG4" s="87">
        <f>SUMIFS($J$8:$J$25,$G$8:$G$25,BG$7)</f>
        <v>0</v>
      </c>
      <c r="BH4" s="87">
        <f>SUMIFS($J$8:$J$25,$G$8:$G$25,BH$7)</f>
        <v>0</v>
      </c>
      <c r="BI4" s="87">
        <f>SUMIFS($J$8:$J$25,$G$8:$G$25,BI$7)</f>
        <v>0</v>
      </c>
      <c r="BJ4" s="86">
        <f>SUMIFS($J$8:$J$25,$G$8:$G$25,BJ$7)</f>
        <v>0</v>
      </c>
    </row>
    <row r="5" spans="1:62" ht="18" customHeight="1" x14ac:dyDescent="0.35">
      <c r="A5" s="85"/>
      <c r="B5" s="85"/>
      <c r="C5" s="84"/>
      <c r="D5" s="84"/>
      <c r="E5" s="80" t="s">
        <v>19</v>
      </c>
      <c r="F5" s="83" t="str">
        <f>INDEX([1]!tblBudget[Start Date],1)</f>
        <v>01.06.2026</v>
      </c>
      <c r="G5" s="18">
        <v>1</v>
      </c>
      <c r="H5" s="18"/>
      <c r="I5" s="18"/>
      <c r="J5" s="18"/>
      <c r="K5" s="82">
        <f>DATE(RIGHT($F$5,4),MID($F$5,4,2),LEFT($F$5,2))+K$7*7</f>
        <v>46181</v>
      </c>
      <c r="L5" s="81">
        <f>DATE(RIGHT($F$5,4),MID($F$5,4,2),LEFT($F$5,2))+L$7*7</f>
        <v>46188</v>
      </c>
      <c r="M5" s="81">
        <f>DATE(RIGHT($F$5,4),MID($F$5,4,2),LEFT($F$5,2))+M$7*7</f>
        <v>46195</v>
      </c>
      <c r="N5" s="81">
        <f>DATE(RIGHT($F$5,4),MID($F$5,4,2),LEFT($F$5,2))+N$7*7</f>
        <v>46202</v>
      </c>
      <c r="O5" s="81">
        <f>DATE(RIGHT($F$5,4),MID($F$5,4,2),LEFT($F$5,2))+O$7*7</f>
        <v>46209</v>
      </c>
      <c r="P5" s="81">
        <f>DATE(RIGHT($F$5,4),MID($F$5,4,2),LEFT($F$5,2))+P$7*7</f>
        <v>46216</v>
      </c>
      <c r="Q5" s="81">
        <f>DATE(RIGHT($F$5,4),MID($F$5,4,2),LEFT($F$5,2))+Q$7*7</f>
        <v>46223</v>
      </c>
      <c r="R5" s="81">
        <f>DATE(RIGHT($F$5,4),MID($F$5,4,2),LEFT($F$5,2))+R$7*7</f>
        <v>46230</v>
      </c>
      <c r="S5" s="81">
        <f>DATE(RIGHT($F$5,4),MID($F$5,4,2),LEFT($F$5,2))+S$7*7</f>
        <v>46237</v>
      </c>
      <c r="T5" s="81">
        <f>DATE(RIGHT($F$5,4),MID($F$5,4,2),LEFT($F$5,2))+T$7*7</f>
        <v>46244</v>
      </c>
      <c r="U5" s="81">
        <f>DATE(RIGHT($F$5,4),MID($F$5,4,2),LEFT($F$5,2))+U$7*7</f>
        <v>46251</v>
      </c>
      <c r="V5" s="81">
        <f>DATE(RIGHT($F$5,4),MID($F$5,4,2),LEFT($F$5,2))+V$7*7</f>
        <v>46258</v>
      </c>
      <c r="W5" s="81">
        <f>DATE(RIGHT($F$5,4),MID($F$5,4,2),LEFT($F$5,2))+W$7*7</f>
        <v>46265</v>
      </c>
      <c r="X5" s="81">
        <f>DATE(RIGHT($F$5,4),MID($F$5,4,2),LEFT($F$5,2))+X$7*7</f>
        <v>46272</v>
      </c>
      <c r="Y5" s="81">
        <f>DATE(RIGHT($F$5,4),MID($F$5,4,2),LEFT($F$5,2))+Y$7*7</f>
        <v>46279</v>
      </c>
      <c r="Z5" s="81">
        <f>DATE(RIGHT($F$5,4),MID($F$5,4,2),LEFT($F$5,2))+Z$7*7</f>
        <v>46286</v>
      </c>
      <c r="AA5" s="81">
        <f>DATE(RIGHT($F$5,4),MID($F$5,4,2),LEFT($F$5,2))+AA$7*7</f>
        <v>46293</v>
      </c>
      <c r="AB5" s="81">
        <f>DATE(RIGHT($F$5,4),MID($F$5,4,2),LEFT($F$5,2))+AB$7*7</f>
        <v>46300</v>
      </c>
      <c r="AC5" s="81">
        <f>DATE(RIGHT($F$5,4),MID($F$5,4,2),LEFT($F$5,2))+AC$7*7</f>
        <v>46307</v>
      </c>
      <c r="AD5" s="81">
        <f>DATE(RIGHT($F$5,4),MID($F$5,4,2),LEFT($F$5,2))+AD$7*7</f>
        <v>46314</v>
      </c>
      <c r="AE5" s="81">
        <f>DATE(RIGHT($F$5,4),MID($F$5,4,2),LEFT($F$5,2))+AE$7*7</f>
        <v>46321</v>
      </c>
      <c r="AF5" s="81">
        <f>DATE(RIGHT($F$5,4),MID($F$5,4,2),LEFT($F$5,2))+AF$7*7</f>
        <v>46328</v>
      </c>
      <c r="AG5" s="81">
        <f>DATE(RIGHT($F$5,4),MID($F$5,4,2),LEFT($F$5,2))+AG$7*7</f>
        <v>46335</v>
      </c>
      <c r="AH5" s="81">
        <f>DATE(RIGHT($F$5,4),MID($F$5,4,2),LEFT($F$5,2))+AH$7*7</f>
        <v>46342</v>
      </c>
      <c r="AI5" s="81">
        <f>DATE(RIGHT($F$5,4),MID($F$5,4,2),LEFT($F$5,2))+AI$7*7</f>
        <v>46349</v>
      </c>
      <c r="AJ5" s="81">
        <f>DATE(RIGHT($F$5,4),MID($F$5,4,2),LEFT($F$5,2))+AJ$7*7</f>
        <v>46356</v>
      </c>
      <c r="AK5" s="81">
        <f>DATE(RIGHT($F$5,4),MID($F$5,4,2),LEFT($F$5,2))+AK$7*7</f>
        <v>46363</v>
      </c>
      <c r="AL5" s="81">
        <f>DATE(RIGHT($F$5,4),MID($F$5,4,2),LEFT($F$5,2))+AL$7*7</f>
        <v>46370</v>
      </c>
      <c r="AM5" s="81">
        <f>DATE(RIGHT($F$5,4),MID($F$5,4,2),LEFT($F$5,2))+AM$7*7</f>
        <v>46377</v>
      </c>
      <c r="AN5" s="81">
        <f>DATE(RIGHT($F$5,4),MID($F$5,4,2),LEFT($F$5,2))+AN$7*7</f>
        <v>46384</v>
      </c>
      <c r="AO5" s="81">
        <f>DATE(RIGHT($F$5,4),MID($F$5,4,2),LEFT($F$5,2))+AO$7*7</f>
        <v>46391</v>
      </c>
      <c r="AP5" s="81">
        <f>DATE(RIGHT($F$5,4),MID($F$5,4,2),LEFT($F$5,2))+AP$7*7</f>
        <v>46398</v>
      </c>
      <c r="AQ5" s="81">
        <f>DATE(RIGHT($F$5,4),MID($F$5,4,2),LEFT($F$5,2))+AQ$7*7</f>
        <v>46405</v>
      </c>
      <c r="AR5" s="81">
        <f>DATE(RIGHT($F$5,4),MID($F$5,4,2),LEFT($F$5,2))+AR$7*7</f>
        <v>46412</v>
      </c>
      <c r="AS5" s="81">
        <f>DATE(RIGHT($F$5,4),MID($F$5,4,2),LEFT($F$5,2))+AS$7*7</f>
        <v>46419</v>
      </c>
      <c r="AT5" s="81">
        <f>DATE(RIGHT($F$5,4),MID($F$5,4,2),LEFT($F$5,2))+AT$7*7</f>
        <v>46426</v>
      </c>
      <c r="AU5" s="81">
        <f>DATE(RIGHT($F$5,4),MID($F$5,4,2),LEFT($F$5,2))+AU$7*7</f>
        <v>46433</v>
      </c>
      <c r="AV5" s="81">
        <f>DATE(RIGHT($F$5,4),MID($F$5,4,2),LEFT($F$5,2))+AV$7*7</f>
        <v>46440</v>
      </c>
      <c r="AW5" s="81">
        <f>DATE(RIGHT($F$5,4),MID($F$5,4,2),LEFT($F$5,2))+AW$7*7</f>
        <v>46447</v>
      </c>
      <c r="AX5" s="81">
        <f>DATE(RIGHT($F$5,4),MID($F$5,4,2),LEFT($F$5,2))+AX$7*7</f>
        <v>46454</v>
      </c>
      <c r="AY5" s="81">
        <f>DATE(RIGHT($F$5,4),MID($F$5,4,2),LEFT($F$5,2))+AY$7*7</f>
        <v>46461</v>
      </c>
      <c r="AZ5" s="81">
        <f>DATE(RIGHT($F$5,4),MID($F$5,4,2),LEFT($F$5,2))+AZ$7*7</f>
        <v>46468</v>
      </c>
      <c r="BA5" s="81">
        <f>DATE(RIGHT($F$5,4),MID($F$5,4,2),LEFT($F$5,2))+BA$7*7</f>
        <v>46475</v>
      </c>
      <c r="BB5" s="81">
        <f>DATE(RIGHT($F$5,4),MID($F$5,4,2),LEFT($F$5,2))+BB$7*7</f>
        <v>46482</v>
      </c>
      <c r="BC5" s="81">
        <f>DATE(RIGHT($F$5,4),MID($F$5,4,2),LEFT($F$5,2))+BC$7*7</f>
        <v>46489</v>
      </c>
      <c r="BD5" s="81">
        <f>DATE(RIGHT($F$5,4),MID($F$5,4,2),LEFT($F$5,2))+BD$7*7</f>
        <v>46496</v>
      </c>
      <c r="BE5" s="81">
        <f>DATE(RIGHT($F$5,4),MID($F$5,4,2),LEFT($F$5,2))+BE$7*7</f>
        <v>46503</v>
      </c>
      <c r="BF5" s="81">
        <f>DATE(RIGHT($F$5,4),MID($F$5,4,2),LEFT($F$5,2))+BF$7*7</f>
        <v>46510</v>
      </c>
      <c r="BG5" s="81">
        <f>DATE(RIGHT($F$5,4),MID($F$5,4,2),LEFT($F$5,2))+BG$7*7</f>
        <v>46517</v>
      </c>
      <c r="BH5" s="81">
        <f>DATE(RIGHT($F$5,4),MID($F$5,4,2),LEFT($F$5,2))+BH$7*7</f>
        <v>46524</v>
      </c>
      <c r="BI5" s="81">
        <f>DATE(RIGHT($F$5,4),MID($F$5,4,2),LEFT($F$5,2))+BI$7*7</f>
        <v>46531</v>
      </c>
      <c r="BJ5" s="81">
        <f>DATE(RIGHT($F$5,4),MID($F$5,4,2),LEFT($F$5,2))+BJ$7*7</f>
        <v>46538</v>
      </c>
    </row>
    <row r="6" spans="1:62" x14ac:dyDescent="0.35">
      <c r="E6" s="80" t="s">
        <v>176</v>
      </c>
      <c r="F6" s="79">
        <f>_xlfn.XLOOKUP(G6,K7:BJ7,K5:BJ5,"na",0,1)</f>
        <v>46356</v>
      </c>
      <c r="G6" s="76" cm="1">
        <f t="array" ref="G6">_xlfn.AGGREGATE(14,6,($G$8:$G$24+$B$8:$B$24)/($A$8:$A$24="Yes"),1)</f>
        <v>26</v>
      </c>
      <c r="H6" s="76"/>
      <c r="I6" s="76">
        <f>SUM(_xlfn.ANCHORARRAY(I8))</f>
        <v>70</v>
      </c>
      <c r="J6" s="78">
        <f>SUM(_xlfn.ANCHORARRAY(J8))</f>
        <v>18800</v>
      </c>
      <c r="K6" s="77">
        <f>WEEKNUM(K5)</f>
        <v>24</v>
      </c>
      <c r="L6" s="76">
        <f>WEEKNUM(L5)</f>
        <v>25</v>
      </c>
      <c r="M6" s="76">
        <f>WEEKNUM(M5)</f>
        <v>26</v>
      </c>
      <c r="N6" s="76">
        <f>WEEKNUM(N5)</f>
        <v>27</v>
      </c>
      <c r="O6" s="76">
        <f>WEEKNUM(O5)</f>
        <v>28</v>
      </c>
      <c r="P6" s="76">
        <f>WEEKNUM(P5)</f>
        <v>29</v>
      </c>
      <c r="Q6" s="76">
        <f>WEEKNUM(Q5)</f>
        <v>30</v>
      </c>
      <c r="R6" s="76">
        <f>WEEKNUM(R5)</f>
        <v>31</v>
      </c>
      <c r="S6" s="76">
        <f>WEEKNUM(S5)</f>
        <v>32</v>
      </c>
      <c r="T6" s="76">
        <f>WEEKNUM(T5)</f>
        <v>33</v>
      </c>
      <c r="U6" s="76">
        <f>WEEKNUM(U5)</f>
        <v>34</v>
      </c>
      <c r="V6" s="76">
        <f>WEEKNUM(V5)</f>
        <v>35</v>
      </c>
      <c r="W6" s="76">
        <f>WEEKNUM(W5)</f>
        <v>36</v>
      </c>
      <c r="X6" s="76">
        <f>WEEKNUM(X5)</f>
        <v>37</v>
      </c>
      <c r="Y6" s="76">
        <f>WEEKNUM(Y5)</f>
        <v>38</v>
      </c>
      <c r="Z6" s="76">
        <f>WEEKNUM(Z5)</f>
        <v>39</v>
      </c>
      <c r="AA6" s="76">
        <f>WEEKNUM(AA5)</f>
        <v>40</v>
      </c>
      <c r="AB6" s="76">
        <f>WEEKNUM(AB5)</f>
        <v>41</v>
      </c>
      <c r="AC6" s="76">
        <f>WEEKNUM(AC5)</f>
        <v>42</v>
      </c>
      <c r="AD6" s="76">
        <f>WEEKNUM(AD5)</f>
        <v>43</v>
      </c>
      <c r="AE6" s="76">
        <f>WEEKNUM(AE5)</f>
        <v>44</v>
      </c>
      <c r="AF6" s="76">
        <f>WEEKNUM(AF5)</f>
        <v>45</v>
      </c>
      <c r="AG6" s="76">
        <f>WEEKNUM(AG5)</f>
        <v>46</v>
      </c>
      <c r="AH6" s="76">
        <f>WEEKNUM(AH5)</f>
        <v>47</v>
      </c>
      <c r="AI6" s="76">
        <f>WEEKNUM(AI5)</f>
        <v>48</v>
      </c>
      <c r="AJ6" s="76">
        <f>WEEKNUM(AJ5)</f>
        <v>49</v>
      </c>
      <c r="AK6" s="76">
        <f>WEEKNUM(AK5)</f>
        <v>50</v>
      </c>
      <c r="AL6" s="76">
        <f>WEEKNUM(AL5)</f>
        <v>51</v>
      </c>
      <c r="AM6" s="76">
        <f>WEEKNUM(AM5)</f>
        <v>52</v>
      </c>
      <c r="AN6" s="76">
        <f>WEEKNUM(AN5)</f>
        <v>53</v>
      </c>
      <c r="AO6" s="76">
        <f>WEEKNUM(AO5)</f>
        <v>2</v>
      </c>
      <c r="AP6" s="76">
        <f>WEEKNUM(AP5)</f>
        <v>3</v>
      </c>
      <c r="AQ6" s="76">
        <f>WEEKNUM(AQ5)</f>
        <v>4</v>
      </c>
      <c r="AR6" s="76">
        <f>WEEKNUM(AR5)</f>
        <v>5</v>
      </c>
      <c r="AS6" s="76">
        <f>WEEKNUM(AS5)</f>
        <v>6</v>
      </c>
      <c r="AT6" s="76">
        <f>WEEKNUM(AT5)</f>
        <v>7</v>
      </c>
      <c r="AU6" s="76">
        <f>WEEKNUM(AU5)</f>
        <v>8</v>
      </c>
      <c r="AV6" s="76">
        <f>WEEKNUM(AV5)</f>
        <v>9</v>
      </c>
      <c r="AW6" s="76">
        <f>WEEKNUM(AW5)</f>
        <v>10</v>
      </c>
      <c r="AX6" s="76">
        <f>WEEKNUM(AX5)</f>
        <v>11</v>
      </c>
      <c r="AY6" s="76">
        <f>WEEKNUM(AY5)</f>
        <v>12</v>
      </c>
      <c r="AZ6" s="76">
        <f>WEEKNUM(AZ5)</f>
        <v>13</v>
      </c>
      <c r="BA6" s="76">
        <f>WEEKNUM(BA5)</f>
        <v>14</v>
      </c>
      <c r="BB6" s="76">
        <f>WEEKNUM(BB5)</f>
        <v>15</v>
      </c>
      <c r="BC6" s="76">
        <f>WEEKNUM(BC5)</f>
        <v>16</v>
      </c>
      <c r="BD6" s="76">
        <f>WEEKNUM(BD5)</f>
        <v>17</v>
      </c>
      <c r="BE6" s="76">
        <f>WEEKNUM(BE5)</f>
        <v>18</v>
      </c>
      <c r="BF6" s="76">
        <f>WEEKNUM(BF5)</f>
        <v>19</v>
      </c>
      <c r="BG6" s="76">
        <f>WEEKNUM(BG5)</f>
        <v>20</v>
      </c>
      <c r="BH6" s="76">
        <f>WEEKNUM(BH5)</f>
        <v>21</v>
      </c>
      <c r="BI6" s="76">
        <f>WEEKNUM(BI5)</f>
        <v>22</v>
      </c>
      <c r="BJ6" s="76">
        <f>WEEKNUM(BJ5)</f>
        <v>23</v>
      </c>
    </row>
    <row r="7" spans="1:62" x14ac:dyDescent="0.35">
      <c r="A7" s="75" t="s">
        <v>175</v>
      </c>
      <c r="B7" s="73" t="s">
        <v>174</v>
      </c>
      <c r="C7" s="73" t="s">
        <v>126</v>
      </c>
      <c r="D7" s="73" t="s">
        <v>173</v>
      </c>
      <c r="E7" s="73" t="s">
        <v>172</v>
      </c>
      <c r="F7" s="73" t="s">
        <v>122</v>
      </c>
      <c r="G7" s="73" t="s">
        <v>129</v>
      </c>
      <c r="H7" s="73" t="s">
        <v>130</v>
      </c>
      <c r="I7" s="73" t="s">
        <v>127</v>
      </c>
      <c r="J7" s="73" t="s">
        <v>98</v>
      </c>
      <c r="K7" s="74">
        <v>1</v>
      </c>
      <c r="L7" s="73">
        <v>2</v>
      </c>
      <c r="M7" s="73">
        <v>3</v>
      </c>
      <c r="N7" s="73">
        <v>4</v>
      </c>
      <c r="O7" s="73">
        <v>5</v>
      </c>
      <c r="P7" s="73">
        <v>6</v>
      </c>
      <c r="Q7" s="73">
        <v>7</v>
      </c>
      <c r="R7" s="73">
        <v>8</v>
      </c>
      <c r="S7" s="73">
        <v>9</v>
      </c>
      <c r="T7" s="73">
        <v>10</v>
      </c>
      <c r="U7" s="73">
        <v>11</v>
      </c>
      <c r="V7" s="73">
        <v>12</v>
      </c>
      <c r="W7" s="73">
        <v>13</v>
      </c>
      <c r="X7" s="73">
        <v>14</v>
      </c>
      <c r="Y7" s="73">
        <v>15</v>
      </c>
      <c r="Z7" s="73">
        <v>16</v>
      </c>
      <c r="AA7" s="73">
        <v>17</v>
      </c>
      <c r="AB7" s="73">
        <v>18</v>
      </c>
      <c r="AC7" s="73">
        <v>19</v>
      </c>
      <c r="AD7" s="73">
        <v>20</v>
      </c>
      <c r="AE7" s="73">
        <v>21</v>
      </c>
      <c r="AF7" s="73">
        <v>22</v>
      </c>
      <c r="AG7" s="73">
        <v>23</v>
      </c>
      <c r="AH7" s="73">
        <v>24</v>
      </c>
      <c r="AI7" s="73">
        <v>25</v>
      </c>
      <c r="AJ7" s="73">
        <v>26</v>
      </c>
      <c r="AK7" s="73">
        <v>27</v>
      </c>
      <c r="AL7" s="73">
        <v>28</v>
      </c>
      <c r="AM7" s="73">
        <v>29</v>
      </c>
      <c r="AN7" s="73">
        <v>30</v>
      </c>
      <c r="AO7" s="73">
        <v>31</v>
      </c>
      <c r="AP7" s="73">
        <v>32</v>
      </c>
      <c r="AQ7" s="73">
        <v>33</v>
      </c>
      <c r="AR7" s="73">
        <v>34</v>
      </c>
      <c r="AS7" s="73">
        <v>35</v>
      </c>
      <c r="AT7" s="73">
        <v>36</v>
      </c>
      <c r="AU7" s="73">
        <v>37</v>
      </c>
      <c r="AV7" s="73">
        <v>38</v>
      </c>
      <c r="AW7" s="73">
        <v>39</v>
      </c>
      <c r="AX7" s="73">
        <v>40</v>
      </c>
      <c r="AY7" s="73">
        <v>41</v>
      </c>
      <c r="AZ7" s="73">
        <v>42</v>
      </c>
      <c r="BA7" s="73">
        <v>43</v>
      </c>
      <c r="BB7" s="73">
        <v>44</v>
      </c>
      <c r="BC7" s="73">
        <v>45</v>
      </c>
      <c r="BD7" s="73">
        <v>46</v>
      </c>
      <c r="BE7" s="73">
        <v>47</v>
      </c>
      <c r="BF7" s="73">
        <v>48</v>
      </c>
      <c r="BG7" s="73">
        <v>49</v>
      </c>
      <c r="BH7" s="73">
        <v>50</v>
      </c>
      <c r="BI7" s="73">
        <v>51</v>
      </c>
      <c r="BJ7" s="73">
        <v>52</v>
      </c>
    </row>
    <row r="8" spans="1:62" x14ac:dyDescent="0.35">
      <c r="A8" s="55" t="str" cm="1">
        <f t="array" ref="A8:A25">[1]!tblTaskList[IsInCriticalPath]</f>
        <v>Yes</v>
      </c>
      <c r="B8" s="18" cm="1">
        <f t="array" ref="B8:B25">[1]!tblTaskList[Duration (Weeks)]</f>
        <v>6</v>
      </c>
      <c r="C8" s="72" cm="1">
        <f t="array" ref="C8:C25">[1]!tblTaskList[Progress]</f>
        <v>1</v>
      </c>
      <c r="D8" s="63">
        <f>IF(OR($C8&lt;=0,$G8=""),0,IF($B8=0,$G8,$G8+ROUNDUP($B8*$C8,0)-1))</f>
        <v>6</v>
      </c>
      <c r="E8" s="71" t="str" cm="1">
        <f t="array" ref="E8:E25">[1]!tblTaskList[Task Name]</f>
        <v>Planning permission</v>
      </c>
      <c r="F8" t="str" cm="1">
        <f t="array" ref="F8:F25">[1]!tblTaskList[Resource]</f>
        <v>FE</v>
      </c>
      <c r="G8" s="70">
        <f>IF($A8="Yes",1,"")</f>
        <v>1</v>
      </c>
      <c r="H8" s="70" cm="1">
        <f t="array" ref="H8:H25">[1]!tblTaskList[Finish wk]</f>
        <v>6</v>
      </c>
      <c r="I8" s="70" cm="1">
        <f t="array" ref="I8:I25">[1]!tblTaskList[Hours]</f>
        <v>0</v>
      </c>
      <c r="J8" s="69" cm="1">
        <f t="array" ref="J8:J25">[1]!tblTaskList[Cost]</f>
        <v>0</v>
      </c>
      <c r="K8" s="68" t="str">
        <f>IF(AND($D8&gt;0,K$7=$D8),"●","")</f>
        <v/>
      </c>
      <c r="L8" s="68" t="str">
        <f>IF(AND($D8&gt;0,L$7=$D8),"●","")</f>
        <v/>
      </c>
      <c r="M8" s="68" t="str">
        <f>IF(AND($D8&gt;0,M$7=$D8),"●","")</f>
        <v/>
      </c>
      <c r="N8" s="68" t="str">
        <f>IF(AND($D8&gt;0,N$7=$D8),"●","")</f>
        <v/>
      </c>
      <c r="O8" s="68" t="str">
        <f>IF(AND($D8&gt;0,O$7=$D8),"●","")</f>
        <v/>
      </c>
      <c r="P8" s="68" t="str">
        <f>IF(AND($D8&gt;0,P$7=$D8),"●","")</f>
        <v>●</v>
      </c>
      <c r="Q8" s="68" t="str">
        <f>IF(AND($D8&gt;0,Q$7=$D8),"●","")</f>
        <v/>
      </c>
      <c r="R8" s="68" t="str">
        <f>IF(AND($D8&gt;0,R$7=$D8),"●","")</f>
        <v/>
      </c>
      <c r="S8" s="68" t="str">
        <f>IF(AND($D8&gt;0,S$7=$D8),"●","")</f>
        <v/>
      </c>
      <c r="T8" s="68" t="str">
        <f>IF(AND($D8&gt;0,T$7=$D8),"●","")</f>
        <v/>
      </c>
      <c r="U8" s="68" t="str">
        <f>IF(AND($D8&gt;0,U$7=$D8),"●","")</f>
        <v/>
      </c>
      <c r="V8" s="68" t="str">
        <f>IF(AND($D8&gt;0,V$7=$D8),"●","")</f>
        <v/>
      </c>
      <c r="W8" s="68" t="str">
        <f>IF(AND($D8&gt;0,W$7=$D8),"●","")</f>
        <v/>
      </c>
      <c r="X8" s="68" t="str">
        <f>IF(AND($D8&gt;0,X$7=$D8),"●","")</f>
        <v/>
      </c>
      <c r="Y8" s="68" t="str">
        <f>IF(AND($D8&gt;0,Y$7=$D8),"●","")</f>
        <v/>
      </c>
      <c r="Z8" s="68" t="str">
        <f>IF(AND($D8&gt;0,Z$7=$D8),"●","")</f>
        <v/>
      </c>
      <c r="AA8" s="68" t="str">
        <f>IF(AND($D8&gt;0,AA$7=$D8),"●","")</f>
        <v/>
      </c>
      <c r="AB8" s="68" t="str">
        <f>IF(AND($D8&gt;0,AB$7=$D8),"●","")</f>
        <v/>
      </c>
      <c r="AC8" s="68" t="str">
        <f>IF(AND($D8&gt;0,AC$7=$D8),"●","")</f>
        <v/>
      </c>
      <c r="AD8" s="68" t="str">
        <f>IF(AND($D8&gt;0,AD$7=$D8),"●","")</f>
        <v/>
      </c>
      <c r="AE8" s="68" t="str">
        <f>IF(AND($D8&gt;0,AE$7=$D8),"●","")</f>
        <v/>
      </c>
      <c r="AF8" s="68" t="str">
        <f>IF(AND($D8&gt;0,AF$7=$D8),"●","")</f>
        <v/>
      </c>
      <c r="AG8" s="68" t="str">
        <f>IF(AND($D8&gt;0,AG$7=$D8),"●","")</f>
        <v/>
      </c>
      <c r="AH8" s="68" t="str">
        <f>IF(AND($D8&gt;0,AH$7=$D8),"●","")</f>
        <v/>
      </c>
      <c r="AI8" s="68" t="str">
        <f>IF(AND($D8&gt;0,AI$7=$D8),"●","")</f>
        <v/>
      </c>
      <c r="AJ8" s="68" t="str">
        <f>IF(AND($D8&gt;0,AJ$7=$D8),"●","")</f>
        <v/>
      </c>
      <c r="AK8" s="68" t="str">
        <f>IF(AND($D8&gt;0,AK$7=$D8),"●","")</f>
        <v/>
      </c>
      <c r="AL8" s="68" t="str">
        <f>IF(AND($D8&gt;0,AL$7=$D8),"●","")</f>
        <v/>
      </c>
      <c r="AM8" s="68" t="str">
        <f>IF(AND($D8&gt;0,AM$7=$D8),"●","")</f>
        <v/>
      </c>
      <c r="AN8" s="68" t="str">
        <f>IF(AND($D8&gt;0,AN$7=$D8),"●","")</f>
        <v/>
      </c>
      <c r="AO8" s="68" t="str">
        <f>IF(AND($D8&gt;0,AO$7=$D8),"●","")</f>
        <v/>
      </c>
      <c r="AP8" s="68" t="str">
        <f>IF(AND($D8&gt;0,AP$7=$D8),"●","")</f>
        <v/>
      </c>
      <c r="AQ8" s="68" t="str">
        <f>IF(AND($D8&gt;0,AQ$7=$D8),"●","")</f>
        <v/>
      </c>
      <c r="AR8" s="68" t="str">
        <f>IF(AND($D8&gt;0,AR$7=$D8),"●","")</f>
        <v/>
      </c>
      <c r="AS8" s="68" t="str">
        <f>IF(AND($D8&gt;0,AS$7=$D8),"●","")</f>
        <v/>
      </c>
      <c r="AT8" s="68" t="str">
        <f>IF(AND($D8&gt;0,AT$7=$D8),"●","")</f>
        <v/>
      </c>
      <c r="AU8" s="68" t="str">
        <f>IF(AND($D8&gt;0,AU$7=$D8),"●","")</f>
        <v/>
      </c>
      <c r="AV8" s="68" t="str">
        <f>IF(AND($D8&gt;0,AV$7=$D8),"●","")</f>
        <v/>
      </c>
      <c r="AW8" s="68" t="str">
        <f>IF(AND($D8&gt;0,AW$7=$D8),"●","")</f>
        <v/>
      </c>
      <c r="AX8" s="68" t="str">
        <f>IF(AND($D8&gt;0,AX$7=$D8),"●","")</f>
        <v/>
      </c>
      <c r="AY8" s="68" t="str">
        <f>IF(AND($D8&gt;0,AY$7=$D8),"●","")</f>
        <v/>
      </c>
      <c r="AZ8" s="68" t="str">
        <f>IF(AND($D8&gt;0,AZ$7=$D8),"●","")</f>
        <v/>
      </c>
      <c r="BA8" s="68" t="str">
        <f>IF(AND($D8&gt;0,BA$7=$D8),"●","")</f>
        <v/>
      </c>
      <c r="BB8" s="68" t="str">
        <f>IF(AND($D8&gt;0,BB$7=$D8),"●","")</f>
        <v/>
      </c>
      <c r="BC8" s="68" t="str">
        <f>IF(AND($D8&gt;0,BC$7=$D8),"●","")</f>
        <v/>
      </c>
      <c r="BD8" s="68" t="str">
        <f>IF(AND($D8&gt;0,BD$7=$D8),"●","")</f>
        <v/>
      </c>
      <c r="BE8" s="68" t="str">
        <f>IF(AND($D8&gt;0,BE$7=$D8),"●","")</f>
        <v/>
      </c>
      <c r="BF8" s="68" t="str">
        <f>IF(AND($D8&gt;0,BF$7=$D8),"●","")</f>
        <v/>
      </c>
      <c r="BG8" s="68" t="str">
        <f>IF(AND($D8&gt;0,BG$7=$D8),"●","")</f>
        <v/>
      </c>
      <c r="BH8" s="68" t="str">
        <f>IF(AND($D8&gt;0,BH$7=$D8),"●","")</f>
        <v/>
      </c>
      <c r="BI8" s="68" t="str">
        <f>IF(AND($D8&gt;0,BI$7=$D8),"●","")</f>
        <v/>
      </c>
      <c r="BJ8" s="67" t="str">
        <f>IF(AND($D8&gt;0,BJ$7=$D8),"●","")</f>
        <v/>
      </c>
    </row>
    <row r="9" spans="1:62" x14ac:dyDescent="0.35">
      <c r="A9" s="55" t="str">
        <v>Yes</v>
      </c>
      <c r="B9" s="18">
        <v>10</v>
      </c>
      <c r="C9" s="72">
        <v>0.2</v>
      </c>
      <c r="D9" s="63">
        <f>IF(OR($C9&lt;=0,$G9=""),0,IF($B9=0,$G9,$G9+ROUNDUP($B9*$C9,0)-1))</f>
        <v>8</v>
      </c>
      <c r="E9" s="71" t="str">
        <v>Wait for planning permission</v>
      </c>
      <c r="F9" t="str">
        <v>FE</v>
      </c>
      <c r="G9" s="70">
        <f>IF($A9="Yes",SUMIF($A$8:$A8,"Yes",$B$8:$B8)+1,"")</f>
        <v>7</v>
      </c>
      <c r="H9" s="70">
        <v>16</v>
      </c>
      <c r="I9" s="70">
        <v>0</v>
      </c>
      <c r="J9" s="69">
        <v>100</v>
      </c>
      <c r="K9" s="68" t="str">
        <f>IF(AND($D9&gt;0,K$7=$D9),"●","")</f>
        <v/>
      </c>
      <c r="L9" s="68" t="str">
        <f>IF(AND($D9&gt;0,L$7=$D9),"●","")</f>
        <v/>
      </c>
      <c r="M9" s="68" t="str">
        <f>IF(AND($D9&gt;0,M$7=$D9),"●","")</f>
        <v/>
      </c>
      <c r="N9" s="68" t="str">
        <f>IF(AND($D9&gt;0,N$7=$D9),"●","")</f>
        <v/>
      </c>
      <c r="O9" s="68" t="str">
        <f>IF(AND($D9&gt;0,O$7=$D9),"●","")</f>
        <v/>
      </c>
      <c r="P9" s="68" t="str">
        <f>IF(AND($D9&gt;0,P$7=$D9),"●","")</f>
        <v/>
      </c>
      <c r="Q9" s="68" t="str">
        <f>IF(AND($D9&gt;0,Q$7=$D9),"●","")</f>
        <v/>
      </c>
      <c r="R9" s="68" t="str">
        <f>IF(AND($D9&gt;0,R$7=$D9),"●","")</f>
        <v>●</v>
      </c>
      <c r="S9" s="68" t="str">
        <f>IF(AND($D9&gt;0,S$7=$D9),"●","")</f>
        <v/>
      </c>
      <c r="T9" s="68" t="str">
        <f>IF(AND($D9&gt;0,T$7=$D9),"●","")</f>
        <v/>
      </c>
      <c r="U9" s="68" t="str">
        <f>IF(AND($D9&gt;0,U$7=$D9),"●","")</f>
        <v/>
      </c>
      <c r="V9" s="68" t="str">
        <f>IF(AND($D9&gt;0,V$7=$D9),"●","")</f>
        <v/>
      </c>
      <c r="W9" s="68" t="str">
        <f>IF(AND($D9&gt;0,W$7=$D9),"●","")</f>
        <v/>
      </c>
      <c r="X9" s="68" t="str">
        <f>IF(AND($D9&gt;0,X$7=$D9),"●","")</f>
        <v/>
      </c>
      <c r="Y9" s="68" t="str">
        <f>IF(AND($D9&gt;0,Y$7=$D9),"●","")</f>
        <v/>
      </c>
      <c r="Z9" s="68" t="str">
        <f>IF(AND($D9&gt;0,Z$7=$D9),"●","")</f>
        <v/>
      </c>
      <c r="AA9" s="68" t="str">
        <f>IF(AND($D9&gt;0,AA$7=$D9),"●","")</f>
        <v/>
      </c>
      <c r="AB9" s="68" t="str">
        <f>IF(AND($D9&gt;0,AB$7=$D9),"●","")</f>
        <v/>
      </c>
      <c r="AC9" s="68" t="str">
        <f>IF(AND($D9&gt;0,AC$7=$D9),"●","")</f>
        <v/>
      </c>
      <c r="AD9" s="68" t="str">
        <f>IF(AND($D9&gt;0,AD$7=$D9),"●","")</f>
        <v/>
      </c>
      <c r="AE9" s="68" t="str">
        <f>IF(AND($D9&gt;0,AE$7=$D9),"●","")</f>
        <v/>
      </c>
      <c r="AF9" s="68" t="str">
        <f>IF(AND($D9&gt;0,AF$7=$D9),"●","")</f>
        <v/>
      </c>
      <c r="AG9" s="68" t="str">
        <f>IF(AND($D9&gt;0,AG$7=$D9),"●","")</f>
        <v/>
      </c>
      <c r="AH9" s="68" t="str">
        <f>IF(AND($D9&gt;0,AH$7=$D9),"●","")</f>
        <v/>
      </c>
      <c r="AI9" s="68" t="str">
        <f>IF(AND($D9&gt;0,AI$7=$D9),"●","")</f>
        <v/>
      </c>
      <c r="AJ9" s="68" t="str">
        <f>IF(AND($D9&gt;0,AJ$7=$D9),"●","")</f>
        <v/>
      </c>
      <c r="AK9" s="68" t="str">
        <f>IF(AND($D9&gt;0,AK$7=$D9),"●","")</f>
        <v/>
      </c>
      <c r="AL9" s="68" t="str">
        <f>IF(AND($D9&gt;0,AL$7=$D9),"●","")</f>
        <v/>
      </c>
      <c r="AM9" s="68" t="str">
        <f>IF(AND($D9&gt;0,AM$7=$D9),"●","")</f>
        <v/>
      </c>
      <c r="AN9" s="68" t="str">
        <f>IF(AND($D9&gt;0,AN$7=$D9),"●","")</f>
        <v/>
      </c>
      <c r="AO9" s="68" t="str">
        <f>IF(AND($D9&gt;0,AO$7=$D9),"●","")</f>
        <v/>
      </c>
      <c r="AP9" s="68" t="str">
        <f>IF(AND($D9&gt;0,AP$7=$D9),"●","")</f>
        <v/>
      </c>
      <c r="AQ9" s="68" t="str">
        <f>IF(AND($D9&gt;0,AQ$7=$D9),"●","")</f>
        <v/>
      </c>
      <c r="AR9" s="68" t="str">
        <f>IF(AND($D9&gt;0,AR$7=$D9),"●","")</f>
        <v/>
      </c>
      <c r="AS9" s="68" t="str">
        <f>IF(AND($D9&gt;0,AS$7=$D9),"●","")</f>
        <v/>
      </c>
      <c r="AT9" s="68" t="str">
        <f>IF(AND($D9&gt;0,AT$7=$D9),"●","")</f>
        <v/>
      </c>
      <c r="AU9" s="68" t="str">
        <f>IF(AND($D9&gt;0,AU$7=$D9),"●","")</f>
        <v/>
      </c>
      <c r="AV9" s="68" t="str">
        <f>IF(AND($D9&gt;0,AV$7=$D9),"●","")</f>
        <v/>
      </c>
      <c r="AW9" s="68" t="str">
        <f>IF(AND($D9&gt;0,AW$7=$D9),"●","")</f>
        <v/>
      </c>
      <c r="AX9" s="68" t="str">
        <f>IF(AND($D9&gt;0,AX$7=$D9),"●","")</f>
        <v/>
      </c>
      <c r="AY9" s="68" t="str">
        <f>IF(AND($D9&gt;0,AY$7=$D9),"●","")</f>
        <v/>
      </c>
      <c r="AZ9" s="68" t="str">
        <f>IF(AND($D9&gt;0,AZ$7=$D9),"●","")</f>
        <v/>
      </c>
      <c r="BA9" s="68" t="str">
        <f>IF(AND($D9&gt;0,BA$7=$D9),"●","")</f>
        <v/>
      </c>
      <c r="BB9" s="68" t="str">
        <f>IF(AND($D9&gt;0,BB$7=$D9),"●","")</f>
        <v/>
      </c>
      <c r="BC9" s="68" t="str">
        <f>IF(AND($D9&gt;0,BC$7=$D9),"●","")</f>
        <v/>
      </c>
      <c r="BD9" s="68" t="str">
        <f>IF(AND($D9&gt;0,BD$7=$D9),"●","")</f>
        <v/>
      </c>
      <c r="BE9" s="68" t="str">
        <f>IF(AND($D9&gt;0,BE$7=$D9),"●","")</f>
        <v/>
      </c>
      <c r="BF9" s="68" t="str">
        <f>IF(AND($D9&gt;0,BF$7=$D9),"●","")</f>
        <v/>
      </c>
      <c r="BG9" s="68" t="str">
        <f>IF(AND($D9&gt;0,BG$7=$D9),"●","")</f>
        <v/>
      </c>
      <c r="BH9" s="68" t="str">
        <f>IF(AND($D9&gt;0,BH$7=$D9),"●","")</f>
        <v/>
      </c>
      <c r="BI9" s="68" t="str">
        <f>IF(AND($D9&gt;0,BI$7=$D9),"●","")</f>
        <v/>
      </c>
      <c r="BJ9" s="67" t="str">
        <f>IF(AND($D9&gt;0,BJ$7=$D9),"●","")</f>
        <v/>
      </c>
    </row>
    <row r="10" spans="1:62" x14ac:dyDescent="0.35">
      <c r="A10" s="55" t="str">
        <v>Yes</v>
      </c>
      <c r="B10" s="18">
        <v>1</v>
      </c>
      <c r="C10" s="72">
        <v>0</v>
      </c>
      <c r="D10" s="63">
        <f>IF(OR($C10&lt;=0,$G10=""),0,IF($B10=0,$G10,$G10+ROUNDUP($B10*$C10,0)-1))</f>
        <v>0</v>
      </c>
      <c r="E10" s="71" t="str">
        <v>Dig trench</v>
      </c>
      <c r="F10" t="str">
        <v>NN</v>
      </c>
      <c r="G10" s="70">
        <f>IF($A10="Yes",SUMIF($A$8:$A9,"Yes",$B$8:$B9)+1,"")</f>
        <v>17</v>
      </c>
      <c r="H10" s="70">
        <v>17</v>
      </c>
      <c r="I10" s="70">
        <v>4</v>
      </c>
      <c r="J10" s="69">
        <v>350</v>
      </c>
      <c r="K10" s="68" t="str">
        <f>IF(AND($D10&gt;0,K$7=$D10),"●","")</f>
        <v/>
      </c>
      <c r="L10" s="68" t="str">
        <f>IF(AND($D10&gt;0,L$7=$D10),"●","")</f>
        <v/>
      </c>
      <c r="M10" s="68" t="str">
        <f>IF(AND($D10&gt;0,M$7=$D10),"●","")</f>
        <v/>
      </c>
      <c r="N10" s="68" t="str">
        <f>IF(AND($D10&gt;0,N$7=$D10),"●","")</f>
        <v/>
      </c>
      <c r="O10" s="68" t="str">
        <f>IF(AND($D10&gt;0,O$7=$D10),"●","")</f>
        <v/>
      </c>
      <c r="P10" s="68" t="str">
        <f>IF(AND($D10&gt;0,P$7=$D10),"●","")</f>
        <v/>
      </c>
      <c r="Q10" s="68" t="str">
        <f>IF(AND($D10&gt;0,Q$7=$D10),"●","")</f>
        <v/>
      </c>
      <c r="R10" s="68" t="str">
        <f>IF(AND($D10&gt;0,R$7=$D10),"●","")</f>
        <v/>
      </c>
      <c r="S10" s="68" t="str">
        <f>IF(AND($D10&gt;0,S$7=$D10),"●","")</f>
        <v/>
      </c>
      <c r="T10" s="68" t="str">
        <f>IF(AND($D10&gt;0,T$7=$D10),"●","")</f>
        <v/>
      </c>
      <c r="U10" s="68" t="str">
        <f>IF(AND($D10&gt;0,U$7=$D10),"●","")</f>
        <v/>
      </c>
      <c r="V10" s="68" t="str">
        <f>IF(AND($D10&gt;0,V$7=$D10),"●","")</f>
        <v/>
      </c>
      <c r="W10" s="68" t="str">
        <f>IF(AND($D10&gt;0,W$7=$D10),"●","")</f>
        <v/>
      </c>
      <c r="X10" s="68" t="str">
        <f>IF(AND($D10&gt;0,X$7=$D10),"●","")</f>
        <v/>
      </c>
      <c r="Y10" s="68" t="str">
        <f>IF(AND($D10&gt;0,Y$7=$D10),"●","")</f>
        <v/>
      </c>
      <c r="Z10" s="68" t="str">
        <f>IF(AND($D10&gt;0,Z$7=$D10),"●","")</f>
        <v/>
      </c>
      <c r="AA10" s="68" t="str">
        <f>IF(AND($D10&gt;0,AA$7=$D10),"●","")</f>
        <v/>
      </c>
      <c r="AB10" s="68" t="str">
        <f>IF(AND($D10&gt;0,AB$7=$D10),"●","")</f>
        <v/>
      </c>
      <c r="AC10" s="68" t="str">
        <f>IF(AND($D10&gt;0,AC$7=$D10),"●","")</f>
        <v/>
      </c>
      <c r="AD10" s="68" t="str">
        <f>IF(AND($D10&gt;0,AD$7=$D10),"●","")</f>
        <v/>
      </c>
      <c r="AE10" s="68" t="str">
        <f>IF(AND($D10&gt;0,AE$7=$D10),"●","")</f>
        <v/>
      </c>
      <c r="AF10" s="68" t="str">
        <f>IF(AND($D10&gt;0,AF$7=$D10),"●","")</f>
        <v/>
      </c>
      <c r="AG10" s="68" t="str">
        <f>IF(AND($D10&gt;0,AG$7=$D10),"●","")</f>
        <v/>
      </c>
      <c r="AH10" s="68" t="str">
        <f>IF(AND($D10&gt;0,AH$7=$D10),"●","")</f>
        <v/>
      </c>
      <c r="AI10" s="68" t="str">
        <f>IF(AND($D10&gt;0,AI$7=$D10),"●","")</f>
        <v/>
      </c>
      <c r="AJ10" s="68" t="str">
        <f>IF(AND($D10&gt;0,AJ$7=$D10),"●","")</f>
        <v/>
      </c>
      <c r="AK10" s="68" t="str">
        <f>IF(AND($D10&gt;0,AK$7=$D10),"●","")</f>
        <v/>
      </c>
      <c r="AL10" s="68" t="str">
        <f>IF(AND($D10&gt;0,AL$7=$D10),"●","")</f>
        <v/>
      </c>
      <c r="AM10" s="68" t="str">
        <f>IF(AND($D10&gt;0,AM$7=$D10),"●","")</f>
        <v/>
      </c>
      <c r="AN10" s="68" t="str">
        <f>IF(AND($D10&gt;0,AN$7=$D10),"●","")</f>
        <v/>
      </c>
      <c r="AO10" s="68" t="str">
        <f>IF(AND($D10&gt;0,AO$7=$D10),"●","")</f>
        <v/>
      </c>
      <c r="AP10" s="68" t="str">
        <f>IF(AND($D10&gt;0,AP$7=$D10),"●","")</f>
        <v/>
      </c>
      <c r="AQ10" s="68" t="str">
        <f>IF(AND($D10&gt;0,AQ$7=$D10),"●","")</f>
        <v/>
      </c>
      <c r="AR10" s="68" t="str">
        <f>IF(AND($D10&gt;0,AR$7=$D10),"●","")</f>
        <v/>
      </c>
      <c r="AS10" s="68" t="str">
        <f>IF(AND($D10&gt;0,AS$7=$D10),"●","")</f>
        <v/>
      </c>
      <c r="AT10" s="68" t="str">
        <f>IF(AND($D10&gt;0,AT$7=$D10),"●","")</f>
        <v/>
      </c>
      <c r="AU10" s="68" t="str">
        <f>IF(AND($D10&gt;0,AU$7=$D10),"●","")</f>
        <v/>
      </c>
      <c r="AV10" s="68" t="str">
        <f>IF(AND($D10&gt;0,AV$7=$D10),"●","")</f>
        <v/>
      </c>
      <c r="AW10" s="68" t="str">
        <f>IF(AND($D10&gt;0,AW$7=$D10),"●","")</f>
        <v/>
      </c>
      <c r="AX10" s="68" t="str">
        <f>IF(AND($D10&gt;0,AX$7=$D10),"●","")</f>
        <v/>
      </c>
      <c r="AY10" s="68" t="str">
        <f>IF(AND($D10&gt;0,AY$7=$D10),"●","")</f>
        <v/>
      </c>
      <c r="AZ10" s="68" t="str">
        <f>IF(AND($D10&gt;0,AZ$7=$D10),"●","")</f>
        <v/>
      </c>
      <c r="BA10" s="68" t="str">
        <f>IF(AND($D10&gt;0,BA$7=$D10),"●","")</f>
        <v/>
      </c>
      <c r="BB10" s="68" t="str">
        <f>IF(AND($D10&gt;0,BB$7=$D10),"●","")</f>
        <v/>
      </c>
      <c r="BC10" s="68" t="str">
        <f>IF(AND($D10&gt;0,BC$7=$D10),"●","")</f>
        <v/>
      </c>
      <c r="BD10" s="68" t="str">
        <f>IF(AND($D10&gt;0,BD$7=$D10),"●","")</f>
        <v/>
      </c>
      <c r="BE10" s="68" t="str">
        <f>IF(AND($D10&gt;0,BE$7=$D10),"●","")</f>
        <v/>
      </c>
      <c r="BF10" s="68" t="str">
        <f>IF(AND($D10&gt;0,BF$7=$D10),"●","")</f>
        <v/>
      </c>
      <c r="BG10" s="68" t="str">
        <f>IF(AND($D10&gt;0,BG$7=$D10),"●","")</f>
        <v/>
      </c>
      <c r="BH10" s="68" t="str">
        <f>IF(AND($D10&gt;0,BH$7=$D10),"●","")</f>
        <v/>
      </c>
      <c r="BI10" s="68" t="str">
        <f>IF(AND($D10&gt;0,BI$7=$D10),"●","")</f>
        <v/>
      </c>
      <c r="BJ10" s="67" t="str">
        <f>IF(AND($D10&gt;0,BJ$7=$D10),"●","")</f>
        <v/>
      </c>
    </row>
    <row r="11" spans="1:62" x14ac:dyDescent="0.35">
      <c r="A11" s="55" t="str">
        <v>Yes</v>
      </c>
      <c r="B11" s="18">
        <v>2</v>
      </c>
      <c r="C11" s="72">
        <v>0</v>
      </c>
      <c r="D11" s="63">
        <f>IF(OR($C11&lt;=0,$G11=""),0,IF($B11=0,$G11,$G11+ROUNDUP($B11*$C11,0)-1))</f>
        <v>0</v>
      </c>
      <c r="E11" s="71" t="str">
        <v>Hire digger</v>
      </c>
      <c r="F11" t="str">
        <v>FE</v>
      </c>
      <c r="G11" s="70">
        <f>IF($A11="Yes",SUMIF($A$8:$A10,"Yes",$B$8:$B10)+1,"")</f>
        <v>18</v>
      </c>
      <c r="H11" s="70">
        <v>19</v>
      </c>
      <c r="I11" s="70">
        <v>0</v>
      </c>
      <c r="J11" s="69">
        <v>0</v>
      </c>
      <c r="K11" s="68" t="str">
        <f>IF(AND($D11&gt;0,K$7=$D11),"●","")</f>
        <v/>
      </c>
      <c r="L11" s="68" t="str">
        <f>IF(AND($D11&gt;0,L$7=$D11),"●","")</f>
        <v/>
      </c>
      <c r="M11" s="68" t="str">
        <f>IF(AND($D11&gt;0,M$7=$D11),"●","")</f>
        <v/>
      </c>
      <c r="N11" s="68" t="str">
        <f>IF(AND($D11&gt;0,N$7=$D11),"●","")</f>
        <v/>
      </c>
      <c r="O11" s="68" t="str">
        <f>IF(AND($D11&gt;0,O$7=$D11),"●","")</f>
        <v/>
      </c>
      <c r="P11" s="68" t="str">
        <f>IF(AND($D11&gt;0,P$7=$D11),"●","")</f>
        <v/>
      </c>
      <c r="Q11" s="68" t="str">
        <f>IF(AND($D11&gt;0,Q$7=$D11),"●","")</f>
        <v/>
      </c>
      <c r="R11" s="68" t="str">
        <f>IF(AND($D11&gt;0,R$7=$D11),"●","")</f>
        <v/>
      </c>
      <c r="S11" s="68" t="str">
        <f>IF(AND($D11&gt;0,S$7=$D11),"●","")</f>
        <v/>
      </c>
      <c r="T11" s="68" t="str">
        <f>IF(AND($D11&gt;0,T$7=$D11),"●","")</f>
        <v/>
      </c>
      <c r="U11" s="68" t="str">
        <f>IF(AND($D11&gt;0,U$7=$D11),"●","")</f>
        <v/>
      </c>
      <c r="V11" s="68" t="str">
        <f>IF(AND($D11&gt;0,V$7=$D11),"●","")</f>
        <v/>
      </c>
      <c r="W11" s="68" t="str">
        <f>IF(AND($D11&gt;0,W$7=$D11),"●","")</f>
        <v/>
      </c>
      <c r="X11" s="68" t="str">
        <f>IF(AND($D11&gt;0,X$7=$D11),"●","")</f>
        <v/>
      </c>
      <c r="Y11" s="68" t="str">
        <f>IF(AND($D11&gt;0,Y$7=$D11),"●","")</f>
        <v/>
      </c>
      <c r="Z11" s="68" t="str">
        <f>IF(AND($D11&gt;0,Z$7=$D11),"●","")</f>
        <v/>
      </c>
      <c r="AA11" s="68" t="str">
        <f>IF(AND($D11&gt;0,AA$7=$D11),"●","")</f>
        <v/>
      </c>
      <c r="AB11" s="68" t="str">
        <f>IF(AND($D11&gt;0,AB$7=$D11),"●","")</f>
        <v/>
      </c>
      <c r="AC11" s="68" t="str">
        <f>IF(AND($D11&gt;0,AC$7=$D11),"●","")</f>
        <v/>
      </c>
      <c r="AD11" s="68" t="str">
        <f>IF(AND($D11&gt;0,AD$7=$D11),"●","")</f>
        <v/>
      </c>
      <c r="AE11" s="68" t="str">
        <f>IF(AND($D11&gt;0,AE$7=$D11),"●","")</f>
        <v/>
      </c>
      <c r="AF11" s="68" t="str">
        <f>IF(AND($D11&gt;0,AF$7=$D11),"●","")</f>
        <v/>
      </c>
      <c r="AG11" s="68" t="str">
        <f>IF(AND($D11&gt;0,AG$7=$D11),"●","")</f>
        <v/>
      </c>
      <c r="AH11" s="68" t="str">
        <f>IF(AND($D11&gt;0,AH$7=$D11),"●","")</f>
        <v/>
      </c>
      <c r="AI11" s="68" t="str">
        <f>IF(AND($D11&gt;0,AI$7=$D11),"●","")</f>
        <v/>
      </c>
      <c r="AJ11" s="68" t="str">
        <f>IF(AND($D11&gt;0,AJ$7=$D11),"●","")</f>
        <v/>
      </c>
      <c r="AK11" s="68" t="str">
        <f>IF(AND($D11&gt;0,AK$7=$D11),"●","")</f>
        <v/>
      </c>
      <c r="AL11" s="68" t="str">
        <f>IF(AND($D11&gt;0,AL$7=$D11),"●","")</f>
        <v/>
      </c>
      <c r="AM11" s="68" t="str">
        <f>IF(AND($D11&gt;0,AM$7=$D11),"●","")</f>
        <v/>
      </c>
      <c r="AN11" s="68" t="str">
        <f>IF(AND($D11&gt;0,AN$7=$D11),"●","")</f>
        <v/>
      </c>
      <c r="AO11" s="68" t="str">
        <f>IF(AND($D11&gt;0,AO$7=$D11),"●","")</f>
        <v/>
      </c>
      <c r="AP11" s="68" t="str">
        <f>IF(AND($D11&gt;0,AP$7=$D11),"●","")</f>
        <v/>
      </c>
      <c r="AQ11" s="68" t="str">
        <f>IF(AND($D11&gt;0,AQ$7=$D11),"●","")</f>
        <v/>
      </c>
      <c r="AR11" s="68" t="str">
        <f>IF(AND($D11&gt;0,AR$7=$D11),"●","")</f>
        <v/>
      </c>
      <c r="AS11" s="68" t="str">
        <f>IF(AND($D11&gt;0,AS$7=$D11),"●","")</f>
        <v/>
      </c>
      <c r="AT11" s="68" t="str">
        <f>IF(AND($D11&gt;0,AT$7=$D11),"●","")</f>
        <v/>
      </c>
      <c r="AU11" s="68" t="str">
        <f>IF(AND($D11&gt;0,AU$7=$D11),"●","")</f>
        <v/>
      </c>
      <c r="AV11" s="68" t="str">
        <f>IF(AND($D11&gt;0,AV$7=$D11),"●","")</f>
        <v/>
      </c>
      <c r="AW11" s="68" t="str">
        <f>IF(AND($D11&gt;0,AW$7=$D11),"●","")</f>
        <v/>
      </c>
      <c r="AX11" s="68" t="str">
        <f>IF(AND($D11&gt;0,AX$7=$D11),"●","")</f>
        <v/>
      </c>
      <c r="AY11" s="68" t="str">
        <f>IF(AND($D11&gt;0,AY$7=$D11),"●","")</f>
        <v/>
      </c>
      <c r="AZ11" s="68" t="str">
        <f>IF(AND($D11&gt;0,AZ$7=$D11),"●","")</f>
        <v/>
      </c>
      <c r="BA11" s="68" t="str">
        <f>IF(AND($D11&gt;0,BA$7=$D11),"●","")</f>
        <v/>
      </c>
      <c r="BB11" s="68" t="str">
        <f>IF(AND($D11&gt;0,BB$7=$D11),"●","")</f>
        <v/>
      </c>
      <c r="BC11" s="68" t="str">
        <f>IF(AND($D11&gt;0,BC$7=$D11),"●","")</f>
        <v/>
      </c>
      <c r="BD11" s="68" t="str">
        <f>IF(AND($D11&gt;0,BD$7=$D11),"●","")</f>
        <v/>
      </c>
      <c r="BE11" s="68" t="str">
        <f>IF(AND($D11&gt;0,BE$7=$D11),"●","")</f>
        <v/>
      </c>
      <c r="BF11" s="68" t="str">
        <f>IF(AND($D11&gt;0,BF$7=$D11),"●","")</f>
        <v/>
      </c>
      <c r="BG11" s="68" t="str">
        <f>IF(AND($D11&gt;0,BG$7=$D11),"●","")</f>
        <v/>
      </c>
      <c r="BH11" s="68" t="str">
        <f>IF(AND($D11&gt;0,BH$7=$D11),"●","")</f>
        <v/>
      </c>
      <c r="BI11" s="68" t="str">
        <f>IF(AND($D11&gt;0,BI$7=$D11),"●","")</f>
        <v/>
      </c>
      <c r="BJ11" s="67" t="str">
        <f>IF(AND($D11&gt;0,BJ$7=$D11),"●","")</f>
        <v/>
      </c>
    </row>
    <row r="12" spans="1:62" x14ac:dyDescent="0.35">
      <c r="A12" s="55" t="str">
        <v>Yes</v>
      </c>
      <c r="B12" s="18">
        <v>1</v>
      </c>
      <c r="C12" s="72">
        <v>0</v>
      </c>
      <c r="D12" s="63">
        <f>IF(OR($C12&lt;=0,$G12=""),0,IF($B12=0,$G12,$G12+ROUNDUP($B12*$C12,0)-1))</f>
        <v>0</v>
      </c>
      <c r="E12" s="71" t="str">
        <v>Fill with concrete</v>
      </c>
      <c r="F12" t="str">
        <v>NN</v>
      </c>
      <c r="G12" s="70">
        <f>IF($A12="Yes",SUMIF($A$8:$A11,"Yes",$B$8:$B11)+1,"")</f>
        <v>20</v>
      </c>
      <c r="H12" s="70">
        <v>20</v>
      </c>
      <c r="I12" s="70">
        <v>3</v>
      </c>
      <c r="J12" s="69">
        <v>700</v>
      </c>
      <c r="K12" s="68" t="str">
        <f>IF(AND($D12&gt;0,K$7=$D12),"●","")</f>
        <v/>
      </c>
      <c r="L12" s="68" t="str">
        <f>IF(AND($D12&gt;0,L$7=$D12),"●","")</f>
        <v/>
      </c>
      <c r="M12" s="68" t="str">
        <f>IF(AND($D12&gt;0,M$7=$D12),"●","")</f>
        <v/>
      </c>
      <c r="N12" s="68" t="str">
        <f>IF(AND($D12&gt;0,N$7=$D12),"●","")</f>
        <v/>
      </c>
      <c r="O12" s="68" t="str">
        <f>IF(AND($D12&gt;0,O$7=$D12),"●","")</f>
        <v/>
      </c>
      <c r="P12" s="68" t="str">
        <f>IF(AND($D12&gt;0,P$7=$D12),"●","")</f>
        <v/>
      </c>
      <c r="Q12" s="68" t="str">
        <f>IF(AND($D12&gt;0,Q$7=$D12),"●","")</f>
        <v/>
      </c>
      <c r="R12" s="68" t="str">
        <f>IF(AND($D12&gt;0,R$7=$D12),"●","")</f>
        <v/>
      </c>
      <c r="S12" s="68" t="str">
        <f>IF(AND($D12&gt;0,S$7=$D12),"●","")</f>
        <v/>
      </c>
      <c r="T12" s="68" t="str">
        <f>IF(AND($D12&gt;0,T$7=$D12),"●","")</f>
        <v/>
      </c>
      <c r="U12" s="68" t="str">
        <f>IF(AND($D12&gt;0,U$7=$D12),"●","")</f>
        <v/>
      </c>
      <c r="V12" s="68" t="str">
        <f>IF(AND($D12&gt;0,V$7=$D12),"●","")</f>
        <v/>
      </c>
      <c r="W12" s="68" t="str">
        <f>IF(AND($D12&gt;0,W$7=$D12),"●","")</f>
        <v/>
      </c>
      <c r="X12" s="68" t="str">
        <f>IF(AND($D12&gt;0,X$7=$D12),"●","")</f>
        <v/>
      </c>
      <c r="Y12" s="68" t="str">
        <f>IF(AND($D12&gt;0,Y$7=$D12),"●","")</f>
        <v/>
      </c>
      <c r="Z12" s="68" t="str">
        <f>IF(AND($D12&gt;0,Z$7=$D12),"●","")</f>
        <v/>
      </c>
      <c r="AA12" s="68" t="str">
        <f>IF(AND($D12&gt;0,AA$7=$D12),"●","")</f>
        <v/>
      </c>
      <c r="AB12" s="68" t="str">
        <f>IF(AND($D12&gt;0,AB$7=$D12),"●","")</f>
        <v/>
      </c>
      <c r="AC12" s="68" t="str">
        <f>IF(AND($D12&gt;0,AC$7=$D12),"●","")</f>
        <v/>
      </c>
      <c r="AD12" s="68" t="str">
        <f>IF(AND($D12&gt;0,AD$7=$D12),"●","")</f>
        <v/>
      </c>
      <c r="AE12" s="68" t="str">
        <f>IF(AND($D12&gt;0,AE$7=$D12),"●","")</f>
        <v/>
      </c>
      <c r="AF12" s="68" t="str">
        <f>IF(AND($D12&gt;0,AF$7=$D12),"●","")</f>
        <v/>
      </c>
      <c r="AG12" s="68" t="str">
        <f>IF(AND($D12&gt;0,AG$7=$D12),"●","")</f>
        <v/>
      </c>
      <c r="AH12" s="68" t="str">
        <f>IF(AND($D12&gt;0,AH$7=$D12),"●","")</f>
        <v/>
      </c>
      <c r="AI12" s="68" t="str">
        <f>IF(AND($D12&gt;0,AI$7=$D12),"●","")</f>
        <v/>
      </c>
      <c r="AJ12" s="68" t="str">
        <f>IF(AND($D12&gt;0,AJ$7=$D12),"●","")</f>
        <v/>
      </c>
      <c r="AK12" s="68" t="str">
        <f>IF(AND($D12&gt;0,AK$7=$D12),"●","")</f>
        <v/>
      </c>
      <c r="AL12" s="68" t="str">
        <f>IF(AND($D12&gt;0,AL$7=$D12),"●","")</f>
        <v/>
      </c>
      <c r="AM12" s="68" t="str">
        <f>IF(AND($D12&gt;0,AM$7=$D12),"●","")</f>
        <v/>
      </c>
      <c r="AN12" s="68" t="str">
        <f>IF(AND($D12&gt;0,AN$7=$D12),"●","")</f>
        <v/>
      </c>
      <c r="AO12" s="68" t="str">
        <f>IF(AND($D12&gt;0,AO$7=$D12),"●","")</f>
        <v/>
      </c>
      <c r="AP12" s="68" t="str">
        <f>IF(AND($D12&gt;0,AP$7=$D12),"●","")</f>
        <v/>
      </c>
      <c r="AQ12" s="68" t="str">
        <f>IF(AND($D12&gt;0,AQ$7=$D12),"●","")</f>
        <v/>
      </c>
      <c r="AR12" s="68" t="str">
        <f>IF(AND($D12&gt;0,AR$7=$D12),"●","")</f>
        <v/>
      </c>
      <c r="AS12" s="68" t="str">
        <f>IF(AND($D12&gt;0,AS$7=$D12),"●","")</f>
        <v/>
      </c>
      <c r="AT12" s="68" t="str">
        <f>IF(AND($D12&gt;0,AT$7=$D12),"●","")</f>
        <v/>
      </c>
      <c r="AU12" s="68" t="str">
        <f>IF(AND($D12&gt;0,AU$7=$D12),"●","")</f>
        <v/>
      </c>
      <c r="AV12" s="68" t="str">
        <f>IF(AND($D12&gt;0,AV$7=$D12),"●","")</f>
        <v/>
      </c>
      <c r="AW12" s="68" t="str">
        <f>IF(AND($D12&gt;0,AW$7=$D12),"●","")</f>
        <v/>
      </c>
      <c r="AX12" s="68" t="str">
        <f>IF(AND($D12&gt;0,AX$7=$D12),"●","")</f>
        <v/>
      </c>
      <c r="AY12" s="68" t="str">
        <f>IF(AND($D12&gt;0,AY$7=$D12),"●","")</f>
        <v/>
      </c>
      <c r="AZ12" s="68" t="str">
        <f>IF(AND($D12&gt;0,AZ$7=$D12),"●","")</f>
        <v/>
      </c>
      <c r="BA12" s="68" t="str">
        <f>IF(AND($D12&gt;0,BA$7=$D12),"●","")</f>
        <v/>
      </c>
      <c r="BB12" s="68" t="str">
        <f>IF(AND($D12&gt;0,BB$7=$D12),"●","")</f>
        <v/>
      </c>
      <c r="BC12" s="68" t="str">
        <f>IF(AND($D12&gt;0,BC$7=$D12),"●","")</f>
        <v/>
      </c>
      <c r="BD12" s="68" t="str">
        <f>IF(AND($D12&gt;0,BD$7=$D12),"●","")</f>
        <v/>
      </c>
      <c r="BE12" s="68" t="str">
        <f>IF(AND($D12&gt;0,BE$7=$D12),"●","")</f>
        <v/>
      </c>
      <c r="BF12" s="68" t="str">
        <f>IF(AND($D12&gt;0,BF$7=$D12),"●","")</f>
        <v/>
      </c>
      <c r="BG12" s="68" t="str">
        <f>IF(AND($D12&gt;0,BG$7=$D12),"●","")</f>
        <v/>
      </c>
      <c r="BH12" s="68" t="str">
        <f>IF(AND($D12&gt;0,BH$7=$D12),"●","")</f>
        <v/>
      </c>
      <c r="BI12" s="68" t="str">
        <f>IF(AND($D12&gt;0,BI$7=$D12),"●","")</f>
        <v/>
      </c>
      <c r="BJ12" s="67" t="str">
        <f>IF(AND($D12&gt;0,BJ$7=$D12),"●","")</f>
        <v/>
      </c>
    </row>
    <row r="13" spans="1:62" x14ac:dyDescent="0.35">
      <c r="A13" s="55" t="str">
        <v>Yes</v>
      </c>
      <c r="B13" s="18">
        <v>1</v>
      </c>
      <c r="C13" s="72">
        <v>0</v>
      </c>
      <c r="D13" s="63">
        <f>IF(OR($C13&lt;=0,$G13=""),0,IF($B13=0,$G13,$G13+ROUNDUP($B13*$C13,0)-1))</f>
        <v>0</v>
      </c>
      <c r="E13" s="71" t="str">
        <v>Level the base</v>
      </c>
      <c r="F13" t="str">
        <v>NN</v>
      </c>
      <c r="G13" s="70">
        <f>IF($A13="Yes",SUMIF($A$8:$A12,"Yes",$B$8:$B12)+1,"")</f>
        <v>21</v>
      </c>
      <c r="H13" s="70">
        <v>21</v>
      </c>
      <c r="I13" s="70">
        <v>5</v>
      </c>
      <c r="J13" s="69">
        <v>100</v>
      </c>
      <c r="K13" s="68" t="str">
        <f>IF(AND($D13&gt;0,K$7=$D13),"●","")</f>
        <v/>
      </c>
      <c r="L13" s="68" t="str">
        <f>IF(AND($D13&gt;0,L$7=$D13),"●","")</f>
        <v/>
      </c>
      <c r="M13" s="68" t="str">
        <f>IF(AND($D13&gt;0,M$7=$D13),"●","")</f>
        <v/>
      </c>
      <c r="N13" s="68" t="str">
        <f>IF(AND($D13&gt;0,N$7=$D13),"●","")</f>
        <v/>
      </c>
      <c r="O13" s="68" t="str">
        <f>IF(AND($D13&gt;0,O$7=$D13),"●","")</f>
        <v/>
      </c>
      <c r="P13" s="68" t="str">
        <f>IF(AND($D13&gt;0,P$7=$D13),"●","")</f>
        <v/>
      </c>
      <c r="Q13" s="68" t="str">
        <f>IF(AND($D13&gt;0,Q$7=$D13),"●","")</f>
        <v/>
      </c>
      <c r="R13" s="68" t="str">
        <f>IF(AND($D13&gt;0,R$7=$D13),"●","")</f>
        <v/>
      </c>
      <c r="S13" s="68" t="str">
        <f>IF(AND($D13&gt;0,S$7=$D13),"●","")</f>
        <v/>
      </c>
      <c r="T13" s="68" t="str">
        <f>IF(AND($D13&gt;0,T$7=$D13),"●","")</f>
        <v/>
      </c>
      <c r="U13" s="68" t="str">
        <f>IF(AND($D13&gt;0,U$7=$D13),"●","")</f>
        <v/>
      </c>
      <c r="V13" s="68" t="str">
        <f>IF(AND($D13&gt;0,V$7=$D13),"●","")</f>
        <v/>
      </c>
      <c r="W13" s="68" t="str">
        <f>IF(AND($D13&gt;0,W$7=$D13),"●","")</f>
        <v/>
      </c>
      <c r="X13" s="68" t="str">
        <f>IF(AND($D13&gt;0,X$7=$D13),"●","")</f>
        <v/>
      </c>
      <c r="Y13" s="68" t="str">
        <f>IF(AND($D13&gt;0,Y$7=$D13),"●","")</f>
        <v/>
      </c>
      <c r="Z13" s="68" t="str">
        <f>IF(AND($D13&gt;0,Z$7=$D13),"●","")</f>
        <v/>
      </c>
      <c r="AA13" s="68" t="str">
        <f>IF(AND($D13&gt;0,AA$7=$D13),"●","")</f>
        <v/>
      </c>
      <c r="AB13" s="68" t="str">
        <f>IF(AND($D13&gt;0,AB$7=$D13),"●","")</f>
        <v/>
      </c>
      <c r="AC13" s="68" t="str">
        <f>IF(AND($D13&gt;0,AC$7=$D13),"●","")</f>
        <v/>
      </c>
      <c r="AD13" s="68" t="str">
        <f>IF(AND($D13&gt;0,AD$7=$D13),"●","")</f>
        <v/>
      </c>
      <c r="AE13" s="68" t="str">
        <f>IF(AND($D13&gt;0,AE$7=$D13),"●","")</f>
        <v/>
      </c>
      <c r="AF13" s="68" t="str">
        <f>IF(AND($D13&gt;0,AF$7=$D13),"●","")</f>
        <v/>
      </c>
      <c r="AG13" s="68" t="str">
        <f>IF(AND($D13&gt;0,AG$7=$D13),"●","")</f>
        <v/>
      </c>
      <c r="AH13" s="68" t="str">
        <f>IF(AND($D13&gt;0,AH$7=$D13),"●","")</f>
        <v/>
      </c>
      <c r="AI13" s="68" t="str">
        <f>IF(AND($D13&gt;0,AI$7=$D13),"●","")</f>
        <v/>
      </c>
      <c r="AJ13" s="68" t="str">
        <f>IF(AND($D13&gt;0,AJ$7=$D13),"●","")</f>
        <v/>
      </c>
      <c r="AK13" s="68" t="str">
        <f>IF(AND($D13&gt;0,AK$7=$D13),"●","")</f>
        <v/>
      </c>
      <c r="AL13" s="68" t="str">
        <f>IF(AND($D13&gt;0,AL$7=$D13),"●","")</f>
        <v/>
      </c>
      <c r="AM13" s="68" t="str">
        <f>IF(AND($D13&gt;0,AM$7=$D13),"●","")</f>
        <v/>
      </c>
      <c r="AN13" s="68" t="str">
        <f>IF(AND($D13&gt;0,AN$7=$D13),"●","")</f>
        <v/>
      </c>
      <c r="AO13" s="68" t="str">
        <f>IF(AND($D13&gt;0,AO$7=$D13),"●","")</f>
        <v/>
      </c>
      <c r="AP13" s="68" t="str">
        <f>IF(AND($D13&gt;0,AP$7=$D13),"●","")</f>
        <v/>
      </c>
      <c r="AQ13" s="68" t="str">
        <f>IF(AND($D13&gt;0,AQ$7=$D13),"●","")</f>
        <v/>
      </c>
      <c r="AR13" s="68" t="str">
        <f>IF(AND($D13&gt;0,AR$7=$D13),"●","")</f>
        <v/>
      </c>
      <c r="AS13" s="68" t="str">
        <f>IF(AND($D13&gt;0,AS$7=$D13),"●","")</f>
        <v/>
      </c>
      <c r="AT13" s="68" t="str">
        <f>IF(AND($D13&gt;0,AT$7=$D13),"●","")</f>
        <v/>
      </c>
      <c r="AU13" s="68" t="str">
        <f>IF(AND($D13&gt;0,AU$7=$D13),"●","")</f>
        <v/>
      </c>
      <c r="AV13" s="68" t="str">
        <f>IF(AND($D13&gt;0,AV$7=$D13),"●","")</f>
        <v/>
      </c>
      <c r="AW13" s="68" t="str">
        <f>IF(AND($D13&gt;0,AW$7=$D13),"●","")</f>
        <v/>
      </c>
      <c r="AX13" s="68" t="str">
        <f>IF(AND($D13&gt;0,AX$7=$D13),"●","")</f>
        <v/>
      </c>
      <c r="AY13" s="68" t="str">
        <f>IF(AND($D13&gt;0,AY$7=$D13),"●","")</f>
        <v/>
      </c>
      <c r="AZ13" s="68" t="str">
        <f>IF(AND($D13&gt;0,AZ$7=$D13),"●","")</f>
        <v/>
      </c>
      <c r="BA13" s="68" t="str">
        <f>IF(AND($D13&gt;0,BA$7=$D13),"●","")</f>
        <v/>
      </c>
      <c r="BB13" s="68" t="str">
        <f>IF(AND($D13&gt;0,BB$7=$D13),"●","")</f>
        <v/>
      </c>
      <c r="BC13" s="68" t="str">
        <f>IF(AND($D13&gt;0,BC$7=$D13),"●","")</f>
        <v/>
      </c>
      <c r="BD13" s="68" t="str">
        <f>IF(AND($D13&gt;0,BD$7=$D13),"●","")</f>
        <v/>
      </c>
      <c r="BE13" s="68" t="str">
        <f>IF(AND($D13&gt;0,BE$7=$D13),"●","")</f>
        <v/>
      </c>
      <c r="BF13" s="68" t="str">
        <f>IF(AND($D13&gt;0,BF$7=$D13),"●","")</f>
        <v/>
      </c>
      <c r="BG13" s="68" t="str">
        <f>IF(AND($D13&gt;0,BG$7=$D13),"●","")</f>
        <v/>
      </c>
      <c r="BH13" s="68" t="str">
        <f>IF(AND($D13&gt;0,BH$7=$D13),"●","")</f>
        <v/>
      </c>
      <c r="BI13" s="68" t="str">
        <f>IF(AND($D13&gt;0,BI$7=$D13),"●","")</f>
        <v/>
      </c>
      <c r="BJ13" s="67" t="str">
        <f>IF(AND($D13&gt;0,BJ$7=$D13),"●","")</f>
        <v/>
      </c>
    </row>
    <row r="14" spans="1:62" x14ac:dyDescent="0.35">
      <c r="A14" s="55" t="str">
        <v>Yes</v>
      </c>
      <c r="B14" s="18">
        <v>4</v>
      </c>
      <c r="C14" s="72">
        <v>0</v>
      </c>
      <c r="D14" s="63">
        <f>IF(OR($C14&lt;=0,$G14=""),0,IF($B14=0,$G14,$G14+ROUNDUP($B14*$C14,0)-1))</f>
        <v>0</v>
      </c>
      <c r="E14" s="71" t="str">
        <v>the Finish</v>
      </c>
      <c r="F14" t="str">
        <v>FE</v>
      </c>
      <c r="G14" s="70">
        <f>IF($A14="Yes",SUMIF($A$8:$A13,"Yes",$B$8:$B13)+1,"")</f>
        <v>22</v>
      </c>
      <c r="H14" s="70">
        <v>25</v>
      </c>
      <c r="I14" s="70">
        <v>34</v>
      </c>
      <c r="J14" s="69">
        <v>8000</v>
      </c>
      <c r="K14" s="68" t="str">
        <f>IF(AND($D14&gt;0,K$7=$D14),"●","")</f>
        <v/>
      </c>
      <c r="L14" s="68" t="str">
        <f>IF(AND($D14&gt;0,L$7=$D14),"●","")</f>
        <v/>
      </c>
      <c r="M14" s="68" t="str">
        <f>IF(AND($D14&gt;0,M$7=$D14),"●","")</f>
        <v/>
      </c>
      <c r="N14" s="68" t="str">
        <f>IF(AND($D14&gt;0,N$7=$D14),"●","")</f>
        <v/>
      </c>
      <c r="O14" s="68" t="str">
        <f>IF(AND($D14&gt;0,O$7=$D14),"●","")</f>
        <v/>
      </c>
      <c r="P14" s="68" t="str">
        <f>IF(AND($D14&gt;0,P$7=$D14),"●","")</f>
        <v/>
      </c>
      <c r="Q14" s="68" t="str">
        <f>IF(AND($D14&gt;0,Q$7=$D14),"●","")</f>
        <v/>
      </c>
      <c r="R14" s="68" t="str">
        <f>IF(AND($D14&gt;0,R$7=$D14),"●","")</f>
        <v/>
      </c>
      <c r="S14" s="68" t="str">
        <f>IF(AND($D14&gt;0,S$7=$D14),"●","")</f>
        <v/>
      </c>
      <c r="T14" s="68" t="str">
        <f>IF(AND($D14&gt;0,T$7=$D14),"●","")</f>
        <v/>
      </c>
      <c r="U14" s="68" t="str">
        <f>IF(AND($D14&gt;0,U$7=$D14),"●","")</f>
        <v/>
      </c>
      <c r="V14" s="68" t="str">
        <f>IF(AND($D14&gt;0,V$7=$D14),"●","")</f>
        <v/>
      </c>
      <c r="W14" s="68" t="str">
        <f>IF(AND($D14&gt;0,W$7=$D14),"●","")</f>
        <v/>
      </c>
      <c r="X14" s="68" t="str">
        <f>IF(AND($D14&gt;0,X$7=$D14),"●","")</f>
        <v/>
      </c>
      <c r="Y14" s="68" t="str">
        <f>IF(AND($D14&gt;0,Y$7=$D14),"●","")</f>
        <v/>
      </c>
      <c r="Z14" s="68" t="str">
        <f>IF(AND($D14&gt;0,Z$7=$D14),"●","")</f>
        <v/>
      </c>
      <c r="AA14" s="68" t="str">
        <f>IF(AND($D14&gt;0,AA$7=$D14),"●","")</f>
        <v/>
      </c>
      <c r="AB14" s="68" t="str">
        <f>IF(AND($D14&gt;0,AB$7=$D14),"●","")</f>
        <v/>
      </c>
      <c r="AC14" s="68" t="str">
        <f>IF(AND($D14&gt;0,AC$7=$D14),"●","")</f>
        <v/>
      </c>
      <c r="AD14" s="68" t="str">
        <f>IF(AND($D14&gt;0,AD$7=$D14),"●","")</f>
        <v/>
      </c>
      <c r="AE14" s="68" t="str">
        <f>IF(AND($D14&gt;0,AE$7=$D14),"●","")</f>
        <v/>
      </c>
      <c r="AF14" s="68" t="str">
        <f>IF(AND($D14&gt;0,AF$7=$D14),"●","")</f>
        <v/>
      </c>
      <c r="AG14" s="68" t="str">
        <f>IF(AND($D14&gt;0,AG$7=$D14),"●","")</f>
        <v/>
      </c>
      <c r="AH14" s="68" t="str">
        <f>IF(AND($D14&gt;0,AH$7=$D14),"●","")</f>
        <v/>
      </c>
      <c r="AI14" s="68" t="str">
        <f>IF(AND($D14&gt;0,AI$7=$D14),"●","")</f>
        <v/>
      </c>
      <c r="AJ14" s="68" t="str">
        <f>IF(AND($D14&gt;0,AJ$7=$D14),"●","")</f>
        <v/>
      </c>
      <c r="AK14" s="68" t="str">
        <f>IF(AND($D14&gt;0,AK$7=$D14),"●","")</f>
        <v/>
      </c>
      <c r="AL14" s="68" t="str">
        <f>IF(AND($D14&gt;0,AL$7=$D14),"●","")</f>
        <v/>
      </c>
      <c r="AM14" s="68" t="str">
        <f>IF(AND($D14&gt;0,AM$7=$D14),"●","")</f>
        <v/>
      </c>
      <c r="AN14" s="68" t="str">
        <f>IF(AND($D14&gt;0,AN$7=$D14),"●","")</f>
        <v/>
      </c>
      <c r="AO14" s="68" t="str">
        <f>IF(AND($D14&gt;0,AO$7=$D14),"●","")</f>
        <v/>
      </c>
      <c r="AP14" s="68" t="str">
        <f>IF(AND($D14&gt;0,AP$7=$D14),"●","")</f>
        <v/>
      </c>
      <c r="AQ14" s="68" t="str">
        <f>IF(AND($D14&gt;0,AQ$7=$D14),"●","")</f>
        <v/>
      </c>
      <c r="AR14" s="68" t="str">
        <f>IF(AND($D14&gt;0,AR$7=$D14),"●","")</f>
        <v/>
      </c>
      <c r="AS14" s="68" t="str">
        <f>IF(AND($D14&gt;0,AS$7=$D14),"●","")</f>
        <v/>
      </c>
      <c r="AT14" s="68" t="str">
        <f>IF(AND($D14&gt;0,AT$7=$D14),"●","")</f>
        <v/>
      </c>
      <c r="AU14" s="68" t="str">
        <f>IF(AND($D14&gt;0,AU$7=$D14),"●","")</f>
        <v/>
      </c>
      <c r="AV14" s="68" t="str">
        <f>IF(AND($D14&gt;0,AV$7=$D14),"●","")</f>
        <v/>
      </c>
      <c r="AW14" s="68" t="str">
        <f>IF(AND($D14&gt;0,AW$7=$D14),"●","")</f>
        <v/>
      </c>
      <c r="AX14" s="68" t="str">
        <f>IF(AND($D14&gt;0,AX$7=$D14),"●","")</f>
        <v/>
      </c>
      <c r="AY14" s="68" t="str">
        <f>IF(AND($D14&gt;0,AY$7=$D14),"●","")</f>
        <v/>
      </c>
      <c r="AZ14" s="68" t="str">
        <f>IF(AND($D14&gt;0,AZ$7=$D14),"●","")</f>
        <v/>
      </c>
      <c r="BA14" s="68" t="str">
        <f>IF(AND($D14&gt;0,BA$7=$D14),"●","")</f>
        <v/>
      </c>
      <c r="BB14" s="68" t="str">
        <f>IF(AND($D14&gt;0,BB$7=$D14),"●","")</f>
        <v/>
      </c>
      <c r="BC14" s="68" t="str">
        <f>IF(AND($D14&gt;0,BC$7=$D14),"●","")</f>
        <v/>
      </c>
      <c r="BD14" s="68" t="str">
        <f>IF(AND($D14&gt;0,BD$7=$D14),"●","")</f>
        <v/>
      </c>
      <c r="BE14" s="68" t="str">
        <f>IF(AND($D14&gt;0,BE$7=$D14),"●","")</f>
        <v/>
      </c>
      <c r="BF14" s="68" t="str">
        <f>IF(AND($D14&gt;0,BF$7=$D14),"●","")</f>
        <v/>
      </c>
      <c r="BG14" s="68" t="str">
        <f>IF(AND($D14&gt;0,BG$7=$D14),"●","")</f>
        <v/>
      </c>
      <c r="BH14" s="68" t="str">
        <f>IF(AND($D14&gt;0,BH$7=$D14),"●","")</f>
        <v/>
      </c>
      <c r="BI14" s="68" t="str">
        <f>IF(AND($D14&gt;0,BI$7=$D14),"●","")</f>
        <v/>
      </c>
      <c r="BJ14" s="67" t="str">
        <f>IF(AND($D14&gt;0,BJ$7=$D14),"●","")</f>
        <v/>
      </c>
    </row>
    <row r="15" spans="1:62" x14ac:dyDescent="0.35">
      <c r="A15" s="55" t="str">
        <v>Yes</v>
      </c>
      <c r="B15" s="18">
        <v>0</v>
      </c>
      <c r="C15" s="72">
        <v>0</v>
      </c>
      <c r="D15" s="63">
        <f>IF(OR($C15&lt;=0,$G15=""),0,IF($B15=0,$G15,$G15+ROUNDUP($B15*$C15,0)-1))</f>
        <v>0</v>
      </c>
      <c r="E15" s="71" t="str">
        <v>Delivery</v>
      </c>
      <c r="F15" t="str">
        <v>NN</v>
      </c>
      <c r="G15" s="70">
        <v>22</v>
      </c>
      <c r="H15" s="70">
        <v>22</v>
      </c>
      <c r="I15" s="70">
        <v>0</v>
      </c>
      <c r="J15" s="69">
        <v>0</v>
      </c>
      <c r="K15" s="68" t="str">
        <f>IF(AND($D15&gt;0,K$7=$D15),"●","")</f>
        <v/>
      </c>
      <c r="L15" s="68" t="str">
        <f>IF(AND($D15&gt;0,L$7=$D15),"●","")</f>
        <v/>
      </c>
      <c r="M15" s="68" t="str">
        <f>IF(AND($D15&gt;0,M$7=$D15),"●","")</f>
        <v/>
      </c>
      <c r="N15" s="68" t="str">
        <f>IF(AND($D15&gt;0,N$7=$D15),"●","")</f>
        <v/>
      </c>
      <c r="O15" s="68" t="str">
        <f>IF(AND($D15&gt;0,O$7=$D15),"●","")</f>
        <v/>
      </c>
      <c r="P15" s="68" t="str">
        <f>IF(AND($D15&gt;0,P$7=$D15),"●","")</f>
        <v/>
      </c>
      <c r="Q15" s="68" t="str">
        <f>IF(AND($D15&gt;0,Q$7=$D15),"●","")</f>
        <v/>
      </c>
      <c r="R15" s="68" t="str">
        <f>IF(AND($D15&gt;0,R$7=$D15),"●","")</f>
        <v/>
      </c>
      <c r="S15" s="68" t="str">
        <f>IF(AND($D15&gt;0,S$7=$D15),"●","")</f>
        <v/>
      </c>
      <c r="T15" s="68" t="str">
        <f>IF(AND($D15&gt;0,T$7=$D15),"●","")</f>
        <v/>
      </c>
      <c r="U15" s="68" t="str">
        <f>IF(AND($D15&gt;0,U$7=$D15),"●","")</f>
        <v/>
      </c>
      <c r="V15" s="68" t="str">
        <f>IF(AND($D15&gt;0,V$7=$D15),"●","")</f>
        <v/>
      </c>
      <c r="W15" s="68" t="str">
        <f>IF(AND($D15&gt;0,W$7=$D15),"●","")</f>
        <v/>
      </c>
      <c r="X15" s="68" t="str">
        <f>IF(AND($D15&gt;0,X$7=$D15),"●","")</f>
        <v/>
      </c>
      <c r="Y15" s="68" t="str">
        <f>IF(AND($D15&gt;0,Y$7=$D15),"●","")</f>
        <v/>
      </c>
      <c r="Z15" s="68" t="str">
        <f>IF(AND($D15&gt;0,Z$7=$D15),"●","")</f>
        <v/>
      </c>
      <c r="AA15" s="68" t="str">
        <f>IF(AND($D15&gt;0,AA$7=$D15),"●","")</f>
        <v/>
      </c>
      <c r="AB15" s="68" t="str">
        <f>IF(AND($D15&gt;0,AB$7=$D15),"●","")</f>
        <v/>
      </c>
      <c r="AC15" s="68" t="str">
        <f>IF(AND($D15&gt;0,AC$7=$D15),"●","")</f>
        <v/>
      </c>
      <c r="AD15" s="68" t="str">
        <f>IF(AND($D15&gt;0,AD$7=$D15),"●","")</f>
        <v/>
      </c>
      <c r="AE15" s="68" t="str">
        <f>IF(AND($D15&gt;0,AE$7=$D15),"●","")</f>
        <v/>
      </c>
      <c r="AF15" s="68" t="str">
        <f>IF(AND($D15&gt;0,AF$7=$D15),"●","")</f>
        <v/>
      </c>
      <c r="AG15" s="68" t="str">
        <f>IF(AND($D15&gt;0,AG$7=$D15),"●","")</f>
        <v/>
      </c>
      <c r="AH15" s="68" t="str">
        <f>IF(AND($D15&gt;0,AH$7=$D15),"●","")</f>
        <v/>
      </c>
      <c r="AI15" s="68" t="str">
        <f>IF(AND($D15&gt;0,AI$7=$D15),"●","")</f>
        <v/>
      </c>
      <c r="AJ15" s="68" t="str">
        <f>IF(AND($D15&gt;0,AJ$7=$D15),"●","")</f>
        <v/>
      </c>
      <c r="AK15" s="68" t="str">
        <f>IF(AND($D15&gt;0,AK$7=$D15),"●","")</f>
        <v/>
      </c>
      <c r="AL15" s="68" t="str">
        <f>IF(AND($D15&gt;0,AL$7=$D15),"●","")</f>
        <v/>
      </c>
      <c r="AM15" s="68" t="str">
        <f>IF(AND($D15&gt;0,AM$7=$D15),"●","")</f>
        <v/>
      </c>
      <c r="AN15" s="68" t="str">
        <f>IF(AND($D15&gt;0,AN$7=$D15),"●","")</f>
        <v/>
      </c>
      <c r="AO15" s="68" t="str">
        <f>IF(AND($D15&gt;0,AO$7=$D15),"●","")</f>
        <v/>
      </c>
      <c r="AP15" s="68" t="str">
        <f>IF(AND($D15&gt;0,AP$7=$D15),"●","")</f>
        <v/>
      </c>
      <c r="AQ15" s="68" t="str">
        <f>IF(AND($D15&gt;0,AQ$7=$D15),"●","")</f>
        <v/>
      </c>
      <c r="AR15" s="68" t="str">
        <f>IF(AND($D15&gt;0,AR$7=$D15),"●","")</f>
        <v/>
      </c>
      <c r="AS15" s="68" t="str">
        <f>IF(AND($D15&gt;0,AS$7=$D15),"●","")</f>
        <v/>
      </c>
      <c r="AT15" s="68" t="str">
        <f>IF(AND($D15&gt;0,AT$7=$D15),"●","")</f>
        <v/>
      </c>
      <c r="AU15" s="68" t="str">
        <f>IF(AND($D15&gt;0,AU$7=$D15),"●","")</f>
        <v/>
      </c>
      <c r="AV15" s="68" t="str">
        <f>IF(AND($D15&gt;0,AV$7=$D15),"●","")</f>
        <v/>
      </c>
      <c r="AW15" s="68" t="str">
        <f>IF(AND($D15&gt;0,AW$7=$D15),"●","")</f>
        <v/>
      </c>
      <c r="AX15" s="68" t="str">
        <f>IF(AND($D15&gt;0,AX$7=$D15),"●","")</f>
        <v/>
      </c>
      <c r="AY15" s="68" t="str">
        <f>IF(AND($D15&gt;0,AY$7=$D15),"●","")</f>
        <v/>
      </c>
      <c r="AZ15" s="68" t="str">
        <f>IF(AND($D15&gt;0,AZ$7=$D15),"●","")</f>
        <v/>
      </c>
      <c r="BA15" s="68" t="str">
        <f>IF(AND($D15&gt;0,BA$7=$D15),"●","")</f>
        <v/>
      </c>
      <c r="BB15" s="68" t="str">
        <f>IF(AND($D15&gt;0,BB$7=$D15),"●","")</f>
        <v/>
      </c>
      <c r="BC15" s="68" t="str">
        <f>IF(AND($D15&gt;0,BC$7=$D15),"●","")</f>
        <v/>
      </c>
      <c r="BD15" s="68" t="str">
        <f>IF(AND($D15&gt;0,BD$7=$D15),"●","")</f>
        <v/>
      </c>
      <c r="BE15" s="68" t="str">
        <f>IF(AND($D15&gt;0,BE$7=$D15),"●","")</f>
        <v/>
      </c>
      <c r="BF15" s="68" t="str">
        <f>IF(AND($D15&gt;0,BF$7=$D15),"●","")</f>
        <v/>
      </c>
      <c r="BG15" s="68" t="str">
        <f>IF(AND($D15&gt;0,BG$7=$D15),"●","")</f>
        <v/>
      </c>
      <c r="BH15" s="68" t="str">
        <f>IF(AND($D15&gt;0,BH$7=$D15),"●","")</f>
        <v/>
      </c>
      <c r="BI15" s="68" t="str">
        <f>IF(AND($D15&gt;0,BI$7=$D15),"●","")</f>
        <v/>
      </c>
      <c r="BJ15" s="67" t="str">
        <f>IF(AND($D15&gt;0,BJ$7=$D15),"●","")</f>
        <v/>
      </c>
    </row>
    <row r="16" spans="1:62" x14ac:dyDescent="0.35">
      <c r="A16" s="55" t="str">
        <v>Float</v>
      </c>
      <c r="B16" s="18">
        <v>0</v>
      </c>
      <c r="C16" s="72">
        <v>1</v>
      </c>
      <c r="D16" s="63">
        <f>IF(OR($C16&lt;=0,$G16=""),0,IF($B16=0,$G16,$G16+ROUNDUP($B16*$C16,0)-1))</f>
        <v>2</v>
      </c>
      <c r="E16" s="71" t="str">
        <v>Check funds</v>
      </c>
      <c r="F16" t="str">
        <v>FE</v>
      </c>
      <c r="G16" s="70">
        <v>2</v>
      </c>
      <c r="H16" s="70">
        <v>2</v>
      </c>
      <c r="I16" s="70">
        <v>0</v>
      </c>
      <c r="J16" s="69">
        <v>0</v>
      </c>
      <c r="K16" s="68" t="str">
        <f>IF(AND($D16&gt;0,K$7=$D16),"●","")</f>
        <v/>
      </c>
      <c r="L16" s="68" t="str">
        <f>IF(AND($D16&gt;0,L$7=$D16),"●","")</f>
        <v>●</v>
      </c>
      <c r="M16" s="68" t="str">
        <f>IF(AND($D16&gt;0,M$7=$D16),"●","")</f>
        <v/>
      </c>
      <c r="N16" s="68" t="str">
        <f>IF(AND($D16&gt;0,N$7=$D16),"●","")</f>
        <v/>
      </c>
      <c r="O16" s="68" t="str">
        <f>IF(AND($D16&gt;0,O$7=$D16),"●","")</f>
        <v/>
      </c>
      <c r="P16" s="68" t="str">
        <f>IF(AND($D16&gt;0,P$7=$D16),"●","")</f>
        <v/>
      </c>
      <c r="Q16" s="68" t="str">
        <f>IF(AND($D16&gt;0,Q$7=$D16),"●","")</f>
        <v/>
      </c>
      <c r="R16" s="68" t="str">
        <f>IF(AND($D16&gt;0,R$7=$D16),"●","")</f>
        <v/>
      </c>
      <c r="S16" s="68" t="str">
        <f>IF(AND($D16&gt;0,S$7=$D16),"●","")</f>
        <v/>
      </c>
      <c r="T16" s="68" t="str">
        <f>IF(AND($D16&gt;0,T$7=$D16),"●","")</f>
        <v/>
      </c>
      <c r="U16" s="68" t="str">
        <f>IF(AND($D16&gt;0,U$7=$D16),"●","")</f>
        <v/>
      </c>
      <c r="V16" s="68" t="str">
        <f>IF(AND($D16&gt;0,V$7=$D16),"●","")</f>
        <v/>
      </c>
      <c r="W16" s="68" t="str">
        <f>IF(AND($D16&gt;0,W$7=$D16),"●","")</f>
        <v/>
      </c>
      <c r="X16" s="68" t="str">
        <f>IF(AND($D16&gt;0,X$7=$D16),"●","")</f>
        <v/>
      </c>
      <c r="Y16" s="68" t="str">
        <f>IF(AND($D16&gt;0,Y$7=$D16),"●","")</f>
        <v/>
      </c>
      <c r="Z16" s="68" t="str">
        <f>IF(AND($D16&gt;0,Z$7=$D16),"●","")</f>
        <v/>
      </c>
      <c r="AA16" s="68" t="str">
        <f>IF(AND($D16&gt;0,AA$7=$D16),"●","")</f>
        <v/>
      </c>
      <c r="AB16" s="68" t="str">
        <f>IF(AND($D16&gt;0,AB$7=$D16),"●","")</f>
        <v/>
      </c>
      <c r="AC16" s="68" t="str">
        <f>IF(AND($D16&gt;0,AC$7=$D16),"●","")</f>
        <v/>
      </c>
      <c r="AD16" s="68" t="str">
        <f>IF(AND($D16&gt;0,AD$7=$D16),"●","")</f>
        <v/>
      </c>
      <c r="AE16" s="68" t="str">
        <f>IF(AND($D16&gt;0,AE$7=$D16),"●","")</f>
        <v/>
      </c>
      <c r="AF16" s="68" t="str">
        <f>IF(AND($D16&gt;0,AF$7=$D16),"●","")</f>
        <v/>
      </c>
      <c r="AG16" s="68" t="str">
        <f>IF(AND($D16&gt;0,AG$7=$D16),"●","")</f>
        <v/>
      </c>
      <c r="AH16" s="68" t="str">
        <f>IF(AND($D16&gt;0,AH$7=$D16),"●","")</f>
        <v/>
      </c>
      <c r="AI16" s="68" t="str">
        <f>IF(AND($D16&gt;0,AI$7=$D16),"●","")</f>
        <v/>
      </c>
      <c r="AJ16" s="68" t="str">
        <f>IF(AND($D16&gt;0,AJ$7=$D16),"●","")</f>
        <v/>
      </c>
      <c r="AK16" s="68" t="str">
        <f>IF(AND($D16&gt;0,AK$7=$D16),"●","")</f>
        <v/>
      </c>
      <c r="AL16" s="68" t="str">
        <f>IF(AND($D16&gt;0,AL$7=$D16),"●","")</f>
        <v/>
      </c>
      <c r="AM16" s="68" t="str">
        <f>IF(AND($D16&gt;0,AM$7=$D16),"●","")</f>
        <v/>
      </c>
      <c r="AN16" s="68" t="str">
        <f>IF(AND($D16&gt;0,AN$7=$D16),"●","")</f>
        <v/>
      </c>
      <c r="AO16" s="68" t="str">
        <f>IF(AND($D16&gt;0,AO$7=$D16),"●","")</f>
        <v/>
      </c>
      <c r="AP16" s="68" t="str">
        <f>IF(AND($D16&gt;0,AP$7=$D16),"●","")</f>
        <v/>
      </c>
      <c r="AQ16" s="68" t="str">
        <f>IF(AND($D16&gt;0,AQ$7=$D16),"●","")</f>
        <v/>
      </c>
      <c r="AR16" s="68" t="str">
        <f>IF(AND($D16&gt;0,AR$7=$D16),"●","")</f>
        <v/>
      </c>
      <c r="AS16" s="68" t="str">
        <f>IF(AND($D16&gt;0,AS$7=$D16),"●","")</f>
        <v/>
      </c>
      <c r="AT16" s="68" t="str">
        <f>IF(AND($D16&gt;0,AT$7=$D16),"●","")</f>
        <v/>
      </c>
      <c r="AU16" s="68" t="str">
        <f>IF(AND($D16&gt;0,AU$7=$D16),"●","")</f>
        <v/>
      </c>
      <c r="AV16" s="68" t="str">
        <f>IF(AND($D16&gt;0,AV$7=$D16),"●","")</f>
        <v/>
      </c>
      <c r="AW16" s="68" t="str">
        <f>IF(AND($D16&gt;0,AW$7=$D16),"●","")</f>
        <v/>
      </c>
      <c r="AX16" s="68" t="str">
        <f>IF(AND($D16&gt;0,AX$7=$D16),"●","")</f>
        <v/>
      </c>
      <c r="AY16" s="68" t="str">
        <f>IF(AND($D16&gt;0,AY$7=$D16),"●","")</f>
        <v/>
      </c>
      <c r="AZ16" s="68" t="str">
        <f>IF(AND($D16&gt;0,AZ$7=$D16),"●","")</f>
        <v/>
      </c>
      <c r="BA16" s="68" t="str">
        <f>IF(AND($D16&gt;0,BA$7=$D16),"●","")</f>
        <v/>
      </c>
      <c r="BB16" s="68" t="str">
        <f>IF(AND($D16&gt;0,BB$7=$D16),"●","")</f>
        <v/>
      </c>
      <c r="BC16" s="68" t="str">
        <f>IF(AND($D16&gt;0,BC$7=$D16),"●","")</f>
        <v/>
      </c>
      <c r="BD16" s="68" t="str">
        <f>IF(AND($D16&gt;0,BD$7=$D16),"●","")</f>
        <v/>
      </c>
      <c r="BE16" s="68" t="str">
        <f>IF(AND($D16&gt;0,BE$7=$D16),"●","")</f>
        <v/>
      </c>
      <c r="BF16" s="68" t="str">
        <f>IF(AND($D16&gt;0,BF$7=$D16),"●","")</f>
        <v/>
      </c>
      <c r="BG16" s="68" t="str">
        <f>IF(AND($D16&gt;0,BG$7=$D16),"●","")</f>
        <v/>
      </c>
      <c r="BH16" s="68" t="str">
        <f>IF(AND($D16&gt;0,BH$7=$D16),"●","")</f>
        <v/>
      </c>
      <c r="BI16" s="68" t="str">
        <f>IF(AND($D16&gt;0,BI$7=$D16),"●","")</f>
        <v/>
      </c>
      <c r="BJ16" s="67" t="str">
        <f>IF(AND($D16&gt;0,BJ$7=$D16),"●","")</f>
        <v/>
      </c>
    </row>
    <row r="17" spans="1:62" x14ac:dyDescent="0.35">
      <c r="A17" s="55" t="str">
        <v>Float</v>
      </c>
      <c r="B17" s="18">
        <v>1</v>
      </c>
      <c r="C17" s="72">
        <v>0</v>
      </c>
      <c r="D17" s="63">
        <f>IF(OR($C17&lt;=0,$G17=""),0,IF($B17=0,$G17,$G17+ROUNDUP($B17*$C17,0)-1))</f>
        <v>0</v>
      </c>
      <c r="E17" s="71" t="str">
        <v>Demolish old shed</v>
      </c>
      <c r="F17" t="str">
        <v>NN</v>
      </c>
      <c r="G17" s="70">
        <v>3</v>
      </c>
      <c r="H17" s="70">
        <v>3</v>
      </c>
      <c r="I17" s="70">
        <v>6</v>
      </c>
      <c r="J17" s="69">
        <v>300</v>
      </c>
      <c r="K17" s="68" t="str">
        <f>IF(AND($D17&gt;0,K$7=$D17),"●","")</f>
        <v/>
      </c>
      <c r="L17" s="68" t="str">
        <f>IF(AND($D17&gt;0,L$7=$D17),"●","")</f>
        <v/>
      </c>
      <c r="M17" s="68" t="str">
        <f>IF(AND($D17&gt;0,M$7=$D17),"●","")</f>
        <v/>
      </c>
      <c r="N17" s="68" t="str">
        <f>IF(AND($D17&gt;0,N$7=$D17),"●","")</f>
        <v/>
      </c>
      <c r="O17" s="68" t="str">
        <f>IF(AND($D17&gt;0,O$7=$D17),"●","")</f>
        <v/>
      </c>
      <c r="P17" s="68" t="str">
        <f>IF(AND($D17&gt;0,P$7=$D17),"●","")</f>
        <v/>
      </c>
      <c r="Q17" s="68" t="str">
        <f>IF(AND($D17&gt;0,Q$7=$D17),"●","")</f>
        <v/>
      </c>
      <c r="R17" s="68" t="str">
        <f>IF(AND($D17&gt;0,R$7=$D17),"●","")</f>
        <v/>
      </c>
      <c r="S17" s="68" t="str">
        <f>IF(AND($D17&gt;0,S$7=$D17),"●","")</f>
        <v/>
      </c>
      <c r="T17" s="68" t="str">
        <f>IF(AND($D17&gt;0,T$7=$D17),"●","")</f>
        <v/>
      </c>
      <c r="U17" s="68" t="str">
        <f>IF(AND($D17&gt;0,U$7=$D17),"●","")</f>
        <v/>
      </c>
      <c r="V17" s="68" t="str">
        <f>IF(AND($D17&gt;0,V$7=$D17),"●","")</f>
        <v/>
      </c>
      <c r="W17" s="68" t="str">
        <f>IF(AND($D17&gt;0,W$7=$D17),"●","")</f>
        <v/>
      </c>
      <c r="X17" s="68" t="str">
        <f>IF(AND($D17&gt;0,X$7=$D17),"●","")</f>
        <v/>
      </c>
      <c r="Y17" s="68" t="str">
        <f>IF(AND($D17&gt;0,Y$7=$D17),"●","")</f>
        <v/>
      </c>
      <c r="Z17" s="68" t="str">
        <f>IF(AND($D17&gt;0,Z$7=$D17),"●","")</f>
        <v/>
      </c>
      <c r="AA17" s="68" t="str">
        <f>IF(AND($D17&gt;0,AA$7=$D17),"●","")</f>
        <v/>
      </c>
      <c r="AB17" s="68" t="str">
        <f>IF(AND($D17&gt;0,AB$7=$D17),"●","")</f>
        <v/>
      </c>
      <c r="AC17" s="68" t="str">
        <f>IF(AND($D17&gt;0,AC$7=$D17),"●","")</f>
        <v/>
      </c>
      <c r="AD17" s="68" t="str">
        <f>IF(AND($D17&gt;0,AD$7=$D17),"●","")</f>
        <v/>
      </c>
      <c r="AE17" s="68" t="str">
        <f>IF(AND($D17&gt;0,AE$7=$D17),"●","")</f>
        <v/>
      </c>
      <c r="AF17" s="68" t="str">
        <f>IF(AND($D17&gt;0,AF$7=$D17),"●","")</f>
        <v/>
      </c>
      <c r="AG17" s="68" t="str">
        <f>IF(AND($D17&gt;0,AG$7=$D17),"●","")</f>
        <v/>
      </c>
      <c r="AH17" s="68" t="str">
        <f>IF(AND($D17&gt;0,AH$7=$D17),"●","")</f>
        <v/>
      </c>
      <c r="AI17" s="68" t="str">
        <f>IF(AND($D17&gt;0,AI$7=$D17),"●","")</f>
        <v/>
      </c>
      <c r="AJ17" s="68" t="str">
        <f>IF(AND($D17&gt;0,AJ$7=$D17),"●","")</f>
        <v/>
      </c>
      <c r="AK17" s="68" t="str">
        <f>IF(AND($D17&gt;0,AK$7=$D17),"●","")</f>
        <v/>
      </c>
      <c r="AL17" s="68" t="str">
        <f>IF(AND($D17&gt;0,AL$7=$D17),"●","")</f>
        <v/>
      </c>
      <c r="AM17" s="68" t="str">
        <f>IF(AND($D17&gt;0,AM$7=$D17),"●","")</f>
        <v/>
      </c>
      <c r="AN17" s="68" t="str">
        <f>IF(AND($D17&gt;0,AN$7=$D17),"●","")</f>
        <v/>
      </c>
      <c r="AO17" s="68" t="str">
        <f>IF(AND($D17&gt;0,AO$7=$D17),"●","")</f>
        <v/>
      </c>
      <c r="AP17" s="68" t="str">
        <f>IF(AND($D17&gt;0,AP$7=$D17),"●","")</f>
        <v/>
      </c>
      <c r="AQ17" s="68" t="str">
        <f>IF(AND($D17&gt;0,AQ$7=$D17),"●","")</f>
        <v/>
      </c>
      <c r="AR17" s="68" t="str">
        <f>IF(AND($D17&gt;0,AR$7=$D17),"●","")</f>
        <v/>
      </c>
      <c r="AS17" s="68" t="str">
        <f>IF(AND($D17&gt;0,AS$7=$D17),"●","")</f>
        <v/>
      </c>
      <c r="AT17" s="68" t="str">
        <f>IF(AND($D17&gt;0,AT$7=$D17),"●","")</f>
        <v/>
      </c>
      <c r="AU17" s="68" t="str">
        <f>IF(AND($D17&gt;0,AU$7=$D17),"●","")</f>
        <v/>
      </c>
      <c r="AV17" s="68" t="str">
        <f>IF(AND($D17&gt;0,AV$7=$D17),"●","")</f>
        <v/>
      </c>
      <c r="AW17" s="68" t="str">
        <f>IF(AND($D17&gt;0,AW$7=$D17),"●","")</f>
        <v/>
      </c>
      <c r="AX17" s="68" t="str">
        <f>IF(AND($D17&gt;0,AX$7=$D17),"●","")</f>
        <v/>
      </c>
      <c r="AY17" s="68" t="str">
        <f>IF(AND($D17&gt;0,AY$7=$D17),"●","")</f>
        <v/>
      </c>
      <c r="AZ17" s="68" t="str">
        <f>IF(AND($D17&gt;0,AZ$7=$D17),"●","")</f>
        <v/>
      </c>
      <c r="BA17" s="68" t="str">
        <f>IF(AND($D17&gt;0,BA$7=$D17),"●","")</f>
        <v/>
      </c>
      <c r="BB17" s="68" t="str">
        <f>IF(AND($D17&gt;0,BB$7=$D17),"●","")</f>
        <v/>
      </c>
      <c r="BC17" s="68" t="str">
        <f>IF(AND($D17&gt;0,BC$7=$D17),"●","")</f>
        <v/>
      </c>
      <c r="BD17" s="68" t="str">
        <f>IF(AND($D17&gt;0,BD$7=$D17),"●","")</f>
        <v/>
      </c>
      <c r="BE17" s="68" t="str">
        <f>IF(AND($D17&gt;0,BE$7=$D17),"●","")</f>
        <v/>
      </c>
      <c r="BF17" s="68" t="str">
        <f>IF(AND($D17&gt;0,BF$7=$D17),"●","")</f>
        <v/>
      </c>
      <c r="BG17" s="68" t="str">
        <f>IF(AND($D17&gt;0,BG$7=$D17),"●","")</f>
        <v/>
      </c>
      <c r="BH17" s="68" t="str">
        <f>IF(AND($D17&gt;0,BH$7=$D17),"●","")</f>
        <v/>
      </c>
      <c r="BI17" s="68" t="str">
        <f>IF(AND($D17&gt;0,BI$7=$D17),"●","")</f>
        <v/>
      </c>
      <c r="BJ17" s="67" t="str">
        <f>IF(AND($D17&gt;0,BJ$7=$D17),"●","")</f>
        <v/>
      </c>
    </row>
    <row r="18" spans="1:62" x14ac:dyDescent="0.35">
      <c r="A18" s="55" t="str">
        <v>Float</v>
      </c>
      <c r="B18" s="18">
        <v>4</v>
      </c>
      <c r="C18" s="72">
        <v>0</v>
      </c>
      <c r="D18" s="63">
        <f>IF(OR($C18&lt;=0,$G18=""),0,IF($B18=0,$G18,$G18+ROUNDUP($B18*$C18,0)-1))</f>
        <v>0</v>
      </c>
      <c r="E18" s="71" t="str">
        <v>Cut foliage back</v>
      </c>
      <c r="F18" t="str">
        <v>NN</v>
      </c>
      <c r="G18" s="70">
        <v>8</v>
      </c>
      <c r="H18" s="70">
        <v>11</v>
      </c>
      <c r="I18" s="70">
        <v>10</v>
      </c>
      <c r="J18" s="69">
        <v>500</v>
      </c>
      <c r="K18" s="68" t="str">
        <f>IF(AND($D18&gt;0,K$7=$D18),"●","")</f>
        <v/>
      </c>
      <c r="L18" s="68" t="str">
        <f>IF(AND($D18&gt;0,L$7=$D18),"●","")</f>
        <v/>
      </c>
      <c r="M18" s="68" t="str">
        <f>IF(AND($D18&gt;0,M$7=$D18),"●","")</f>
        <v/>
      </c>
      <c r="N18" s="68" t="str">
        <f>IF(AND($D18&gt;0,N$7=$D18),"●","")</f>
        <v/>
      </c>
      <c r="O18" s="68" t="str">
        <f>IF(AND($D18&gt;0,O$7=$D18),"●","")</f>
        <v/>
      </c>
      <c r="P18" s="68" t="str">
        <f>IF(AND($D18&gt;0,P$7=$D18),"●","")</f>
        <v/>
      </c>
      <c r="Q18" s="68" t="str">
        <f>IF(AND($D18&gt;0,Q$7=$D18),"●","")</f>
        <v/>
      </c>
      <c r="R18" s="68" t="str">
        <f>IF(AND($D18&gt;0,R$7=$D18),"●","")</f>
        <v/>
      </c>
      <c r="S18" s="68" t="str">
        <f>IF(AND($D18&gt;0,S$7=$D18),"●","")</f>
        <v/>
      </c>
      <c r="T18" s="68" t="str">
        <f>IF(AND($D18&gt;0,T$7=$D18),"●","")</f>
        <v/>
      </c>
      <c r="U18" s="68" t="str">
        <f>IF(AND($D18&gt;0,U$7=$D18),"●","")</f>
        <v/>
      </c>
      <c r="V18" s="68" t="str">
        <f>IF(AND($D18&gt;0,V$7=$D18),"●","")</f>
        <v/>
      </c>
      <c r="W18" s="68" t="str">
        <f>IF(AND($D18&gt;0,W$7=$D18),"●","")</f>
        <v/>
      </c>
      <c r="X18" s="68" t="str">
        <f>IF(AND($D18&gt;0,X$7=$D18),"●","")</f>
        <v/>
      </c>
      <c r="Y18" s="68" t="str">
        <f>IF(AND($D18&gt;0,Y$7=$D18),"●","")</f>
        <v/>
      </c>
      <c r="Z18" s="68" t="str">
        <f>IF(AND($D18&gt;0,Z$7=$D18),"●","")</f>
        <v/>
      </c>
      <c r="AA18" s="68" t="str">
        <f>IF(AND($D18&gt;0,AA$7=$D18),"●","")</f>
        <v/>
      </c>
      <c r="AB18" s="68" t="str">
        <f>IF(AND($D18&gt;0,AB$7=$D18),"●","")</f>
        <v/>
      </c>
      <c r="AC18" s="68" t="str">
        <f>IF(AND($D18&gt;0,AC$7=$D18),"●","")</f>
        <v/>
      </c>
      <c r="AD18" s="68" t="str">
        <f>IF(AND($D18&gt;0,AD$7=$D18),"●","")</f>
        <v/>
      </c>
      <c r="AE18" s="68" t="str">
        <f>IF(AND($D18&gt;0,AE$7=$D18),"●","")</f>
        <v/>
      </c>
      <c r="AF18" s="68" t="str">
        <f>IF(AND($D18&gt;0,AF$7=$D18),"●","")</f>
        <v/>
      </c>
      <c r="AG18" s="68" t="str">
        <f>IF(AND($D18&gt;0,AG$7=$D18),"●","")</f>
        <v/>
      </c>
      <c r="AH18" s="68" t="str">
        <f>IF(AND($D18&gt;0,AH$7=$D18),"●","")</f>
        <v/>
      </c>
      <c r="AI18" s="68" t="str">
        <f>IF(AND($D18&gt;0,AI$7=$D18),"●","")</f>
        <v/>
      </c>
      <c r="AJ18" s="68" t="str">
        <f>IF(AND($D18&gt;0,AJ$7=$D18),"●","")</f>
        <v/>
      </c>
      <c r="AK18" s="68" t="str">
        <f>IF(AND($D18&gt;0,AK$7=$D18),"●","")</f>
        <v/>
      </c>
      <c r="AL18" s="68" t="str">
        <f>IF(AND($D18&gt;0,AL$7=$D18),"●","")</f>
        <v/>
      </c>
      <c r="AM18" s="68" t="str">
        <f>IF(AND($D18&gt;0,AM$7=$D18),"●","")</f>
        <v/>
      </c>
      <c r="AN18" s="68" t="str">
        <f>IF(AND($D18&gt;0,AN$7=$D18),"●","")</f>
        <v/>
      </c>
      <c r="AO18" s="68" t="str">
        <f>IF(AND($D18&gt;0,AO$7=$D18),"●","")</f>
        <v/>
      </c>
      <c r="AP18" s="68" t="str">
        <f>IF(AND($D18&gt;0,AP$7=$D18),"●","")</f>
        <v/>
      </c>
      <c r="AQ18" s="68" t="str">
        <f>IF(AND($D18&gt;0,AQ$7=$D18),"●","")</f>
        <v/>
      </c>
      <c r="AR18" s="68" t="str">
        <f>IF(AND($D18&gt;0,AR$7=$D18),"●","")</f>
        <v/>
      </c>
      <c r="AS18" s="68" t="str">
        <f>IF(AND($D18&gt;0,AS$7=$D18),"●","")</f>
        <v/>
      </c>
      <c r="AT18" s="68" t="str">
        <f>IF(AND($D18&gt;0,AT$7=$D18),"●","")</f>
        <v/>
      </c>
      <c r="AU18" s="68" t="str">
        <f>IF(AND($D18&gt;0,AU$7=$D18),"●","")</f>
        <v/>
      </c>
      <c r="AV18" s="68" t="str">
        <f>IF(AND($D18&gt;0,AV$7=$D18),"●","")</f>
        <v/>
      </c>
      <c r="AW18" s="68" t="str">
        <f>IF(AND($D18&gt;0,AW$7=$D18),"●","")</f>
        <v/>
      </c>
      <c r="AX18" s="68" t="str">
        <f>IF(AND($D18&gt;0,AX$7=$D18),"●","")</f>
        <v/>
      </c>
      <c r="AY18" s="68" t="str">
        <f>IF(AND($D18&gt;0,AY$7=$D18),"●","")</f>
        <v/>
      </c>
      <c r="AZ18" s="68" t="str">
        <f>IF(AND($D18&gt;0,AZ$7=$D18),"●","")</f>
        <v/>
      </c>
      <c r="BA18" s="68" t="str">
        <f>IF(AND($D18&gt;0,BA$7=$D18),"●","")</f>
        <v/>
      </c>
      <c r="BB18" s="68" t="str">
        <f>IF(AND($D18&gt;0,BB$7=$D18),"●","")</f>
        <v/>
      </c>
      <c r="BC18" s="68" t="str">
        <f>IF(AND($D18&gt;0,BC$7=$D18),"●","")</f>
        <v/>
      </c>
      <c r="BD18" s="68" t="str">
        <f>IF(AND($D18&gt;0,BD$7=$D18),"●","")</f>
        <v/>
      </c>
      <c r="BE18" s="68" t="str">
        <f>IF(AND($D18&gt;0,BE$7=$D18),"●","")</f>
        <v/>
      </c>
      <c r="BF18" s="68" t="str">
        <f>IF(AND($D18&gt;0,BF$7=$D18),"●","")</f>
        <v/>
      </c>
      <c r="BG18" s="68" t="str">
        <f>IF(AND($D18&gt;0,BG$7=$D18),"●","")</f>
        <v/>
      </c>
      <c r="BH18" s="68" t="str">
        <f>IF(AND($D18&gt;0,BH$7=$D18),"●","")</f>
        <v/>
      </c>
      <c r="BI18" s="68" t="str">
        <f>IF(AND($D18&gt;0,BI$7=$D18),"●","")</f>
        <v/>
      </c>
      <c r="BJ18" s="67" t="str">
        <f>IF(AND($D18&gt;0,BJ$7=$D18),"●","")</f>
        <v/>
      </c>
    </row>
    <row r="19" spans="1:62" x14ac:dyDescent="0.35">
      <c r="A19" s="55" t="str">
        <v>Float</v>
      </c>
      <c r="B19" s="18">
        <v>0</v>
      </c>
      <c r="C19" s="72">
        <v>0</v>
      </c>
      <c r="D19" s="63">
        <f>IF(OR($C19&lt;=0,$G19=""),0,IF($B19=0,$G19,$G19+ROUNDUP($B19*$C19,0)-1))</f>
        <v>0</v>
      </c>
      <c r="E19" s="71" t="str">
        <v>Connect Power</v>
      </c>
      <c r="F19" t="str">
        <v>NN</v>
      </c>
      <c r="G19" s="70">
        <v>13</v>
      </c>
      <c r="H19" s="70">
        <v>13</v>
      </c>
      <c r="I19" s="70">
        <v>0</v>
      </c>
      <c r="J19" s="69">
        <v>0</v>
      </c>
      <c r="K19" s="68" t="str">
        <f>IF(AND($D19&gt;0,K$7=$D19),"●","")</f>
        <v/>
      </c>
      <c r="L19" s="68" t="str">
        <f>IF(AND($D19&gt;0,L$7=$D19),"●","")</f>
        <v/>
      </c>
      <c r="M19" s="68" t="str">
        <f>IF(AND($D19&gt;0,M$7=$D19),"●","")</f>
        <v/>
      </c>
      <c r="N19" s="68" t="str">
        <f>IF(AND($D19&gt;0,N$7=$D19),"●","")</f>
        <v/>
      </c>
      <c r="O19" s="68" t="str">
        <f>IF(AND($D19&gt;0,O$7=$D19),"●","")</f>
        <v/>
      </c>
      <c r="P19" s="68" t="str">
        <f>IF(AND($D19&gt;0,P$7=$D19),"●","")</f>
        <v/>
      </c>
      <c r="Q19" s="68" t="str">
        <f>IF(AND($D19&gt;0,Q$7=$D19),"●","")</f>
        <v/>
      </c>
      <c r="R19" s="68" t="str">
        <f>IF(AND($D19&gt;0,R$7=$D19),"●","")</f>
        <v/>
      </c>
      <c r="S19" s="68" t="str">
        <f>IF(AND($D19&gt;0,S$7=$D19),"●","")</f>
        <v/>
      </c>
      <c r="T19" s="68" t="str">
        <f>IF(AND($D19&gt;0,T$7=$D19),"●","")</f>
        <v/>
      </c>
      <c r="U19" s="68" t="str">
        <f>IF(AND($D19&gt;0,U$7=$D19),"●","")</f>
        <v/>
      </c>
      <c r="V19" s="68" t="str">
        <f>IF(AND($D19&gt;0,V$7=$D19),"●","")</f>
        <v/>
      </c>
      <c r="W19" s="68" t="str">
        <f>IF(AND($D19&gt;0,W$7=$D19),"●","")</f>
        <v/>
      </c>
      <c r="X19" s="68" t="str">
        <f>IF(AND($D19&gt;0,X$7=$D19),"●","")</f>
        <v/>
      </c>
      <c r="Y19" s="68" t="str">
        <f>IF(AND($D19&gt;0,Y$7=$D19),"●","")</f>
        <v/>
      </c>
      <c r="Z19" s="68" t="str">
        <f>IF(AND($D19&gt;0,Z$7=$D19),"●","")</f>
        <v/>
      </c>
      <c r="AA19" s="68" t="str">
        <f>IF(AND($D19&gt;0,AA$7=$D19),"●","")</f>
        <v/>
      </c>
      <c r="AB19" s="68" t="str">
        <f>IF(AND($D19&gt;0,AB$7=$D19),"●","")</f>
        <v/>
      </c>
      <c r="AC19" s="68" t="str">
        <f>IF(AND($D19&gt;0,AC$7=$D19),"●","")</f>
        <v/>
      </c>
      <c r="AD19" s="68" t="str">
        <f>IF(AND($D19&gt;0,AD$7=$D19),"●","")</f>
        <v/>
      </c>
      <c r="AE19" s="68" t="str">
        <f>IF(AND($D19&gt;0,AE$7=$D19),"●","")</f>
        <v/>
      </c>
      <c r="AF19" s="68" t="str">
        <f>IF(AND($D19&gt;0,AF$7=$D19),"●","")</f>
        <v/>
      </c>
      <c r="AG19" s="68" t="str">
        <f>IF(AND($D19&gt;0,AG$7=$D19),"●","")</f>
        <v/>
      </c>
      <c r="AH19" s="68" t="str">
        <f>IF(AND($D19&gt;0,AH$7=$D19),"●","")</f>
        <v/>
      </c>
      <c r="AI19" s="68" t="str">
        <f>IF(AND($D19&gt;0,AI$7=$D19),"●","")</f>
        <v/>
      </c>
      <c r="AJ19" s="68" t="str">
        <f>IF(AND($D19&gt;0,AJ$7=$D19),"●","")</f>
        <v/>
      </c>
      <c r="AK19" s="68" t="str">
        <f>IF(AND($D19&gt;0,AK$7=$D19),"●","")</f>
        <v/>
      </c>
      <c r="AL19" s="68" t="str">
        <f>IF(AND($D19&gt;0,AL$7=$D19),"●","")</f>
        <v/>
      </c>
      <c r="AM19" s="68" t="str">
        <f>IF(AND($D19&gt;0,AM$7=$D19),"●","")</f>
        <v/>
      </c>
      <c r="AN19" s="68" t="str">
        <f>IF(AND($D19&gt;0,AN$7=$D19),"●","")</f>
        <v/>
      </c>
      <c r="AO19" s="68" t="str">
        <f>IF(AND($D19&gt;0,AO$7=$D19),"●","")</f>
        <v/>
      </c>
      <c r="AP19" s="68" t="str">
        <f>IF(AND($D19&gt;0,AP$7=$D19),"●","")</f>
        <v/>
      </c>
      <c r="AQ19" s="68" t="str">
        <f>IF(AND($D19&gt;0,AQ$7=$D19),"●","")</f>
        <v/>
      </c>
      <c r="AR19" s="68" t="str">
        <f>IF(AND($D19&gt;0,AR$7=$D19),"●","")</f>
        <v/>
      </c>
      <c r="AS19" s="68" t="str">
        <f>IF(AND($D19&gt;0,AS$7=$D19),"●","")</f>
        <v/>
      </c>
      <c r="AT19" s="68" t="str">
        <f>IF(AND($D19&gt;0,AT$7=$D19),"●","")</f>
        <v/>
      </c>
      <c r="AU19" s="68" t="str">
        <f>IF(AND($D19&gt;0,AU$7=$D19),"●","")</f>
        <v/>
      </c>
      <c r="AV19" s="68" t="str">
        <f>IF(AND($D19&gt;0,AV$7=$D19),"●","")</f>
        <v/>
      </c>
      <c r="AW19" s="68" t="str">
        <f>IF(AND($D19&gt;0,AW$7=$D19),"●","")</f>
        <v/>
      </c>
      <c r="AX19" s="68" t="str">
        <f>IF(AND($D19&gt;0,AX$7=$D19),"●","")</f>
        <v/>
      </c>
      <c r="AY19" s="68" t="str">
        <f>IF(AND($D19&gt;0,AY$7=$D19),"●","")</f>
        <v/>
      </c>
      <c r="AZ19" s="68" t="str">
        <f>IF(AND($D19&gt;0,AZ$7=$D19),"●","")</f>
        <v/>
      </c>
      <c r="BA19" s="68" t="str">
        <f>IF(AND($D19&gt;0,BA$7=$D19),"●","")</f>
        <v/>
      </c>
      <c r="BB19" s="68" t="str">
        <f>IF(AND($D19&gt;0,BB$7=$D19),"●","")</f>
        <v/>
      </c>
      <c r="BC19" s="68" t="str">
        <f>IF(AND($D19&gt;0,BC$7=$D19),"●","")</f>
        <v/>
      </c>
      <c r="BD19" s="68" t="str">
        <f>IF(AND($D19&gt;0,BD$7=$D19),"●","")</f>
        <v/>
      </c>
      <c r="BE19" s="68" t="str">
        <f>IF(AND($D19&gt;0,BE$7=$D19),"●","")</f>
        <v/>
      </c>
      <c r="BF19" s="68" t="str">
        <f>IF(AND($D19&gt;0,BF$7=$D19),"●","")</f>
        <v/>
      </c>
      <c r="BG19" s="68" t="str">
        <f>IF(AND($D19&gt;0,BG$7=$D19),"●","")</f>
        <v/>
      </c>
      <c r="BH19" s="68" t="str">
        <f>IF(AND($D19&gt;0,BH$7=$D19),"●","")</f>
        <v/>
      </c>
      <c r="BI19" s="68" t="str">
        <f>IF(AND($D19&gt;0,BI$7=$D19),"●","")</f>
        <v/>
      </c>
      <c r="BJ19" s="67" t="str">
        <f>IF(AND($D19&gt;0,BJ$7=$D19),"●","")</f>
        <v/>
      </c>
    </row>
    <row r="20" spans="1:62" x14ac:dyDescent="0.35">
      <c r="A20" s="55" t="str">
        <v>Float</v>
      </c>
      <c r="B20" s="18">
        <v>1</v>
      </c>
      <c r="C20" s="72">
        <v>1</v>
      </c>
      <c r="D20" s="63">
        <f>IF(OR($C20&lt;=0,$G20=""),0,IF($B20=0,$G20,$G20+ROUNDUP($B20*$C20,0)-1))</f>
        <v>4</v>
      </c>
      <c r="E20" s="71" t="str">
        <v>Find suppliers</v>
      </c>
      <c r="F20" t="str">
        <v>FE</v>
      </c>
      <c r="G20" s="70">
        <v>4</v>
      </c>
      <c r="H20" s="70">
        <v>4</v>
      </c>
      <c r="I20" s="70">
        <v>0</v>
      </c>
      <c r="J20" s="69">
        <v>0</v>
      </c>
      <c r="K20" s="68" t="str">
        <f>IF(AND($D20&gt;0,K$7=$D20),"●","")</f>
        <v/>
      </c>
      <c r="L20" s="68" t="str">
        <f>IF(AND($D20&gt;0,L$7=$D20),"●","")</f>
        <v/>
      </c>
      <c r="M20" s="68" t="str">
        <f>IF(AND($D20&gt;0,M$7=$D20),"●","")</f>
        <v/>
      </c>
      <c r="N20" s="68" t="str">
        <f>IF(AND($D20&gt;0,N$7=$D20),"●","")</f>
        <v>●</v>
      </c>
      <c r="O20" s="68" t="str">
        <f>IF(AND($D20&gt;0,O$7=$D20),"●","")</f>
        <v/>
      </c>
      <c r="P20" s="68" t="str">
        <f>IF(AND($D20&gt;0,P$7=$D20),"●","")</f>
        <v/>
      </c>
      <c r="Q20" s="68" t="str">
        <f>IF(AND($D20&gt;0,Q$7=$D20),"●","")</f>
        <v/>
      </c>
      <c r="R20" s="68" t="str">
        <f>IF(AND($D20&gt;0,R$7=$D20),"●","")</f>
        <v/>
      </c>
      <c r="S20" s="68" t="str">
        <f>IF(AND($D20&gt;0,S$7=$D20),"●","")</f>
        <v/>
      </c>
      <c r="T20" s="68" t="str">
        <f>IF(AND($D20&gt;0,T$7=$D20),"●","")</f>
        <v/>
      </c>
      <c r="U20" s="68" t="str">
        <f>IF(AND($D20&gt;0,U$7=$D20),"●","")</f>
        <v/>
      </c>
      <c r="V20" s="68" t="str">
        <f>IF(AND($D20&gt;0,V$7=$D20),"●","")</f>
        <v/>
      </c>
      <c r="W20" s="68" t="str">
        <f>IF(AND($D20&gt;0,W$7=$D20),"●","")</f>
        <v/>
      </c>
      <c r="X20" s="68" t="str">
        <f>IF(AND($D20&gt;0,X$7=$D20),"●","")</f>
        <v/>
      </c>
      <c r="Y20" s="68" t="str">
        <f>IF(AND($D20&gt;0,Y$7=$D20),"●","")</f>
        <v/>
      </c>
      <c r="Z20" s="68" t="str">
        <f>IF(AND($D20&gt;0,Z$7=$D20),"●","")</f>
        <v/>
      </c>
      <c r="AA20" s="68" t="str">
        <f>IF(AND($D20&gt;0,AA$7=$D20),"●","")</f>
        <v/>
      </c>
      <c r="AB20" s="68" t="str">
        <f>IF(AND($D20&gt;0,AB$7=$D20),"●","")</f>
        <v/>
      </c>
      <c r="AC20" s="68" t="str">
        <f>IF(AND($D20&gt;0,AC$7=$D20),"●","")</f>
        <v/>
      </c>
      <c r="AD20" s="68" t="str">
        <f>IF(AND($D20&gt;0,AD$7=$D20),"●","")</f>
        <v/>
      </c>
      <c r="AE20" s="68" t="str">
        <f>IF(AND($D20&gt;0,AE$7=$D20),"●","")</f>
        <v/>
      </c>
      <c r="AF20" s="68" t="str">
        <f>IF(AND($D20&gt;0,AF$7=$D20),"●","")</f>
        <v/>
      </c>
      <c r="AG20" s="68" t="str">
        <f>IF(AND($D20&gt;0,AG$7=$D20),"●","")</f>
        <v/>
      </c>
      <c r="AH20" s="68" t="str">
        <f>IF(AND($D20&gt;0,AH$7=$D20),"●","")</f>
        <v/>
      </c>
      <c r="AI20" s="68" t="str">
        <f>IF(AND($D20&gt;0,AI$7=$D20),"●","")</f>
        <v/>
      </c>
      <c r="AJ20" s="68" t="str">
        <f>IF(AND($D20&gt;0,AJ$7=$D20),"●","")</f>
        <v/>
      </c>
      <c r="AK20" s="68" t="str">
        <f>IF(AND($D20&gt;0,AK$7=$D20),"●","")</f>
        <v/>
      </c>
      <c r="AL20" s="68" t="str">
        <f>IF(AND($D20&gt;0,AL$7=$D20),"●","")</f>
        <v/>
      </c>
      <c r="AM20" s="68" t="str">
        <f>IF(AND($D20&gt;0,AM$7=$D20),"●","")</f>
        <v/>
      </c>
      <c r="AN20" s="68" t="str">
        <f>IF(AND($D20&gt;0,AN$7=$D20),"●","")</f>
        <v/>
      </c>
      <c r="AO20" s="68" t="str">
        <f>IF(AND($D20&gt;0,AO$7=$D20),"●","")</f>
        <v/>
      </c>
      <c r="AP20" s="68" t="str">
        <f>IF(AND($D20&gt;0,AP$7=$D20),"●","")</f>
        <v/>
      </c>
      <c r="AQ20" s="68" t="str">
        <f>IF(AND($D20&gt;0,AQ$7=$D20),"●","")</f>
        <v/>
      </c>
      <c r="AR20" s="68" t="str">
        <f>IF(AND($D20&gt;0,AR$7=$D20),"●","")</f>
        <v/>
      </c>
      <c r="AS20" s="68" t="str">
        <f>IF(AND($D20&gt;0,AS$7=$D20),"●","")</f>
        <v/>
      </c>
      <c r="AT20" s="68" t="str">
        <f>IF(AND($D20&gt;0,AT$7=$D20),"●","")</f>
        <v/>
      </c>
      <c r="AU20" s="68" t="str">
        <f>IF(AND($D20&gt;0,AU$7=$D20),"●","")</f>
        <v/>
      </c>
      <c r="AV20" s="68" t="str">
        <f>IF(AND($D20&gt;0,AV$7=$D20),"●","")</f>
        <v/>
      </c>
      <c r="AW20" s="68" t="str">
        <f>IF(AND($D20&gt;0,AW$7=$D20),"●","")</f>
        <v/>
      </c>
      <c r="AX20" s="68" t="str">
        <f>IF(AND($D20&gt;0,AX$7=$D20),"●","")</f>
        <v/>
      </c>
      <c r="AY20" s="68" t="str">
        <f>IF(AND($D20&gt;0,AY$7=$D20),"●","")</f>
        <v/>
      </c>
      <c r="AZ20" s="68" t="str">
        <f>IF(AND($D20&gt;0,AZ$7=$D20),"●","")</f>
        <v/>
      </c>
      <c r="BA20" s="68" t="str">
        <f>IF(AND($D20&gt;0,BA$7=$D20),"●","")</f>
        <v/>
      </c>
      <c r="BB20" s="68" t="str">
        <f>IF(AND($D20&gt;0,BB$7=$D20),"●","")</f>
        <v/>
      </c>
      <c r="BC20" s="68" t="str">
        <f>IF(AND($D20&gt;0,BC$7=$D20),"●","")</f>
        <v/>
      </c>
      <c r="BD20" s="68" t="str">
        <f>IF(AND($D20&gt;0,BD$7=$D20),"●","")</f>
        <v/>
      </c>
      <c r="BE20" s="68" t="str">
        <f>IF(AND($D20&gt;0,BE$7=$D20),"●","")</f>
        <v/>
      </c>
      <c r="BF20" s="68" t="str">
        <f>IF(AND($D20&gt;0,BF$7=$D20),"●","")</f>
        <v/>
      </c>
      <c r="BG20" s="68" t="str">
        <f>IF(AND($D20&gt;0,BG$7=$D20),"●","")</f>
        <v/>
      </c>
      <c r="BH20" s="68" t="str">
        <f>IF(AND($D20&gt;0,BH$7=$D20),"●","")</f>
        <v/>
      </c>
      <c r="BI20" s="68" t="str">
        <f>IF(AND($D20&gt;0,BI$7=$D20),"●","")</f>
        <v/>
      </c>
      <c r="BJ20" s="67" t="str">
        <f>IF(AND($D20&gt;0,BJ$7=$D20),"●","")</f>
        <v/>
      </c>
    </row>
    <row r="21" spans="1:62" x14ac:dyDescent="0.35">
      <c r="A21" s="55" t="str">
        <v>Float</v>
      </c>
      <c r="B21" s="18">
        <v>3</v>
      </c>
      <c r="C21" s="72">
        <v>0</v>
      </c>
      <c r="D21" s="63">
        <f>IF(OR($C21&lt;=0,$G21=""),0,IF($B21=0,$G21,$G21+ROUNDUP($B21*$C21,0)-1))</f>
        <v>0</v>
      </c>
      <c r="E21" s="71" t="str">
        <v>Get quotes</v>
      </c>
      <c r="F21" t="str">
        <v>FE</v>
      </c>
      <c r="G21" s="70">
        <v>7</v>
      </c>
      <c r="H21" s="70">
        <v>9</v>
      </c>
      <c r="I21" s="70">
        <v>0</v>
      </c>
      <c r="J21" s="69">
        <v>0</v>
      </c>
      <c r="K21" s="68" t="str">
        <f>IF(AND($D21&gt;0,K$7=$D21),"●","")</f>
        <v/>
      </c>
      <c r="L21" s="68" t="str">
        <f>IF(AND($D21&gt;0,L$7=$D21),"●","")</f>
        <v/>
      </c>
      <c r="M21" s="68" t="str">
        <f>IF(AND($D21&gt;0,M$7=$D21),"●","")</f>
        <v/>
      </c>
      <c r="N21" s="68" t="str">
        <f>IF(AND($D21&gt;0,N$7=$D21),"●","")</f>
        <v/>
      </c>
      <c r="O21" s="68" t="str">
        <f>IF(AND($D21&gt;0,O$7=$D21),"●","")</f>
        <v/>
      </c>
      <c r="P21" s="68" t="str">
        <f>IF(AND($D21&gt;0,P$7=$D21),"●","")</f>
        <v/>
      </c>
      <c r="Q21" s="68" t="str">
        <f>IF(AND($D21&gt;0,Q$7=$D21),"●","")</f>
        <v/>
      </c>
      <c r="R21" s="68" t="str">
        <f>IF(AND($D21&gt;0,R$7=$D21),"●","")</f>
        <v/>
      </c>
      <c r="S21" s="68" t="str">
        <f>IF(AND($D21&gt;0,S$7=$D21),"●","")</f>
        <v/>
      </c>
      <c r="T21" s="68" t="str">
        <f>IF(AND($D21&gt;0,T$7=$D21),"●","")</f>
        <v/>
      </c>
      <c r="U21" s="68" t="str">
        <f>IF(AND($D21&gt;0,U$7=$D21),"●","")</f>
        <v/>
      </c>
      <c r="V21" s="68" t="str">
        <f>IF(AND($D21&gt;0,V$7=$D21),"●","")</f>
        <v/>
      </c>
      <c r="W21" s="68" t="str">
        <f>IF(AND($D21&gt;0,W$7=$D21),"●","")</f>
        <v/>
      </c>
      <c r="X21" s="68" t="str">
        <f>IF(AND($D21&gt;0,X$7=$D21),"●","")</f>
        <v/>
      </c>
      <c r="Y21" s="68" t="str">
        <f>IF(AND($D21&gt;0,Y$7=$D21),"●","")</f>
        <v/>
      </c>
      <c r="Z21" s="68" t="str">
        <f>IF(AND($D21&gt;0,Z$7=$D21),"●","")</f>
        <v/>
      </c>
      <c r="AA21" s="68" t="str">
        <f>IF(AND($D21&gt;0,AA$7=$D21),"●","")</f>
        <v/>
      </c>
      <c r="AB21" s="68" t="str">
        <f>IF(AND($D21&gt;0,AB$7=$D21),"●","")</f>
        <v/>
      </c>
      <c r="AC21" s="68" t="str">
        <f>IF(AND($D21&gt;0,AC$7=$D21),"●","")</f>
        <v/>
      </c>
      <c r="AD21" s="68" t="str">
        <f>IF(AND($D21&gt;0,AD$7=$D21),"●","")</f>
        <v/>
      </c>
      <c r="AE21" s="68" t="str">
        <f>IF(AND($D21&gt;0,AE$7=$D21),"●","")</f>
        <v/>
      </c>
      <c r="AF21" s="68" t="str">
        <f>IF(AND($D21&gt;0,AF$7=$D21),"●","")</f>
        <v/>
      </c>
      <c r="AG21" s="68" t="str">
        <f>IF(AND($D21&gt;0,AG$7=$D21),"●","")</f>
        <v/>
      </c>
      <c r="AH21" s="68" t="str">
        <f>IF(AND($D21&gt;0,AH$7=$D21),"●","")</f>
        <v/>
      </c>
      <c r="AI21" s="68" t="str">
        <f>IF(AND($D21&gt;0,AI$7=$D21),"●","")</f>
        <v/>
      </c>
      <c r="AJ21" s="68" t="str">
        <f>IF(AND($D21&gt;0,AJ$7=$D21),"●","")</f>
        <v/>
      </c>
      <c r="AK21" s="68" t="str">
        <f>IF(AND($D21&gt;0,AK$7=$D21),"●","")</f>
        <v/>
      </c>
      <c r="AL21" s="68" t="str">
        <f>IF(AND($D21&gt;0,AL$7=$D21),"●","")</f>
        <v/>
      </c>
      <c r="AM21" s="68" t="str">
        <f>IF(AND($D21&gt;0,AM$7=$D21),"●","")</f>
        <v/>
      </c>
      <c r="AN21" s="68" t="str">
        <f>IF(AND($D21&gt;0,AN$7=$D21),"●","")</f>
        <v/>
      </c>
      <c r="AO21" s="68" t="str">
        <f>IF(AND($D21&gt;0,AO$7=$D21),"●","")</f>
        <v/>
      </c>
      <c r="AP21" s="68" t="str">
        <f>IF(AND($D21&gt;0,AP$7=$D21),"●","")</f>
        <v/>
      </c>
      <c r="AQ21" s="68" t="str">
        <f>IF(AND($D21&gt;0,AQ$7=$D21),"●","")</f>
        <v/>
      </c>
      <c r="AR21" s="68" t="str">
        <f>IF(AND($D21&gt;0,AR$7=$D21),"●","")</f>
        <v/>
      </c>
      <c r="AS21" s="68" t="str">
        <f>IF(AND($D21&gt;0,AS$7=$D21),"●","")</f>
        <v/>
      </c>
      <c r="AT21" s="68" t="str">
        <f>IF(AND($D21&gt;0,AT$7=$D21),"●","")</f>
        <v/>
      </c>
      <c r="AU21" s="68" t="str">
        <f>IF(AND($D21&gt;0,AU$7=$D21),"●","")</f>
        <v/>
      </c>
      <c r="AV21" s="68" t="str">
        <f>IF(AND($D21&gt;0,AV$7=$D21),"●","")</f>
        <v/>
      </c>
      <c r="AW21" s="68" t="str">
        <f>IF(AND($D21&gt;0,AW$7=$D21),"●","")</f>
        <v/>
      </c>
      <c r="AX21" s="68" t="str">
        <f>IF(AND($D21&gt;0,AX$7=$D21),"●","")</f>
        <v/>
      </c>
      <c r="AY21" s="68" t="str">
        <f>IF(AND($D21&gt;0,AY$7=$D21),"●","")</f>
        <v/>
      </c>
      <c r="AZ21" s="68" t="str">
        <f>IF(AND($D21&gt;0,AZ$7=$D21),"●","")</f>
        <v/>
      </c>
      <c r="BA21" s="68" t="str">
        <f>IF(AND($D21&gt;0,BA$7=$D21),"●","")</f>
        <v/>
      </c>
      <c r="BB21" s="68" t="str">
        <f>IF(AND($D21&gt;0,BB$7=$D21),"●","")</f>
        <v/>
      </c>
      <c r="BC21" s="68" t="str">
        <f>IF(AND($D21&gt;0,BC$7=$D21),"●","")</f>
        <v/>
      </c>
      <c r="BD21" s="68" t="str">
        <f>IF(AND($D21&gt;0,BD$7=$D21),"●","")</f>
        <v/>
      </c>
      <c r="BE21" s="68" t="str">
        <f>IF(AND($D21&gt;0,BE$7=$D21),"●","")</f>
        <v/>
      </c>
      <c r="BF21" s="68" t="str">
        <f>IF(AND($D21&gt;0,BF$7=$D21),"●","")</f>
        <v/>
      </c>
      <c r="BG21" s="68" t="str">
        <f>IF(AND($D21&gt;0,BG$7=$D21),"●","")</f>
        <v/>
      </c>
      <c r="BH21" s="68" t="str">
        <f>IF(AND($D21&gt;0,BH$7=$D21),"●","")</f>
        <v/>
      </c>
      <c r="BI21" s="68" t="str">
        <f>IF(AND($D21&gt;0,BI$7=$D21),"●","")</f>
        <v/>
      </c>
      <c r="BJ21" s="67" t="str">
        <f>IF(AND($D21&gt;0,BJ$7=$D21),"●","")</f>
        <v/>
      </c>
    </row>
    <row r="22" spans="1:62" x14ac:dyDescent="0.35">
      <c r="A22" s="55" t="str">
        <v>Float</v>
      </c>
      <c r="B22" s="18">
        <v>0</v>
      </c>
      <c r="C22" s="72">
        <v>0</v>
      </c>
      <c r="D22" s="63">
        <f>IF(OR($C22&lt;=0,$G22=""),0,IF($B22=0,$G22,$G22+ROUNDUP($B22*$C22,0)-1))</f>
        <v>0</v>
      </c>
      <c r="E22" s="71" t="str">
        <v>Buy the shed</v>
      </c>
      <c r="F22" t="str">
        <v>FE</v>
      </c>
      <c r="G22" s="70">
        <v>8</v>
      </c>
      <c r="H22" s="70">
        <v>8</v>
      </c>
      <c r="I22" s="70">
        <v>0</v>
      </c>
      <c r="J22" s="69">
        <v>8000</v>
      </c>
      <c r="K22" s="68" t="str">
        <f>IF(AND($D22&gt;0,K$7=$D22),"●","")</f>
        <v/>
      </c>
      <c r="L22" s="68" t="str">
        <f>IF(AND($D22&gt;0,L$7=$D22),"●","")</f>
        <v/>
      </c>
      <c r="M22" s="68" t="str">
        <f>IF(AND($D22&gt;0,M$7=$D22),"●","")</f>
        <v/>
      </c>
      <c r="N22" s="68" t="str">
        <f>IF(AND($D22&gt;0,N$7=$D22),"●","")</f>
        <v/>
      </c>
      <c r="O22" s="68" t="str">
        <f>IF(AND($D22&gt;0,O$7=$D22),"●","")</f>
        <v/>
      </c>
      <c r="P22" s="68" t="str">
        <f>IF(AND($D22&gt;0,P$7=$D22),"●","")</f>
        <v/>
      </c>
      <c r="Q22" s="68" t="str">
        <f>IF(AND($D22&gt;0,Q$7=$D22),"●","")</f>
        <v/>
      </c>
      <c r="R22" s="68" t="str">
        <f>IF(AND($D22&gt;0,R$7=$D22),"●","")</f>
        <v/>
      </c>
      <c r="S22" s="68" t="str">
        <f>IF(AND($D22&gt;0,S$7=$D22),"●","")</f>
        <v/>
      </c>
      <c r="T22" s="68" t="str">
        <f>IF(AND($D22&gt;0,T$7=$D22),"●","")</f>
        <v/>
      </c>
      <c r="U22" s="68" t="str">
        <f>IF(AND($D22&gt;0,U$7=$D22),"●","")</f>
        <v/>
      </c>
      <c r="V22" s="68" t="str">
        <f>IF(AND($D22&gt;0,V$7=$D22),"●","")</f>
        <v/>
      </c>
      <c r="W22" s="68" t="str">
        <f>IF(AND($D22&gt;0,W$7=$D22),"●","")</f>
        <v/>
      </c>
      <c r="X22" s="68" t="str">
        <f>IF(AND($D22&gt;0,X$7=$D22),"●","")</f>
        <v/>
      </c>
      <c r="Y22" s="68" t="str">
        <f>IF(AND($D22&gt;0,Y$7=$D22),"●","")</f>
        <v/>
      </c>
      <c r="Z22" s="68" t="str">
        <f>IF(AND($D22&gt;0,Z$7=$D22),"●","")</f>
        <v/>
      </c>
      <c r="AA22" s="68" t="str">
        <f>IF(AND($D22&gt;0,AA$7=$D22),"●","")</f>
        <v/>
      </c>
      <c r="AB22" s="68" t="str">
        <f>IF(AND($D22&gt;0,AB$7=$D22),"●","")</f>
        <v/>
      </c>
      <c r="AC22" s="68" t="str">
        <f>IF(AND($D22&gt;0,AC$7=$D22),"●","")</f>
        <v/>
      </c>
      <c r="AD22" s="68" t="str">
        <f>IF(AND($D22&gt;0,AD$7=$D22),"●","")</f>
        <v/>
      </c>
      <c r="AE22" s="68" t="str">
        <f>IF(AND($D22&gt;0,AE$7=$D22),"●","")</f>
        <v/>
      </c>
      <c r="AF22" s="68" t="str">
        <f>IF(AND($D22&gt;0,AF$7=$D22),"●","")</f>
        <v/>
      </c>
      <c r="AG22" s="68" t="str">
        <f>IF(AND($D22&gt;0,AG$7=$D22),"●","")</f>
        <v/>
      </c>
      <c r="AH22" s="68" t="str">
        <f>IF(AND($D22&gt;0,AH$7=$D22),"●","")</f>
        <v/>
      </c>
      <c r="AI22" s="68" t="str">
        <f>IF(AND($D22&gt;0,AI$7=$D22),"●","")</f>
        <v/>
      </c>
      <c r="AJ22" s="68" t="str">
        <f>IF(AND($D22&gt;0,AJ$7=$D22),"●","")</f>
        <v/>
      </c>
      <c r="AK22" s="68" t="str">
        <f>IF(AND($D22&gt;0,AK$7=$D22),"●","")</f>
        <v/>
      </c>
      <c r="AL22" s="68" t="str">
        <f>IF(AND($D22&gt;0,AL$7=$D22),"●","")</f>
        <v/>
      </c>
      <c r="AM22" s="68" t="str">
        <f>IF(AND($D22&gt;0,AM$7=$D22),"●","")</f>
        <v/>
      </c>
      <c r="AN22" s="68" t="str">
        <f>IF(AND($D22&gt;0,AN$7=$D22),"●","")</f>
        <v/>
      </c>
      <c r="AO22" s="68" t="str">
        <f>IF(AND($D22&gt;0,AO$7=$D22),"●","")</f>
        <v/>
      </c>
      <c r="AP22" s="68" t="str">
        <f>IF(AND($D22&gt;0,AP$7=$D22),"●","")</f>
        <v/>
      </c>
      <c r="AQ22" s="68" t="str">
        <f>IF(AND($D22&gt;0,AQ$7=$D22),"●","")</f>
        <v/>
      </c>
      <c r="AR22" s="68" t="str">
        <f>IF(AND($D22&gt;0,AR$7=$D22),"●","")</f>
        <v/>
      </c>
      <c r="AS22" s="68" t="str">
        <f>IF(AND($D22&gt;0,AS$7=$D22),"●","")</f>
        <v/>
      </c>
      <c r="AT22" s="68" t="str">
        <f>IF(AND($D22&gt;0,AT$7=$D22),"●","")</f>
        <v/>
      </c>
      <c r="AU22" s="68" t="str">
        <f>IF(AND($D22&gt;0,AU$7=$D22),"●","")</f>
        <v/>
      </c>
      <c r="AV22" s="68" t="str">
        <f>IF(AND($D22&gt;0,AV$7=$D22),"●","")</f>
        <v/>
      </c>
      <c r="AW22" s="68" t="str">
        <f>IF(AND($D22&gt;0,AW$7=$D22),"●","")</f>
        <v/>
      </c>
      <c r="AX22" s="68" t="str">
        <f>IF(AND($D22&gt;0,AX$7=$D22),"●","")</f>
        <v/>
      </c>
      <c r="AY22" s="68" t="str">
        <f>IF(AND($D22&gt;0,AY$7=$D22),"●","")</f>
        <v/>
      </c>
      <c r="AZ22" s="68" t="str">
        <f>IF(AND($D22&gt;0,AZ$7=$D22),"●","")</f>
        <v/>
      </c>
      <c r="BA22" s="68" t="str">
        <f>IF(AND($D22&gt;0,BA$7=$D22),"●","")</f>
        <v/>
      </c>
      <c r="BB22" s="68" t="str">
        <f>IF(AND($D22&gt;0,BB$7=$D22),"●","")</f>
        <v/>
      </c>
      <c r="BC22" s="68" t="str">
        <f>IF(AND($D22&gt;0,BC$7=$D22),"●","")</f>
        <v/>
      </c>
      <c r="BD22" s="68" t="str">
        <f>IF(AND($D22&gt;0,BD$7=$D22),"●","")</f>
        <v/>
      </c>
      <c r="BE22" s="68" t="str">
        <f>IF(AND($D22&gt;0,BE$7=$D22),"●","")</f>
        <v/>
      </c>
      <c r="BF22" s="68" t="str">
        <f>IF(AND($D22&gt;0,BF$7=$D22),"●","")</f>
        <v/>
      </c>
      <c r="BG22" s="68" t="str">
        <f>IF(AND($D22&gt;0,BG$7=$D22),"●","")</f>
        <v/>
      </c>
      <c r="BH22" s="68" t="str">
        <f>IF(AND($D22&gt;0,BH$7=$D22),"●","")</f>
        <v/>
      </c>
      <c r="BI22" s="68" t="str">
        <f>IF(AND($D22&gt;0,BI$7=$D22),"●","")</f>
        <v/>
      </c>
      <c r="BJ22" s="67" t="str">
        <f>IF(AND($D22&gt;0,BJ$7=$D22),"●","")</f>
        <v/>
      </c>
    </row>
    <row r="23" spans="1:62" x14ac:dyDescent="0.35">
      <c r="A23" s="55" t="str">
        <v>Float</v>
      </c>
      <c r="B23" s="18">
        <v>6</v>
      </c>
      <c r="C23" s="72">
        <v>0</v>
      </c>
      <c r="D23" s="63">
        <f>IF(OR($C23&lt;=0,$G23=""),0,IF($B23=0,$G23,$G23+ROUNDUP($B23*$C23,0)-1))</f>
        <v>0</v>
      </c>
      <c r="E23" s="71" t="str">
        <v>Wait for Delivery</v>
      </c>
      <c r="F23" t="str">
        <v>FE</v>
      </c>
      <c r="G23" s="70">
        <v>7</v>
      </c>
      <c r="H23" s="70">
        <v>12</v>
      </c>
      <c r="I23" s="70">
        <v>0</v>
      </c>
      <c r="J23" s="69">
        <v>0</v>
      </c>
      <c r="K23" s="68" t="str">
        <f>IF(AND($D23&gt;0,K$7=$D23),"●","")</f>
        <v/>
      </c>
      <c r="L23" s="68" t="str">
        <f>IF(AND($D23&gt;0,L$7=$D23),"●","")</f>
        <v/>
      </c>
      <c r="M23" s="68" t="str">
        <f>IF(AND($D23&gt;0,M$7=$D23),"●","")</f>
        <v/>
      </c>
      <c r="N23" s="68" t="str">
        <f>IF(AND($D23&gt;0,N$7=$D23),"●","")</f>
        <v/>
      </c>
      <c r="O23" s="68" t="str">
        <f>IF(AND($D23&gt;0,O$7=$D23),"●","")</f>
        <v/>
      </c>
      <c r="P23" s="68" t="str">
        <f>IF(AND($D23&gt;0,P$7=$D23),"●","")</f>
        <v/>
      </c>
      <c r="Q23" s="68" t="str">
        <f>IF(AND($D23&gt;0,Q$7=$D23),"●","")</f>
        <v/>
      </c>
      <c r="R23" s="68" t="str">
        <f>IF(AND($D23&gt;0,R$7=$D23),"●","")</f>
        <v/>
      </c>
      <c r="S23" s="68" t="str">
        <f>IF(AND($D23&gt;0,S$7=$D23),"●","")</f>
        <v/>
      </c>
      <c r="T23" s="68" t="str">
        <f>IF(AND($D23&gt;0,T$7=$D23),"●","")</f>
        <v/>
      </c>
      <c r="U23" s="68" t="str">
        <f>IF(AND($D23&gt;0,U$7=$D23),"●","")</f>
        <v/>
      </c>
      <c r="V23" s="68" t="str">
        <f>IF(AND($D23&gt;0,V$7=$D23),"●","")</f>
        <v/>
      </c>
      <c r="W23" s="68" t="str">
        <f>IF(AND($D23&gt;0,W$7=$D23),"●","")</f>
        <v/>
      </c>
      <c r="X23" s="68" t="str">
        <f>IF(AND($D23&gt;0,X$7=$D23),"●","")</f>
        <v/>
      </c>
      <c r="Y23" s="68" t="str">
        <f>IF(AND($D23&gt;0,Y$7=$D23),"●","")</f>
        <v/>
      </c>
      <c r="Z23" s="68" t="str">
        <f>IF(AND($D23&gt;0,Z$7=$D23),"●","")</f>
        <v/>
      </c>
      <c r="AA23" s="68" t="str">
        <f>IF(AND($D23&gt;0,AA$7=$D23),"●","")</f>
        <v/>
      </c>
      <c r="AB23" s="68" t="str">
        <f>IF(AND($D23&gt;0,AB$7=$D23),"●","")</f>
        <v/>
      </c>
      <c r="AC23" s="68" t="str">
        <f>IF(AND($D23&gt;0,AC$7=$D23),"●","")</f>
        <v/>
      </c>
      <c r="AD23" s="68" t="str">
        <f>IF(AND($D23&gt;0,AD$7=$D23),"●","")</f>
        <v/>
      </c>
      <c r="AE23" s="68" t="str">
        <f>IF(AND($D23&gt;0,AE$7=$D23),"●","")</f>
        <v/>
      </c>
      <c r="AF23" s="68" t="str">
        <f>IF(AND($D23&gt;0,AF$7=$D23),"●","")</f>
        <v/>
      </c>
      <c r="AG23" s="68" t="str">
        <f>IF(AND($D23&gt;0,AG$7=$D23),"●","")</f>
        <v/>
      </c>
      <c r="AH23" s="68" t="str">
        <f>IF(AND($D23&gt;0,AH$7=$D23),"●","")</f>
        <v/>
      </c>
      <c r="AI23" s="68" t="str">
        <f>IF(AND($D23&gt;0,AI$7=$D23),"●","")</f>
        <v/>
      </c>
      <c r="AJ23" s="68" t="str">
        <f>IF(AND($D23&gt;0,AJ$7=$D23),"●","")</f>
        <v/>
      </c>
      <c r="AK23" s="68" t="str">
        <f>IF(AND($D23&gt;0,AK$7=$D23),"●","")</f>
        <v/>
      </c>
      <c r="AL23" s="68" t="str">
        <f>IF(AND($D23&gt;0,AL$7=$D23),"●","")</f>
        <v/>
      </c>
      <c r="AM23" s="68" t="str">
        <f>IF(AND($D23&gt;0,AM$7=$D23),"●","")</f>
        <v/>
      </c>
      <c r="AN23" s="68" t="str">
        <f>IF(AND($D23&gt;0,AN$7=$D23),"●","")</f>
        <v/>
      </c>
      <c r="AO23" s="68" t="str">
        <f>IF(AND($D23&gt;0,AO$7=$D23),"●","")</f>
        <v/>
      </c>
      <c r="AP23" s="68" t="str">
        <f>IF(AND($D23&gt;0,AP$7=$D23),"●","")</f>
        <v/>
      </c>
      <c r="AQ23" s="68" t="str">
        <f>IF(AND($D23&gt;0,AQ$7=$D23),"●","")</f>
        <v/>
      </c>
      <c r="AR23" s="68" t="str">
        <f>IF(AND($D23&gt;0,AR$7=$D23),"●","")</f>
        <v/>
      </c>
      <c r="AS23" s="68" t="str">
        <f>IF(AND($D23&gt;0,AS$7=$D23),"●","")</f>
        <v/>
      </c>
      <c r="AT23" s="68" t="str">
        <f>IF(AND($D23&gt;0,AT$7=$D23),"●","")</f>
        <v/>
      </c>
      <c r="AU23" s="68" t="str">
        <f>IF(AND($D23&gt;0,AU$7=$D23),"●","")</f>
        <v/>
      </c>
      <c r="AV23" s="68" t="str">
        <f>IF(AND($D23&gt;0,AV$7=$D23),"●","")</f>
        <v/>
      </c>
      <c r="AW23" s="68" t="str">
        <f>IF(AND($D23&gt;0,AW$7=$D23),"●","")</f>
        <v/>
      </c>
      <c r="AX23" s="68" t="str">
        <f>IF(AND($D23&gt;0,AX$7=$D23),"●","")</f>
        <v/>
      </c>
      <c r="AY23" s="68" t="str">
        <f>IF(AND($D23&gt;0,AY$7=$D23),"●","")</f>
        <v/>
      </c>
      <c r="AZ23" s="68" t="str">
        <f>IF(AND($D23&gt;0,AZ$7=$D23),"●","")</f>
        <v/>
      </c>
      <c r="BA23" s="68" t="str">
        <f>IF(AND($D23&gt;0,BA$7=$D23),"●","")</f>
        <v/>
      </c>
      <c r="BB23" s="68" t="str">
        <f>IF(AND($D23&gt;0,BB$7=$D23),"●","")</f>
        <v/>
      </c>
      <c r="BC23" s="68" t="str">
        <f>IF(AND($D23&gt;0,BC$7=$D23),"●","")</f>
        <v/>
      </c>
      <c r="BD23" s="68" t="str">
        <f>IF(AND($D23&gt;0,BD$7=$D23),"●","")</f>
        <v/>
      </c>
      <c r="BE23" s="68" t="str">
        <f>IF(AND($D23&gt;0,BE$7=$D23),"●","")</f>
        <v/>
      </c>
      <c r="BF23" s="68" t="str">
        <f>IF(AND($D23&gt;0,BF$7=$D23),"●","")</f>
        <v/>
      </c>
      <c r="BG23" s="68" t="str">
        <f>IF(AND($D23&gt;0,BG$7=$D23),"●","")</f>
        <v/>
      </c>
      <c r="BH23" s="68" t="str">
        <f>IF(AND($D23&gt;0,BH$7=$D23),"●","")</f>
        <v/>
      </c>
      <c r="BI23" s="68" t="str">
        <f>IF(AND($D23&gt;0,BI$7=$D23),"●","")</f>
        <v/>
      </c>
      <c r="BJ23" s="67" t="str">
        <f>IF(AND($D23&gt;0,BJ$7=$D23),"●","")</f>
        <v/>
      </c>
    </row>
    <row r="24" spans="1:62" x14ac:dyDescent="0.35">
      <c r="A24" s="55" t="str">
        <v>Float</v>
      </c>
      <c r="B24" s="18">
        <v>1</v>
      </c>
      <c r="C24" s="72">
        <v>0</v>
      </c>
      <c r="D24" s="63">
        <f>IF(OR($C24&lt;=0,$G24=""),0,IF($B24=0,$G24,$G24+ROUNDUP($B24*$C24,0)-1))</f>
        <v>0</v>
      </c>
      <c r="E24" s="71" t="str">
        <v>Wire down the garden</v>
      </c>
      <c r="F24" t="str">
        <v>NN</v>
      </c>
      <c r="G24" s="70">
        <v>22</v>
      </c>
      <c r="H24" s="70">
        <v>22</v>
      </c>
      <c r="I24" s="70">
        <v>8</v>
      </c>
      <c r="J24" s="69">
        <v>0</v>
      </c>
      <c r="K24" s="68" t="str">
        <f>IF(AND($D24&gt;0,K$7=$D24),"●","")</f>
        <v/>
      </c>
      <c r="L24" s="68" t="str">
        <f>IF(AND($D24&gt;0,L$7=$D24),"●","")</f>
        <v/>
      </c>
      <c r="M24" s="68" t="str">
        <f>IF(AND($D24&gt;0,M$7=$D24),"●","")</f>
        <v/>
      </c>
      <c r="N24" s="68" t="str">
        <f>IF(AND($D24&gt;0,N$7=$D24),"●","")</f>
        <v/>
      </c>
      <c r="O24" s="68" t="str">
        <f>IF(AND($D24&gt;0,O$7=$D24),"●","")</f>
        <v/>
      </c>
      <c r="P24" s="68" t="str">
        <f>IF(AND($D24&gt;0,P$7=$D24),"●","")</f>
        <v/>
      </c>
      <c r="Q24" s="68" t="str">
        <f>IF(AND($D24&gt;0,Q$7=$D24),"●","")</f>
        <v/>
      </c>
      <c r="R24" s="68" t="str">
        <f>IF(AND($D24&gt;0,R$7=$D24),"●","")</f>
        <v/>
      </c>
      <c r="S24" s="68" t="str">
        <f>IF(AND($D24&gt;0,S$7=$D24),"●","")</f>
        <v/>
      </c>
      <c r="T24" s="68" t="str">
        <f>IF(AND($D24&gt;0,T$7=$D24),"●","")</f>
        <v/>
      </c>
      <c r="U24" s="68" t="str">
        <f>IF(AND($D24&gt;0,U$7=$D24),"●","")</f>
        <v/>
      </c>
      <c r="V24" s="68" t="str">
        <f>IF(AND($D24&gt;0,V$7=$D24),"●","")</f>
        <v/>
      </c>
      <c r="W24" s="68" t="str">
        <f>IF(AND($D24&gt;0,W$7=$D24),"●","")</f>
        <v/>
      </c>
      <c r="X24" s="68" t="str">
        <f>IF(AND($D24&gt;0,X$7=$D24),"●","")</f>
        <v/>
      </c>
      <c r="Y24" s="68" t="str">
        <f>IF(AND($D24&gt;0,Y$7=$D24),"●","")</f>
        <v/>
      </c>
      <c r="Z24" s="68" t="str">
        <f>IF(AND($D24&gt;0,Z$7=$D24),"●","")</f>
        <v/>
      </c>
      <c r="AA24" s="68" t="str">
        <f>IF(AND($D24&gt;0,AA$7=$D24),"●","")</f>
        <v/>
      </c>
      <c r="AB24" s="68" t="str">
        <f>IF(AND($D24&gt;0,AB$7=$D24),"●","")</f>
        <v/>
      </c>
      <c r="AC24" s="68" t="str">
        <f>IF(AND($D24&gt;0,AC$7=$D24),"●","")</f>
        <v/>
      </c>
      <c r="AD24" s="68" t="str">
        <f>IF(AND($D24&gt;0,AD$7=$D24),"●","")</f>
        <v/>
      </c>
      <c r="AE24" s="68" t="str">
        <f>IF(AND($D24&gt;0,AE$7=$D24),"●","")</f>
        <v/>
      </c>
      <c r="AF24" s="68" t="str">
        <f>IF(AND($D24&gt;0,AF$7=$D24),"●","")</f>
        <v/>
      </c>
      <c r="AG24" s="68" t="str">
        <f>IF(AND($D24&gt;0,AG$7=$D24),"●","")</f>
        <v/>
      </c>
      <c r="AH24" s="68" t="str">
        <f>IF(AND($D24&gt;0,AH$7=$D24),"●","")</f>
        <v/>
      </c>
      <c r="AI24" s="68" t="str">
        <f>IF(AND($D24&gt;0,AI$7=$D24),"●","")</f>
        <v/>
      </c>
      <c r="AJ24" s="68" t="str">
        <f>IF(AND($D24&gt;0,AJ$7=$D24),"●","")</f>
        <v/>
      </c>
      <c r="AK24" s="68" t="str">
        <f>IF(AND($D24&gt;0,AK$7=$D24),"●","")</f>
        <v/>
      </c>
      <c r="AL24" s="68" t="str">
        <f>IF(AND($D24&gt;0,AL$7=$D24),"●","")</f>
        <v/>
      </c>
      <c r="AM24" s="68" t="str">
        <f>IF(AND($D24&gt;0,AM$7=$D24),"●","")</f>
        <v/>
      </c>
      <c r="AN24" s="68" t="str">
        <f>IF(AND($D24&gt;0,AN$7=$D24),"●","")</f>
        <v/>
      </c>
      <c r="AO24" s="68" t="str">
        <f>IF(AND($D24&gt;0,AO$7=$D24),"●","")</f>
        <v/>
      </c>
      <c r="AP24" s="68" t="str">
        <f>IF(AND($D24&gt;0,AP$7=$D24),"●","")</f>
        <v/>
      </c>
      <c r="AQ24" s="68" t="str">
        <f>IF(AND($D24&gt;0,AQ$7=$D24),"●","")</f>
        <v/>
      </c>
      <c r="AR24" s="68" t="str">
        <f>IF(AND($D24&gt;0,AR$7=$D24),"●","")</f>
        <v/>
      </c>
      <c r="AS24" s="68" t="str">
        <f>IF(AND($D24&gt;0,AS$7=$D24),"●","")</f>
        <v/>
      </c>
      <c r="AT24" s="68" t="str">
        <f>IF(AND($D24&gt;0,AT$7=$D24),"●","")</f>
        <v/>
      </c>
      <c r="AU24" s="68" t="str">
        <f>IF(AND($D24&gt;0,AU$7=$D24),"●","")</f>
        <v/>
      </c>
      <c r="AV24" s="68" t="str">
        <f>IF(AND($D24&gt;0,AV$7=$D24),"●","")</f>
        <v/>
      </c>
      <c r="AW24" s="68" t="str">
        <f>IF(AND($D24&gt;0,AW$7=$D24),"●","")</f>
        <v/>
      </c>
      <c r="AX24" s="68" t="str">
        <f>IF(AND($D24&gt;0,AX$7=$D24),"●","")</f>
        <v/>
      </c>
      <c r="AY24" s="68" t="str">
        <f>IF(AND($D24&gt;0,AY$7=$D24),"●","")</f>
        <v/>
      </c>
      <c r="AZ24" s="68" t="str">
        <f>IF(AND($D24&gt;0,AZ$7=$D24),"●","")</f>
        <v/>
      </c>
      <c r="BA24" s="68" t="str">
        <f>IF(AND($D24&gt;0,BA$7=$D24),"●","")</f>
        <v/>
      </c>
      <c r="BB24" s="68" t="str">
        <f>IF(AND($D24&gt;0,BB$7=$D24),"●","")</f>
        <v/>
      </c>
      <c r="BC24" s="68" t="str">
        <f>IF(AND($D24&gt;0,BC$7=$D24),"●","")</f>
        <v/>
      </c>
      <c r="BD24" s="68" t="str">
        <f>IF(AND($D24&gt;0,BD$7=$D24),"●","")</f>
        <v/>
      </c>
      <c r="BE24" s="68" t="str">
        <f>IF(AND($D24&gt;0,BE$7=$D24),"●","")</f>
        <v/>
      </c>
      <c r="BF24" s="68" t="str">
        <f>IF(AND($D24&gt;0,BF$7=$D24),"●","")</f>
        <v/>
      </c>
      <c r="BG24" s="68" t="str">
        <f>IF(AND($D24&gt;0,BG$7=$D24),"●","")</f>
        <v/>
      </c>
      <c r="BH24" s="68" t="str">
        <f>IF(AND($D24&gt;0,BH$7=$D24),"●","")</f>
        <v/>
      </c>
      <c r="BI24" s="68" t="str">
        <f>IF(AND($D24&gt;0,BI$7=$D24),"●","")</f>
        <v/>
      </c>
      <c r="BJ24" s="67" t="str">
        <f>IF(AND($D24&gt;0,BJ$7=$D24),"●","")</f>
        <v/>
      </c>
    </row>
    <row r="25" spans="1:62" x14ac:dyDescent="0.35">
      <c r="A25" s="66" t="str">
        <v>Float</v>
      </c>
      <c r="B25" s="65">
        <v>1</v>
      </c>
      <c r="C25" s="64">
        <v>0</v>
      </c>
      <c r="D25" s="63">
        <f>IF(OR($C25&lt;=0,$G25=""),0,IF($B25=0,$G25,$G25+ROUNDUP($B25*$C25,0)-1))</f>
        <v>0</v>
      </c>
      <c r="E25" s="62" t="str">
        <v>Assembly</v>
      </c>
      <c r="F25" s="62" t="str">
        <v>NN</v>
      </c>
      <c r="G25" s="61">
        <v>23</v>
      </c>
      <c r="H25" s="61">
        <v>23</v>
      </c>
      <c r="I25" s="61">
        <v>0</v>
      </c>
      <c r="J25" s="60">
        <v>750</v>
      </c>
      <c r="K25" s="59" t="str">
        <f>IF(AND($D25&gt;0,K$7=$D25),"●","")</f>
        <v/>
      </c>
      <c r="L25" s="59" t="str">
        <f>IF(AND($D25&gt;0,L$7=$D25),"●","")</f>
        <v/>
      </c>
      <c r="M25" s="59" t="str">
        <f>IF(AND($D25&gt;0,M$7=$D25),"●","")</f>
        <v/>
      </c>
      <c r="N25" s="59" t="str">
        <f>IF(AND($D25&gt;0,N$7=$D25),"●","")</f>
        <v/>
      </c>
      <c r="O25" s="59" t="str">
        <f>IF(AND($D25&gt;0,O$7=$D25),"●","")</f>
        <v/>
      </c>
      <c r="P25" s="59" t="str">
        <f>IF(AND($D25&gt;0,P$7=$D25),"●","")</f>
        <v/>
      </c>
      <c r="Q25" s="59" t="str">
        <f>IF(AND($D25&gt;0,Q$7=$D25),"●","")</f>
        <v/>
      </c>
      <c r="R25" s="59" t="str">
        <f>IF(AND($D25&gt;0,R$7=$D25),"●","")</f>
        <v/>
      </c>
      <c r="S25" s="59" t="str">
        <f>IF(AND($D25&gt;0,S$7=$D25),"●","")</f>
        <v/>
      </c>
      <c r="T25" s="59" t="str">
        <f>IF(AND($D25&gt;0,T$7=$D25),"●","")</f>
        <v/>
      </c>
      <c r="U25" s="59" t="str">
        <f>IF(AND($D25&gt;0,U$7=$D25),"●","")</f>
        <v/>
      </c>
      <c r="V25" s="59" t="str">
        <f>IF(AND($D25&gt;0,V$7=$D25),"●","")</f>
        <v/>
      </c>
      <c r="W25" s="59" t="str">
        <f>IF(AND($D25&gt;0,W$7=$D25),"●","")</f>
        <v/>
      </c>
      <c r="X25" s="59" t="str">
        <f>IF(AND($D25&gt;0,X$7=$D25),"●","")</f>
        <v/>
      </c>
      <c r="Y25" s="59" t="str">
        <f>IF(AND($D25&gt;0,Y$7=$D25),"●","")</f>
        <v/>
      </c>
      <c r="Z25" s="59" t="str">
        <f>IF(AND($D25&gt;0,Z$7=$D25),"●","")</f>
        <v/>
      </c>
      <c r="AA25" s="59" t="str">
        <f>IF(AND($D25&gt;0,AA$7=$D25),"●","")</f>
        <v/>
      </c>
      <c r="AB25" s="59" t="str">
        <f>IF(AND($D25&gt;0,AB$7=$D25),"●","")</f>
        <v/>
      </c>
      <c r="AC25" s="59" t="str">
        <f>IF(AND($D25&gt;0,AC$7=$D25),"●","")</f>
        <v/>
      </c>
      <c r="AD25" s="59" t="str">
        <f>IF(AND($D25&gt;0,AD$7=$D25),"●","")</f>
        <v/>
      </c>
      <c r="AE25" s="59" t="str">
        <f>IF(AND($D25&gt;0,AE$7=$D25),"●","")</f>
        <v/>
      </c>
      <c r="AF25" s="59" t="str">
        <f>IF(AND($D25&gt;0,AF$7=$D25),"●","")</f>
        <v/>
      </c>
      <c r="AG25" s="59" t="str">
        <f>IF(AND($D25&gt;0,AG$7=$D25),"●","")</f>
        <v/>
      </c>
      <c r="AH25" s="59" t="str">
        <f>IF(AND($D25&gt;0,AH$7=$D25),"●","")</f>
        <v/>
      </c>
      <c r="AI25" s="59" t="str">
        <f>IF(AND($D25&gt;0,AI$7=$D25),"●","")</f>
        <v/>
      </c>
      <c r="AJ25" s="59" t="str">
        <f>IF(AND($D25&gt;0,AJ$7=$D25),"●","")</f>
        <v/>
      </c>
      <c r="AK25" s="59" t="str">
        <f>IF(AND($D25&gt;0,AK$7=$D25),"●","")</f>
        <v/>
      </c>
      <c r="AL25" s="59" t="str">
        <f>IF(AND($D25&gt;0,AL$7=$D25),"●","")</f>
        <v/>
      </c>
      <c r="AM25" s="59" t="str">
        <f>IF(AND($D25&gt;0,AM$7=$D25),"●","")</f>
        <v/>
      </c>
      <c r="AN25" s="59" t="str">
        <f>IF(AND($D25&gt;0,AN$7=$D25),"●","")</f>
        <v/>
      </c>
      <c r="AO25" s="59" t="str">
        <f>IF(AND($D25&gt;0,AO$7=$D25),"●","")</f>
        <v/>
      </c>
      <c r="AP25" s="59" t="str">
        <f>IF(AND($D25&gt;0,AP$7=$D25),"●","")</f>
        <v/>
      </c>
      <c r="AQ25" s="59" t="str">
        <f>IF(AND($D25&gt;0,AQ$7=$D25),"●","")</f>
        <v/>
      </c>
      <c r="AR25" s="59" t="str">
        <f>IF(AND($D25&gt;0,AR$7=$D25),"●","")</f>
        <v/>
      </c>
      <c r="AS25" s="59" t="str">
        <f>IF(AND($D25&gt;0,AS$7=$D25),"●","")</f>
        <v/>
      </c>
      <c r="AT25" s="59" t="str">
        <f>IF(AND($D25&gt;0,AT$7=$D25),"●","")</f>
        <v/>
      </c>
      <c r="AU25" s="59" t="str">
        <f>IF(AND($D25&gt;0,AU$7=$D25),"●","")</f>
        <v/>
      </c>
      <c r="AV25" s="59" t="str">
        <f>IF(AND($D25&gt;0,AV$7=$D25),"●","")</f>
        <v/>
      </c>
      <c r="AW25" s="59" t="str">
        <f>IF(AND($D25&gt;0,AW$7=$D25),"●","")</f>
        <v/>
      </c>
      <c r="AX25" s="59" t="str">
        <f>IF(AND($D25&gt;0,AX$7=$D25),"●","")</f>
        <v/>
      </c>
      <c r="AY25" s="59" t="str">
        <f>IF(AND($D25&gt;0,AY$7=$D25),"●","")</f>
        <v/>
      </c>
      <c r="AZ25" s="59" t="str">
        <f>IF(AND($D25&gt;0,AZ$7=$D25),"●","")</f>
        <v/>
      </c>
      <c r="BA25" s="59" t="str">
        <f>IF(AND($D25&gt;0,BA$7=$D25),"●","")</f>
        <v/>
      </c>
      <c r="BB25" s="59" t="str">
        <f>IF(AND($D25&gt;0,BB$7=$D25),"●","")</f>
        <v/>
      </c>
      <c r="BC25" s="59" t="str">
        <f>IF(AND($D25&gt;0,BC$7=$D25),"●","")</f>
        <v/>
      </c>
      <c r="BD25" s="59" t="str">
        <f>IF(AND($D25&gt;0,BD$7=$D25),"●","")</f>
        <v/>
      </c>
      <c r="BE25" s="59" t="str">
        <f>IF(AND($D25&gt;0,BE$7=$D25),"●","")</f>
        <v/>
      </c>
      <c r="BF25" s="59" t="str">
        <f>IF(AND($D25&gt;0,BF$7=$D25),"●","")</f>
        <v/>
      </c>
      <c r="BG25" s="59" t="str">
        <f>IF(AND($D25&gt;0,BG$7=$D25),"●","")</f>
        <v/>
      </c>
      <c r="BH25" s="59" t="str">
        <f>IF(AND($D25&gt;0,BH$7=$D25),"●","")</f>
        <v/>
      </c>
      <c r="BI25" s="59" t="str">
        <f>IF(AND($D25&gt;0,BI$7=$D25),"●","")</f>
        <v/>
      </c>
      <c r="BJ25" s="58" t="str">
        <f>IF(AND($D25&gt;0,BJ$7=$D25),"●","")</f>
        <v/>
      </c>
    </row>
    <row r="26" spans="1:62" x14ac:dyDescent="0.35">
      <c r="E26" s="57" t="s">
        <v>171</v>
      </c>
      <c r="AJ26" s="56"/>
    </row>
  </sheetData>
  <mergeCells count="3">
    <mergeCell ref="A3:B5"/>
    <mergeCell ref="H3:I3"/>
    <mergeCell ref="H4:I4"/>
  </mergeCells>
  <conditionalFormatting sqref="K6:BJ25">
    <cfRule type="expression" dxfId="54" priority="3">
      <formula>K$6=$G$4</formula>
    </cfRule>
  </conditionalFormatting>
  <conditionalFormatting sqref="K8:BJ25">
    <cfRule type="expression" dxfId="53" priority="4">
      <formula>AND($A8="Yes",ISNUMBER($G8),$B8&gt;0,K$7&gt;=$G8,K$7&lt;$G8+$B8)</formula>
    </cfRule>
    <cfRule type="expression" dxfId="52" priority="5">
      <formula>AND($A8&lt;&gt;"Yes",ISNUMBER($G8),$B8&gt;0,K$7&gt;=$G8,K$7&lt;$G8+$B8)</formula>
    </cfRule>
    <cfRule type="expression" dxfId="51" priority="6">
      <formula>AND(ISNUMBER($G8),$B8=0,K$7=$G8)</formula>
    </cfRule>
  </conditionalFormatting>
  <conditionalFormatting sqref="K5:BJ25">
    <cfRule type="expression" dxfId="50" priority="2">
      <formula>K$7=$G$6</formula>
    </cfRule>
  </conditionalFormatting>
  <conditionalFormatting sqref="C8:C25">
    <cfRule type="colorScale" priority="1">
      <colorScale>
        <cfvo type="min"/>
        <cfvo type="percentile" val="50"/>
        <cfvo type="max"/>
        <color rgb="FFFEE2E3"/>
        <color rgb="FFFFFFCC"/>
        <color theme="9" tint="0.79998168889431442"/>
      </colorScale>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41C80-8B5C-4450-AA78-E4BF2049A5F3}">
  <dimension ref="A1:H94"/>
  <sheetViews>
    <sheetView zoomScale="90" zoomScaleNormal="90" workbookViewId="0">
      <selection sqref="A1:H1"/>
    </sheetView>
  </sheetViews>
  <sheetFormatPr defaultRowHeight="14.5" x14ac:dyDescent="0.35"/>
  <cols>
    <col min="1" max="1" width="26.36328125" style="155" customWidth="1"/>
    <col min="2" max="2" width="34.54296875" style="155" customWidth="1"/>
    <col min="3" max="3" width="20.90625" style="155" customWidth="1"/>
    <col min="4" max="4" width="36.36328125" style="155" customWidth="1"/>
    <col min="5" max="5" width="34.54296875" style="155" customWidth="1"/>
    <col min="6" max="8" width="2.1796875" style="155" customWidth="1"/>
  </cols>
  <sheetData>
    <row r="1" spans="1:8" ht="32" customHeight="1" x14ac:dyDescent="0.35">
      <c r="A1" s="138" t="s">
        <v>231</v>
      </c>
      <c r="B1" s="138"/>
      <c r="C1" s="138"/>
      <c r="D1" s="138"/>
      <c r="E1" s="138"/>
      <c r="F1" s="138"/>
      <c r="G1" s="138"/>
      <c r="H1" s="138"/>
    </row>
    <row r="2" spans="1:8" x14ac:dyDescent="0.35">
      <c r="A2" s="139" t="s">
        <v>232</v>
      </c>
      <c r="B2" s="139"/>
      <c r="C2" s="139"/>
      <c r="D2" s="139"/>
      <c r="E2" s="139"/>
      <c r="F2" s="139"/>
      <c r="G2" s="139"/>
      <c r="H2" s="139"/>
    </row>
    <row r="4" spans="1:8" x14ac:dyDescent="0.35">
      <c r="A4" s="140" t="s">
        <v>233</v>
      </c>
      <c r="B4" s="140"/>
      <c r="C4" s="140"/>
      <c r="D4" s="140"/>
      <c r="E4" s="140"/>
      <c r="F4" s="140"/>
      <c r="G4" s="140"/>
      <c r="H4" s="140"/>
    </row>
    <row r="5" spans="1:8" ht="72" customHeight="1" x14ac:dyDescent="0.35">
      <c r="A5" s="135" t="s">
        <v>234</v>
      </c>
      <c r="B5" s="135"/>
      <c r="C5" s="135"/>
      <c r="D5" s="135"/>
      <c r="E5" s="135"/>
      <c r="F5" s="135"/>
      <c r="G5" s="135"/>
      <c r="H5" s="135"/>
    </row>
    <row r="6" spans="1:8" x14ac:dyDescent="0.35">
      <c r="A6" s="135"/>
      <c r="B6" s="135"/>
      <c r="C6" s="135"/>
      <c r="D6" s="135"/>
      <c r="E6" s="135"/>
      <c r="F6" s="135"/>
      <c r="G6" s="135"/>
      <c r="H6" s="135"/>
    </row>
    <row r="7" spans="1:8" x14ac:dyDescent="0.35">
      <c r="A7" s="135"/>
      <c r="B7" s="135"/>
      <c r="C7" s="135"/>
      <c r="D7" s="135"/>
      <c r="E7" s="135"/>
      <c r="F7" s="135"/>
      <c r="G7" s="135"/>
      <c r="H7" s="135"/>
    </row>
    <row r="8" spans="1:8" x14ac:dyDescent="0.35">
      <c r="A8" s="135"/>
      <c r="B8" s="135"/>
      <c r="C8" s="135"/>
      <c r="D8" s="135"/>
      <c r="E8" s="135"/>
      <c r="F8" s="135"/>
      <c r="G8" s="135"/>
      <c r="H8" s="135"/>
    </row>
    <row r="10" spans="1:8" x14ac:dyDescent="0.35">
      <c r="A10" s="140" t="s">
        <v>235</v>
      </c>
      <c r="B10" s="140"/>
      <c r="C10" s="140"/>
      <c r="D10" s="140"/>
      <c r="E10" s="140"/>
      <c r="F10" s="140"/>
      <c r="G10" s="140"/>
      <c r="H10" s="140"/>
    </row>
    <row r="11" spans="1:8" x14ac:dyDescent="0.35">
      <c r="A11" s="141" t="s">
        <v>236</v>
      </c>
      <c r="B11" s="141" t="s">
        <v>237</v>
      </c>
      <c r="C11" s="141" t="s">
        <v>238</v>
      </c>
      <c r="D11" s="141" t="s">
        <v>239</v>
      </c>
      <c r="E11" s="141"/>
      <c r="F11" s="141"/>
      <c r="G11" s="141"/>
      <c r="H11" s="141"/>
    </row>
    <row r="12" spans="1:8" x14ac:dyDescent="0.35">
      <c r="A12" s="142" t="s">
        <v>131</v>
      </c>
      <c r="B12" s="143" t="s">
        <v>289</v>
      </c>
      <c r="C12" s="144" t="str">
        <f>INDEX(tblBudget[Project],1)</f>
        <v>New Garden Shed</v>
      </c>
      <c r="D12" s="143" t="s">
        <v>240</v>
      </c>
      <c r="E12" s="145"/>
      <c r="F12" s="145"/>
      <c r="G12" s="145"/>
      <c r="H12" s="145"/>
    </row>
    <row r="13" spans="1:8" ht="29" x14ac:dyDescent="0.35">
      <c r="A13" s="142" t="s">
        <v>241</v>
      </c>
      <c r="B13" s="143" t="s">
        <v>290</v>
      </c>
      <c r="C13" s="144">
        <f>INDEX(tblBudget[total cost],1)</f>
        <v>18800</v>
      </c>
      <c r="D13" s="143" t="s">
        <v>242</v>
      </c>
      <c r="E13" s="145"/>
      <c r="F13" s="145"/>
      <c r="G13" s="145"/>
      <c r="H13" s="145"/>
    </row>
    <row r="14" spans="1:8" x14ac:dyDescent="0.35">
      <c r="A14" s="142" t="s">
        <v>243</v>
      </c>
      <c r="B14" s="143" t="s">
        <v>291</v>
      </c>
      <c r="C14" s="144">
        <f>INDEX(tblBudget[ActCost],1)</f>
        <v>19450</v>
      </c>
      <c r="D14" s="143" t="s">
        <v>244</v>
      </c>
      <c r="E14" s="145"/>
      <c r="F14" s="145"/>
      <c r="G14" s="145"/>
      <c r="H14" s="145"/>
    </row>
    <row r="15" spans="1:8" x14ac:dyDescent="0.35">
      <c r="A15" s="142" t="s">
        <v>245</v>
      </c>
      <c r="B15" s="143" t="s">
        <v>292</v>
      </c>
      <c r="C15" s="144">
        <f>SUMPRODUCT(tblTaskList[Cost],tblTaskList[Progress])</f>
        <v>20</v>
      </c>
      <c r="D15" s="143" t="s">
        <v>246</v>
      </c>
      <c r="E15" s="145"/>
      <c r="F15" s="145"/>
      <c r="G15" s="145"/>
      <c r="H15" s="145"/>
    </row>
    <row r="16" spans="1:8" ht="29" x14ac:dyDescent="0.35">
      <c r="A16" s="142" t="s">
        <v>247</v>
      </c>
      <c r="B16" s="143" t="s">
        <v>248</v>
      </c>
      <c r="C16" s="144" cm="1">
        <f t="array" aca="1" ref="C16" ca="1">SUMPRODUCT(tblTaskList[Cost],IF(MATCH('Gantt-frame'!$G$4,'Gantt-frame'!$K$6:$BJ$6,0)&lt;tblTaskList[Start wk],0,IF(MATCH('Gantt-frame'!$G$4,'Gantt-frame'!$K$6:$BJ$6,0)&gt;tblTaskList[Finish wk],1,(MATCH('Gantt-frame'!$G$4,'Gantt-frame'!$K$6:$BJ$6,0)-tblTaskList[Start wk]+1)/(tblTaskList[Finish wk]-tblTaskList[Start wk]+1))))</f>
        <v>8580</v>
      </c>
      <c r="D16" s="143" t="s">
        <v>249</v>
      </c>
      <c r="E16" s="145"/>
      <c r="F16" s="145"/>
      <c r="G16" s="145"/>
      <c r="H16" s="145"/>
    </row>
    <row r="17" spans="1:8" ht="29" x14ac:dyDescent="0.35">
      <c r="A17" s="142" t="s">
        <v>250</v>
      </c>
      <c r="B17" s="143" t="s">
        <v>293</v>
      </c>
      <c r="C17" s="144">
        <f ca="1">C15-C16</f>
        <v>-8560</v>
      </c>
      <c r="D17" s="143" t="s">
        <v>251</v>
      </c>
      <c r="E17" s="145"/>
      <c r="F17" s="145"/>
      <c r="G17" s="145"/>
      <c r="H17" s="145"/>
    </row>
    <row r="18" spans="1:8" ht="29" x14ac:dyDescent="0.35">
      <c r="A18" s="142" t="s">
        <v>252</v>
      </c>
      <c r="B18" s="143" t="s">
        <v>294</v>
      </c>
      <c r="C18" s="144">
        <f>C15-C14</f>
        <v>-19430</v>
      </c>
      <c r="D18" s="143" t="s">
        <v>253</v>
      </c>
      <c r="E18" s="145"/>
      <c r="F18" s="145"/>
      <c r="G18" s="145"/>
      <c r="H18" s="145"/>
    </row>
    <row r="19" spans="1:8" x14ac:dyDescent="0.35">
      <c r="A19" s="142" t="s">
        <v>254</v>
      </c>
      <c r="B19" s="143" t="s">
        <v>295</v>
      </c>
      <c r="C19" s="146">
        <f ca="1">IFERROR(C15/C16,0)</f>
        <v>2.331002331002331E-3</v>
      </c>
      <c r="D19" s="143" t="s">
        <v>255</v>
      </c>
      <c r="E19" s="145"/>
      <c r="F19" s="145"/>
      <c r="G19" s="145"/>
      <c r="H19" s="145"/>
    </row>
    <row r="20" spans="1:8" ht="29" x14ac:dyDescent="0.35">
      <c r="A20" s="142" t="s">
        <v>256</v>
      </c>
      <c r="B20" s="143" t="s">
        <v>296</v>
      </c>
      <c r="C20" s="146">
        <f>IFERROR(C15/C14,0)</f>
        <v>1.0282776349614395E-3</v>
      </c>
      <c r="D20" s="143" t="s">
        <v>257</v>
      </c>
      <c r="E20" s="145"/>
      <c r="F20" s="145"/>
      <c r="G20" s="145"/>
      <c r="H20" s="145"/>
    </row>
    <row r="21" spans="1:8" ht="29" x14ac:dyDescent="0.35">
      <c r="A21" s="142" t="s">
        <v>258</v>
      </c>
      <c r="B21" s="143" t="s">
        <v>297</v>
      </c>
      <c r="C21" s="144">
        <f>IFERROR(C13/C20,C13)</f>
        <v>18283000</v>
      </c>
      <c r="D21" s="143" t="s">
        <v>259</v>
      </c>
      <c r="E21" s="145"/>
      <c r="F21" s="145"/>
      <c r="G21" s="145"/>
      <c r="H21" s="145"/>
    </row>
    <row r="22" spans="1:8" x14ac:dyDescent="0.35">
      <c r="A22" s="142" t="s">
        <v>260</v>
      </c>
      <c r="B22" s="143" t="s">
        <v>298</v>
      </c>
      <c r="C22" s="144">
        <f>C21-C14</f>
        <v>18263550</v>
      </c>
      <c r="D22" s="143" t="s">
        <v>261</v>
      </c>
      <c r="E22" s="145"/>
      <c r="F22" s="145"/>
      <c r="G22" s="145"/>
      <c r="H22" s="145"/>
    </row>
    <row r="23" spans="1:8" ht="29" x14ac:dyDescent="0.35">
      <c r="A23" s="142" t="s">
        <v>262</v>
      </c>
      <c r="B23" s="143" t="s">
        <v>299</v>
      </c>
      <c r="C23" s="144">
        <f>C13-C21</f>
        <v>-18264200</v>
      </c>
      <c r="D23" s="143" t="s">
        <v>263</v>
      </c>
      <c r="E23" s="145"/>
      <c r="F23" s="145"/>
      <c r="G23" s="145"/>
      <c r="H23" s="145"/>
    </row>
    <row r="24" spans="1:8" ht="29" x14ac:dyDescent="0.35">
      <c r="A24" s="142" t="s">
        <v>264</v>
      </c>
      <c r="B24" s="143" t="s">
        <v>300</v>
      </c>
      <c r="C24" s="146">
        <f>IFERROR((C13-C15)/(C13-C14),0)</f>
        <v>-28.892307692307693</v>
      </c>
      <c r="D24" s="143" t="s">
        <v>265</v>
      </c>
      <c r="E24" s="145"/>
      <c r="F24" s="145"/>
      <c r="G24" s="145"/>
      <c r="H24" s="145"/>
    </row>
    <row r="25" spans="1:8" ht="29" x14ac:dyDescent="0.35">
      <c r="A25" s="147" t="s">
        <v>301</v>
      </c>
      <c r="B25" s="148" t="s">
        <v>302</v>
      </c>
      <c r="C25" s="149">
        <f>IFERROR(C15/C13,0)</f>
        <v>1.0638297872340426E-3</v>
      </c>
      <c r="D25" s="150" t="s">
        <v>303</v>
      </c>
      <c r="E25" s="148"/>
      <c r="F25" s="148"/>
      <c r="G25" s="148"/>
      <c r="H25" s="148"/>
    </row>
    <row r="26" spans="1:8" x14ac:dyDescent="0.35">
      <c r="A26" s="140" t="s">
        <v>266</v>
      </c>
      <c r="B26" s="140"/>
      <c r="C26" s="140"/>
      <c r="D26" s="140"/>
      <c r="E26" s="140"/>
      <c r="F26" s="140"/>
      <c r="G26" s="140"/>
      <c r="H26" s="140"/>
    </row>
    <row r="27" spans="1:8" x14ac:dyDescent="0.35">
      <c r="A27" s="151" t="s">
        <v>267</v>
      </c>
      <c r="B27" s="151" t="s">
        <v>268</v>
      </c>
      <c r="C27" s="151" t="s">
        <v>269</v>
      </c>
      <c r="D27" s="151"/>
      <c r="E27" s="151"/>
      <c r="F27" s="151"/>
      <c r="G27" s="151"/>
      <c r="H27" s="151"/>
    </row>
    <row r="28" spans="1:8" ht="58" x14ac:dyDescent="0.35">
      <c r="A28" s="142" t="s">
        <v>270</v>
      </c>
      <c r="B28" s="143" t="s">
        <v>271</v>
      </c>
      <c r="C28" s="143" t="s">
        <v>272</v>
      </c>
      <c r="D28" s="145"/>
      <c r="E28" s="145"/>
      <c r="F28" s="145"/>
      <c r="G28" s="145"/>
      <c r="H28" s="145"/>
    </row>
    <row r="29" spans="1:8" ht="58" x14ac:dyDescent="0.35">
      <c r="A29" s="142" t="s">
        <v>273</v>
      </c>
      <c r="B29" s="143" t="s">
        <v>274</v>
      </c>
      <c r="C29" s="143" t="s">
        <v>275</v>
      </c>
      <c r="D29" s="145"/>
      <c r="E29" s="145"/>
      <c r="F29" s="145"/>
      <c r="G29" s="145"/>
      <c r="H29" s="145"/>
    </row>
    <row r="30" spans="1:8" ht="43.5" x14ac:dyDescent="0.35">
      <c r="A30" s="142" t="s">
        <v>276</v>
      </c>
      <c r="B30" s="143" t="s">
        <v>277</v>
      </c>
      <c r="C30" s="143" t="s">
        <v>278</v>
      </c>
      <c r="D30" s="145"/>
      <c r="E30" s="145"/>
      <c r="F30" s="145"/>
      <c r="G30" s="145"/>
      <c r="H30" s="145"/>
    </row>
    <row r="31" spans="1:8" ht="29" x14ac:dyDescent="0.35">
      <c r="A31" s="142" t="s">
        <v>279</v>
      </c>
      <c r="B31" s="143" t="s">
        <v>280</v>
      </c>
      <c r="C31" s="143" t="s">
        <v>281</v>
      </c>
      <c r="D31" s="145"/>
      <c r="E31" s="145"/>
      <c r="F31" s="145"/>
      <c r="G31" s="145"/>
      <c r="H31" s="145"/>
    </row>
    <row r="32" spans="1:8" ht="43.5" x14ac:dyDescent="0.35">
      <c r="A32" s="142" t="s">
        <v>282</v>
      </c>
      <c r="B32" s="143" t="s">
        <v>283</v>
      </c>
      <c r="C32" s="143" t="s">
        <v>284</v>
      </c>
      <c r="D32" s="145"/>
      <c r="E32" s="145"/>
      <c r="F32" s="145"/>
      <c r="G32" s="145"/>
      <c r="H32" s="145"/>
    </row>
    <row r="33" spans="1:8" ht="43.5" x14ac:dyDescent="0.35">
      <c r="A33" s="147" t="s">
        <v>285</v>
      </c>
      <c r="B33" s="150" t="s">
        <v>286</v>
      </c>
      <c r="C33" s="150" t="s">
        <v>287</v>
      </c>
      <c r="D33" s="148"/>
      <c r="E33" s="148"/>
      <c r="F33" s="148"/>
      <c r="G33" s="148"/>
      <c r="H33" s="148"/>
    </row>
    <row r="35" spans="1:8" x14ac:dyDescent="0.35">
      <c r="A35" s="140" t="s">
        <v>288</v>
      </c>
      <c r="B35" s="140"/>
      <c r="C35" s="140"/>
      <c r="D35" s="140"/>
      <c r="E35" s="140"/>
      <c r="F35" s="140"/>
      <c r="G35" s="140"/>
      <c r="H35" s="140"/>
    </row>
    <row r="36" spans="1:8" x14ac:dyDescent="0.35">
      <c r="A36" s="151" t="s">
        <v>304</v>
      </c>
      <c r="B36" s="151" t="s">
        <v>305</v>
      </c>
      <c r="C36" s="151" t="s">
        <v>306</v>
      </c>
      <c r="D36" s="151" t="s">
        <v>307</v>
      </c>
      <c r="E36" s="151"/>
      <c r="F36" s="151"/>
      <c r="G36" s="151"/>
      <c r="H36" s="151"/>
    </row>
    <row r="37" spans="1:8" ht="29" x14ac:dyDescent="0.35">
      <c r="A37" s="142" t="s">
        <v>308</v>
      </c>
      <c r="B37" s="145" t="s">
        <v>309</v>
      </c>
      <c r="C37" s="143" t="s">
        <v>310</v>
      </c>
      <c r="D37" s="143" t="s">
        <v>311</v>
      </c>
      <c r="E37" s="145"/>
      <c r="F37" s="145"/>
      <c r="G37" s="145"/>
      <c r="H37" s="145"/>
    </row>
    <row r="38" spans="1:8" ht="29" x14ac:dyDescent="0.35">
      <c r="A38" s="142" t="s">
        <v>312</v>
      </c>
      <c r="B38" s="145" t="s">
        <v>309</v>
      </c>
      <c r="C38" s="143" t="s">
        <v>313</v>
      </c>
      <c r="D38" s="143" t="s">
        <v>314</v>
      </c>
      <c r="E38" s="145"/>
      <c r="F38" s="145"/>
      <c r="G38" s="145"/>
      <c r="H38" s="145"/>
    </row>
    <row r="39" spans="1:8" ht="29" x14ac:dyDescent="0.35">
      <c r="A39" s="142" t="s">
        <v>315</v>
      </c>
      <c r="B39" s="145" t="s">
        <v>309</v>
      </c>
      <c r="C39" s="143" t="s">
        <v>316</v>
      </c>
      <c r="D39" s="143" t="s">
        <v>317</v>
      </c>
      <c r="E39" s="145"/>
      <c r="F39" s="145"/>
      <c r="G39" s="145"/>
      <c r="H39" s="145"/>
    </row>
    <row r="40" spans="1:8" ht="29" x14ac:dyDescent="0.35">
      <c r="A40" s="142" t="s">
        <v>318</v>
      </c>
      <c r="B40" s="145" t="s">
        <v>319</v>
      </c>
      <c r="C40" s="143" t="s">
        <v>293</v>
      </c>
      <c r="D40" s="143" t="s">
        <v>320</v>
      </c>
      <c r="E40" s="145"/>
      <c r="F40" s="145"/>
      <c r="G40" s="145"/>
      <c r="H40" s="145"/>
    </row>
    <row r="41" spans="1:8" x14ac:dyDescent="0.35">
      <c r="A41" s="142" t="s">
        <v>321</v>
      </c>
      <c r="B41" s="145" t="s">
        <v>319</v>
      </c>
      <c r="C41" s="143" t="s">
        <v>294</v>
      </c>
      <c r="D41" s="143" t="s">
        <v>322</v>
      </c>
      <c r="E41" s="145"/>
      <c r="F41" s="145"/>
      <c r="G41" s="145"/>
      <c r="H41" s="145"/>
    </row>
    <row r="42" spans="1:8" x14ac:dyDescent="0.35">
      <c r="A42" s="142" t="s">
        <v>323</v>
      </c>
      <c r="B42" s="145" t="s">
        <v>324</v>
      </c>
      <c r="C42" s="143" t="s">
        <v>295</v>
      </c>
      <c r="D42" s="143" t="s">
        <v>325</v>
      </c>
      <c r="E42" s="145"/>
      <c r="F42" s="145"/>
      <c r="G42" s="145"/>
      <c r="H42" s="145"/>
    </row>
    <row r="43" spans="1:8" x14ac:dyDescent="0.35">
      <c r="A43" s="142" t="s">
        <v>326</v>
      </c>
      <c r="B43" s="145" t="s">
        <v>324</v>
      </c>
      <c r="C43" s="143" t="s">
        <v>296</v>
      </c>
      <c r="D43" s="143" t="s">
        <v>327</v>
      </c>
      <c r="E43" s="145"/>
      <c r="F43" s="145"/>
      <c r="G43" s="145"/>
      <c r="H43" s="145"/>
    </row>
    <row r="44" spans="1:8" ht="29" x14ac:dyDescent="0.35">
      <c r="A44" s="142" t="s">
        <v>328</v>
      </c>
      <c r="B44" s="145" t="s">
        <v>132</v>
      </c>
      <c r="C44" s="143" t="s">
        <v>329</v>
      </c>
      <c r="D44" s="143" t="s">
        <v>330</v>
      </c>
      <c r="E44" s="145"/>
      <c r="F44" s="145"/>
      <c r="G44" s="145"/>
      <c r="H44" s="145"/>
    </row>
    <row r="45" spans="1:8" ht="29" x14ac:dyDescent="0.35">
      <c r="A45" s="142" t="s">
        <v>331</v>
      </c>
      <c r="B45" s="145" t="s">
        <v>332</v>
      </c>
      <c r="C45" s="143" t="s">
        <v>297</v>
      </c>
      <c r="D45" s="143" t="s">
        <v>333</v>
      </c>
      <c r="E45" s="145"/>
      <c r="F45" s="145"/>
      <c r="G45" s="145"/>
      <c r="H45" s="145"/>
    </row>
    <row r="46" spans="1:8" ht="29" x14ac:dyDescent="0.35">
      <c r="A46" s="142" t="s">
        <v>334</v>
      </c>
      <c r="B46" s="145" t="s">
        <v>332</v>
      </c>
      <c r="C46" s="143" t="s">
        <v>298</v>
      </c>
      <c r="D46" s="143" t="s">
        <v>335</v>
      </c>
      <c r="E46" s="145"/>
      <c r="F46" s="145"/>
      <c r="G46" s="145"/>
      <c r="H46" s="145"/>
    </row>
    <row r="47" spans="1:8" ht="29" x14ac:dyDescent="0.35">
      <c r="A47" s="142" t="s">
        <v>336</v>
      </c>
      <c r="B47" s="145" t="s">
        <v>337</v>
      </c>
      <c r="C47" s="143" t="s">
        <v>299</v>
      </c>
      <c r="D47" s="143" t="s">
        <v>338</v>
      </c>
      <c r="E47" s="145"/>
      <c r="F47" s="145"/>
      <c r="G47" s="145"/>
      <c r="H47" s="145"/>
    </row>
    <row r="48" spans="1:8" ht="29" x14ac:dyDescent="0.35">
      <c r="A48" s="142" t="s">
        <v>339</v>
      </c>
      <c r="B48" s="145" t="s">
        <v>340</v>
      </c>
      <c r="C48" s="143" t="s">
        <v>341</v>
      </c>
      <c r="D48" s="143" t="s">
        <v>342</v>
      </c>
      <c r="E48" s="145"/>
      <c r="F48" s="145"/>
      <c r="G48" s="145"/>
      <c r="H48" s="145"/>
    </row>
    <row r="49" spans="1:8" ht="29" x14ac:dyDescent="0.35">
      <c r="A49" s="142" t="s">
        <v>301</v>
      </c>
      <c r="B49" s="145" t="s">
        <v>343</v>
      </c>
      <c r="C49" s="143" t="s">
        <v>302</v>
      </c>
      <c r="D49" s="143" t="s">
        <v>344</v>
      </c>
      <c r="E49" s="145"/>
      <c r="F49" s="145"/>
      <c r="G49" s="145"/>
      <c r="H49" s="145"/>
    </row>
    <row r="50" spans="1:8" ht="29" x14ac:dyDescent="0.35">
      <c r="A50" s="142" t="s">
        <v>345</v>
      </c>
      <c r="B50" s="145" t="s">
        <v>346</v>
      </c>
      <c r="C50" s="143" t="s">
        <v>347</v>
      </c>
      <c r="D50" s="143" t="s">
        <v>348</v>
      </c>
      <c r="E50" s="145"/>
      <c r="F50" s="145"/>
      <c r="G50" s="145"/>
      <c r="H50" s="145"/>
    </row>
    <row r="51" spans="1:8" ht="29" x14ac:dyDescent="0.35">
      <c r="A51" s="147" t="s">
        <v>155</v>
      </c>
      <c r="B51" s="148" t="s">
        <v>346</v>
      </c>
      <c r="C51" s="150" t="s">
        <v>349</v>
      </c>
      <c r="D51" s="150" t="s">
        <v>350</v>
      </c>
      <c r="E51" s="148"/>
      <c r="F51" s="148"/>
      <c r="G51" s="148"/>
      <c r="H51" s="148"/>
    </row>
    <row r="53" spans="1:8" x14ac:dyDescent="0.35">
      <c r="A53" s="152" t="s">
        <v>351</v>
      </c>
      <c r="B53" s="152"/>
      <c r="C53" s="152"/>
      <c r="D53" s="152"/>
      <c r="E53" s="152"/>
      <c r="F53" s="152"/>
      <c r="G53" s="152"/>
      <c r="H53" s="152"/>
    </row>
    <row r="54" spans="1:8" x14ac:dyDescent="0.35">
      <c r="A54" s="151" t="s">
        <v>352</v>
      </c>
      <c r="B54" s="151" t="s">
        <v>353</v>
      </c>
      <c r="C54" s="151" t="s">
        <v>354</v>
      </c>
      <c r="D54" s="151" t="s">
        <v>355</v>
      </c>
      <c r="E54" s="151" t="s">
        <v>356</v>
      </c>
      <c r="F54" s="151"/>
      <c r="G54" s="151"/>
      <c r="H54" s="151"/>
    </row>
    <row r="55" spans="1:8" ht="29" x14ac:dyDescent="0.35">
      <c r="A55" s="142" t="s">
        <v>323</v>
      </c>
      <c r="B55" s="145" t="s">
        <v>357</v>
      </c>
      <c r="C55" s="145" t="s">
        <v>358</v>
      </c>
      <c r="D55" s="145" t="s">
        <v>359</v>
      </c>
      <c r="E55" s="143" t="s">
        <v>360</v>
      </c>
      <c r="F55" s="145"/>
      <c r="G55" s="145"/>
      <c r="H55" s="145"/>
    </row>
    <row r="56" spans="1:8" ht="29" x14ac:dyDescent="0.35">
      <c r="A56" s="142" t="s">
        <v>326</v>
      </c>
      <c r="B56" s="145" t="s">
        <v>357</v>
      </c>
      <c r="C56" s="145" t="s">
        <v>358</v>
      </c>
      <c r="D56" s="145" t="s">
        <v>359</v>
      </c>
      <c r="E56" s="143" t="s">
        <v>361</v>
      </c>
      <c r="F56" s="145"/>
      <c r="G56" s="145"/>
      <c r="H56" s="145"/>
    </row>
    <row r="57" spans="1:8" ht="29" x14ac:dyDescent="0.35">
      <c r="A57" s="142" t="s">
        <v>336</v>
      </c>
      <c r="B57" s="145" t="s">
        <v>362</v>
      </c>
      <c r="C57" s="145" t="s">
        <v>363</v>
      </c>
      <c r="D57" s="145" t="s">
        <v>364</v>
      </c>
      <c r="E57" s="143" t="s">
        <v>365</v>
      </c>
      <c r="F57" s="145"/>
      <c r="G57" s="145"/>
      <c r="H57" s="145"/>
    </row>
    <row r="58" spans="1:8" ht="29" x14ac:dyDescent="0.35">
      <c r="A58" s="147" t="s">
        <v>339</v>
      </c>
      <c r="B58" s="148" t="s">
        <v>366</v>
      </c>
      <c r="C58" s="148" t="s">
        <v>367</v>
      </c>
      <c r="D58" s="148" t="s">
        <v>368</v>
      </c>
      <c r="E58" s="150" t="s">
        <v>369</v>
      </c>
      <c r="F58" s="148"/>
      <c r="G58" s="148"/>
      <c r="H58" s="148"/>
    </row>
    <row r="60" spans="1:8" x14ac:dyDescent="0.35">
      <c r="A60" s="153" t="s">
        <v>370</v>
      </c>
      <c r="B60" s="153"/>
      <c r="C60" s="153"/>
      <c r="D60" s="153"/>
      <c r="E60" s="153"/>
      <c r="F60" s="153"/>
      <c r="G60" s="153"/>
      <c r="H60" s="153"/>
    </row>
    <row r="61" spans="1:8" ht="48" customHeight="1" x14ac:dyDescent="0.35">
      <c r="A61" s="154" t="s">
        <v>371</v>
      </c>
      <c r="B61" s="154"/>
      <c r="C61" s="154"/>
      <c r="D61" s="154"/>
      <c r="E61" s="154"/>
      <c r="F61" s="154"/>
      <c r="G61" s="154"/>
      <c r="H61" s="154"/>
    </row>
    <row r="62" spans="1:8" x14ac:dyDescent="0.35">
      <c r="A62" s="154"/>
      <c r="B62" s="154"/>
      <c r="C62" s="154"/>
      <c r="D62" s="154"/>
      <c r="E62" s="154"/>
      <c r="F62" s="154"/>
      <c r="G62" s="154"/>
      <c r="H62" s="154"/>
    </row>
    <row r="63" spans="1:8" x14ac:dyDescent="0.35">
      <c r="A63" s="154"/>
      <c r="B63" s="154"/>
      <c r="C63" s="154"/>
      <c r="D63" s="154"/>
      <c r="E63" s="154"/>
      <c r="F63" s="154"/>
      <c r="G63" s="154"/>
      <c r="H63" s="154"/>
    </row>
    <row r="66" spans="1:8" x14ac:dyDescent="0.35">
      <c r="A66" s="156" t="s">
        <v>372</v>
      </c>
      <c r="B66" s="156"/>
      <c r="C66" s="156"/>
      <c r="D66" s="156"/>
      <c r="E66" s="156"/>
      <c r="F66" s="156"/>
      <c r="G66" s="156"/>
      <c r="H66" s="156"/>
    </row>
    <row r="67" spans="1:8" ht="42" customHeight="1" x14ac:dyDescent="0.35">
      <c r="A67" s="157" t="s">
        <v>373</v>
      </c>
      <c r="B67" s="157"/>
      <c r="C67" s="157"/>
      <c r="D67" s="157"/>
      <c r="E67" s="157"/>
      <c r="F67" s="157"/>
      <c r="G67" s="157"/>
      <c r="H67" s="157"/>
    </row>
    <row r="68" spans="1:8" x14ac:dyDescent="0.35">
      <c r="A68" s="157"/>
      <c r="B68" s="157"/>
      <c r="C68" s="157"/>
      <c r="D68" s="157"/>
      <c r="E68" s="157"/>
      <c r="F68" s="157"/>
      <c r="G68" s="157"/>
      <c r="H68" s="157"/>
    </row>
    <row r="70" spans="1:8" x14ac:dyDescent="0.35">
      <c r="A70" s="151" t="s">
        <v>374</v>
      </c>
      <c r="B70" s="151" t="s">
        <v>375</v>
      </c>
      <c r="C70" s="151" t="s">
        <v>376</v>
      </c>
      <c r="D70" s="151" t="s">
        <v>377</v>
      </c>
    </row>
    <row r="71" spans="1:8" ht="29" x14ac:dyDescent="0.35">
      <c r="A71" s="142" t="s">
        <v>98</v>
      </c>
      <c r="B71" s="158">
        <f>COUNTBLANK(tblTaskList[Cost])</f>
        <v>9</v>
      </c>
      <c r="C71" s="143" t="s">
        <v>378</v>
      </c>
      <c r="D71" s="145" t="s">
        <v>379</v>
      </c>
    </row>
    <row r="72" spans="1:8" ht="29" x14ac:dyDescent="0.35">
      <c r="A72" s="142" t="s">
        <v>128</v>
      </c>
      <c r="B72" s="158">
        <f>COUNTBLANK(tblTaskList[Actual Cost])</f>
        <v>9</v>
      </c>
      <c r="C72" s="143" t="s">
        <v>380</v>
      </c>
      <c r="D72" s="145" t="s">
        <v>379</v>
      </c>
    </row>
    <row r="73" spans="1:8" ht="43.5" x14ac:dyDescent="0.35">
      <c r="A73" s="142" t="s">
        <v>127</v>
      </c>
      <c r="B73" s="158">
        <f>COUNTBLANK(tblTaskList[Hours])</f>
        <v>11</v>
      </c>
      <c r="C73" s="143" t="s">
        <v>381</v>
      </c>
      <c r="D73" s="145" t="s">
        <v>382</v>
      </c>
    </row>
    <row r="74" spans="1:8" ht="29" x14ac:dyDescent="0.35">
      <c r="A74" s="142" t="s">
        <v>125</v>
      </c>
      <c r="B74" s="158">
        <f>COUNTBLANK(tblTaskList[Duration (Weeks)])</f>
        <v>1</v>
      </c>
      <c r="C74" s="143" t="s">
        <v>383</v>
      </c>
      <c r="D74" s="145" t="s">
        <v>379</v>
      </c>
    </row>
    <row r="75" spans="1:8" ht="43.5" x14ac:dyDescent="0.35">
      <c r="A75" s="142" t="s">
        <v>124</v>
      </c>
      <c r="B75" s="158">
        <f>COUNTBLANK(tblTaskList[Predecessor Tasks])</f>
        <v>3</v>
      </c>
      <c r="C75" s="143" t="s">
        <v>384</v>
      </c>
      <c r="D75" s="145" t="s">
        <v>385</v>
      </c>
    </row>
    <row r="76" spans="1:8" ht="29" x14ac:dyDescent="0.35">
      <c r="A76" s="142" t="s">
        <v>129</v>
      </c>
      <c r="B76" s="158">
        <f>COUNTBLANK(tblTaskList[Start wk])</f>
        <v>0</v>
      </c>
      <c r="C76" s="143" t="s">
        <v>386</v>
      </c>
      <c r="D76" s="145" t="s">
        <v>379</v>
      </c>
    </row>
    <row r="77" spans="1:8" ht="29" x14ac:dyDescent="0.35">
      <c r="A77" s="142" t="s">
        <v>130</v>
      </c>
      <c r="B77" s="158">
        <f>COUNTBLANK(tblTaskList[Finish wk])</f>
        <v>0</v>
      </c>
      <c r="C77" s="143" t="s">
        <v>386</v>
      </c>
      <c r="D77" s="145" t="s">
        <v>379</v>
      </c>
    </row>
    <row r="78" spans="1:8" ht="29" x14ac:dyDescent="0.35">
      <c r="A78" s="147" t="s">
        <v>126</v>
      </c>
      <c r="B78" s="159">
        <f>COUNTBLANK(tblTaskList[Progress])</f>
        <v>0</v>
      </c>
      <c r="C78" s="150" t="s">
        <v>387</v>
      </c>
      <c r="D78" s="148" t="s">
        <v>379</v>
      </c>
    </row>
    <row r="81" spans="1:8" x14ac:dyDescent="0.35">
      <c r="A81" s="151" t="s">
        <v>388</v>
      </c>
      <c r="B81" s="151" t="s">
        <v>120</v>
      </c>
      <c r="C81" s="151" t="s">
        <v>389</v>
      </c>
      <c r="D81" s="151" t="s">
        <v>390</v>
      </c>
      <c r="E81" s="151" t="s">
        <v>391</v>
      </c>
      <c r="F81" s="151"/>
      <c r="G81" s="151"/>
      <c r="H81" s="151"/>
    </row>
    <row r="82" spans="1:8" ht="29" x14ac:dyDescent="0.35">
      <c r="A82" s="158">
        <v>2</v>
      </c>
      <c r="B82" s="145">
        <v>2</v>
      </c>
      <c r="C82" s="145" t="s">
        <v>138</v>
      </c>
      <c r="D82" s="143" t="s">
        <v>392</v>
      </c>
      <c r="E82" s="143" t="s">
        <v>393</v>
      </c>
      <c r="F82" s="145"/>
      <c r="G82" s="145"/>
      <c r="H82" s="145"/>
    </row>
    <row r="83" spans="1:8" x14ac:dyDescent="0.35">
      <c r="A83" s="158">
        <v>3</v>
      </c>
      <c r="B83" s="145">
        <v>3</v>
      </c>
      <c r="C83" s="145" t="s">
        <v>141</v>
      </c>
      <c r="D83" s="143" t="s">
        <v>127</v>
      </c>
      <c r="E83" s="143" t="s">
        <v>394</v>
      </c>
      <c r="F83" s="145"/>
      <c r="G83" s="145"/>
      <c r="H83" s="145"/>
    </row>
    <row r="84" spans="1:8" ht="29" x14ac:dyDescent="0.35">
      <c r="A84" s="158">
        <v>5</v>
      </c>
      <c r="B84" s="145">
        <v>7</v>
      </c>
      <c r="C84" s="145" t="s">
        <v>144</v>
      </c>
      <c r="D84" s="143" t="s">
        <v>392</v>
      </c>
      <c r="E84" s="143" t="s">
        <v>393</v>
      </c>
      <c r="F84" s="145"/>
      <c r="G84" s="145"/>
      <c r="H84" s="145"/>
    </row>
    <row r="85" spans="1:8" ht="29" x14ac:dyDescent="0.35">
      <c r="A85" s="158">
        <v>9</v>
      </c>
      <c r="B85" s="145">
        <v>19</v>
      </c>
      <c r="C85" s="145" t="s">
        <v>152</v>
      </c>
      <c r="D85" s="143" t="s">
        <v>392</v>
      </c>
      <c r="E85" s="143" t="s">
        <v>393</v>
      </c>
      <c r="F85" s="145"/>
      <c r="G85" s="145"/>
      <c r="H85" s="145"/>
    </row>
    <row r="86" spans="1:8" ht="29" x14ac:dyDescent="0.35">
      <c r="A86" s="158">
        <v>10</v>
      </c>
      <c r="B86" s="145">
        <v>1</v>
      </c>
      <c r="C86" s="145" t="s">
        <v>154</v>
      </c>
      <c r="D86" s="143" t="s">
        <v>392</v>
      </c>
      <c r="E86" s="143" t="s">
        <v>393</v>
      </c>
      <c r="F86" s="145"/>
      <c r="G86" s="145"/>
      <c r="H86" s="145"/>
    </row>
    <row r="87" spans="1:8" ht="29" x14ac:dyDescent="0.35">
      <c r="A87" s="158">
        <v>13</v>
      </c>
      <c r="B87" s="145">
        <v>8</v>
      </c>
      <c r="C87" s="145" t="s">
        <v>160</v>
      </c>
      <c r="D87" s="143" t="s">
        <v>395</v>
      </c>
      <c r="E87" s="143" t="s">
        <v>396</v>
      </c>
      <c r="F87" s="145"/>
      <c r="G87" s="145"/>
      <c r="H87" s="145"/>
    </row>
    <row r="88" spans="1:8" ht="29" x14ac:dyDescent="0.35">
      <c r="A88" s="158">
        <v>14</v>
      </c>
      <c r="B88" s="145">
        <v>11</v>
      </c>
      <c r="C88" s="145" t="s">
        <v>162</v>
      </c>
      <c r="D88" s="143" t="s">
        <v>392</v>
      </c>
      <c r="E88" s="143" t="s">
        <v>393</v>
      </c>
      <c r="F88" s="145"/>
      <c r="G88" s="145"/>
      <c r="H88" s="145"/>
    </row>
    <row r="89" spans="1:8" ht="29" x14ac:dyDescent="0.35">
      <c r="A89" s="158">
        <v>15</v>
      </c>
      <c r="B89" s="145">
        <v>12</v>
      </c>
      <c r="C89" s="145" t="s">
        <v>163</v>
      </c>
      <c r="D89" s="143" t="s">
        <v>392</v>
      </c>
      <c r="E89" s="143" t="s">
        <v>393</v>
      </c>
      <c r="F89" s="145"/>
      <c r="G89" s="145"/>
      <c r="H89" s="145"/>
    </row>
    <row r="90" spans="1:8" ht="29" x14ac:dyDescent="0.35">
      <c r="A90" s="158">
        <v>16</v>
      </c>
      <c r="B90" s="145">
        <v>13</v>
      </c>
      <c r="C90" s="145" t="s">
        <v>164</v>
      </c>
      <c r="D90" s="143" t="s">
        <v>397</v>
      </c>
      <c r="E90" s="143" t="s">
        <v>398</v>
      </c>
      <c r="F90" s="145"/>
      <c r="G90" s="145"/>
      <c r="H90" s="145"/>
    </row>
    <row r="91" spans="1:8" ht="29" x14ac:dyDescent="0.35">
      <c r="A91" s="158">
        <v>17</v>
      </c>
      <c r="B91" s="145">
        <v>14</v>
      </c>
      <c r="C91" s="145" t="s">
        <v>153</v>
      </c>
      <c r="D91" s="143" t="s">
        <v>392</v>
      </c>
      <c r="E91" s="143" t="s">
        <v>393</v>
      </c>
      <c r="F91" s="145"/>
      <c r="G91" s="145"/>
      <c r="H91" s="145"/>
    </row>
    <row r="92" spans="1:8" x14ac:dyDescent="0.35">
      <c r="A92" s="158">
        <v>18</v>
      </c>
      <c r="B92" s="145">
        <v>15</v>
      </c>
      <c r="C92" s="145" t="s">
        <v>147</v>
      </c>
      <c r="D92" s="143" t="s">
        <v>399</v>
      </c>
      <c r="E92" s="143" t="s">
        <v>400</v>
      </c>
      <c r="F92" s="145"/>
      <c r="G92" s="145"/>
      <c r="H92" s="145"/>
    </row>
    <row r="93" spans="1:8" ht="29" x14ac:dyDescent="0.35">
      <c r="A93" s="158">
        <v>19</v>
      </c>
      <c r="B93" s="145">
        <v>16</v>
      </c>
      <c r="C93" s="145" t="s">
        <v>150</v>
      </c>
      <c r="D93" s="143" t="s">
        <v>397</v>
      </c>
      <c r="E93" s="143" t="s">
        <v>398</v>
      </c>
      <c r="F93" s="145"/>
      <c r="G93" s="145"/>
      <c r="H93" s="145"/>
    </row>
    <row r="94" spans="1:8" ht="29" x14ac:dyDescent="0.35">
      <c r="A94" s="159">
        <v>8</v>
      </c>
      <c r="B94" s="148">
        <v>17</v>
      </c>
      <c r="C94" s="148" t="s">
        <v>151</v>
      </c>
      <c r="D94" s="150" t="s">
        <v>401</v>
      </c>
      <c r="E94" s="150" t="s">
        <v>402</v>
      </c>
      <c r="F94" s="148"/>
      <c r="G94" s="148"/>
      <c r="H94" s="148"/>
    </row>
  </sheetData>
  <mergeCells count="12">
    <mergeCell ref="A35:H35"/>
    <mergeCell ref="A53:H53"/>
    <mergeCell ref="A60:H60"/>
    <mergeCell ref="A61:H63"/>
    <mergeCell ref="A66:H66"/>
    <mergeCell ref="A67:H68"/>
    <mergeCell ref="A1:H1"/>
    <mergeCell ref="A2:H2"/>
    <mergeCell ref="A4:H4"/>
    <mergeCell ref="A5:H8"/>
    <mergeCell ref="A10:H10"/>
    <mergeCell ref="A26:H26"/>
  </mergeCells>
  <conditionalFormatting sqref="C19:C20">
    <cfRule type="cellIs" dxfId="32" priority="1" operator="lessThan">
      <formula>0.9</formula>
    </cfRule>
  </conditionalFormatting>
  <conditionalFormatting sqref="C19:C20">
    <cfRule type="cellIs" dxfId="31" priority="2" operator="between">
      <formula>0.9</formula>
      <formula>1</formula>
    </cfRule>
  </conditionalFormatting>
  <conditionalFormatting sqref="C19:C20">
    <cfRule type="cellIs" dxfId="30" priority="3" operator="greaterThanOrEqual">
      <formula>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1D3E0-0BA6-4F65-A835-83C8FC3A6B51}">
  <dimension ref="A1:N63"/>
  <sheetViews>
    <sheetView zoomScale="85" zoomScaleNormal="85" workbookViewId="0">
      <selection activeCell="H38" sqref="H38"/>
    </sheetView>
  </sheetViews>
  <sheetFormatPr defaultRowHeight="14.5" x14ac:dyDescent="0.35"/>
  <cols>
    <col min="1" max="1" width="17.26953125" customWidth="1"/>
    <col min="2" max="2" width="20" customWidth="1"/>
    <col min="3" max="3" width="17.26953125" customWidth="1"/>
    <col min="4" max="4" width="36.36328125" customWidth="1"/>
    <col min="5" max="5" width="17.26953125" customWidth="1"/>
    <col min="6" max="6" width="2.7265625" customWidth="1"/>
    <col min="7" max="14" width="12.7265625" customWidth="1"/>
  </cols>
  <sheetData>
    <row r="1" spans="1:8" ht="23.5" x14ac:dyDescent="0.55000000000000004">
      <c r="A1" s="178" t="s">
        <v>424</v>
      </c>
      <c r="B1" s="178"/>
      <c r="C1" s="178"/>
      <c r="D1" s="178"/>
      <c r="E1" s="178"/>
      <c r="F1" s="178"/>
      <c r="G1" s="178"/>
      <c r="H1" s="178"/>
    </row>
    <row r="2" spans="1:8" x14ac:dyDescent="0.35">
      <c r="A2" s="160" t="s">
        <v>425</v>
      </c>
      <c r="B2" s="160"/>
      <c r="C2" s="160"/>
      <c r="D2" s="160"/>
      <c r="E2" s="160"/>
      <c r="F2" s="160"/>
      <c r="G2" s="160"/>
      <c r="H2" s="160"/>
    </row>
    <row r="4" spans="1:8" x14ac:dyDescent="0.35">
      <c r="A4" s="179" t="s">
        <v>236</v>
      </c>
      <c r="B4" s="179" t="s">
        <v>429</v>
      </c>
      <c r="C4" s="179" t="s">
        <v>238</v>
      </c>
      <c r="D4" s="179" t="s">
        <v>239</v>
      </c>
    </row>
    <row r="5" spans="1:8" ht="29" x14ac:dyDescent="0.35">
      <c r="A5" t="s">
        <v>405</v>
      </c>
      <c r="B5" t="s">
        <v>430</v>
      </c>
      <c r="C5" s="161">
        <f ca="1">'EVM Data'!B5</f>
        <v>32</v>
      </c>
      <c r="D5" s="71" t="s">
        <v>426</v>
      </c>
    </row>
    <row r="6" spans="1:8" ht="29" x14ac:dyDescent="0.35">
      <c r="A6" t="s">
        <v>241</v>
      </c>
      <c r="B6" t="s">
        <v>431</v>
      </c>
      <c r="C6" s="98">
        <f>'EVM Data'!B7</f>
        <v>18800</v>
      </c>
      <c r="D6" s="71" t="s">
        <v>427</v>
      </c>
    </row>
    <row r="7" spans="1:8" ht="29" x14ac:dyDescent="0.35">
      <c r="A7" t="s">
        <v>428</v>
      </c>
      <c r="B7" t="s">
        <v>432</v>
      </c>
      <c r="C7" s="98">
        <f>MAX(SCurveData[Planned Value])</f>
        <v>18800</v>
      </c>
      <c r="D7" s="71" t="s">
        <v>433</v>
      </c>
    </row>
    <row r="8" spans="1:8" ht="29" x14ac:dyDescent="0.35">
      <c r="A8" t="s">
        <v>434</v>
      </c>
      <c r="B8" t="s">
        <v>435</v>
      </c>
      <c r="C8" s="98">
        <f ca="1">_xlfn.AGGREGATE(14,6,SCurveData[Actual Cost],1)</f>
        <v>19450</v>
      </c>
      <c r="D8" s="71" t="s">
        <v>436</v>
      </c>
    </row>
    <row r="11" spans="1:8" x14ac:dyDescent="0.35">
      <c r="A11" s="180" t="s">
        <v>437</v>
      </c>
      <c r="B11" s="180" t="s">
        <v>438</v>
      </c>
      <c r="C11" s="180" t="s">
        <v>412</v>
      </c>
      <c r="D11" s="180" t="s">
        <v>411</v>
      </c>
      <c r="E11" s="180" t="s">
        <v>128</v>
      </c>
    </row>
    <row r="12" spans="1:8" x14ac:dyDescent="0.35">
      <c r="A12">
        <v>1</v>
      </c>
      <c r="B12" s="181">
        <f>IF(ISNUMBER('Gantt-frame'!$F$5),'Gantt-frame'!$F$5,DATE(VALUE(RIGHT('Gantt-frame'!$F$5,4)),VALUE(MID('Gantt-frame'!$F$5,4,2)),VALUE(LEFT('Gantt-frame'!$F$5,2))))+(SCurveData[[#This Row],[Week]]-1)*7</f>
        <v>46174</v>
      </c>
      <c r="C12" s="98" cm="1">
        <f t="array" ref="C12">SUMPRODUCT(tblEVMData[Baseline Cost]*IF(SCurveData[[#This Row],[Week]]&lt;tblEVMData[Start wk],0,IF(SCurveData[[#This Row],[Week]]&gt;=tblEVMData[Finish wk],1,(SCurveData[[#This Row],[Week]]-tblEVMData[Start wk]+1)/tblEVMData[Duration (Weeks)])))</f>
        <v>0</v>
      </c>
      <c r="D12" s="98" cm="1">
        <f t="array" aca="1" ref="D12" ca="1">IF(SCurveData[[#This Row],[Week]]&gt;'EVM Data'!$B$5,NA(),SUMPRODUCT(tblEVMData[Earned Value]*--(tblEVMData[Finish wk]&lt;=SCurveData[[#This Row],[Week]])))</f>
        <v>0</v>
      </c>
      <c r="E12" s="98" cm="1">
        <f t="array" aca="1" ref="E12" ca="1">IF(SCurveData[[#This Row],[Week]]&gt;'EVM Data'!$B$5,NA(),SUMPRODUCT(tblEVMData[Actual Cost]*--(tblEVMData[Finish wk]&lt;=SCurveData[[#This Row],[Week]])))</f>
        <v>0</v>
      </c>
    </row>
    <row r="13" spans="1:8" x14ac:dyDescent="0.35">
      <c r="A13">
        <v>2</v>
      </c>
      <c r="B13" s="181">
        <f>IF(ISNUMBER('Gantt-frame'!$F$5),'Gantt-frame'!$F$5,DATE(VALUE(RIGHT('Gantt-frame'!$F$5,4)),VALUE(MID('Gantt-frame'!$F$5,4,2)),VALUE(LEFT('Gantt-frame'!$F$5,2))))+(SCurveData[[#This Row],[Week]]-1)*7</f>
        <v>46181</v>
      </c>
      <c r="C13" s="98" cm="1">
        <f t="array" ref="C13">SUMPRODUCT(tblEVMData[Baseline Cost]*IF(SCurveData[[#This Row],[Week]]&lt;tblEVMData[Start wk],0,IF(SCurveData[[#This Row],[Week]]&gt;=tblEVMData[Finish wk],1,(SCurveData[[#This Row],[Week]]-tblEVMData[Start wk]+1)/tblEVMData[Duration (Weeks)])))</f>
        <v>0</v>
      </c>
      <c r="D13" s="98" cm="1">
        <f t="array" aca="1" ref="D13" ca="1">IF(SCurveData[[#This Row],[Week]]&gt;'EVM Data'!$B$5,NA(),SUMPRODUCT(tblEVMData[Earned Value]*--(tblEVMData[Finish wk]&lt;=SCurveData[[#This Row],[Week]])))</f>
        <v>0</v>
      </c>
      <c r="E13" s="98" cm="1">
        <f t="array" aca="1" ref="E13" ca="1">IF(SCurveData[[#This Row],[Week]]&gt;'EVM Data'!$B$5,NA(),SUMPRODUCT(tblEVMData[Actual Cost]*--(tblEVMData[Finish wk]&lt;=SCurveData[[#This Row],[Week]])))</f>
        <v>0</v>
      </c>
    </row>
    <row r="14" spans="1:8" x14ac:dyDescent="0.35">
      <c r="A14">
        <v>3</v>
      </c>
      <c r="B14" s="181">
        <f>IF(ISNUMBER('Gantt-frame'!$F$5),'Gantt-frame'!$F$5,DATE(VALUE(RIGHT('Gantt-frame'!$F$5,4)),VALUE(MID('Gantt-frame'!$F$5,4,2)),VALUE(LEFT('Gantt-frame'!$F$5,2))))+(SCurveData[[#This Row],[Week]]-1)*7</f>
        <v>46188</v>
      </c>
      <c r="C14" s="98" cm="1">
        <f t="array" ref="C14">SUMPRODUCT(tblEVMData[Baseline Cost]*IF(SCurveData[[#This Row],[Week]]&lt;tblEVMData[Start wk],0,IF(SCurveData[[#This Row],[Week]]&gt;=tblEVMData[Finish wk],1,(SCurveData[[#This Row],[Week]]-tblEVMData[Start wk]+1)/tblEVMData[Duration (Weeks)])))</f>
        <v>300</v>
      </c>
      <c r="D14" s="98" cm="1">
        <f t="array" aca="1" ref="D14" ca="1">IF(SCurveData[[#This Row],[Week]]&gt;'EVM Data'!$B$5,NA(),SUMPRODUCT(tblEVMData[Earned Value]*--(tblEVMData[Finish wk]&lt;=SCurveData[[#This Row],[Week]])))</f>
        <v>0</v>
      </c>
      <c r="E14" s="98" cm="1">
        <f t="array" aca="1" ref="E14" ca="1">IF(SCurveData[[#This Row],[Week]]&gt;'EVM Data'!$B$5,NA(),SUMPRODUCT(tblEVMData[Actual Cost]*--(tblEVMData[Finish wk]&lt;=SCurveData[[#This Row],[Week]])))</f>
        <v>300</v>
      </c>
    </row>
    <row r="15" spans="1:8" x14ac:dyDescent="0.35">
      <c r="A15">
        <v>4</v>
      </c>
      <c r="B15" s="181">
        <f>IF(ISNUMBER('Gantt-frame'!$F$5),'Gantt-frame'!$F$5,DATE(VALUE(RIGHT('Gantt-frame'!$F$5,4)),VALUE(MID('Gantt-frame'!$F$5,4,2)),VALUE(LEFT('Gantt-frame'!$F$5,2))))+(SCurveData[[#This Row],[Week]]-1)*7</f>
        <v>46195</v>
      </c>
      <c r="C15" s="98" cm="1">
        <f t="array" ref="C15">SUMPRODUCT(tblEVMData[Baseline Cost]*IF(SCurveData[[#This Row],[Week]]&lt;tblEVMData[Start wk],0,IF(SCurveData[[#This Row],[Week]]&gt;=tblEVMData[Finish wk],1,(SCurveData[[#This Row],[Week]]-tblEVMData[Start wk]+1)/tblEVMData[Duration (Weeks)])))</f>
        <v>300</v>
      </c>
      <c r="D15" s="98" cm="1">
        <f t="array" aca="1" ref="D15" ca="1">IF(SCurveData[[#This Row],[Week]]&gt;'EVM Data'!$B$5,NA(),SUMPRODUCT(tblEVMData[Earned Value]*--(tblEVMData[Finish wk]&lt;=SCurveData[[#This Row],[Week]])))</f>
        <v>0</v>
      </c>
      <c r="E15" s="98" cm="1">
        <f t="array" aca="1" ref="E15" ca="1">IF(SCurveData[[#This Row],[Week]]&gt;'EVM Data'!$B$5,NA(),SUMPRODUCT(tblEVMData[Actual Cost]*--(tblEVMData[Finish wk]&lt;=SCurveData[[#This Row],[Week]])))</f>
        <v>300</v>
      </c>
    </row>
    <row r="16" spans="1:8" x14ac:dyDescent="0.35">
      <c r="A16">
        <v>5</v>
      </c>
      <c r="B16" s="181">
        <f>IF(ISNUMBER('Gantt-frame'!$F$5),'Gantt-frame'!$F$5,DATE(VALUE(RIGHT('Gantt-frame'!$F$5,4)),VALUE(MID('Gantt-frame'!$F$5,4,2)),VALUE(LEFT('Gantt-frame'!$F$5,2))))+(SCurveData[[#This Row],[Week]]-1)*7</f>
        <v>46202</v>
      </c>
      <c r="C16" s="98" cm="1">
        <f t="array" ref="C16">SUMPRODUCT(tblEVMData[Baseline Cost]*IF(SCurveData[[#This Row],[Week]]&lt;tblEVMData[Start wk],0,IF(SCurveData[[#This Row],[Week]]&gt;=tblEVMData[Finish wk],1,(SCurveData[[#This Row],[Week]]-tblEVMData[Start wk]+1)/tblEVMData[Duration (Weeks)])))</f>
        <v>300</v>
      </c>
      <c r="D16" s="98" cm="1">
        <f t="array" aca="1" ref="D16" ca="1">IF(SCurveData[[#This Row],[Week]]&gt;'EVM Data'!$B$5,NA(),SUMPRODUCT(tblEVMData[Earned Value]*--(tblEVMData[Finish wk]&lt;=SCurveData[[#This Row],[Week]])))</f>
        <v>0</v>
      </c>
      <c r="E16" s="98" cm="1">
        <f t="array" aca="1" ref="E16" ca="1">IF(SCurveData[[#This Row],[Week]]&gt;'EVM Data'!$B$5,NA(),SUMPRODUCT(tblEVMData[Actual Cost]*--(tblEVMData[Finish wk]&lt;=SCurveData[[#This Row],[Week]])))</f>
        <v>300</v>
      </c>
    </row>
    <row r="17" spans="1:14" x14ac:dyDescent="0.35">
      <c r="A17">
        <v>6</v>
      </c>
      <c r="B17" s="181">
        <f>IF(ISNUMBER('Gantt-frame'!$F$5),'Gantt-frame'!$F$5,DATE(VALUE(RIGHT('Gantt-frame'!$F$5,4)),VALUE(MID('Gantt-frame'!$F$5,4,2)),VALUE(LEFT('Gantt-frame'!$F$5,2))))+(SCurveData[[#This Row],[Week]]-1)*7</f>
        <v>46209</v>
      </c>
      <c r="C17" s="98" cm="1">
        <f t="array" ref="C17">SUMPRODUCT(tblEVMData[Baseline Cost]*IF(SCurveData[[#This Row],[Week]]&lt;tblEVMData[Start wk],0,IF(SCurveData[[#This Row],[Week]]&gt;=tblEVMData[Finish wk],1,(SCurveData[[#This Row],[Week]]-tblEVMData[Start wk]+1)/tblEVMData[Duration (Weeks)])))</f>
        <v>300</v>
      </c>
      <c r="D17" s="98" cm="1">
        <f t="array" aca="1" ref="D17" ca="1">IF(SCurveData[[#This Row],[Week]]&gt;'EVM Data'!$B$5,NA(),SUMPRODUCT(tblEVMData[Earned Value]*--(tblEVMData[Finish wk]&lt;=SCurveData[[#This Row],[Week]])))</f>
        <v>0</v>
      </c>
      <c r="E17" s="98" cm="1">
        <f t="array" aca="1" ref="E17" ca="1">IF(SCurveData[[#This Row],[Week]]&gt;'EVM Data'!$B$5,NA(),SUMPRODUCT(tblEVMData[Actual Cost]*--(tblEVMData[Finish wk]&lt;=SCurveData[[#This Row],[Week]])))</f>
        <v>300</v>
      </c>
    </row>
    <row r="18" spans="1:14" x14ac:dyDescent="0.35">
      <c r="A18">
        <v>7</v>
      </c>
      <c r="B18" s="181">
        <f>IF(ISNUMBER('Gantt-frame'!$F$5),'Gantt-frame'!$F$5,DATE(VALUE(RIGHT('Gantt-frame'!$F$5,4)),VALUE(MID('Gantt-frame'!$F$5,4,2)),VALUE(LEFT('Gantt-frame'!$F$5,2))))+(SCurveData[[#This Row],[Week]]-1)*7</f>
        <v>46216</v>
      </c>
      <c r="C18" s="98" cm="1">
        <f t="array" ref="C18">SUMPRODUCT(tblEVMData[Baseline Cost]*IF(SCurveData[[#This Row],[Week]]&lt;tblEVMData[Start wk],0,IF(SCurveData[[#This Row],[Week]]&gt;=tblEVMData[Finish wk],1,(SCurveData[[#This Row],[Week]]-tblEVMData[Start wk]+1)/tblEVMData[Duration (Weeks)])))</f>
        <v>310</v>
      </c>
      <c r="D18" s="98" cm="1">
        <f t="array" aca="1" ref="D18" ca="1">IF(SCurveData[[#This Row],[Week]]&gt;'EVM Data'!$B$5,NA(),SUMPRODUCT(tblEVMData[Earned Value]*--(tblEVMData[Finish wk]&lt;=SCurveData[[#This Row],[Week]])))</f>
        <v>0</v>
      </c>
      <c r="E18" s="98" cm="1">
        <f t="array" aca="1" ref="E18" ca="1">IF(SCurveData[[#This Row],[Week]]&gt;'EVM Data'!$B$5,NA(),SUMPRODUCT(tblEVMData[Actual Cost]*--(tblEVMData[Finish wk]&lt;=SCurveData[[#This Row],[Week]])))</f>
        <v>300</v>
      </c>
    </row>
    <row r="19" spans="1:14" x14ac:dyDescent="0.35">
      <c r="A19">
        <v>8</v>
      </c>
      <c r="B19" s="181">
        <f>IF(ISNUMBER('Gantt-frame'!$F$5),'Gantt-frame'!$F$5,DATE(VALUE(RIGHT('Gantt-frame'!$F$5,4)),VALUE(MID('Gantt-frame'!$F$5,4,2)),VALUE(LEFT('Gantt-frame'!$F$5,2))))+(SCurveData[[#This Row],[Week]]-1)*7</f>
        <v>46223</v>
      </c>
      <c r="C19" s="98" cm="1">
        <f t="array" ref="C19">SUMPRODUCT(tblEVMData[Baseline Cost]*IF(SCurveData[[#This Row],[Week]]&lt;tblEVMData[Start wk],0,IF(SCurveData[[#This Row],[Week]]&gt;=tblEVMData[Finish wk],1,(SCurveData[[#This Row],[Week]]-tblEVMData[Start wk]+1)/tblEVMData[Duration (Weeks)])))</f>
        <v>8445</v>
      </c>
      <c r="D19" s="98" cm="1">
        <f t="array" aca="1" ref="D19" ca="1">IF(SCurveData[[#This Row],[Week]]&gt;'EVM Data'!$B$5,NA(),SUMPRODUCT(tblEVMData[Earned Value]*--(tblEVMData[Finish wk]&lt;=SCurveData[[#This Row],[Week]])))</f>
        <v>0</v>
      </c>
      <c r="E19" s="98" cm="1">
        <f t="array" aca="1" ref="E19" ca="1">IF(SCurveData[[#This Row],[Week]]&gt;'EVM Data'!$B$5,NA(),SUMPRODUCT(tblEVMData[Actual Cost]*--(tblEVMData[Finish wk]&lt;=SCurveData[[#This Row],[Week]])))</f>
        <v>8300</v>
      </c>
    </row>
    <row r="20" spans="1:14" x14ac:dyDescent="0.35">
      <c r="A20">
        <v>9</v>
      </c>
      <c r="B20" s="181">
        <f>IF(ISNUMBER('Gantt-frame'!$F$5),'Gantt-frame'!$F$5,DATE(VALUE(RIGHT('Gantt-frame'!$F$5,4)),VALUE(MID('Gantt-frame'!$F$5,4,2)),VALUE(LEFT('Gantt-frame'!$F$5,2))))+(SCurveData[[#This Row],[Week]]-1)*7</f>
        <v>46230</v>
      </c>
      <c r="C20" s="98" cm="1">
        <f t="array" ref="C20">SUMPRODUCT(tblEVMData[Baseline Cost]*IF(SCurveData[[#This Row],[Week]]&lt;tblEVMData[Start wk],0,IF(SCurveData[[#This Row],[Week]]&gt;=tblEVMData[Finish wk],1,(SCurveData[[#This Row],[Week]]-tblEVMData[Start wk]+1)/tblEVMData[Duration (Weeks)])))</f>
        <v>8580</v>
      </c>
      <c r="D20" s="98" cm="1">
        <f t="array" aca="1" ref="D20" ca="1">IF(SCurveData[[#This Row],[Week]]&gt;'EVM Data'!$B$5,NA(),SUMPRODUCT(tblEVMData[Earned Value]*--(tblEVMData[Finish wk]&lt;=SCurveData[[#This Row],[Week]])))</f>
        <v>0</v>
      </c>
      <c r="E20" s="98" cm="1">
        <f t="array" aca="1" ref="E20" ca="1">IF(SCurveData[[#This Row],[Week]]&gt;'EVM Data'!$B$5,NA(),SUMPRODUCT(tblEVMData[Actual Cost]*--(tblEVMData[Finish wk]&lt;=SCurveData[[#This Row],[Week]])))</f>
        <v>8300</v>
      </c>
    </row>
    <row r="21" spans="1:14" x14ac:dyDescent="0.35">
      <c r="A21">
        <v>10</v>
      </c>
      <c r="B21" s="181">
        <f>IF(ISNUMBER('Gantt-frame'!$F$5),'Gantt-frame'!$F$5,DATE(VALUE(RIGHT('Gantt-frame'!$F$5,4)),VALUE(MID('Gantt-frame'!$F$5,4,2)),VALUE(LEFT('Gantt-frame'!$F$5,2))))+(SCurveData[[#This Row],[Week]]-1)*7</f>
        <v>46237</v>
      </c>
      <c r="C21" s="98" cm="1">
        <f t="array" ref="C21">SUMPRODUCT(tblEVMData[Baseline Cost]*IF(SCurveData[[#This Row],[Week]]&lt;tblEVMData[Start wk],0,IF(SCurveData[[#This Row],[Week]]&gt;=tblEVMData[Finish wk],1,(SCurveData[[#This Row],[Week]]-tblEVMData[Start wk]+1)/tblEVMData[Duration (Weeks)])))</f>
        <v>8715</v>
      </c>
      <c r="D21" s="98" cm="1">
        <f t="array" aca="1" ref="D21" ca="1">IF(SCurveData[[#This Row],[Week]]&gt;'EVM Data'!$B$5,NA(),SUMPRODUCT(tblEVMData[Earned Value]*--(tblEVMData[Finish wk]&lt;=SCurveData[[#This Row],[Week]])))</f>
        <v>0</v>
      </c>
      <c r="E21" s="98" cm="1">
        <f t="array" aca="1" ref="E21" ca="1">IF(SCurveData[[#This Row],[Week]]&gt;'EVM Data'!$B$5,NA(),SUMPRODUCT(tblEVMData[Actual Cost]*--(tblEVMData[Finish wk]&lt;=SCurveData[[#This Row],[Week]])))</f>
        <v>8300</v>
      </c>
    </row>
    <row r="22" spans="1:14" x14ac:dyDescent="0.35">
      <c r="A22">
        <v>11</v>
      </c>
      <c r="B22" s="181">
        <f>IF(ISNUMBER('Gantt-frame'!$F$5),'Gantt-frame'!$F$5,DATE(VALUE(RIGHT('Gantt-frame'!$F$5,4)),VALUE(MID('Gantt-frame'!$F$5,4,2)),VALUE(LEFT('Gantt-frame'!$F$5,2))))+(SCurveData[[#This Row],[Week]]-1)*7</f>
        <v>46244</v>
      </c>
      <c r="C22" s="98" cm="1">
        <f t="array" ref="C22">SUMPRODUCT(tblEVMData[Baseline Cost]*IF(SCurveData[[#This Row],[Week]]&lt;tblEVMData[Start wk],0,IF(SCurveData[[#This Row],[Week]]&gt;=tblEVMData[Finish wk],1,(SCurveData[[#This Row],[Week]]-tblEVMData[Start wk]+1)/tblEVMData[Duration (Weeks)])))</f>
        <v>8850</v>
      </c>
      <c r="D22" s="98" cm="1">
        <f t="array" aca="1" ref="D22" ca="1">IF(SCurveData[[#This Row],[Week]]&gt;'EVM Data'!$B$5,NA(),SUMPRODUCT(tblEVMData[Earned Value]*--(tblEVMData[Finish wk]&lt;=SCurveData[[#This Row],[Week]])))</f>
        <v>0</v>
      </c>
      <c r="E22" s="98" cm="1">
        <f t="array" aca="1" ref="E22" ca="1">IF(SCurveData[[#This Row],[Week]]&gt;'EVM Data'!$B$5,NA(),SUMPRODUCT(tblEVMData[Actual Cost]*--(tblEVMData[Finish wk]&lt;=SCurveData[[#This Row],[Week]])))</f>
        <v>8800</v>
      </c>
    </row>
    <row r="23" spans="1:14" x14ac:dyDescent="0.35">
      <c r="A23">
        <v>12</v>
      </c>
      <c r="B23" s="181">
        <f>IF(ISNUMBER('Gantt-frame'!$F$5),'Gantt-frame'!$F$5,DATE(VALUE(RIGHT('Gantt-frame'!$F$5,4)),VALUE(MID('Gantt-frame'!$F$5,4,2)),VALUE(LEFT('Gantt-frame'!$F$5,2))))+(SCurveData[[#This Row],[Week]]-1)*7</f>
        <v>46251</v>
      </c>
      <c r="C23" s="98" cm="1">
        <f t="array" ref="C23">SUMPRODUCT(tblEVMData[Baseline Cost]*IF(SCurveData[[#This Row],[Week]]&lt;tblEVMData[Start wk],0,IF(SCurveData[[#This Row],[Week]]&gt;=tblEVMData[Finish wk],1,(SCurveData[[#This Row],[Week]]-tblEVMData[Start wk]+1)/tblEVMData[Duration (Weeks)])))</f>
        <v>8860</v>
      </c>
      <c r="D23" s="98" cm="1">
        <f t="array" aca="1" ref="D23" ca="1">IF(SCurveData[[#This Row],[Week]]&gt;'EVM Data'!$B$5,NA(),SUMPRODUCT(tblEVMData[Earned Value]*--(tblEVMData[Finish wk]&lt;=SCurveData[[#This Row],[Week]])))</f>
        <v>0</v>
      </c>
      <c r="E23" s="98" cm="1">
        <f t="array" aca="1" ref="E23" ca="1">IF(SCurveData[[#This Row],[Week]]&gt;'EVM Data'!$B$5,NA(),SUMPRODUCT(tblEVMData[Actual Cost]*--(tblEVMData[Finish wk]&lt;=SCurveData[[#This Row],[Week]])))</f>
        <v>8800</v>
      </c>
    </row>
    <row r="24" spans="1:14" x14ac:dyDescent="0.35">
      <c r="A24">
        <v>13</v>
      </c>
      <c r="B24" s="181">
        <f>IF(ISNUMBER('Gantt-frame'!$F$5),'Gantt-frame'!$F$5,DATE(VALUE(RIGHT('Gantt-frame'!$F$5,4)),VALUE(MID('Gantt-frame'!$F$5,4,2)),VALUE(LEFT('Gantt-frame'!$F$5,2))))+(SCurveData[[#This Row],[Week]]-1)*7</f>
        <v>46258</v>
      </c>
      <c r="C24" s="98" cm="1">
        <f t="array" ref="C24">SUMPRODUCT(tblEVMData[Baseline Cost]*IF(SCurveData[[#This Row],[Week]]&lt;tblEVMData[Start wk],0,IF(SCurveData[[#This Row],[Week]]&gt;=tblEVMData[Finish wk],1,(SCurveData[[#This Row],[Week]]-tblEVMData[Start wk]+1)/tblEVMData[Duration (Weeks)])))</f>
        <v>8870</v>
      </c>
      <c r="D24" s="98" cm="1">
        <f t="array" aca="1" ref="D24" ca="1">IF(SCurveData[[#This Row],[Week]]&gt;'EVM Data'!$B$5,NA(),SUMPRODUCT(tblEVMData[Earned Value]*--(tblEVMData[Finish wk]&lt;=SCurveData[[#This Row],[Week]])))</f>
        <v>0</v>
      </c>
      <c r="E24" s="98" cm="1">
        <f t="array" aca="1" ref="E24" ca="1">IF(SCurveData[[#This Row],[Week]]&gt;'EVM Data'!$B$5,NA(),SUMPRODUCT(tblEVMData[Actual Cost]*--(tblEVMData[Finish wk]&lt;=SCurveData[[#This Row],[Week]])))</f>
        <v>8800</v>
      </c>
    </row>
    <row r="25" spans="1:14" x14ac:dyDescent="0.35">
      <c r="A25">
        <v>14</v>
      </c>
      <c r="B25" s="181">
        <f>IF(ISNUMBER('Gantt-frame'!$F$5),'Gantt-frame'!$F$5,DATE(VALUE(RIGHT('Gantt-frame'!$F$5,4)),VALUE(MID('Gantt-frame'!$F$5,4,2)),VALUE(LEFT('Gantt-frame'!$F$5,2))))+(SCurveData[[#This Row],[Week]]-1)*7</f>
        <v>46265</v>
      </c>
      <c r="C25" s="98" cm="1">
        <f t="array" ref="C25">SUMPRODUCT(tblEVMData[Baseline Cost]*IF(SCurveData[[#This Row],[Week]]&lt;tblEVMData[Start wk],0,IF(SCurveData[[#This Row],[Week]]&gt;=tblEVMData[Finish wk],1,(SCurveData[[#This Row],[Week]]-tblEVMData[Start wk]+1)/tblEVMData[Duration (Weeks)])))</f>
        <v>8880</v>
      </c>
      <c r="D25" s="98" cm="1">
        <f t="array" aca="1" ref="D25" ca="1">IF(SCurveData[[#This Row],[Week]]&gt;'EVM Data'!$B$5,NA(),SUMPRODUCT(tblEVMData[Earned Value]*--(tblEVMData[Finish wk]&lt;=SCurveData[[#This Row],[Week]])))</f>
        <v>0</v>
      </c>
      <c r="E25" s="98" cm="1">
        <f t="array" aca="1" ref="E25" ca="1">IF(SCurveData[[#This Row],[Week]]&gt;'EVM Data'!$B$5,NA(),SUMPRODUCT(tblEVMData[Actual Cost]*--(tblEVMData[Finish wk]&lt;=SCurveData[[#This Row],[Week]])))</f>
        <v>8800</v>
      </c>
    </row>
    <row r="26" spans="1:14" x14ac:dyDescent="0.35">
      <c r="A26">
        <v>15</v>
      </c>
      <c r="B26" s="181">
        <f>IF(ISNUMBER('Gantt-frame'!$F$5),'Gantt-frame'!$F$5,DATE(VALUE(RIGHT('Gantt-frame'!$F$5,4)),VALUE(MID('Gantt-frame'!$F$5,4,2)),VALUE(LEFT('Gantt-frame'!$F$5,2))))+(SCurveData[[#This Row],[Week]]-1)*7</f>
        <v>46272</v>
      </c>
      <c r="C26" s="98" cm="1">
        <f t="array" ref="C26">SUMPRODUCT(tblEVMData[Baseline Cost]*IF(SCurveData[[#This Row],[Week]]&lt;tblEVMData[Start wk],0,IF(SCurveData[[#This Row],[Week]]&gt;=tblEVMData[Finish wk],1,(SCurveData[[#This Row],[Week]]-tblEVMData[Start wk]+1)/tblEVMData[Duration (Weeks)])))</f>
        <v>8890</v>
      </c>
      <c r="D26" s="98" cm="1">
        <f t="array" aca="1" ref="D26" ca="1">IF(SCurveData[[#This Row],[Week]]&gt;'EVM Data'!$B$5,NA(),SUMPRODUCT(tblEVMData[Earned Value]*--(tblEVMData[Finish wk]&lt;=SCurveData[[#This Row],[Week]])))</f>
        <v>0</v>
      </c>
      <c r="E26" s="98" cm="1">
        <f t="array" aca="1" ref="E26" ca="1">IF(SCurveData[[#This Row],[Week]]&gt;'EVM Data'!$B$5,NA(),SUMPRODUCT(tblEVMData[Actual Cost]*--(tblEVMData[Finish wk]&lt;=SCurveData[[#This Row],[Week]])))</f>
        <v>8800</v>
      </c>
    </row>
    <row r="27" spans="1:14" x14ac:dyDescent="0.35">
      <c r="A27">
        <v>16</v>
      </c>
      <c r="B27" s="181">
        <f>IF(ISNUMBER('Gantt-frame'!$F$5),'Gantt-frame'!$F$5,DATE(VALUE(RIGHT('Gantt-frame'!$F$5,4)),VALUE(MID('Gantt-frame'!$F$5,4,2)),VALUE(LEFT('Gantt-frame'!$F$5,2))))+(SCurveData[[#This Row],[Week]]-1)*7</f>
        <v>46279</v>
      </c>
      <c r="C27" s="98" cm="1">
        <f t="array" ref="C27">SUMPRODUCT(tblEVMData[Baseline Cost]*IF(SCurveData[[#This Row],[Week]]&lt;tblEVMData[Start wk],0,IF(SCurveData[[#This Row],[Week]]&gt;=tblEVMData[Finish wk],1,(SCurveData[[#This Row],[Week]]-tblEVMData[Start wk]+1)/tblEVMData[Duration (Weeks)])))</f>
        <v>8900</v>
      </c>
      <c r="D27" s="98" cm="1">
        <f t="array" aca="1" ref="D27" ca="1">IF(SCurveData[[#This Row],[Week]]&gt;'EVM Data'!$B$5,NA(),SUMPRODUCT(tblEVMData[Earned Value]*--(tblEVMData[Finish wk]&lt;=SCurveData[[#This Row],[Week]])))</f>
        <v>20</v>
      </c>
      <c r="E27" s="98" cm="1">
        <f t="array" aca="1" ref="E27" ca="1">IF(SCurveData[[#This Row],[Week]]&gt;'EVM Data'!$B$5,NA(),SUMPRODUCT(tblEVMData[Actual Cost]*--(tblEVMData[Finish wk]&lt;=SCurveData[[#This Row],[Week]])))</f>
        <v>8900</v>
      </c>
      <c r="G27" s="133" t="s">
        <v>439</v>
      </c>
      <c r="H27" s="133"/>
      <c r="I27" s="133"/>
      <c r="J27" s="133"/>
      <c r="K27" s="133"/>
      <c r="L27" s="133"/>
      <c r="M27" s="133"/>
      <c r="N27" s="133"/>
    </row>
    <row r="28" spans="1:14" x14ac:dyDescent="0.35">
      <c r="A28">
        <v>17</v>
      </c>
      <c r="B28" s="181">
        <f>IF(ISNUMBER('Gantt-frame'!$F$5),'Gantt-frame'!$F$5,DATE(VALUE(RIGHT('Gantt-frame'!$F$5,4)),VALUE(MID('Gantt-frame'!$F$5,4,2)),VALUE(LEFT('Gantt-frame'!$F$5,2))))+(SCurveData[[#This Row],[Week]]-1)*7</f>
        <v>46286</v>
      </c>
      <c r="C28" s="98" cm="1">
        <f t="array" ref="C28">SUMPRODUCT(tblEVMData[Baseline Cost]*IF(SCurveData[[#This Row],[Week]]&lt;tblEVMData[Start wk],0,IF(SCurveData[[#This Row],[Week]]&gt;=tblEVMData[Finish wk],1,(SCurveData[[#This Row],[Week]]-tblEVMData[Start wk]+1)/tblEVMData[Duration (Weeks)])))</f>
        <v>9250</v>
      </c>
      <c r="D28" s="98" cm="1">
        <f t="array" aca="1" ref="D28" ca="1">IF(SCurveData[[#This Row],[Week]]&gt;'EVM Data'!$B$5,NA(),SUMPRODUCT(tblEVMData[Earned Value]*--(tblEVMData[Finish wk]&lt;=SCurveData[[#This Row],[Week]])))</f>
        <v>20</v>
      </c>
      <c r="E28" s="98" cm="1">
        <f t="array" aca="1" ref="E28" ca="1">IF(SCurveData[[#This Row],[Week]]&gt;'EVM Data'!$B$5,NA(),SUMPRODUCT(tblEVMData[Actual Cost]*--(tblEVMData[Finish wk]&lt;=SCurveData[[#This Row],[Week]])))</f>
        <v>9300</v>
      </c>
      <c r="G28" s="182" t="str">
        <f ca="1">"At status week "&amp;'EVM Data'!$B$5&amp;", PV is "&amp;TEXT(INDEX(SCurveData[Planned Value],MATCH('EVM Data'!$B$5,SCurveData[Week],0)),"#,##0")&amp;", EV is "&amp;TEXT(INDEX(SCurveData[Earned Value],MATCH('EVM Data'!$B$5,SCurveData[Week],0)),"#,##0")&amp;", and AC is "&amp;TEXT(INDEX(SCurveData[Actual Cost],MATCH('EVM Data'!$B$5,SCurveData[Week],0)),"#,##0")&amp;"."</f>
        <v>At status week 32, PV is 18,800, EV is 20, and AC is 19,450.</v>
      </c>
      <c r="H28" s="182"/>
      <c r="I28" s="182"/>
      <c r="J28" s="182"/>
      <c r="K28" s="182"/>
      <c r="L28" s="182"/>
      <c r="M28" s="182"/>
      <c r="N28" s="182"/>
    </row>
    <row r="29" spans="1:14" x14ac:dyDescent="0.35">
      <c r="A29">
        <v>18</v>
      </c>
      <c r="B29" s="181">
        <f>IF(ISNUMBER('Gantt-frame'!$F$5),'Gantt-frame'!$F$5,DATE(VALUE(RIGHT('Gantt-frame'!$F$5,4)),VALUE(MID('Gantt-frame'!$F$5,4,2)),VALUE(LEFT('Gantt-frame'!$F$5,2))))+(SCurveData[[#This Row],[Week]]-1)*7</f>
        <v>46293</v>
      </c>
      <c r="C29" s="98" cm="1">
        <f t="array" ref="C29">SUMPRODUCT(tblEVMData[Baseline Cost]*IF(SCurveData[[#This Row],[Week]]&lt;tblEVMData[Start wk],0,IF(SCurveData[[#This Row],[Week]]&gt;=tblEVMData[Finish wk],1,(SCurveData[[#This Row],[Week]]-tblEVMData[Start wk]+1)/tblEVMData[Duration (Weeks)])))</f>
        <v>9250</v>
      </c>
      <c r="D29" s="98" cm="1">
        <f t="array" aca="1" ref="D29" ca="1">IF(SCurveData[[#This Row],[Week]]&gt;'EVM Data'!$B$5,NA(),SUMPRODUCT(tblEVMData[Earned Value]*--(tblEVMData[Finish wk]&lt;=SCurveData[[#This Row],[Week]])))</f>
        <v>20</v>
      </c>
      <c r="E29" s="98" cm="1">
        <f t="array" aca="1" ref="E29" ca="1">IF(SCurveData[[#This Row],[Week]]&gt;'EVM Data'!$B$5,NA(),SUMPRODUCT(tblEVMData[Actual Cost]*--(tblEVMData[Finish wk]&lt;=SCurveData[[#This Row],[Week]])))</f>
        <v>9300</v>
      </c>
      <c r="G29" s="182"/>
      <c r="H29" s="182"/>
      <c r="I29" s="182"/>
      <c r="J29" s="182"/>
      <c r="K29" s="182"/>
      <c r="L29" s="182"/>
      <c r="M29" s="182"/>
      <c r="N29" s="182"/>
    </row>
    <row r="30" spans="1:14" x14ac:dyDescent="0.35">
      <c r="A30">
        <v>19</v>
      </c>
      <c r="B30" s="181">
        <f>IF(ISNUMBER('Gantt-frame'!$F$5),'Gantt-frame'!$F$5,DATE(VALUE(RIGHT('Gantt-frame'!$F$5,4)),VALUE(MID('Gantt-frame'!$F$5,4,2)),VALUE(LEFT('Gantt-frame'!$F$5,2))))+(SCurveData[[#This Row],[Week]]-1)*7</f>
        <v>46300</v>
      </c>
      <c r="C30" s="98" cm="1">
        <f t="array" ref="C30">SUMPRODUCT(tblEVMData[Baseline Cost]*IF(SCurveData[[#This Row],[Week]]&lt;tblEVMData[Start wk],0,IF(SCurveData[[#This Row],[Week]]&gt;=tblEVMData[Finish wk],1,(SCurveData[[#This Row],[Week]]-tblEVMData[Start wk]+1)/tblEVMData[Duration (Weeks)])))</f>
        <v>9250</v>
      </c>
      <c r="D30" s="98" cm="1">
        <f t="array" aca="1" ref="D30" ca="1">IF(SCurveData[[#This Row],[Week]]&gt;'EVM Data'!$B$5,NA(),SUMPRODUCT(tblEVMData[Earned Value]*--(tblEVMData[Finish wk]&lt;=SCurveData[[#This Row],[Week]])))</f>
        <v>20</v>
      </c>
      <c r="E30" s="98" cm="1">
        <f t="array" aca="1" ref="E30" ca="1">IF(SCurveData[[#This Row],[Week]]&gt;'EVM Data'!$B$5,NA(),SUMPRODUCT(tblEVMData[Actual Cost]*--(tblEVMData[Finish wk]&lt;=SCurveData[[#This Row],[Week]])))</f>
        <v>9300</v>
      </c>
      <c r="G30" s="182"/>
      <c r="H30" s="182"/>
      <c r="I30" s="182"/>
      <c r="J30" s="182"/>
      <c r="K30" s="182"/>
      <c r="L30" s="182"/>
      <c r="M30" s="182"/>
      <c r="N30" s="182"/>
    </row>
    <row r="31" spans="1:14" x14ac:dyDescent="0.35">
      <c r="A31">
        <v>20</v>
      </c>
      <c r="B31" s="181">
        <f>IF(ISNUMBER('Gantt-frame'!$F$5),'Gantt-frame'!$F$5,DATE(VALUE(RIGHT('Gantt-frame'!$F$5,4)),VALUE(MID('Gantt-frame'!$F$5,4,2)),VALUE(LEFT('Gantt-frame'!$F$5,2))))+(SCurveData[[#This Row],[Week]]-1)*7</f>
        <v>46307</v>
      </c>
      <c r="C31" s="98" cm="1">
        <f t="array" ref="C31">SUMPRODUCT(tblEVMData[Baseline Cost]*IF(SCurveData[[#This Row],[Week]]&lt;tblEVMData[Start wk],0,IF(SCurveData[[#This Row],[Week]]&gt;=tblEVMData[Finish wk],1,(SCurveData[[#This Row],[Week]]-tblEVMData[Start wk]+1)/tblEVMData[Duration (Weeks)])))</f>
        <v>9950</v>
      </c>
      <c r="D31" s="98" cm="1">
        <f t="array" aca="1" ref="D31" ca="1">IF(SCurveData[[#This Row],[Week]]&gt;'EVM Data'!$B$5,NA(),SUMPRODUCT(tblEVMData[Earned Value]*--(tblEVMData[Finish wk]&lt;=SCurveData[[#This Row],[Week]])))</f>
        <v>20</v>
      </c>
      <c r="E31" s="98" cm="1">
        <f t="array" aca="1" ref="E31" ca="1">IF(SCurveData[[#This Row],[Week]]&gt;'EVM Data'!$B$5,NA(),SUMPRODUCT(tblEVMData[Actual Cost]*--(tblEVMData[Finish wk]&lt;=SCurveData[[#This Row],[Week]])))</f>
        <v>10100</v>
      </c>
    </row>
    <row r="32" spans="1:14" x14ac:dyDescent="0.35">
      <c r="A32">
        <v>21</v>
      </c>
      <c r="B32" s="181">
        <f>IF(ISNUMBER('Gantt-frame'!$F$5),'Gantt-frame'!$F$5,DATE(VALUE(RIGHT('Gantt-frame'!$F$5,4)),VALUE(MID('Gantt-frame'!$F$5,4,2)),VALUE(LEFT('Gantt-frame'!$F$5,2))))+(SCurveData[[#This Row],[Week]]-1)*7</f>
        <v>46314</v>
      </c>
      <c r="C32" s="98" cm="1">
        <f t="array" ref="C32">SUMPRODUCT(tblEVMData[Baseline Cost]*IF(SCurveData[[#This Row],[Week]]&lt;tblEVMData[Start wk],0,IF(SCurveData[[#This Row],[Week]]&gt;=tblEVMData[Finish wk],1,(SCurveData[[#This Row],[Week]]-tblEVMData[Start wk]+1)/tblEVMData[Duration (Weeks)])))</f>
        <v>10050</v>
      </c>
      <c r="D32" s="98" cm="1">
        <f t="array" aca="1" ref="D32" ca="1">IF(SCurveData[[#This Row],[Week]]&gt;'EVM Data'!$B$5,NA(),SUMPRODUCT(tblEVMData[Earned Value]*--(tblEVMData[Finish wk]&lt;=SCurveData[[#This Row],[Week]])))</f>
        <v>20</v>
      </c>
      <c r="E32" s="98" cm="1">
        <f t="array" aca="1" ref="E32" ca="1">IF(SCurveData[[#This Row],[Week]]&gt;'EVM Data'!$B$5,NA(),SUMPRODUCT(tblEVMData[Actual Cost]*--(tblEVMData[Finish wk]&lt;=SCurveData[[#This Row],[Week]])))</f>
        <v>10200</v>
      </c>
    </row>
    <row r="33" spans="1:5" x14ac:dyDescent="0.35">
      <c r="A33">
        <v>22</v>
      </c>
      <c r="B33" s="181">
        <f>IF(ISNUMBER('Gantt-frame'!$F$5),'Gantt-frame'!$F$5,DATE(VALUE(RIGHT('Gantt-frame'!$F$5,4)),VALUE(MID('Gantt-frame'!$F$5,4,2)),VALUE(LEFT('Gantt-frame'!$F$5,2))))+(SCurveData[[#This Row],[Week]]-1)*7</f>
        <v>46321</v>
      </c>
      <c r="C33" s="98" cm="1">
        <f t="array" ref="C33">SUMPRODUCT(tblEVMData[Baseline Cost]*IF(SCurveData[[#This Row],[Week]]&lt;tblEVMData[Start wk],0,IF(SCurveData[[#This Row],[Week]]&gt;=tblEVMData[Finish wk],1,(SCurveData[[#This Row],[Week]]-tblEVMData[Start wk]+1)/tblEVMData[Duration (Weeks)])))</f>
        <v>12050</v>
      </c>
      <c r="D33" s="98" cm="1">
        <f t="array" aca="1" ref="D33" ca="1">IF(SCurveData[[#This Row],[Week]]&gt;'EVM Data'!$B$5,NA(),SUMPRODUCT(tblEVMData[Earned Value]*--(tblEVMData[Finish wk]&lt;=SCurveData[[#This Row],[Week]])))</f>
        <v>20</v>
      </c>
      <c r="E33" s="98" cm="1">
        <f t="array" aca="1" ref="E33" ca="1">IF(SCurveData[[#This Row],[Week]]&gt;'EVM Data'!$B$5,NA(),SUMPRODUCT(tblEVMData[Actual Cost]*--(tblEVMData[Finish wk]&lt;=SCurveData[[#This Row],[Week]])))</f>
        <v>10200</v>
      </c>
    </row>
    <row r="34" spans="1:5" x14ac:dyDescent="0.35">
      <c r="A34">
        <v>23</v>
      </c>
      <c r="B34" s="181">
        <f>IF(ISNUMBER('Gantt-frame'!$F$5),'Gantt-frame'!$F$5,DATE(VALUE(RIGHT('Gantt-frame'!$F$5,4)),VALUE(MID('Gantt-frame'!$F$5,4,2)),VALUE(LEFT('Gantt-frame'!$F$5,2))))+(SCurveData[[#This Row],[Week]]-1)*7</f>
        <v>46328</v>
      </c>
      <c r="C34" s="98" cm="1">
        <f t="array" ref="C34">SUMPRODUCT(tblEVMData[Baseline Cost]*IF(SCurveData[[#This Row],[Week]]&lt;tblEVMData[Start wk],0,IF(SCurveData[[#This Row],[Week]]&gt;=tblEVMData[Finish wk],1,(SCurveData[[#This Row],[Week]]-tblEVMData[Start wk]+1)/tblEVMData[Duration (Weeks)])))</f>
        <v>14800</v>
      </c>
      <c r="D34" s="98" cm="1">
        <f t="array" aca="1" ref="D34" ca="1">IF(SCurveData[[#This Row],[Week]]&gt;'EVM Data'!$B$5,NA(),SUMPRODUCT(tblEVMData[Earned Value]*--(tblEVMData[Finish wk]&lt;=SCurveData[[#This Row],[Week]])))</f>
        <v>20</v>
      </c>
      <c r="E34" s="98" cm="1">
        <f t="array" aca="1" ref="E34" ca="1">IF(SCurveData[[#This Row],[Week]]&gt;'EVM Data'!$B$5,NA(),SUMPRODUCT(tblEVMData[Actual Cost]*--(tblEVMData[Finish wk]&lt;=SCurveData[[#This Row],[Week]])))</f>
        <v>10950</v>
      </c>
    </row>
    <row r="35" spans="1:5" x14ac:dyDescent="0.35">
      <c r="A35">
        <v>24</v>
      </c>
      <c r="B35" s="181">
        <f>IF(ISNUMBER('Gantt-frame'!$F$5),'Gantt-frame'!$F$5,DATE(VALUE(RIGHT('Gantt-frame'!$F$5,4)),VALUE(MID('Gantt-frame'!$F$5,4,2)),VALUE(LEFT('Gantt-frame'!$F$5,2))))+(SCurveData[[#This Row],[Week]]-1)*7</f>
        <v>46335</v>
      </c>
      <c r="C35" s="98" cm="1">
        <f t="array" ref="C35">SUMPRODUCT(tblEVMData[Baseline Cost]*IF(SCurveData[[#This Row],[Week]]&lt;tblEVMData[Start wk],0,IF(SCurveData[[#This Row],[Week]]&gt;=tblEVMData[Finish wk],1,(SCurveData[[#This Row],[Week]]-tblEVMData[Start wk]+1)/tblEVMData[Duration (Weeks)])))</f>
        <v>16800</v>
      </c>
      <c r="D35" s="98" cm="1">
        <f t="array" aca="1" ref="D35" ca="1">IF(SCurveData[[#This Row],[Week]]&gt;'EVM Data'!$B$5,NA(),SUMPRODUCT(tblEVMData[Earned Value]*--(tblEVMData[Finish wk]&lt;=SCurveData[[#This Row],[Week]])))</f>
        <v>20</v>
      </c>
      <c r="E35" s="98" cm="1">
        <f t="array" aca="1" ref="E35" ca="1">IF(SCurveData[[#This Row],[Week]]&gt;'EVM Data'!$B$5,NA(),SUMPRODUCT(tblEVMData[Actual Cost]*--(tblEVMData[Finish wk]&lt;=SCurveData[[#This Row],[Week]])))</f>
        <v>10950</v>
      </c>
    </row>
    <row r="36" spans="1:5" x14ac:dyDescent="0.35">
      <c r="A36">
        <v>25</v>
      </c>
      <c r="B36" s="181">
        <f>IF(ISNUMBER('Gantt-frame'!$F$5),'Gantt-frame'!$F$5,DATE(VALUE(RIGHT('Gantt-frame'!$F$5,4)),VALUE(MID('Gantt-frame'!$F$5,4,2)),VALUE(LEFT('Gantt-frame'!$F$5,2))))+(SCurveData[[#This Row],[Week]]-1)*7</f>
        <v>46342</v>
      </c>
      <c r="C36" s="98" cm="1">
        <f t="array" ref="C36">SUMPRODUCT(tblEVMData[Baseline Cost]*IF(SCurveData[[#This Row],[Week]]&lt;tblEVMData[Start wk],0,IF(SCurveData[[#This Row],[Week]]&gt;=tblEVMData[Finish wk],1,(SCurveData[[#This Row],[Week]]-tblEVMData[Start wk]+1)/tblEVMData[Duration (Weeks)])))</f>
        <v>18800</v>
      </c>
      <c r="D36" s="98" cm="1">
        <f t="array" aca="1" ref="D36" ca="1">IF(SCurveData[[#This Row],[Week]]&gt;'EVM Data'!$B$5,NA(),SUMPRODUCT(tblEVMData[Earned Value]*--(tblEVMData[Finish wk]&lt;=SCurveData[[#This Row],[Week]])))</f>
        <v>20</v>
      </c>
      <c r="E36" s="98" cm="1">
        <f t="array" aca="1" ref="E36" ca="1">IF(SCurveData[[#This Row],[Week]]&gt;'EVM Data'!$B$5,NA(),SUMPRODUCT(tblEVMData[Actual Cost]*--(tblEVMData[Finish wk]&lt;=SCurveData[[#This Row],[Week]])))</f>
        <v>19450</v>
      </c>
    </row>
    <row r="37" spans="1:5" x14ac:dyDescent="0.35">
      <c r="A37">
        <v>26</v>
      </c>
      <c r="B37" s="181">
        <f>IF(ISNUMBER('Gantt-frame'!$F$5),'Gantt-frame'!$F$5,DATE(VALUE(RIGHT('Gantt-frame'!$F$5,4)),VALUE(MID('Gantt-frame'!$F$5,4,2)),VALUE(LEFT('Gantt-frame'!$F$5,2))))+(SCurveData[[#This Row],[Week]]-1)*7</f>
        <v>46349</v>
      </c>
      <c r="C37" s="98" cm="1">
        <f t="array" ref="C37">SUMPRODUCT(tblEVMData[Baseline Cost]*IF(SCurveData[[#This Row],[Week]]&lt;tblEVMData[Start wk],0,IF(SCurveData[[#This Row],[Week]]&gt;=tblEVMData[Finish wk],1,(SCurveData[[#This Row],[Week]]-tblEVMData[Start wk]+1)/tblEVMData[Duration (Weeks)])))</f>
        <v>18800</v>
      </c>
      <c r="D37" s="98" cm="1">
        <f t="array" aca="1" ref="D37" ca="1">IF(SCurveData[[#This Row],[Week]]&gt;'EVM Data'!$B$5,NA(),SUMPRODUCT(tblEVMData[Earned Value]*--(tblEVMData[Finish wk]&lt;=SCurveData[[#This Row],[Week]])))</f>
        <v>20</v>
      </c>
      <c r="E37" s="98" cm="1">
        <f t="array" aca="1" ref="E37" ca="1">IF(SCurveData[[#This Row],[Week]]&gt;'EVM Data'!$B$5,NA(),SUMPRODUCT(tblEVMData[Actual Cost]*--(tblEVMData[Finish wk]&lt;=SCurveData[[#This Row],[Week]])))</f>
        <v>19450</v>
      </c>
    </row>
    <row r="38" spans="1:5" x14ac:dyDescent="0.35">
      <c r="A38">
        <v>27</v>
      </c>
      <c r="B38" s="181">
        <f>IF(ISNUMBER('Gantt-frame'!$F$5),'Gantt-frame'!$F$5,DATE(VALUE(RIGHT('Gantt-frame'!$F$5,4)),VALUE(MID('Gantt-frame'!$F$5,4,2)),VALUE(LEFT('Gantt-frame'!$F$5,2))))+(SCurveData[[#This Row],[Week]]-1)*7</f>
        <v>46356</v>
      </c>
      <c r="C38" s="98" cm="1">
        <f t="array" ref="C38">SUMPRODUCT(tblEVMData[Baseline Cost]*IF(SCurveData[[#This Row],[Week]]&lt;tblEVMData[Start wk],0,IF(SCurveData[[#This Row],[Week]]&gt;=tblEVMData[Finish wk],1,(SCurveData[[#This Row],[Week]]-tblEVMData[Start wk]+1)/tblEVMData[Duration (Weeks)])))</f>
        <v>18800</v>
      </c>
      <c r="D38" s="98" cm="1">
        <f t="array" aca="1" ref="D38" ca="1">IF(SCurveData[[#This Row],[Week]]&gt;'EVM Data'!$B$5,NA(),SUMPRODUCT(tblEVMData[Earned Value]*--(tblEVMData[Finish wk]&lt;=SCurveData[[#This Row],[Week]])))</f>
        <v>20</v>
      </c>
      <c r="E38" s="98" cm="1">
        <f t="array" aca="1" ref="E38" ca="1">IF(SCurveData[[#This Row],[Week]]&gt;'EVM Data'!$B$5,NA(),SUMPRODUCT(tblEVMData[Actual Cost]*--(tblEVMData[Finish wk]&lt;=SCurveData[[#This Row],[Week]])))</f>
        <v>19450</v>
      </c>
    </row>
    <row r="39" spans="1:5" x14ac:dyDescent="0.35">
      <c r="A39">
        <v>28</v>
      </c>
      <c r="B39" s="181">
        <f>IF(ISNUMBER('Gantt-frame'!$F$5),'Gantt-frame'!$F$5,DATE(VALUE(RIGHT('Gantt-frame'!$F$5,4)),VALUE(MID('Gantt-frame'!$F$5,4,2)),VALUE(LEFT('Gantt-frame'!$F$5,2))))+(SCurveData[[#This Row],[Week]]-1)*7</f>
        <v>46363</v>
      </c>
      <c r="C39" s="98" cm="1">
        <f t="array" ref="C39">SUMPRODUCT(tblEVMData[Baseline Cost]*IF(SCurveData[[#This Row],[Week]]&lt;tblEVMData[Start wk],0,IF(SCurveData[[#This Row],[Week]]&gt;=tblEVMData[Finish wk],1,(SCurveData[[#This Row],[Week]]-tblEVMData[Start wk]+1)/tblEVMData[Duration (Weeks)])))</f>
        <v>18800</v>
      </c>
      <c r="D39" s="98" cm="1">
        <f t="array" aca="1" ref="D39" ca="1">IF(SCurveData[[#This Row],[Week]]&gt;'EVM Data'!$B$5,NA(),SUMPRODUCT(tblEVMData[Earned Value]*--(tblEVMData[Finish wk]&lt;=SCurveData[[#This Row],[Week]])))</f>
        <v>20</v>
      </c>
      <c r="E39" s="98" cm="1">
        <f t="array" aca="1" ref="E39" ca="1">IF(SCurveData[[#This Row],[Week]]&gt;'EVM Data'!$B$5,NA(),SUMPRODUCT(tblEVMData[Actual Cost]*--(tblEVMData[Finish wk]&lt;=SCurveData[[#This Row],[Week]])))</f>
        <v>19450</v>
      </c>
    </row>
    <row r="40" spans="1:5" x14ac:dyDescent="0.35">
      <c r="A40">
        <v>29</v>
      </c>
      <c r="B40" s="181">
        <f>IF(ISNUMBER('Gantt-frame'!$F$5),'Gantt-frame'!$F$5,DATE(VALUE(RIGHT('Gantt-frame'!$F$5,4)),VALUE(MID('Gantt-frame'!$F$5,4,2)),VALUE(LEFT('Gantt-frame'!$F$5,2))))+(SCurveData[[#This Row],[Week]]-1)*7</f>
        <v>46370</v>
      </c>
      <c r="C40" s="98" cm="1">
        <f t="array" ref="C40">SUMPRODUCT(tblEVMData[Baseline Cost]*IF(SCurveData[[#This Row],[Week]]&lt;tblEVMData[Start wk],0,IF(SCurveData[[#This Row],[Week]]&gt;=tblEVMData[Finish wk],1,(SCurveData[[#This Row],[Week]]-tblEVMData[Start wk]+1)/tblEVMData[Duration (Weeks)])))</f>
        <v>18800</v>
      </c>
      <c r="D40" s="98" cm="1">
        <f t="array" aca="1" ref="D40" ca="1">IF(SCurveData[[#This Row],[Week]]&gt;'EVM Data'!$B$5,NA(),SUMPRODUCT(tblEVMData[Earned Value]*--(tblEVMData[Finish wk]&lt;=SCurveData[[#This Row],[Week]])))</f>
        <v>20</v>
      </c>
      <c r="E40" s="98" cm="1">
        <f t="array" aca="1" ref="E40" ca="1">IF(SCurveData[[#This Row],[Week]]&gt;'EVM Data'!$B$5,NA(),SUMPRODUCT(tblEVMData[Actual Cost]*--(tblEVMData[Finish wk]&lt;=SCurveData[[#This Row],[Week]])))</f>
        <v>19450</v>
      </c>
    </row>
    <row r="41" spans="1:5" x14ac:dyDescent="0.35">
      <c r="A41">
        <v>30</v>
      </c>
      <c r="B41" s="181">
        <f>IF(ISNUMBER('Gantt-frame'!$F$5),'Gantt-frame'!$F$5,DATE(VALUE(RIGHT('Gantt-frame'!$F$5,4)),VALUE(MID('Gantt-frame'!$F$5,4,2)),VALUE(LEFT('Gantt-frame'!$F$5,2))))+(SCurveData[[#This Row],[Week]]-1)*7</f>
        <v>46377</v>
      </c>
      <c r="C41" s="98" cm="1">
        <f t="array" ref="C41">SUMPRODUCT(tblEVMData[Baseline Cost]*IF(SCurveData[[#This Row],[Week]]&lt;tblEVMData[Start wk],0,IF(SCurveData[[#This Row],[Week]]&gt;=tblEVMData[Finish wk],1,(SCurveData[[#This Row],[Week]]-tblEVMData[Start wk]+1)/tblEVMData[Duration (Weeks)])))</f>
        <v>18800</v>
      </c>
      <c r="D41" s="98" cm="1">
        <f t="array" aca="1" ref="D41" ca="1">IF(SCurveData[[#This Row],[Week]]&gt;'EVM Data'!$B$5,NA(),SUMPRODUCT(tblEVMData[Earned Value]*--(tblEVMData[Finish wk]&lt;=SCurveData[[#This Row],[Week]])))</f>
        <v>20</v>
      </c>
      <c r="E41" s="98" cm="1">
        <f t="array" aca="1" ref="E41" ca="1">IF(SCurveData[[#This Row],[Week]]&gt;'EVM Data'!$B$5,NA(),SUMPRODUCT(tblEVMData[Actual Cost]*--(tblEVMData[Finish wk]&lt;=SCurveData[[#This Row],[Week]])))</f>
        <v>19450</v>
      </c>
    </row>
    <row r="42" spans="1:5" x14ac:dyDescent="0.35">
      <c r="A42">
        <v>31</v>
      </c>
      <c r="B42" s="181">
        <f>IF(ISNUMBER('Gantt-frame'!$F$5),'Gantt-frame'!$F$5,DATE(VALUE(RIGHT('Gantt-frame'!$F$5,4)),VALUE(MID('Gantt-frame'!$F$5,4,2)),VALUE(LEFT('Gantt-frame'!$F$5,2))))+(SCurveData[[#This Row],[Week]]-1)*7</f>
        <v>46384</v>
      </c>
      <c r="C42" s="98" cm="1">
        <f t="array" ref="C42">SUMPRODUCT(tblEVMData[Baseline Cost]*IF(SCurveData[[#This Row],[Week]]&lt;tblEVMData[Start wk],0,IF(SCurveData[[#This Row],[Week]]&gt;=tblEVMData[Finish wk],1,(SCurveData[[#This Row],[Week]]-tblEVMData[Start wk]+1)/tblEVMData[Duration (Weeks)])))</f>
        <v>18800</v>
      </c>
      <c r="D42" s="98" cm="1">
        <f t="array" aca="1" ref="D42" ca="1">IF(SCurveData[[#This Row],[Week]]&gt;'EVM Data'!$B$5,NA(),SUMPRODUCT(tblEVMData[Earned Value]*--(tblEVMData[Finish wk]&lt;=SCurveData[[#This Row],[Week]])))</f>
        <v>20</v>
      </c>
      <c r="E42" s="98" cm="1">
        <f t="array" aca="1" ref="E42" ca="1">IF(SCurveData[[#This Row],[Week]]&gt;'EVM Data'!$B$5,NA(),SUMPRODUCT(tblEVMData[Actual Cost]*--(tblEVMData[Finish wk]&lt;=SCurveData[[#This Row],[Week]])))</f>
        <v>19450</v>
      </c>
    </row>
    <row r="43" spans="1:5" x14ac:dyDescent="0.35">
      <c r="A43">
        <v>32</v>
      </c>
      <c r="B43" s="181">
        <f>IF(ISNUMBER('Gantt-frame'!$F$5),'Gantt-frame'!$F$5,DATE(VALUE(RIGHT('Gantt-frame'!$F$5,4)),VALUE(MID('Gantt-frame'!$F$5,4,2)),VALUE(LEFT('Gantt-frame'!$F$5,2))))+(SCurveData[[#This Row],[Week]]-1)*7</f>
        <v>46391</v>
      </c>
      <c r="C43" s="98" cm="1">
        <f t="array" ref="C43">SUMPRODUCT(tblEVMData[Baseline Cost]*IF(SCurveData[[#This Row],[Week]]&lt;tblEVMData[Start wk],0,IF(SCurveData[[#This Row],[Week]]&gt;=tblEVMData[Finish wk],1,(SCurveData[[#This Row],[Week]]-tblEVMData[Start wk]+1)/tblEVMData[Duration (Weeks)])))</f>
        <v>18800</v>
      </c>
      <c r="D43" s="98" cm="1">
        <f t="array" aca="1" ref="D43" ca="1">IF(SCurveData[[#This Row],[Week]]&gt;'EVM Data'!$B$5,NA(),SUMPRODUCT(tblEVMData[Earned Value]*--(tblEVMData[Finish wk]&lt;=SCurveData[[#This Row],[Week]])))</f>
        <v>20</v>
      </c>
      <c r="E43" s="98" cm="1">
        <f t="array" aca="1" ref="E43" ca="1">IF(SCurveData[[#This Row],[Week]]&gt;'EVM Data'!$B$5,NA(),SUMPRODUCT(tblEVMData[Actual Cost]*--(tblEVMData[Finish wk]&lt;=SCurveData[[#This Row],[Week]])))</f>
        <v>19450</v>
      </c>
    </row>
    <row r="44" spans="1:5" x14ac:dyDescent="0.35">
      <c r="A44">
        <v>33</v>
      </c>
      <c r="B44" s="181">
        <f>IF(ISNUMBER('Gantt-frame'!$F$5),'Gantt-frame'!$F$5,DATE(VALUE(RIGHT('Gantt-frame'!$F$5,4)),VALUE(MID('Gantt-frame'!$F$5,4,2)),VALUE(LEFT('Gantt-frame'!$F$5,2))))+(SCurveData[[#This Row],[Week]]-1)*7</f>
        <v>46398</v>
      </c>
      <c r="C44" s="98" cm="1">
        <f t="array" ref="C44">SUMPRODUCT(tblEVMData[Baseline Cost]*IF(SCurveData[[#This Row],[Week]]&lt;tblEVMData[Start wk],0,IF(SCurveData[[#This Row],[Week]]&gt;=tblEVMData[Finish wk],1,(SCurveData[[#This Row],[Week]]-tblEVMData[Start wk]+1)/tblEVMData[Duration (Weeks)])))</f>
        <v>18800</v>
      </c>
      <c r="D44" s="98" t="e" cm="1">
        <f t="array" aca="1" ref="D44" ca="1">IF(SCurveData[[#This Row],[Week]]&gt;'EVM Data'!$B$5,NA(),SUMPRODUCT(tblEVMData[Earned Value]*--(tblEVMData[Finish wk]&lt;=SCurveData[[#This Row],[Week]])))</f>
        <v>#N/A</v>
      </c>
      <c r="E44" s="98" t="e" cm="1">
        <f t="array" aca="1" ref="E44" ca="1">IF(SCurveData[[#This Row],[Week]]&gt;'EVM Data'!$B$5,NA(),SUMPRODUCT(tblEVMData[Actual Cost]*--(tblEVMData[Finish wk]&lt;=SCurveData[[#This Row],[Week]])))</f>
        <v>#N/A</v>
      </c>
    </row>
    <row r="45" spans="1:5" x14ac:dyDescent="0.35">
      <c r="A45">
        <v>34</v>
      </c>
      <c r="B45" s="181">
        <f>IF(ISNUMBER('Gantt-frame'!$F$5),'Gantt-frame'!$F$5,DATE(VALUE(RIGHT('Gantt-frame'!$F$5,4)),VALUE(MID('Gantt-frame'!$F$5,4,2)),VALUE(LEFT('Gantt-frame'!$F$5,2))))+(SCurveData[[#This Row],[Week]]-1)*7</f>
        <v>46405</v>
      </c>
      <c r="C45" s="98" cm="1">
        <f t="array" ref="C45">SUMPRODUCT(tblEVMData[Baseline Cost]*IF(SCurveData[[#This Row],[Week]]&lt;tblEVMData[Start wk],0,IF(SCurveData[[#This Row],[Week]]&gt;=tblEVMData[Finish wk],1,(SCurveData[[#This Row],[Week]]-tblEVMData[Start wk]+1)/tblEVMData[Duration (Weeks)])))</f>
        <v>18800</v>
      </c>
      <c r="D45" s="98" t="e" cm="1">
        <f t="array" aca="1" ref="D45" ca="1">IF(SCurveData[[#This Row],[Week]]&gt;'EVM Data'!$B$5,NA(),SUMPRODUCT(tblEVMData[Earned Value]*--(tblEVMData[Finish wk]&lt;=SCurveData[[#This Row],[Week]])))</f>
        <v>#N/A</v>
      </c>
      <c r="E45" s="98" t="e" cm="1">
        <f t="array" aca="1" ref="E45" ca="1">IF(SCurveData[[#This Row],[Week]]&gt;'EVM Data'!$B$5,NA(),SUMPRODUCT(tblEVMData[Actual Cost]*--(tblEVMData[Finish wk]&lt;=SCurveData[[#This Row],[Week]])))</f>
        <v>#N/A</v>
      </c>
    </row>
    <row r="46" spans="1:5" x14ac:dyDescent="0.35">
      <c r="A46">
        <v>35</v>
      </c>
      <c r="B46" s="181">
        <f>IF(ISNUMBER('Gantt-frame'!$F$5),'Gantt-frame'!$F$5,DATE(VALUE(RIGHT('Gantt-frame'!$F$5,4)),VALUE(MID('Gantt-frame'!$F$5,4,2)),VALUE(LEFT('Gantt-frame'!$F$5,2))))+(SCurveData[[#This Row],[Week]]-1)*7</f>
        <v>46412</v>
      </c>
      <c r="C46" s="98" cm="1">
        <f t="array" ref="C46">SUMPRODUCT(tblEVMData[Baseline Cost]*IF(SCurveData[[#This Row],[Week]]&lt;tblEVMData[Start wk],0,IF(SCurveData[[#This Row],[Week]]&gt;=tblEVMData[Finish wk],1,(SCurveData[[#This Row],[Week]]-tblEVMData[Start wk]+1)/tblEVMData[Duration (Weeks)])))</f>
        <v>18800</v>
      </c>
      <c r="D46" s="98" t="e" cm="1">
        <f t="array" aca="1" ref="D46" ca="1">IF(SCurveData[[#This Row],[Week]]&gt;'EVM Data'!$B$5,NA(),SUMPRODUCT(tblEVMData[Earned Value]*--(tblEVMData[Finish wk]&lt;=SCurveData[[#This Row],[Week]])))</f>
        <v>#N/A</v>
      </c>
      <c r="E46" s="98" t="e" cm="1">
        <f t="array" aca="1" ref="E46" ca="1">IF(SCurveData[[#This Row],[Week]]&gt;'EVM Data'!$B$5,NA(),SUMPRODUCT(tblEVMData[Actual Cost]*--(tblEVMData[Finish wk]&lt;=SCurveData[[#This Row],[Week]])))</f>
        <v>#N/A</v>
      </c>
    </row>
    <row r="47" spans="1:5" x14ac:dyDescent="0.35">
      <c r="A47">
        <v>36</v>
      </c>
      <c r="B47" s="181">
        <f>IF(ISNUMBER('Gantt-frame'!$F$5),'Gantt-frame'!$F$5,DATE(VALUE(RIGHT('Gantt-frame'!$F$5,4)),VALUE(MID('Gantt-frame'!$F$5,4,2)),VALUE(LEFT('Gantt-frame'!$F$5,2))))+(SCurveData[[#This Row],[Week]]-1)*7</f>
        <v>46419</v>
      </c>
      <c r="C47" s="98" cm="1">
        <f t="array" ref="C47">SUMPRODUCT(tblEVMData[Baseline Cost]*IF(SCurveData[[#This Row],[Week]]&lt;tblEVMData[Start wk],0,IF(SCurveData[[#This Row],[Week]]&gt;=tblEVMData[Finish wk],1,(SCurveData[[#This Row],[Week]]-tblEVMData[Start wk]+1)/tblEVMData[Duration (Weeks)])))</f>
        <v>18800</v>
      </c>
      <c r="D47" s="98" t="e" cm="1">
        <f t="array" aca="1" ref="D47" ca="1">IF(SCurveData[[#This Row],[Week]]&gt;'EVM Data'!$B$5,NA(),SUMPRODUCT(tblEVMData[Earned Value]*--(tblEVMData[Finish wk]&lt;=SCurveData[[#This Row],[Week]])))</f>
        <v>#N/A</v>
      </c>
      <c r="E47" s="98" t="e" cm="1">
        <f t="array" aca="1" ref="E47" ca="1">IF(SCurveData[[#This Row],[Week]]&gt;'EVM Data'!$B$5,NA(),SUMPRODUCT(tblEVMData[Actual Cost]*--(tblEVMData[Finish wk]&lt;=SCurveData[[#This Row],[Week]])))</f>
        <v>#N/A</v>
      </c>
    </row>
    <row r="48" spans="1:5" x14ac:dyDescent="0.35">
      <c r="A48">
        <v>37</v>
      </c>
      <c r="B48" s="181">
        <f>IF(ISNUMBER('Gantt-frame'!$F$5),'Gantt-frame'!$F$5,DATE(VALUE(RIGHT('Gantt-frame'!$F$5,4)),VALUE(MID('Gantt-frame'!$F$5,4,2)),VALUE(LEFT('Gantt-frame'!$F$5,2))))+(SCurveData[[#This Row],[Week]]-1)*7</f>
        <v>46426</v>
      </c>
      <c r="C48" s="98" cm="1">
        <f t="array" ref="C48">SUMPRODUCT(tblEVMData[Baseline Cost]*IF(SCurveData[[#This Row],[Week]]&lt;tblEVMData[Start wk],0,IF(SCurveData[[#This Row],[Week]]&gt;=tblEVMData[Finish wk],1,(SCurveData[[#This Row],[Week]]-tblEVMData[Start wk]+1)/tblEVMData[Duration (Weeks)])))</f>
        <v>18800</v>
      </c>
      <c r="D48" s="98" t="e" cm="1">
        <f t="array" aca="1" ref="D48" ca="1">IF(SCurveData[[#This Row],[Week]]&gt;'EVM Data'!$B$5,NA(),SUMPRODUCT(tblEVMData[Earned Value]*--(tblEVMData[Finish wk]&lt;=SCurveData[[#This Row],[Week]])))</f>
        <v>#N/A</v>
      </c>
      <c r="E48" s="98" t="e" cm="1">
        <f t="array" aca="1" ref="E48" ca="1">IF(SCurveData[[#This Row],[Week]]&gt;'EVM Data'!$B$5,NA(),SUMPRODUCT(tblEVMData[Actual Cost]*--(tblEVMData[Finish wk]&lt;=SCurveData[[#This Row],[Week]])))</f>
        <v>#N/A</v>
      </c>
    </row>
    <row r="49" spans="1:5" x14ac:dyDescent="0.35">
      <c r="A49">
        <v>38</v>
      </c>
      <c r="B49" s="181">
        <f>IF(ISNUMBER('Gantt-frame'!$F$5),'Gantt-frame'!$F$5,DATE(VALUE(RIGHT('Gantt-frame'!$F$5,4)),VALUE(MID('Gantt-frame'!$F$5,4,2)),VALUE(LEFT('Gantt-frame'!$F$5,2))))+(SCurveData[[#This Row],[Week]]-1)*7</f>
        <v>46433</v>
      </c>
      <c r="C49" s="98" cm="1">
        <f t="array" ref="C49">SUMPRODUCT(tblEVMData[Baseline Cost]*IF(SCurveData[[#This Row],[Week]]&lt;tblEVMData[Start wk],0,IF(SCurveData[[#This Row],[Week]]&gt;=tblEVMData[Finish wk],1,(SCurveData[[#This Row],[Week]]-tblEVMData[Start wk]+1)/tblEVMData[Duration (Weeks)])))</f>
        <v>18800</v>
      </c>
      <c r="D49" s="98" t="e" cm="1">
        <f t="array" aca="1" ref="D49" ca="1">IF(SCurveData[[#This Row],[Week]]&gt;'EVM Data'!$B$5,NA(),SUMPRODUCT(tblEVMData[Earned Value]*--(tblEVMData[Finish wk]&lt;=SCurveData[[#This Row],[Week]])))</f>
        <v>#N/A</v>
      </c>
      <c r="E49" s="98" t="e" cm="1">
        <f t="array" aca="1" ref="E49" ca="1">IF(SCurveData[[#This Row],[Week]]&gt;'EVM Data'!$B$5,NA(),SUMPRODUCT(tblEVMData[Actual Cost]*--(tblEVMData[Finish wk]&lt;=SCurveData[[#This Row],[Week]])))</f>
        <v>#N/A</v>
      </c>
    </row>
    <row r="50" spans="1:5" x14ac:dyDescent="0.35">
      <c r="A50">
        <v>39</v>
      </c>
      <c r="B50" s="181">
        <f>IF(ISNUMBER('Gantt-frame'!$F$5),'Gantt-frame'!$F$5,DATE(VALUE(RIGHT('Gantt-frame'!$F$5,4)),VALUE(MID('Gantt-frame'!$F$5,4,2)),VALUE(LEFT('Gantt-frame'!$F$5,2))))+(SCurveData[[#This Row],[Week]]-1)*7</f>
        <v>46440</v>
      </c>
      <c r="C50" s="98" cm="1">
        <f t="array" ref="C50">SUMPRODUCT(tblEVMData[Baseline Cost]*IF(SCurveData[[#This Row],[Week]]&lt;tblEVMData[Start wk],0,IF(SCurveData[[#This Row],[Week]]&gt;=tblEVMData[Finish wk],1,(SCurveData[[#This Row],[Week]]-tblEVMData[Start wk]+1)/tblEVMData[Duration (Weeks)])))</f>
        <v>18800</v>
      </c>
      <c r="D50" s="98" t="e" cm="1">
        <f t="array" aca="1" ref="D50" ca="1">IF(SCurveData[[#This Row],[Week]]&gt;'EVM Data'!$B$5,NA(),SUMPRODUCT(tblEVMData[Earned Value]*--(tblEVMData[Finish wk]&lt;=SCurveData[[#This Row],[Week]])))</f>
        <v>#N/A</v>
      </c>
      <c r="E50" s="98" t="e" cm="1">
        <f t="array" aca="1" ref="E50" ca="1">IF(SCurveData[[#This Row],[Week]]&gt;'EVM Data'!$B$5,NA(),SUMPRODUCT(tblEVMData[Actual Cost]*--(tblEVMData[Finish wk]&lt;=SCurveData[[#This Row],[Week]])))</f>
        <v>#N/A</v>
      </c>
    </row>
    <row r="51" spans="1:5" x14ac:dyDescent="0.35">
      <c r="A51">
        <v>40</v>
      </c>
      <c r="B51" s="181">
        <f>IF(ISNUMBER('Gantt-frame'!$F$5),'Gantt-frame'!$F$5,DATE(VALUE(RIGHT('Gantt-frame'!$F$5,4)),VALUE(MID('Gantt-frame'!$F$5,4,2)),VALUE(LEFT('Gantt-frame'!$F$5,2))))+(SCurveData[[#This Row],[Week]]-1)*7</f>
        <v>46447</v>
      </c>
      <c r="C51" s="98" cm="1">
        <f t="array" ref="C51">SUMPRODUCT(tblEVMData[Baseline Cost]*IF(SCurveData[[#This Row],[Week]]&lt;tblEVMData[Start wk],0,IF(SCurveData[[#This Row],[Week]]&gt;=tblEVMData[Finish wk],1,(SCurveData[[#This Row],[Week]]-tblEVMData[Start wk]+1)/tblEVMData[Duration (Weeks)])))</f>
        <v>18800</v>
      </c>
      <c r="D51" s="98" t="e" cm="1">
        <f t="array" aca="1" ref="D51" ca="1">IF(SCurveData[[#This Row],[Week]]&gt;'EVM Data'!$B$5,NA(),SUMPRODUCT(tblEVMData[Earned Value]*--(tblEVMData[Finish wk]&lt;=SCurveData[[#This Row],[Week]])))</f>
        <v>#N/A</v>
      </c>
      <c r="E51" s="98" t="e" cm="1">
        <f t="array" aca="1" ref="E51" ca="1">IF(SCurveData[[#This Row],[Week]]&gt;'EVM Data'!$B$5,NA(),SUMPRODUCT(tblEVMData[Actual Cost]*--(tblEVMData[Finish wk]&lt;=SCurveData[[#This Row],[Week]])))</f>
        <v>#N/A</v>
      </c>
    </row>
    <row r="52" spans="1:5" x14ac:dyDescent="0.35">
      <c r="A52">
        <v>41</v>
      </c>
      <c r="B52" s="181">
        <f>IF(ISNUMBER('Gantt-frame'!$F$5),'Gantt-frame'!$F$5,DATE(VALUE(RIGHT('Gantt-frame'!$F$5,4)),VALUE(MID('Gantt-frame'!$F$5,4,2)),VALUE(LEFT('Gantt-frame'!$F$5,2))))+(SCurveData[[#This Row],[Week]]-1)*7</f>
        <v>46454</v>
      </c>
      <c r="C52" s="98" cm="1">
        <f t="array" ref="C52">SUMPRODUCT(tblEVMData[Baseline Cost]*IF(SCurveData[[#This Row],[Week]]&lt;tblEVMData[Start wk],0,IF(SCurveData[[#This Row],[Week]]&gt;=tblEVMData[Finish wk],1,(SCurveData[[#This Row],[Week]]-tblEVMData[Start wk]+1)/tblEVMData[Duration (Weeks)])))</f>
        <v>18800</v>
      </c>
      <c r="D52" s="98" t="e" cm="1">
        <f t="array" aca="1" ref="D52" ca="1">IF(SCurveData[[#This Row],[Week]]&gt;'EVM Data'!$B$5,NA(),SUMPRODUCT(tblEVMData[Earned Value]*--(tblEVMData[Finish wk]&lt;=SCurveData[[#This Row],[Week]])))</f>
        <v>#N/A</v>
      </c>
      <c r="E52" s="98" t="e" cm="1">
        <f t="array" aca="1" ref="E52" ca="1">IF(SCurveData[[#This Row],[Week]]&gt;'EVM Data'!$B$5,NA(),SUMPRODUCT(tblEVMData[Actual Cost]*--(tblEVMData[Finish wk]&lt;=SCurveData[[#This Row],[Week]])))</f>
        <v>#N/A</v>
      </c>
    </row>
    <row r="53" spans="1:5" x14ac:dyDescent="0.35">
      <c r="A53">
        <v>42</v>
      </c>
      <c r="B53" s="181">
        <f>IF(ISNUMBER('Gantt-frame'!$F$5),'Gantt-frame'!$F$5,DATE(VALUE(RIGHT('Gantt-frame'!$F$5,4)),VALUE(MID('Gantt-frame'!$F$5,4,2)),VALUE(LEFT('Gantt-frame'!$F$5,2))))+(SCurveData[[#This Row],[Week]]-1)*7</f>
        <v>46461</v>
      </c>
      <c r="C53" s="98" cm="1">
        <f t="array" ref="C53">SUMPRODUCT(tblEVMData[Baseline Cost]*IF(SCurveData[[#This Row],[Week]]&lt;tblEVMData[Start wk],0,IF(SCurveData[[#This Row],[Week]]&gt;=tblEVMData[Finish wk],1,(SCurveData[[#This Row],[Week]]-tblEVMData[Start wk]+1)/tblEVMData[Duration (Weeks)])))</f>
        <v>18800</v>
      </c>
      <c r="D53" s="98" t="e" cm="1">
        <f t="array" aca="1" ref="D53" ca="1">IF(SCurveData[[#This Row],[Week]]&gt;'EVM Data'!$B$5,NA(),SUMPRODUCT(tblEVMData[Earned Value]*--(tblEVMData[Finish wk]&lt;=SCurveData[[#This Row],[Week]])))</f>
        <v>#N/A</v>
      </c>
      <c r="E53" s="98" t="e" cm="1">
        <f t="array" aca="1" ref="E53" ca="1">IF(SCurveData[[#This Row],[Week]]&gt;'EVM Data'!$B$5,NA(),SUMPRODUCT(tblEVMData[Actual Cost]*--(tblEVMData[Finish wk]&lt;=SCurveData[[#This Row],[Week]])))</f>
        <v>#N/A</v>
      </c>
    </row>
    <row r="54" spans="1:5" x14ac:dyDescent="0.35">
      <c r="A54">
        <v>43</v>
      </c>
      <c r="B54" s="181">
        <f>IF(ISNUMBER('Gantt-frame'!$F$5),'Gantt-frame'!$F$5,DATE(VALUE(RIGHT('Gantt-frame'!$F$5,4)),VALUE(MID('Gantt-frame'!$F$5,4,2)),VALUE(LEFT('Gantt-frame'!$F$5,2))))+(SCurveData[[#This Row],[Week]]-1)*7</f>
        <v>46468</v>
      </c>
      <c r="C54" s="98" cm="1">
        <f t="array" ref="C54">SUMPRODUCT(tblEVMData[Baseline Cost]*IF(SCurveData[[#This Row],[Week]]&lt;tblEVMData[Start wk],0,IF(SCurveData[[#This Row],[Week]]&gt;=tblEVMData[Finish wk],1,(SCurveData[[#This Row],[Week]]-tblEVMData[Start wk]+1)/tblEVMData[Duration (Weeks)])))</f>
        <v>18800</v>
      </c>
      <c r="D54" s="98" t="e" cm="1">
        <f t="array" aca="1" ref="D54" ca="1">IF(SCurveData[[#This Row],[Week]]&gt;'EVM Data'!$B$5,NA(),SUMPRODUCT(tblEVMData[Earned Value]*--(tblEVMData[Finish wk]&lt;=SCurveData[[#This Row],[Week]])))</f>
        <v>#N/A</v>
      </c>
      <c r="E54" s="98" t="e" cm="1">
        <f t="array" aca="1" ref="E54" ca="1">IF(SCurveData[[#This Row],[Week]]&gt;'EVM Data'!$B$5,NA(),SUMPRODUCT(tblEVMData[Actual Cost]*--(tblEVMData[Finish wk]&lt;=SCurveData[[#This Row],[Week]])))</f>
        <v>#N/A</v>
      </c>
    </row>
    <row r="55" spans="1:5" x14ac:dyDescent="0.35">
      <c r="A55">
        <v>44</v>
      </c>
      <c r="B55" s="181">
        <f>IF(ISNUMBER('Gantt-frame'!$F$5),'Gantt-frame'!$F$5,DATE(VALUE(RIGHT('Gantt-frame'!$F$5,4)),VALUE(MID('Gantt-frame'!$F$5,4,2)),VALUE(LEFT('Gantt-frame'!$F$5,2))))+(SCurveData[[#This Row],[Week]]-1)*7</f>
        <v>46475</v>
      </c>
      <c r="C55" s="98" cm="1">
        <f t="array" ref="C55">SUMPRODUCT(tblEVMData[Baseline Cost]*IF(SCurveData[[#This Row],[Week]]&lt;tblEVMData[Start wk],0,IF(SCurveData[[#This Row],[Week]]&gt;=tblEVMData[Finish wk],1,(SCurveData[[#This Row],[Week]]-tblEVMData[Start wk]+1)/tblEVMData[Duration (Weeks)])))</f>
        <v>18800</v>
      </c>
      <c r="D55" s="98" t="e" cm="1">
        <f t="array" aca="1" ref="D55" ca="1">IF(SCurveData[[#This Row],[Week]]&gt;'EVM Data'!$B$5,NA(),SUMPRODUCT(tblEVMData[Earned Value]*--(tblEVMData[Finish wk]&lt;=SCurveData[[#This Row],[Week]])))</f>
        <v>#N/A</v>
      </c>
      <c r="E55" s="98" t="e" cm="1">
        <f t="array" aca="1" ref="E55" ca="1">IF(SCurveData[[#This Row],[Week]]&gt;'EVM Data'!$B$5,NA(),SUMPRODUCT(tblEVMData[Actual Cost]*--(tblEVMData[Finish wk]&lt;=SCurveData[[#This Row],[Week]])))</f>
        <v>#N/A</v>
      </c>
    </row>
    <row r="56" spans="1:5" x14ac:dyDescent="0.35">
      <c r="A56">
        <v>45</v>
      </c>
      <c r="B56" s="181">
        <f>IF(ISNUMBER('Gantt-frame'!$F$5),'Gantt-frame'!$F$5,DATE(VALUE(RIGHT('Gantt-frame'!$F$5,4)),VALUE(MID('Gantt-frame'!$F$5,4,2)),VALUE(LEFT('Gantt-frame'!$F$5,2))))+(SCurveData[[#This Row],[Week]]-1)*7</f>
        <v>46482</v>
      </c>
      <c r="C56" s="98" cm="1">
        <f t="array" ref="C56">SUMPRODUCT(tblEVMData[Baseline Cost]*IF(SCurveData[[#This Row],[Week]]&lt;tblEVMData[Start wk],0,IF(SCurveData[[#This Row],[Week]]&gt;=tblEVMData[Finish wk],1,(SCurveData[[#This Row],[Week]]-tblEVMData[Start wk]+1)/tblEVMData[Duration (Weeks)])))</f>
        <v>18800</v>
      </c>
      <c r="D56" s="98" t="e" cm="1">
        <f t="array" aca="1" ref="D56" ca="1">IF(SCurveData[[#This Row],[Week]]&gt;'EVM Data'!$B$5,NA(),SUMPRODUCT(tblEVMData[Earned Value]*--(tblEVMData[Finish wk]&lt;=SCurveData[[#This Row],[Week]])))</f>
        <v>#N/A</v>
      </c>
      <c r="E56" s="98" t="e" cm="1">
        <f t="array" aca="1" ref="E56" ca="1">IF(SCurveData[[#This Row],[Week]]&gt;'EVM Data'!$B$5,NA(),SUMPRODUCT(tblEVMData[Actual Cost]*--(tblEVMData[Finish wk]&lt;=SCurveData[[#This Row],[Week]])))</f>
        <v>#N/A</v>
      </c>
    </row>
    <row r="57" spans="1:5" x14ac:dyDescent="0.35">
      <c r="A57">
        <v>46</v>
      </c>
      <c r="B57" s="181">
        <f>IF(ISNUMBER('Gantt-frame'!$F$5),'Gantt-frame'!$F$5,DATE(VALUE(RIGHT('Gantt-frame'!$F$5,4)),VALUE(MID('Gantt-frame'!$F$5,4,2)),VALUE(LEFT('Gantt-frame'!$F$5,2))))+(SCurveData[[#This Row],[Week]]-1)*7</f>
        <v>46489</v>
      </c>
      <c r="C57" s="98" cm="1">
        <f t="array" ref="C57">SUMPRODUCT(tblEVMData[Baseline Cost]*IF(SCurveData[[#This Row],[Week]]&lt;tblEVMData[Start wk],0,IF(SCurveData[[#This Row],[Week]]&gt;=tblEVMData[Finish wk],1,(SCurveData[[#This Row],[Week]]-tblEVMData[Start wk]+1)/tblEVMData[Duration (Weeks)])))</f>
        <v>18800</v>
      </c>
      <c r="D57" s="98" t="e" cm="1">
        <f t="array" aca="1" ref="D57" ca="1">IF(SCurveData[[#This Row],[Week]]&gt;'EVM Data'!$B$5,NA(),SUMPRODUCT(tblEVMData[Earned Value]*--(tblEVMData[Finish wk]&lt;=SCurveData[[#This Row],[Week]])))</f>
        <v>#N/A</v>
      </c>
      <c r="E57" s="98" t="e" cm="1">
        <f t="array" aca="1" ref="E57" ca="1">IF(SCurveData[[#This Row],[Week]]&gt;'EVM Data'!$B$5,NA(),SUMPRODUCT(tblEVMData[Actual Cost]*--(tblEVMData[Finish wk]&lt;=SCurveData[[#This Row],[Week]])))</f>
        <v>#N/A</v>
      </c>
    </row>
    <row r="58" spans="1:5" x14ac:dyDescent="0.35">
      <c r="A58">
        <v>47</v>
      </c>
      <c r="B58" s="181">
        <f>IF(ISNUMBER('Gantt-frame'!$F$5),'Gantt-frame'!$F$5,DATE(VALUE(RIGHT('Gantt-frame'!$F$5,4)),VALUE(MID('Gantt-frame'!$F$5,4,2)),VALUE(LEFT('Gantt-frame'!$F$5,2))))+(SCurveData[[#This Row],[Week]]-1)*7</f>
        <v>46496</v>
      </c>
      <c r="C58" s="98" cm="1">
        <f t="array" ref="C58">SUMPRODUCT(tblEVMData[Baseline Cost]*IF(SCurveData[[#This Row],[Week]]&lt;tblEVMData[Start wk],0,IF(SCurveData[[#This Row],[Week]]&gt;=tblEVMData[Finish wk],1,(SCurveData[[#This Row],[Week]]-tblEVMData[Start wk]+1)/tblEVMData[Duration (Weeks)])))</f>
        <v>18800</v>
      </c>
      <c r="D58" s="98" t="e" cm="1">
        <f t="array" aca="1" ref="D58" ca="1">IF(SCurveData[[#This Row],[Week]]&gt;'EVM Data'!$B$5,NA(),SUMPRODUCT(tblEVMData[Earned Value]*--(tblEVMData[Finish wk]&lt;=SCurveData[[#This Row],[Week]])))</f>
        <v>#N/A</v>
      </c>
      <c r="E58" s="98" t="e" cm="1">
        <f t="array" aca="1" ref="E58" ca="1">IF(SCurveData[[#This Row],[Week]]&gt;'EVM Data'!$B$5,NA(),SUMPRODUCT(tblEVMData[Actual Cost]*--(tblEVMData[Finish wk]&lt;=SCurveData[[#This Row],[Week]])))</f>
        <v>#N/A</v>
      </c>
    </row>
    <row r="59" spans="1:5" x14ac:dyDescent="0.35">
      <c r="A59">
        <v>48</v>
      </c>
      <c r="B59" s="181">
        <f>IF(ISNUMBER('Gantt-frame'!$F$5),'Gantt-frame'!$F$5,DATE(VALUE(RIGHT('Gantt-frame'!$F$5,4)),VALUE(MID('Gantt-frame'!$F$5,4,2)),VALUE(LEFT('Gantt-frame'!$F$5,2))))+(SCurveData[[#This Row],[Week]]-1)*7</f>
        <v>46503</v>
      </c>
      <c r="C59" s="98" cm="1">
        <f t="array" ref="C59">SUMPRODUCT(tblEVMData[Baseline Cost]*IF(SCurveData[[#This Row],[Week]]&lt;tblEVMData[Start wk],0,IF(SCurveData[[#This Row],[Week]]&gt;=tblEVMData[Finish wk],1,(SCurveData[[#This Row],[Week]]-tblEVMData[Start wk]+1)/tblEVMData[Duration (Weeks)])))</f>
        <v>18800</v>
      </c>
      <c r="D59" s="98" t="e" cm="1">
        <f t="array" aca="1" ref="D59" ca="1">IF(SCurveData[[#This Row],[Week]]&gt;'EVM Data'!$B$5,NA(),SUMPRODUCT(tblEVMData[Earned Value]*--(tblEVMData[Finish wk]&lt;=SCurveData[[#This Row],[Week]])))</f>
        <v>#N/A</v>
      </c>
      <c r="E59" s="98" t="e" cm="1">
        <f t="array" aca="1" ref="E59" ca="1">IF(SCurveData[[#This Row],[Week]]&gt;'EVM Data'!$B$5,NA(),SUMPRODUCT(tblEVMData[Actual Cost]*--(tblEVMData[Finish wk]&lt;=SCurveData[[#This Row],[Week]])))</f>
        <v>#N/A</v>
      </c>
    </row>
    <row r="60" spans="1:5" x14ac:dyDescent="0.35">
      <c r="A60">
        <v>49</v>
      </c>
      <c r="B60" s="181">
        <f>IF(ISNUMBER('Gantt-frame'!$F$5),'Gantt-frame'!$F$5,DATE(VALUE(RIGHT('Gantt-frame'!$F$5,4)),VALUE(MID('Gantt-frame'!$F$5,4,2)),VALUE(LEFT('Gantt-frame'!$F$5,2))))+(SCurveData[[#This Row],[Week]]-1)*7</f>
        <v>46510</v>
      </c>
      <c r="C60" s="98" cm="1">
        <f t="array" ref="C60">SUMPRODUCT(tblEVMData[Baseline Cost]*IF(SCurveData[[#This Row],[Week]]&lt;tblEVMData[Start wk],0,IF(SCurveData[[#This Row],[Week]]&gt;=tblEVMData[Finish wk],1,(SCurveData[[#This Row],[Week]]-tblEVMData[Start wk]+1)/tblEVMData[Duration (Weeks)])))</f>
        <v>18800</v>
      </c>
      <c r="D60" s="98" t="e" cm="1">
        <f t="array" aca="1" ref="D60" ca="1">IF(SCurveData[[#This Row],[Week]]&gt;'EVM Data'!$B$5,NA(),SUMPRODUCT(tblEVMData[Earned Value]*--(tblEVMData[Finish wk]&lt;=SCurveData[[#This Row],[Week]])))</f>
        <v>#N/A</v>
      </c>
      <c r="E60" s="98" t="e" cm="1">
        <f t="array" aca="1" ref="E60" ca="1">IF(SCurveData[[#This Row],[Week]]&gt;'EVM Data'!$B$5,NA(),SUMPRODUCT(tblEVMData[Actual Cost]*--(tblEVMData[Finish wk]&lt;=SCurveData[[#This Row],[Week]])))</f>
        <v>#N/A</v>
      </c>
    </row>
    <row r="61" spans="1:5" x14ac:dyDescent="0.35">
      <c r="A61">
        <v>50</v>
      </c>
      <c r="B61" s="181">
        <f>IF(ISNUMBER('Gantt-frame'!$F$5),'Gantt-frame'!$F$5,DATE(VALUE(RIGHT('Gantt-frame'!$F$5,4)),VALUE(MID('Gantt-frame'!$F$5,4,2)),VALUE(LEFT('Gantt-frame'!$F$5,2))))+(SCurveData[[#This Row],[Week]]-1)*7</f>
        <v>46517</v>
      </c>
      <c r="C61" s="98" cm="1">
        <f t="array" ref="C61">SUMPRODUCT(tblEVMData[Baseline Cost]*IF(SCurveData[[#This Row],[Week]]&lt;tblEVMData[Start wk],0,IF(SCurveData[[#This Row],[Week]]&gt;=tblEVMData[Finish wk],1,(SCurveData[[#This Row],[Week]]-tblEVMData[Start wk]+1)/tblEVMData[Duration (Weeks)])))</f>
        <v>18800</v>
      </c>
      <c r="D61" s="98" t="e" cm="1">
        <f t="array" aca="1" ref="D61" ca="1">IF(SCurveData[[#This Row],[Week]]&gt;'EVM Data'!$B$5,NA(),SUMPRODUCT(tblEVMData[Earned Value]*--(tblEVMData[Finish wk]&lt;=SCurveData[[#This Row],[Week]])))</f>
        <v>#N/A</v>
      </c>
      <c r="E61" s="98" t="e" cm="1">
        <f t="array" aca="1" ref="E61" ca="1">IF(SCurveData[[#This Row],[Week]]&gt;'EVM Data'!$B$5,NA(),SUMPRODUCT(tblEVMData[Actual Cost]*--(tblEVMData[Finish wk]&lt;=SCurveData[[#This Row],[Week]])))</f>
        <v>#N/A</v>
      </c>
    </row>
    <row r="62" spans="1:5" x14ac:dyDescent="0.35">
      <c r="A62">
        <v>51</v>
      </c>
      <c r="B62" s="181">
        <f>IF(ISNUMBER('Gantt-frame'!$F$5),'Gantt-frame'!$F$5,DATE(VALUE(RIGHT('Gantt-frame'!$F$5,4)),VALUE(MID('Gantt-frame'!$F$5,4,2)),VALUE(LEFT('Gantt-frame'!$F$5,2))))+(SCurveData[[#This Row],[Week]]-1)*7</f>
        <v>46524</v>
      </c>
      <c r="C62" s="98" cm="1">
        <f t="array" ref="C62">SUMPRODUCT(tblEVMData[Baseline Cost]*IF(SCurveData[[#This Row],[Week]]&lt;tblEVMData[Start wk],0,IF(SCurveData[[#This Row],[Week]]&gt;=tblEVMData[Finish wk],1,(SCurveData[[#This Row],[Week]]-tblEVMData[Start wk]+1)/tblEVMData[Duration (Weeks)])))</f>
        <v>18800</v>
      </c>
      <c r="D62" s="98" t="e" cm="1">
        <f t="array" aca="1" ref="D62" ca="1">IF(SCurveData[[#This Row],[Week]]&gt;'EVM Data'!$B$5,NA(),SUMPRODUCT(tblEVMData[Earned Value]*--(tblEVMData[Finish wk]&lt;=SCurveData[[#This Row],[Week]])))</f>
        <v>#N/A</v>
      </c>
      <c r="E62" s="98" t="e" cm="1">
        <f t="array" aca="1" ref="E62" ca="1">IF(SCurveData[[#This Row],[Week]]&gt;'EVM Data'!$B$5,NA(),SUMPRODUCT(tblEVMData[Actual Cost]*--(tblEVMData[Finish wk]&lt;=SCurveData[[#This Row],[Week]])))</f>
        <v>#N/A</v>
      </c>
    </row>
    <row r="63" spans="1:5" x14ac:dyDescent="0.35">
      <c r="A63">
        <v>52</v>
      </c>
      <c r="B63" s="181">
        <f>IF(ISNUMBER('Gantt-frame'!$F$5),'Gantt-frame'!$F$5,DATE(VALUE(RIGHT('Gantt-frame'!$F$5,4)),VALUE(MID('Gantt-frame'!$F$5,4,2)),VALUE(LEFT('Gantt-frame'!$F$5,2))))+(SCurveData[[#This Row],[Week]]-1)*7</f>
        <v>46531</v>
      </c>
      <c r="C63" s="98" cm="1">
        <f t="array" ref="C63">SUMPRODUCT(tblEVMData[Baseline Cost]*IF(SCurveData[[#This Row],[Week]]&lt;tblEVMData[Start wk],0,IF(SCurveData[[#This Row],[Week]]&gt;=tblEVMData[Finish wk],1,(SCurveData[[#This Row],[Week]]-tblEVMData[Start wk]+1)/tblEVMData[Duration (Weeks)])))</f>
        <v>18800</v>
      </c>
      <c r="D63" s="98" t="e" cm="1">
        <f t="array" aca="1" ref="D63" ca="1">IF(SCurveData[[#This Row],[Week]]&gt;'EVM Data'!$B$5,NA(),SUMPRODUCT(tblEVMData[Earned Value]*--(tblEVMData[Finish wk]&lt;=SCurveData[[#This Row],[Week]])))</f>
        <v>#N/A</v>
      </c>
      <c r="E63" s="98" t="e" cm="1">
        <f t="array" aca="1" ref="E63" ca="1">IF(SCurveData[[#This Row],[Week]]&gt;'EVM Data'!$B$5,NA(),SUMPRODUCT(tblEVMData[Actual Cost]*--(tblEVMData[Finish wk]&lt;=SCurveData[[#This Row],[Week]])))</f>
        <v>#N/A</v>
      </c>
    </row>
  </sheetData>
  <mergeCells count="4">
    <mergeCell ref="A1:H1"/>
    <mergeCell ref="A2:H2"/>
    <mergeCell ref="G27:N27"/>
    <mergeCell ref="G28:N30"/>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8"/>
  </sheetPr>
  <dimension ref="B1:G13"/>
  <sheetViews>
    <sheetView showGridLines="0" topLeftCell="A3" zoomScaleNormal="100" workbookViewId="0"/>
  </sheetViews>
  <sheetFormatPr defaultColWidth="9.1796875" defaultRowHeight="14.5" x14ac:dyDescent="0.35"/>
  <cols>
    <col min="1" max="1" width="20.7265625" customWidth="1"/>
    <col min="2" max="2" width="18.7265625" customWidth="1"/>
    <col min="3" max="3" width="34.1796875" customWidth="1"/>
    <col min="4" max="4" width="30.7265625" customWidth="1"/>
    <col min="5" max="6" width="6.7265625" customWidth="1"/>
    <col min="7" max="7" width="55.7265625" customWidth="1"/>
    <col min="8" max="8" width="17" customWidth="1"/>
  </cols>
  <sheetData>
    <row r="1" spans="2:7" s="6" customFormat="1" ht="7.5" customHeight="1" thickBot="1" x14ac:dyDescent="0.4"/>
    <row r="2" spans="2:7" s="13" customFormat="1" ht="58" customHeight="1" thickTop="1" x14ac:dyDescent="0.35">
      <c r="B2" s="13" t="s">
        <v>0</v>
      </c>
    </row>
    <row r="3" spans="2:7" s="14" customFormat="1" ht="45" customHeight="1" x14ac:dyDescent="0.35">
      <c r="B3" s="14" t="s">
        <v>1</v>
      </c>
    </row>
    <row r="4" spans="2:7" ht="30" customHeight="1" x14ac:dyDescent="0.35"/>
    <row r="5" spans="2:7" ht="76.5" customHeight="1" x14ac:dyDescent="0.35">
      <c r="F5" s="26">
        <v>1</v>
      </c>
      <c r="G5" s="19" t="s">
        <v>2</v>
      </c>
    </row>
    <row r="6" spans="2:7" ht="32.15" customHeight="1" x14ac:dyDescent="0.35">
      <c r="G6" s="15"/>
    </row>
    <row r="7" spans="2:7" ht="100" customHeight="1" x14ac:dyDescent="0.35">
      <c r="F7" s="26">
        <v>2</v>
      </c>
      <c r="G7" s="19" t="s">
        <v>3</v>
      </c>
    </row>
    <row r="8" spans="2:7" ht="32.15" customHeight="1" x14ac:dyDescent="0.35">
      <c r="F8" s="18"/>
      <c r="G8" s="15"/>
    </row>
    <row r="9" spans="2:7" ht="54" x14ac:dyDescent="0.35">
      <c r="F9" s="26">
        <v>3</v>
      </c>
      <c r="G9" s="27" t="s">
        <v>4</v>
      </c>
    </row>
    <row r="10" spans="2:7" ht="32.15" customHeight="1" x14ac:dyDescent="0.45">
      <c r="G10" s="16"/>
    </row>
    <row r="11" spans="2:7" ht="30" customHeight="1" x14ac:dyDescent="0.35">
      <c r="G11" s="17"/>
    </row>
    <row r="13" spans="2:7" ht="65.150000000000006" customHeight="1" x14ac:dyDescent="0.35">
      <c r="F13" s="36"/>
      <c r="G13" s="37" t="s">
        <v>5</v>
      </c>
    </row>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8"/>
  </sheetPr>
  <dimension ref="B1:B21"/>
  <sheetViews>
    <sheetView showGridLines="0" zoomScaleNormal="100" workbookViewId="0"/>
  </sheetViews>
  <sheetFormatPr defaultColWidth="9.1796875" defaultRowHeight="14.5" x14ac:dyDescent="0.35"/>
  <cols>
    <col min="1" max="1" width="20.7265625" customWidth="1"/>
    <col min="2" max="2" width="60.7265625" customWidth="1"/>
    <col min="3" max="3" width="6.7265625" customWidth="1"/>
    <col min="4" max="4" width="16.54296875" customWidth="1"/>
    <col min="5" max="5" width="20.26953125" customWidth="1"/>
    <col min="6" max="6" width="22.7265625" customWidth="1"/>
    <col min="7" max="7" width="24.1796875" customWidth="1"/>
    <col min="8" max="8" width="17" customWidth="1"/>
    <col min="9" max="9" width="18.1796875" customWidth="1"/>
    <col min="10" max="10" width="12.54296875" customWidth="1"/>
  </cols>
  <sheetData>
    <row r="1" spans="2:2" s="6" customFormat="1" ht="7.5" customHeight="1" thickBot="1" x14ac:dyDescent="0.4"/>
    <row r="2" spans="2:2" s="13" customFormat="1" ht="58" customHeight="1" thickTop="1" x14ac:dyDescent="0.35">
      <c r="B2" s="13" t="s">
        <v>0</v>
      </c>
    </row>
    <row r="3" spans="2:2" s="14" customFormat="1" ht="45" customHeight="1" x14ac:dyDescent="0.35">
      <c r="B3" s="14" t="s">
        <v>6</v>
      </c>
    </row>
    <row r="4" spans="2:2" ht="30" customHeight="1" x14ac:dyDescent="0.35"/>
    <row r="5" spans="2:2" ht="20.149999999999999" customHeight="1" x14ac:dyDescent="0.35">
      <c r="B5" s="21" t="s">
        <v>7</v>
      </c>
    </row>
    <row r="6" spans="2:2" ht="60" customHeight="1" x14ac:dyDescent="0.35">
      <c r="B6" s="22" t="s">
        <v>8</v>
      </c>
    </row>
    <row r="7" spans="2:2" ht="17.5" x14ac:dyDescent="0.45">
      <c r="B7" s="20"/>
    </row>
    <row r="8" spans="2:2" ht="20.149999999999999" customHeight="1" x14ac:dyDescent="0.35">
      <c r="B8" s="21" t="s">
        <v>9</v>
      </c>
    </row>
    <row r="9" spans="2:2" ht="60" customHeight="1" x14ac:dyDescent="0.35">
      <c r="B9" s="23" t="s">
        <v>10</v>
      </c>
    </row>
    <row r="10" spans="2:2" ht="15.5" x14ac:dyDescent="0.35">
      <c r="B10" s="25"/>
    </row>
    <row r="11" spans="2:2" ht="20.149999999999999" customHeight="1" x14ac:dyDescent="0.35">
      <c r="B11" s="21" t="s">
        <v>11</v>
      </c>
    </row>
    <row r="12" spans="2:2" ht="82.5" x14ac:dyDescent="0.35">
      <c r="B12" s="22" t="s">
        <v>12</v>
      </c>
    </row>
    <row r="13" spans="2:2" ht="15.5" x14ac:dyDescent="0.35">
      <c r="B13" s="25"/>
    </row>
    <row r="14" spans="2:2" ht="20.149999999999999" customHeight="1" x14ac:dyDescent="0.35">
      <c r="B14" s="21" t="s">
        <v>13</v>
      </c>
    </row>
    <row r="15" spans="2:2" ht="99" x14ac:dyDescent="0.35">
      <c r="B15" s="24" t="s">
        <v>14</v>
      </c>
    </row>
    <row r="16" spans="2:2" ht="15.5" x14ac:dyDescent="0.35">
      <c r="B16" s="25"/>
    </row>
    <row r="17" spans="2:2" ht="20.149999999999999" customHeight="1" x14ac:dyDescent="0.35">
      <c r="B17" s="21" t="s">
        <v>15</v>
      </c>
    </row>
    <row r="18" spans="2:2" ht="99" x14ac:dyDescent="0.35">
      <c r="B18" s="22" t="s">
        <v>16</v>
      </c>
    </row>
    <row r="19" spans="2:2" ht="15.5" x14ac:dyDescent="0.35">
      <c r="B19" s="25"/>
    </row>
    <row r="20" spans="2:2" ht="20.149999999999999" customHeight="1" x14ac:dyDescent="0.35">
      <c r="B20" s="19" t="s">
        <v>17</v>
      </c>
    </row>
    <row r="21" spans="2:2" ht="49.5" x14ac:dyDescent="0.35">
      <c r="B21" s="22" t="s">
        <v>18</v>
      </c>
    </row>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3652A0"/>
  </sheetPr>
  <dimension ref="A1:L23"/>
  <sheetViews>
    <sheetView showGridLines="0" zoomScale="70" zoomScaleNormal="70" workbookViewId="0"/>
  </sheetViews>
  <sheetFormatPr defaultColWidth="9.1796875" defaultRowHeight="14.5" x14ac:dyDescent="0.35"/>
  <cols>
    <col min="1" max="1" width="20.7265625" style="1" customWidth="1"/>
    <col min="2" max="2" width="16.36328125" style="29" customWidth="1"/>
    <col min="3" max="3" width="30.90625" style="29" customWidth="1"/>
    <col min="4" max="4" width="20" style="29" customWidth="1"/>
    <col min="5" max="6" width="17.26953125" style="29" customWidth="1"/>
    <col min="7" max="7" width="10" style="32" customWidth="1"/>
    <col min="8" max="8" width="14.54296875" style="30" customWidth="1"/>
    <col min="9" max="10" width="13.6328125" style="130" customWidth="1"/>
    <col min="11" max="11" width="14.54296875" style="30" customWidth="1"/>
    <col min="12" max="12" width="36.36328125" style="30" customWidth="1"/>
    <col min="13" max="16384" width="9.1796875" style="31"/>
  </cols>
  <sheetData>
    <row r="1" spans="2:12" s="6" customFormat="1" ht="15" thickBot="1" x14ac:dyDescent="0.4">
      <c r="B1" s="28"/>
      <c r="C1" s="28"/>
      <c r="D1" s="28"/>
      <c r="E1" s="28"/>
      <c r="F1" s="28"/>
      <c r="I1" s="125"/>
      <c r="J1" s="125"/>
    </row>
    <row r="2" spans="2:12" s="13" customFormat="1" ht="51.5" thickTop="1" x14ac:dyDescent="0.5">
      <c r="B2" s="131" t="s">
        <v>221</v>
      </c>
      <c r="C2" s="131"/>
      <c r="D2" s="131"/>
      <c r="E2" s="131"/>
      <c r="F2" s="131"/>
      <c r="G2" s="131"/>
      <c r="H2" s="131"/>
      <c r="I2" s="131"/>
      <c r="J2" s="131"/>
      <c r="K2" s="131"/>
      <c r="L2" s="131"/>
    </row>
    <row r="3" spans="2:12" s="14" customFormat="1" ht="29" x14ac:dyDescent="0.35">
      <c r="B3" s="100" t="s">
        <v>220</v>
      </c>
      <c r="C3" s="100"/>
      <c r="D3" s="100"/>
      <c r="E3" s="100"/>
      <c r="F3" s="100"/>
      <c r="G3" s="100"/>
      <c r="H3" s="100"/>
      <c r="I3" s="100"/>
      <c r="J3" s="100"/>
      <c r="K3" s="100"/>
      <c r="L3" s="100"/>
    </row>
    <row r="4" spans="2:12" s="5" customFormat="1" ht="17.5" x14ac:dyDescent="0.35">
      <c r="B4" s="3"/>
      <c r="C4" s="4"/>
      <c r="D4" s="4"/>
      <c r="E4" s="4"/>
      <c r="F4" s="4"/>
      <c r="I4" s="126"/>
      <c r="J4" s="126"/>
      <c r="L4" s="4"/>
    </row>
    <row r="5" spans="2:12" s="1" customFormat="1" ht="43.5" x14ac:dyDescent="0.35">
      <c r="B5" s="102" t="s">
        <v>7</v>
      </c>
      <c r="C5" s="103" t="s">
        <v>9</v>
      </c>
      <c r="D5" s="104" t="s">
        <v>11</v>
      </c>
      <c r="E5" s="103" t="s">
        <v>20</v>
      </c>
      <c r="F5" s="103" t="s">
        <v>21</v>
      </c>
      <c r="G5" s="105" t="s">
        <v>23</v>
      </c>
      <c r="H5" s="105" t="s">
        <v>24</v>
      </c>
      <c r="I5" s="106" t="s">
        <v>25</v>
      </c>
      <c r="J5" s="106" t="s">
        <v>26</v>
      </c>
      <c r="K5" s="105" t="s">
        <v>27</v>
      </c>
      <c r="L5" s="107" t="s">
        <v>28</v>
      </c>
    </row>
    <row r="6" spans="2:12" s="2" customFormat="1" ht="29" x14ac:dyDescent="0.35">
      <c r="B6" s="116" t="s">
        <v>178</v>
      </c>
      <c r="C6" s="117" t="s">
        <v>138</v>
      </c>
      <c r="D6" s="117" t="s">
        <v>179</v>
      </c>
      <c r="E6" s="117" t="s">
        <v>180</v>
      </c>
      <c r="F6" s="117" t="s">
        <v>19</v>
      </c>
      <c r="G6" s="120" t="s">
        <v>139</v>
      </c>
      <c r="H6" s="122"/>
      <c r="I6" s="127">
        <v>46174</v>
      </c>
      <c r="J6" s="127">
        <v>46209</v>
      </c>
      <c r="K6" s="117" t="s">
        <v>181</v>
      </c>
      <c r="L6" s="118" t="s">
        <v>182</v>
      </c>
    </row>
    <row r="7" spans="2:12" s="2" customFormat="1" ht="29" x14ac:dyDescent="0.35">
      <c r="B7" s="116" t="s">
        <v>179</v>
      </c>
      <c r="C7" s="117" t="s">
        <v>141</v>
      </c>
      <c r="D7" s="117" t="s">
        <v>183</v>
      </c>
      <c r="E7" s="117" t="s">
        <v>180</v>
      </c>
      <c r="F7" s="117" t="s">
        <v>32</v>
      </c>
      <c r="G7" s="120" t="s">
        <v>139</v>
      </c>
      <c r="H7" s="122">
        <v>100</v>
      </c>
      <c r="I7" s="127">
        <v>46216</v>
      </c>
      <c r="J7" s="127">
        <v>46279</v>
      </c>
      <c r="K7" s="117" t="s">
        <v>184</v>
      </c>
      <c r="L7" s="118" t="s">
        <v>185</v>
      </c>
    </row>
    <row r="8" spans="2:12" ht="29" x14ac:dyDescent="0.35">
      <c r="B8" s="108" t="s">
        <v>186</v>
      </c>
      <c r="C8" s="109" t="s">
        <v>145</v>
      </c>
      <c r="D8" s="109" t="s">
        <v>187</v>
      </c>
      <c r="E8" s="109" t="s">
        <v>180</v>
      </c>
      <c r="F8" s="109" t="s">
        <v>32</v>
      </c>
      <c r="G8" s="120" t="s">
        <v>146</v>
      </c>
      <c r="H8" s="123">
        <v>350</v>
      </c>
      <c r="I8" s="128">
        <v>46286</v>
      </c>
      <c r="J8" s="128">
        <v>46286</v>
      </c>
      <c r="K8" s="110" t="s">
        <v>188</v>
      </c>
      <c r="L8" s="111" t="s">
        <v>189</v>
      </c>
    </row>
    <row r="9" spans="2:12" ht="29" x14ac:dyDescent="0.35">
      <c r="B9" s="108" t="s">
        <v>183</v>
      </c>
      <c r="C9" s="109" t="s">
        <v>144</v>
      </c>
      <c r="D9" s="109" t="s">
        <v>186</v>
      </c>
      <c r="E9" s="109" t="s">
        <v>180</v>
      </c>
      <c r="F9" s="109" t="s">
        <v>32</v>
      </c>
      <c r="G9" s="120" t="s">
        <v>139</v>
      </c>
      <c r="H9" s="123"/>
      <c r="I9" s="128">
        <v>46293</v>
      </c>
      <c r="J9" s="128">
        <v>46300</v>
      </c>
      <c r="K9" s="110" t="s">
        <v>188</v>
      </c>
      <c r="L9" s="111" t="s">
        <v>190</v>
      </c>
    </row>
    <row r="10" spans="2:12" ht="29" x14ac:dyDescent="0.35">
      <c r="B10" s="108" t="s">
        <v>191</v>
      </c>
      <c r="C10" s="109" t="s">
        <v>148</v>
      </c>
      <c r="D10" s="109" t="s">
        <v>192</v>
      </c>
      <c r="E10" s="109" t="s">
        <v>180</v>
      </c>
      <c r="F10" s="109" t="s">
        <v>19</v>
      </c>
      <c r="G10" s="120" t="s">
        <v>146</v>
      </c>
      <c r="H10" s="123">
        <v>700</v>
      </c>
      <c r="I10" s="128">
        <v>46307</v>
      </c>
      <c r="J10" s="128">
        <v>46307</v>
      </c>
      <c r="K10" s="110" t="s">
        <v>188</v>
      </c>
      <c r="L10" s="111" t="s">
        <v>193</v>
      </c>
    </row>
    <row r="11" spans="2:12" ht="29" x14ac:dyDescent="0.35">
      <c r="B11" s="108" t="s">
        <v>192</v>
      </c>
      <c r="C11" s="109" t="s">
        <v>149</v>
      </c>
      <c r="D11" s="109" t="s">
        <v>194</v>
      </c>
      <c r="E11" s="109" t="s">
        <v>180</v>
      </c>
      <c r="F11" s="109" t="s">
        <v>32</v>
      </c>
      <c r="G11" s="120" t="s">
        <v>146</v>
      </c>
      <c r="H11" s="123">
        <v>100</v>
      </c>
      <c r="I11" s="128">
        <v>46314</v>
      </c>
      <c r="J11" s="128">
        <v>46314</v>
      </c>
      <c r="K11" s="110" t="s">
        <v>188</v>
      </c>
      <c r="L11" s="111" t="s">
        <v>195</v>
      </c>
    </row>
    <row r="12" spans="2:12" ht="29" x14ac:dyDescent="0.35">
      <c r="B12" s="108" t="s">
        <v>196</v>
      </c>
      <c r="C12" s="109" t="s">
        <v>151</v>
      </c>
      <c r="D12" s="109" t="s">
        <v>197</v>
      </c>
      <c r="E12" s="109" t="s">
        <v>197</v>
      </c>
      <c r="F12" s="109" t="s">
        <v>22</v>
      </c>
      <c r="G12" s="120" t="s">
        <v>139</v>
      </c>
      <c r="H12" s="123">
        <v>8000</v>
      </c>
      <c r="I12" s="128">
        <v>46321</v>
      </c>
      <c r="J12" s="128">
        <v>46342</v>
      </c>
      <c r="K12" s="110" t="s">
        <v>188</v>
      </c>
      <c r="L12" s="111" t="s">
        <v>198</v>
      </c>
    </row>
    <row r="13" spans="2:12" ht="29" x14ac:dyDescent="0.35">
      <c r="B13" s="108" t="s">
        <v>199</v>
      </c>
      <c r="C13" s="109" t="s">
        <v>152</v>
      </c>
      <c r="D13" s="109" t="s">
        <v>200</v>
      </c>
      <c r="E13" s="109" t="s">
        <v>180</v>
      </c>
      <c r="F13" s="109" t="s">
        <v>19</v>
      </c>
      <c r="G13" s="120" t="s">
        <v>146</v>
      </c>
      <c r="H13" s="123"/>
      <c r="I13" s="128">
        <v>46321</v>
      </c>
      <c r="J13" s="128">
        <v>46321</v>
      </c>
      <c r="K13" s="110" t="s">
        <v>188</v>
      </c>
      <c r="L13" s="111" t="s">
        <v>201</v>
      </c>
    </row>
    <row r="14" spans="2:12" ht="29" x14ac:dyDescent="0.35">
      <c r="B14" s="108" t="s">
        <v>202</v>
      </c>
      <c r="C14" s="109" t="s">
        <v>154</v>
      </c>
      <c r="D14" s="109" t="s">
        <v>203</v>
      </c>
      <c r="E14" s="109" t="s">
        <v>204</v>
      </c>
      <c r="F14" s="109" t="s">
        <v>19</v>
      </c>
      <c r="G14" s="120" t="s">
        <v>139</v>
      </c>
      <c r="H14" s="123"/>
      <c r="I14" s="128">
        <v>46181</v>
      </c>
      <c r="J14" s="128">
        <v>46181</v>
      </c>
      <c r="K14" s="110" t="s">
        <v>181</v>
      </c>
      <c r="L14" s="111" t="s">
        <v>205</v>
      </c>
    </row>
    <row r="15" spans="2:12" ht="29" x14ac:dyDescent="0.35">
      <c r="B15" s="108" t="s">
        <v>203</v>
      </c>
      <c r="C15" s="109" t="s">
        <v>156</v>
      </c>
      <c r="D15" s="109" t="s">
        <v>206</v>
      </c>
      <c r="E15" s="109" t="s">
        <v>204</v>
      </c>
      <c r="F15" s="109" t="s">
        <v>32</v>
      </c>
      <c r="G15" s="120" t="s">
        <v>146</v>
      </c>
      <c r="H15" s="123">
        <v>300</v>
      </c>
      <c r="I15" s="128">
        <v>46188</v>
      </c>
      <c r="J15" s="128">
        <v>46188</v>
      </c>
      <c r="K15" s="110" t="s">
        <v>188</v>
      </c>
      <c r="L15" s="111" t="s">
        <v>207</v>
      </c>
    </row>
    <row r="16" spans="2:12" ht="29" x14ac:dyDescent="0.35">
      <c r="B16" s="108" t="s">
        <v>206</v>
      </c>
      <c r="C16" s="109" t="s">
        <v>157</v>
      </c>
      <c r="D16" s="109" t="s">
        <v>186</v>
      </c>
      <c r="E16" s="109" t="s">
        <v>204</v>
      </c>
      <c r="F16" s="109" t="s">
        <v>32</v>
      </c>
      <c r="G16" s="120" t="s">
        <v>146</v>
      </c>
      <c r="H16" s="123">
        <v>500</v>
      </c>
      <c r="I16" s="128">
        <v>46223</v>
      </c>
      <c r="J16" s="128">
        <v>46244</v>
      </c>
      <c r="K16" s="110" t="s">
        <v>188</v>
      </c>
      <c r="L16" s="111" t="s">
        <v>208</v>
      </c>
    </row>
    <row r="17" spans="2:12" ht="29" x14ac:dyDescent="0.35">
      <c r="B17" s="108" t="s">
        <v>209</v>
      </c>
      <c r="C17" s="109" t="s">
        <v>160</v>
      </c>
      <c r="D17" s="109" t="s">
        <v>196</v>
      </c>
      <c r="E17" s="109" t="s">
        <v>204</v>
      </c>
      <c r="F17" s="109" t="s">
        <v>32</v>
      </c>
      <c r="G17" s="120" t="s">
        <v>146</v>
      </c>
      <c r="H17" s="123"/>
      <c r="I17" s="128">
        <v>46258</v>
      </c>
      <c r="J17" s="128">
        <v>46258</v>
      </c>
      <c r="K17" s="110" t="s">
        <v>188</v>
      </c>
      <c r="L17" s="111" t="s">
        <v>210</v>
      </c>
    </row>
    <row r="18" spans="2:12" ht="29" x14ac:dyDescent="0.35">
      <c r="B18" s="108" t="s">
        <v>211</v>
      </c>
      <c r="C18" s="109" t="s">
        <v>162</v>
      </c>
      <c r="D18" s="109" t="s">
        <v>212</v>
      </c>
      <c r="E18" s="109" t="s">
        <v>204</v>
      </c>
      <c r="F18" s="109" t="s">
        <v>19</v>
      </c>
      <c r="G18" s="120" t="s">
        <v>139</v>
      </c>
      <c r="H18" s="123"/>
      <c r="I18" s="128">
        <v>46195</v>
      </c>
      <c r="J18" s="128">
        <v>46195</v>
      </c>
      <c r="K18" s="110" t="s">
        <v>181</v>
      </c>
      <c r="L18" s="111" t="s">
        <v>213</v>
      </c>
    </row>
    <row r="19" spans="2:12" ht="29" x14ac:dyDescent="0.35">
      <c r="B19" s="108" t="s">
        <v>212</v>
      </c>
      <c r="C19" s="109" t="s">
        <v>163</v>
      </c>
      <c r="D19" s="109" t="s">
        <v>214</v>
      </c>
      <c r="E19" s="109" t="s">
        <v>204</v>
      </c>
      <c r="F19" s="109" t="s">
        <v>32</v>
      </c>
      <c r="G19" s="120" t="s">
        <v>139</v>
      </c>
      <c r="H19" s="123"/>
      <c r="I19" s="128">
        <v>46216</v>
      </c>
      <c r="J19" s="128">
        <v>46230</v>
      </c>
      <c r="K19" s="110" t="s">
        <v>188</v>
      </c>
      <c r="L19" s="111" t="s">
        <v>215</v>
      </c>
    </row>
    <row r="20" spans="2:12" ht="29" x14ac:dyDescent="0.35">
      <c r="B20" s="108" t="s">
        <v>214</v>
      </c>
      <c r="C20" s="109" t="s">
        <v>164</v>
      </c>
      <c r="D20" s="109" t="s">
        <v>197</v>
      </c>
      <c r="E20" s="109" t="s">
        <v>197</v>
      </c>
      <c r="F20" s="119" t="s">
        <v>22</v>
      </c>
      <c r="G20" s="120" t="s">
        <v>139</v>
      </c>
      <c r="H20" s="123">
        <v>8000</v>
      </c>
      <c r="I20" s="128">
        <v>46223</v>
      </c>
      <c r="J20" s="128">
        <v>46223</v>
      </c>
      <c r="K20" s="110" t="s">
        <v>188</v>
      </c>
      <c r="L20" s="111" t="s">
        <v>216</v>
      </c>
    </row>
    <row r="21" spans="2:12" ht="29" x14ac:dyDescent="0.35">
      <c r="B21" s="108" t="s">
        <v>200</v>
      </c>
      <c r="C21" s="109" t="s">
        <v>153</v>
      </c>
      <c r="D21" s="109" t="s">
        <v>194</v>
      </c>
      <c r="E21" s="109" t="s">
        <v>204</v>
      </c>
      <c r="F21" s="109" t="s">
        <v>32</v>
      </c>
      <c r="G21" s="120" t="s">
        <v>139</v>
      </c>
      <c r="H21" s="123"/>
      <c r="I21" s="128">
        <v>46216</v>
      </c>
      <c r="J21" s="128">
        <v>46251</v>
      </c>
      <c r="K21" s="110" t="s">
        <v>188</v>
      </c>
      <c r="L21" s="111" t="s">
        <v>217</v>
      </c>
    </row>
    <row r="22" spans="2:12" ht="29" x14ac:dyDescent="0.35">
      <c r="B22" s="108" t="s">
        <v>187</v>
      </c>
      <c r="C22" s="109" t="s">
        <v>147</v>
      </c>
      <c r="D22" s="109" t="s">
        <v>209</v>
      </c>
      <c r="E22" s="109" t="s">
        <v>204</v>
      </c>
      <c r="F22" s="109" t="s">
        <v>32</v>
      </c>
      <c r="G22" s="120" t="s">
        <v>146</v>
      </c>
      <c r="H22" s="123"/>
      <c r="I22" s="128">
        <v>46321</v>
      </c>
      <c r="J22" s="128">
        <v>46321</v>
      </c>
      <c r="K22" s="110" t="s">
        <v>188</v>
      </c>
      <c r="L22" s="111" t="s">
        <v>218</v>
      </c>
    </row>
    <row r="23" spans="2:12" ht="29" x14ac:dyDescent="0.35">
      <c r="B23" s="112" t="s">
        <v>194</v>
      </c>
      <c r="C23" s="113" t="s">
        <v>150</v>
      </c>
      <c r="D23" s="113" t="s">
        <v>197</v>
      </c>
      <c r="E23" s="113" t="s">
        <v>197</v>
      </c>
      <c r="F23" s="113" t="s">
        <v>22</v>
      </c>
      <c r="G23" s="121" t="s">
        <v>146</v>
      </c>
      <c r="H23" s="124">
        <v>750</v>
      </c>
      <c r="I23" s="129">
        <v>46328</v>
      </c>
      <c r="J23" s="129">
        <v>46328</v>
      </c>
      <c r="K23" s="114" t="s">
        <v>188</v>
      </c>
      <c r="L23" s="115" t="s">
        <v>219</v>
      </c>
    </row>
  </sheetData>
  <mergeCells count="2">
    <mergeCell ref="B3:L3"/>
    <mergeCell ref="B2:L2"/>
  </mergeCells>
  <dataValidations xWindow="96" yWindow="440" count="6">
    <dataValidation allowBlank="1" showInputMessage="1" promptTitle="Koblingsetikett" prompt="Etiketter for flere neste trinn skal representeres som kommadelte verdier, for eksempel «ja, nei». " sqref="E5" xr:uid="{00000000-0002-0000-0200-000000000000}"/>
    <dataValidation allowBlank="1" showInputMessage="1" showErrorMessage="1" promptTitle="ID for neste trinn" prompt="Flere neste trinn skal representeres som kommadelte verdier, for eksempel «2, 3». " sqref="D5" xr:uid="{00000000-0002-0000-0200-000001000000}"/>
    <dataValidation allowBlank="1" showInputMessage="1" promptTitle="Beskrivelse av prosesstrinnet" prompt="Verdiene i denne kolonnen vil vises som figurtekst i Visio-diagrammet. " sqref="C5" xr:uid="{00000000-0002-0000-0200-000002000000}"/>
    <dataValidation allowBlank="1" showInputMessage="1" promptTitle="ID for prosesstrinnet" prompt="Verdiene i denne kolonnen skal identifisere radene i dataene unikt." sqref="B5" xr:uid="{00000000-0002-0000-0200-000003000000}"/>
    <dataValidation allowBlank="1" showInputMessage="1" showErrorMessage="1" promptTitle="Formtype" prompt="Verdiene i denne kolonnen bestemmer typen figur for hvert prosesstrinn." sqref="F5" xr:uid="{00000000-0002-0000-0200-000004000000}"/>
    <dataValidation allowBlank="1" showInputMessage="1" showErrorMessage="1" promptTitle="Alternativ beskrivelse" prompt="Alternativ beskrivelse gjør det enklere for personer med synshemninger å forstå prosesstrinnene." sqref="L5" xr:uid="{00000000-0002-0000-0200-000005000000}"/>
  </dataValidations>
  <pageMargins left="0.7" right="0.7" top="0.75" bottom="0.75" header="0.3" footer="0.3"/>
  <pageSetup paperSize="9" scale="84" orientation="portrait" r:id="rId1"/>
  <colBreaks count="2" manualBreakCount="2">
    <brk id="4" max="1048575" man="1"/>
    <brk id="9" max="6" man="1"/>
  </colBreaks>
  <drawing r:id="rId2"/>
  <tableParts count="1">
    <tablePart r:id="rId3"/>
  </tableParts>
  <extLst>
    <ext xmlns:x14="http://schemas.microsoft.com/office/spreadsheetml/2009/9/main" uri="{CCE6A557-97BC-4b89-ADB6-D9C93CAAB3DF}">
      <x14:dataValidations xmlns:xm="http://schemas.microsoft.com/office/excel/2006/main" xWindow="96" yWindow="440" count="1">
        <x14:dataValidation type="list" allowBlank="1" showInputMessage="1" xr:uid="{00000000-0002-0000-0200-000006000000}">
          <x14:formula1>
            <xm:f>'Tilordning av figurnotasjon'!$A$2:$A$16</xm:f>
          </x14:formula1>
          <xm:sqref>F6:F1048576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0AC80-25A2-4F38-901B-6F9EC7461472}">
  <dimension ref="A1:K31"/>
  <sheetViews>
    <sheetView zoomScale="70" zoomScaleNormal="70" workbookViewId="0">
      <selection activeCell="D48" sqref="D48"/>
    </sheetView>
  </sheetViews>
  <sheetFormatPr defaultRowHeight="14.5" x14ac:dyDescent="0.35"/>
  <cols>
    <col min="1" max="1" width="28.1796875" customWidth="1"/>
    <col min="2" max="2" width="13.6328125" customWidth="1"/>
    <col min="3" max="3" width="2.7265625" customWidth="1"/>
    <col min="4" max="4" width="16.36328125" customWidth="1"/>
    <col min="5" max="5" width="13.6328125" customWidth="1"/>
    <col min="6" max="6" width="2.7265625" customWidth="1"/>
    <col min="7" max="11" width="14.54296875" customWidth="1"/>
  </cols>
  <sheetData>
    <row r="1" spans="1:11" ht="23.5" x14ac:dyDescent="0.55000000000000004">
      <c r="A1" s="132" t="s">
        <v>222</v>
      </c>
      <c r="B1" s="132"/>
      <c r="C1" s="132"/>
      <c r="D1" s="132"/>
      <c r="E1" s="132"/>
      <c r="F1" s="132"/>
      <c r="G1" s="132"/>
      <c r="H1" s="132"/>
      <c r="I1" s="132"/>
      <c r="J1" s="132"/>
      <c r="K1" s="132"/>
    </row>
    <row r="2" spans="1:11" x14ac:dyDescent="0.35">
      <c r="A2" s="99" t="s">
        <v>224</v>
      </c>
      <c r="B2" s="99"/>
      <c r="C2" s="99"/>
      <c r="D2" s="99"/>
      <c r="E2" s="99"/>
      <c r="F2" s="99"/>
      <c r="G2" s="99"/>
      <c r="H2" s="99"/>
      <c r="I2" s="99"/>
      <c r="J2" s="99"/>
      <c r="K2" s="99"/>
    </row>
    <row r="4" spans="1:11" x14ac:dyDescent="0.35">
      <c r="A4" s="133" t="s">
        <v>223</v>
      </c>
      <c r="B4" s="133"/>
      <c r="C4" s="133"/>
      <c r="D4" s="133"/>
      <c r="E4" s="133"/>
      <c r="F4" s="133"/>
      <c r="G4" s="133"/>
      <c r="H4" s="133"/>
      <c r="I4" s="133"/>
      <c r="J4" s="133"/>
      <c r="K4" s="133"/>
    </row>
    <row r="28" spans="1:6" x14ac:dyDescent="0.35">
      <c r="A28" s="134" t="s">
        <v>225</v>
      </c>
      <c r="B28" s="134" t="s">
        <v>226</v>
      </c>
      <c r="C28" s="134"/>
      <c r="D28" s="134" t="s">
        <v>27</v>
      </c>
      <c r="E28" s="134" t="s">
        <v>227</v>
      </c>
      <c r="F28" s="134"/>
    </row>
    <row r="29" spans="1:6" x14ac:dyDescent="0.35">
      <c r="A29" t="s">
        <v>228</v>
      </c>
      <c r="B29" s="98">
        <v>18</v>
      </c>
      <c r="D29" t="s">
        <v>181</v>
      </c>
      <c r="E29" s="98">
        <v>3</v>
      </c>
    </row>
    <row r="30" spans="1:6" x14ac:dyDescent="0.35">
      <c r="A30" t="s">
        <v>229</v>
      </c>
      <c r="B30" s="98">
        <v>15</v>
      </c>
      <c r="D30" t="s">
        <v>184</v>
      </c>
      <c r="E30" s="98">
        <v>1</v>
      </c>
    </row>
    <row r="31" spans="1:6" x14ac:dyDescent="0.35">
      <c r="A31" t="s">
        <v>230</v>
      </c>
      <c r="B31" s="98">
        <v>3</v>
      </c>
      <c r="D31" t="s">
        <v>188</v>
      </c>
      <c r="E31" s="98">
        <v>14</v>
      </c>
    </row>
  </sheetData>
  <mergeCells count="3">
    <mergeCell ref="A1:K1"/>
    <mergeCell ref="A2:K2"/>
    <mergeCell ref="A4:K4"/>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B1:B4"/>
  <sheetViews>
    <sheetView showGridLines="0" zoomScaleNormal="100" workbookViewId="0"/>
  </sheetViews>
  <sheetFormatPr defaultColWidth="9.1796875" defaultRowHeight="14.5" x14ac:dyDescent="0.35"/>
  <cols>
    <col min="1" max="1" width="20.7265625" style="1" customWidth="1"/>
    <col min="2" max="2" width="18.7265625" style="35" customWidth="1"/>
    <col min="3" max="16384" width="9.1796875" style="1"/>
  </cols>
  <sheetData>
    <row r="1" spans="2:2" s="6" customFormat="1" ht="7.5" customHeight="1" thickBot="1" x14ac:dyDescent="0.4"/>
    <row r="2" spans="2:2" s="13" customFormat="1" ht="58" customHeight="1" thickTop="1" x14ac:dyDescent="0.35">
      <c r="B2" s="13" t="s">
        <v>29</v>
      </c>
    </row>
    <row r="3" spans="2:2" s="14" customFormat="1" ht="45" customHeight="1" x14ac:dyDescent="0.35">
      <c r="B3" s="14" t="s">
        <v>30</v>
      </c>
    </row>
    <row r="4" spans="2:2" s="34" customFormat="1" ht="30" customHeight="1" x14ac:dyDescent="0.35">
      <c r="B4" s="33"/>
    </row>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AB6F6-58EE-4EE9-95CF-D2F544999EC0}">
  <dimension ref="A1"/>
  <sheetViews>
    <sheetView workbookViewId="0"/>
  </sheetViews>
  <sheetFormatPr defaultRowHeight="14.5" x14ac:dyDescent="0.3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B16"/>
  <sheetViews>
    <sheetView zoomScaleNormal="100" workbookViewId="0">
      <selection activeCell="C2" sqref="C2"/>
    </sheetView>
  </sheetViews>
  <sheetFormatPr defaultColWidth="9.1796875" defaultRowHeight="14.5" x14ac:dyDescent="0.35"/>
  <cols>
    <col min="1" max="1" width="23.54296875" bestFit="1" customWidth="1"/>
    <col min="2" max="2" width="25.7265625" customWidth="1"/>
  </cols>
  <sheetData>
    <row r="1" spans="1:2" ht="23.15" customHeight="1" x14ac:dyDescent="0.35">
      <c r="A1" s="11" t="s">
        <v>31</v>
      </c>
      <c r="B1" s="12" t="s">
        <v>45</v>
      </c>
    </row>
    <row r="2" spans="1:2" ht="61.4" customHeight="1" x14ac:dyDescent="0.35">
      <c r="A2" s="7" t="s">
        <v>32</v>
      </c>
      <c r="B2" s="8"/>
    </row>
    <row r="3" spans="1:2" ht="65.150000000000006" customHeight="1" x14ac:dyDescent="0.35">
      <c r="A3" s="7" t="s">
        <v>33</v>
      </c>
      <c r="B3" s="8"/>
    </row>
    <row r="4" spans="1:2" ht="60.65" customHeight="1" x14ac:dyDescent="0.35">
      <c r="A4" s="7" t="s">
        <v>34</v>
      </c>
      <c r="B4" s="8"/>
    </row>
    <row r="5" spans="1:2" ht="59.15" customHeight="1" x14ac:dyDescent="0.35">
      <c r="A5" s="7" t="s">
        <v>19</v>
      </c>
      <c r="B5" s="8"/>
    </row>
    <row r="6" spans="1:2" ht="59.15" customHeight="1" x14ac:dyDescent="0.35">
      <c r="A6" s="7" t="s">
        <v>22</v>
      </c>
      <c r="B6" s="8"/>
    </row>
    <row r="7" spans="1:2" ht="57.65" customHeight="1" x14ac:dyDescent="0.35">
      <c r="A7" s="7" t="s">
        <v>35</v>
      </c>
      <c r="B7" s="8"/>
    </row>
    <row r="8" spans="1:2" ht="57" customHeight="1" x14ac:dyDescent="0.35">
      <c r="A8" s="7" t="s">
        <v>36</v>
      </c>
      <c r="B8" s="8"/>
    </row>
    <row r="9" spans="1:2" ht="53.5" customHeight="1" x14ac:dyDescent="0.35">
      <c r="A9" s="7" t="s">
        <v>37</v>
      </c>
      <c r="B9" s="8"/>
    </row>
    <row r="10" spans="1:2" ht="53.5" customHeight="1" x14ac:dyDescent="0.35">
      <c r="A10" s="7" t="s">
        <v>38</v>
      </c>
      <c r="B10" s="8"/>
    </row>
    <row r="11" spans="1:2" ht="50.5" customHeight="1" x14ac:dyDescent="0.35">
      <c r="A11" s="7" t="s">
        <v>39</v>
      </c>
      <c r="B11" s="8"/>
    </row>
    <row r="12" spans="1:2" ht="50.5" customHeight="1" x14ac:dyDescent="0.35">
      <c r="A12" s="7" t="s">
        <v>40</v>
      </c>
      <c r="B12" s="8"/>
    </row>
    <row r="13" spans="1:2" ht="47.15" customHeight="1" x14ac:dyDescent="0.35">
      <c r="A13" s="7" t="s">
        <v>41</v>
      </c>
      <c r="B13" s="8"/>
    </row>
    <row r="14" spans="1:2" ht="48" customHeight="1" x14ac:dyDescent="0.35">
      <c r="A14" s="7" t="s">
        <v>42</v>
      </c>
      <c r="B14" s="8"/>
    </row>
    <row r="15" spans="1:2" ht="51.65" customHeight="1" x14ac:dyDescent="0.35">
      <c r="A15" s="7" t="s">
        <v>43</v>
      </c>
      <c r="B15" s="8"/>
    </row>
    <row r="16" spans="1:2" ht="50.5" customHeight="1" x14ac:dyDescent="0.35">
      <c r="A16" s="9" t="s">
        <v>44</v>
      </c>
      <c r="B16" s="10"/>
    </row>
  </sheetData>
  <pageMargins left="0.7" right="0.7" top="0.75" bottom="0.75" header="0.3" footer="0.3"/>
  <pageSetup paperSize="9" orientation="portrait" horizontalDpi="200" verticalDpi="200" r:id="rId1"/>
  <rowBreaks count="1" manualBreakCount="1">
    <brk id="13" max="16383"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5D4731D-2C7B-4DC0-8F69-3DFD27970496}">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CC0BDA37-6947-4158-A7C4-CC4ADF89DF33}">
  <ds:schemaRefs>
    <ds:schemaRef ds:uri="http://schemas.microsoft.com/sharepoint/v3/contenttype/forms"/>
  </ds:schemaRefs>
</ds:datastoreItem>
</file>

<file path=customXml/itemProps3.xml><?xml version="1.0" encoding="utf-8"?>
<ds:datastoreItem xmlns:ds="http://schemas.openxmlformats.org/officeDocument/2006/customXml" ds:itemID="{314E3A9C-507D-4904-934E-D0A44E77D0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TM16400363</Template>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Project Init</vt:lpstr>
      <vt:lpstr>tblTaskList</vt:lpstr>
      <vt:lpstr>EVM Data</vt:lpstr>
      <vt:lpstr>Gantt-frame</vt:lpstr>
      <vt:lpstr>EVM</vt:lpstr>
      <vt:lpstr>S-Curve</vt:lpstr>
      <vt:lpstr>Visio-datavisualiserer</vt:lpstr>
      <vt:lpstr>Forstå prosesskartet</vt:lpstr>
      <vt:lpstr>Prosesskart</vt:lpstr>
      <vt:lpstr>Flytskjema</vt:lpstr>
      <vt:lpstr>Prøveversjon av Visio</vt:lpstr>
      <vt:lpstr>Notater</vt:lpstr>
      <vt:lpstr>Tilordning av figurnotasjon</vt:lpstr>
      <vt:lpstr>'Tilordning av figurnotasjon'!Figurnotasjon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2021-12-14T04:57:22Z</dcterms:created>
  <dcterms:modified xsi:type="dcterms:W3CDTF">2026-08-06T18:54:02Z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