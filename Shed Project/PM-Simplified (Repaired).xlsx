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Shed Project\"/>
    </mc:Choice>
  </mc:AlternateContent>
  <xr:revisionPtr revIDLastSave="0" documentId="8_{20B650E0-CA9A-44F0-BD9A-5C95BB41B5E4}" xr6:coauthVersionLast="47" xr6:coauthVersionMax="47" xr10:uidLastSave="{00000000-0000-0000-0000-000000000000}"/>
  <bookViews>
    <workbookView xWindow="-120" yWindow="-16320" windowWidth="29040" windowHeight="15720" activeTab="2" xr2:uid="{0106B83F-EB37-4C4F-9556-363874988AEC}"/>
  </bookViews>
  <sheets>
    <sheet name="Project Init" sheetId="5" r:id="rId1"/>
    <sheet name="tblTaskList" sheetId="4" r:id="rId2"/>
    <sheet name="MS VISIO" sheetId="6" r:id="rId3"/>
    <sheet name="Swimlane Diagram" sheetId="7" r:id="rId4"/>
  </sheets>
  <externalReferences>
    <externalReference r:id="rId5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9" i="4" l="1"/>
  <c r="H28" i="6" s="1" a="1"/>
  <c r="K19" i="4"/>
  <c r="L18" i="4"/>
  <c r="H27" i="6" s="1" a="1"/>
  <c r="H27" i="6" s="1"/>
  <c r="K18" i="4"/>
  <c r="K17" i="4"/>
  <c r="G26" i="6" s="1" a="1"/>
  <c r="G26" i="6" s="1"/>
  <c r="L16" i="4"/>
  <c r="H25" i="6" s="1" a="1"/>
  <c r="H25" i="6" s="1"/>
  <c r="K16" i="4"/>
  <c r="L15" i="4"/>
  <c r="K15" i="4"/>
  <c r="Y14" i="4"/>
  <c r="K14" i="4"/>
  <c r="L14" i="4" s="1"/>
  <c r="H23" i="6" s="1" a="1"/>
  <c r="H23" i="6" s="1"/>
  <c r="L13" i="4"/>
  <c r="K13" i="4"/>
  <c r="G22" i="6" s="1" a="1"/>
  <c r="G22" i="6" s="1"/>
  <c r="K12" i="4"/>
  <c r="L12" i="4" s="1"/>
  <c r="H21" i="6" s="1" a="1"/>
  <c r="H21" i="6" s="1"/>
  <c r="K11" i="4"/>
  <c r="L11" i="4" s="1"/>
  <c r="K10" i="4"/>
  <c r="L10" i="4" s="1"/>
  <c r="H19" i="6" s="1" a="1"/>
  <c r="H19" i="6" s="1"/>
  <c r="K9" i="4"/>
  <c r="G18" i="6" s="1" a="1"/>
  <c r="G18" i="6" s="1"/>
  <c r="K8" i="4"/>
  <c r="L8" i="4" s="1"/>
  <c r="H17" i="6" s="1" a="1"/>
  <c r="H17" i="6" s="1"/>
  <c r="K7" i="4"/>
  <c r="L7" i="4" s="1"/>
  <c r="L6" i="4"/>
  <c r="H15" i="6" s="1" a="1"/>
  <c r="H15" i="6" s="1"/>
  <c r="K6" i="4"/>
  <c r="K5" i="4"/>
  <c r="L5" i="4" s="1"/>
  <c r="H14" i="6" s="1" a="1"/>
  <c r="H14" i="6" s="1"/>
  <c r="K3" i="4"/>
  <c r="L3" i="4" s="1"/>
  <c r="T2" i="4"/>
  <c r="S2" i="4"/>
  <c r="R2" i="4"/>
  <c r="Q2" i="4"/>
  <c r="K2" i="4"/>
  <c r="L2" i="4" s="1"/>
  <c r="X31" i="7"/>
  <c r="W30" i="7"/>
  <c r="W29" i="7"/>
  <c r="V28" i="7"/>
  <c r="U27" i="7"/>
  <c r="R26" i="7"/>
  <c r="N25" i="7"/>
  <c r="I24" i="7"/>
  <c r="D23" i="7"/>
  <c r="W21" i="7"/>
  <c r="S20" i="7"/>
  <c r="I19" i="7"/>
  <c r="H18" i="7"/>
  <c r="H17" i="7"/>
  <c r="H16" i="7"/>
  <c r="E15" i="7"/>
  <c r="C14" i="7"/>
  <c r="B13" i="7"/>
  <c r="J28" i="6" a="1"/>
  <c r="J28" i="6"/>
  <c r="I28" i="6" a="1"/>
  <c r="I28" i="6"/>
  <c r="H28" i="6"/>
  <c r="G28" i="6" a="1"/>
  <c r="G28" i="6"/>
  <c r="F28" i="6" a="1"/>
  <c r="F28" i="6"/>
  <c r="E28" i="6" a="1"/>
  <c r="E28" i="6"/>
  <c r="D28" i="6" a="1"/>
  <c r="D28" i="6"/>
  <c r="C28" i="6" a="1"/>
  <c r="C28" i="6"/>
  <c r="B28" i="6" a="1"/>
  <c r="B28" i="6"/>
  <c r="A28" i="6" a="1"/>
  <c r="A28" i="6"/>
  <c r="J27" i="6" a="1"/>
  <c r="J27" i="6"/>
  <c r="I27" i="6" a="1"/>
  <c r="I27" i="6"/>
  <c r="G27" i="6" a="1"/>
  <c r="G27" i="6" s="1"/>
  <c r="F27" i="6" a="1"/>
  <c r="F27" i="6"/>
  <c r="E27" i="6" a="1"/>
  <c r="E27" i="6"/>
  <c r="D27" i="6" a="1"/>
  <c r="D27" i="6"/>
  <c r="C27" i="6" a="1"/>
  <c r="C27" i="6"/>
  <c r="B27" i="6" a="1"/>
  <c r="B27" i="6"/>
  <c r="A27" i="6" a="1"/>
  <c r="A27" i="6"/>
  <c r="J26" i="6" a="1"/>
  <c r="J26" i="6"/>
  <c r="I26" i="6" a="1"/>
  <c r="I26" i="6"/>
  <c r="F26" i="6" a="1"/>
  <c r="F26" i="6"/>
  <c r="E26" i="6" a="1"/>
  <c r="E26" i="6"/>
  <c r="D26" i="6" a="1"/>
  <c r="D26" i="6"/>
  <c r="C26" i="6" a="1"/>
  <c r="C26" i="6"/>
  <c r="B26" i="6" a="1"/>
  <c r="B26" i="6"/>
  <c r="A26" i="6" a="1"/>
  <c r="A26" i="6"/>
  <c r="J25" i="6" a="1"/>
  <c r="J25" i="6"/>
  <c r="I25" i="6" a="1"/>
  <c r="I25" i="6"/>
  <c r="G25" i="6" a="1"/>
  <c r="G25" i="6" s="1"/>
  <c r="F25" i="6" a="1"/>
  <c r="F25" i="6"/>
  <c r="E25" i="6" a="1"/>
  <c r="E25" i="6"/>
  <c r="D25" i="6" a="1"/>
  <c r="D25" i="6"/>
  <c r="C25" i="6" a="1"/>
  <c r="C25" i="6"/>
  <c r="B25" i="6" a="1"/>
  <c r="B25" i="6"/>
  <c r="A25" i="6" a="1"/>
  <c r="A25" i="6"/>
  <c r="J24" i="6" a="1"/>
  <c r="J24" i="6"/>
  <c r="I24" i="6" a="1"/>
  <c r="I24" i="6"/>
  <c r="H24" i="6" a="1"/>
  <c r="H24" i="6" s="1"/>
  <c r="G24" i="6" a="1"/>
  <c r="G24" i="6"/>
  <c r="F24" i="6" a="1"/>
  <c r="F24" i="6"/>
  <c r="E24" i="6" a="1"/>
  <c r="E24" i="6"/>
  <c r="D24" i="6" a="1"/>
  <c r="D24" i="6"/>
  <c r="C24" i="6" a="1"/>
  <c r="C24" i="6"/>
  <c r="B24" i="6" a="1"/>
  <c r="B24" i="6"/>
  <c r="A24" i="6" a="1"/>
  <c r="A24" i="6"/>
  <c r="J23" i="6" a="1"/>
  <c r="J23" i="6"/>
  <c r="I23" i="6" a="1"/>
  <c r="I23" i="6"/>
  <c r="G23" i="6" a="1"/>
  <c r="G23" i="6" s="1"/>
  <c r="F23" i="6" a="1"/>
  <c r="F23" i="6"/>
  <c r="E23" i="6" a="1"/>
  <c r="E23" i="6"/>
  <c r="D23" i="6" a="1"/>
  <c r="D23" i="6"/>
  <c r="C23" i="6" a="1"/>
  <c r="C23" i="6"/>
  <c r="B23" i="6" a="1"/>
  <c r="B23" i="6"/>
  <c r="A23" i="6" a="1"/>
  <c r="A23" i="6"/>
  <c r="J22" i="6" a="1"/>
  <c r="J22" i="6"/>
  <c r="I22" i="6" a="1"/>
  <c r="I22" i="6"/>
  <c r="H22" i="6" a="1"/>
  <c r="H22" i="6" s="1"/>
  <c r="F22" i="6" a="1"/>
  <c r="F22" i="6"/>
  <c r="E22" i="6" a="1"/>
  <c r="E22" i="6"/>
  <c r="D22" i="6" a="1"/>
  <c r="D22" i="6"/>
  <c r="C22" i="6" a="1"/>
  <c r="C22" i="6"/>
  <c r="B22" i="6" a="1"/>
  <c r="B22" i="6"/>
  <c r="A22" i="6" a="1"/>
  <c r="A22" i="6"/>
  <c r="J21" i="6" a="1"/>
  <c r="J21" i="6"/>
  <c r="I21" i="6" a="1"/>
  <c r="I21" i="6"/>
  <c r="F21" i="6" a="1"/>
  <c r="F21" i="6"/>
  <c r="E21" i="6" a="1"/>
  <c r="E21" i="6"/>
  <c r="D21" i="6" a="1"/>
  <c r="D21" i="6"/>
  <c r="C21" i="6" a="1"/>
  <c r="C21" i="6"/>
  <c r="B21" i="6" a="1"/>
  <c r="B21" i="6"/>
  <c r="A21" i="6" a="1"/>
  <c r="A21" i="6"/>
  <c r="J20" i="6" a="1"/>
  <c r="J20" i="6"/>
  <c r="I20" i="6" a="1"/>
  <c r="I20" i="6"/>
  <c r="H20" i="6" a="1"/>
  <c r="H20" i="6" s="1"/>
  <c r="F20" i="6" a="1"/>
  <c r="F20" i="6"/>
  <c r="E20" i="6" a="1"/>
  <c r="E20" i="6"/>
  <c r="D20" i="6" a="1"/>
  <c r="D20" i="6"/>
  <c r="C20" i="6" a="1"/>
  <c r="C20" i="6"/>
  <c r="B20" i="6" a="1"/>
  <c r="B20" i="6"/>
  <c r="A20" i="6" a="1"/>
  <c r="A20" i="6"/>
  <c r="J19" i="6" a="1"/>
  <c r="J19" i="6"/>
  <c r="I19" i="6" a="1"/>
  <c r="I19" i="6"/>
  <c r="G19" i="6" a="1"/>
  <c r="G19" i="6" s="1"/>
  <c r="F19" i="6" a="1"/>
  <c r="F19" i="6"/>
  <c r="E19" i="6" a="1"/>
  <c r="E19" i="6"/>
  <c r="D19" i="6" a="1"/>
  <c r="D19" i="6"/>
  <c r="C19" i="6" a="1"/>
  <c r="C19" i="6"/>
  <c r="B19" i="6" a="1"/>
  <c r="B19" i="6"/>
  <c r="A19" i="6" a="1"/>
  <c r="A19" i="6"/>
  <c r="J18" i="6" a="1"/>
  <c r="J18" i="6"/>
  <c r="I18" i="6" a="1"/>
  <c r="I18" i="6"/>
  <c r="F18" i="6" a="1"/>
  <c r="F18" i="6"/>
  <c r="E18" i="6" a="1"/>
  <c r="E18" i="6"/>
  <c r="D18" i="6" a="1"/>
  <c r="D18" i="6"/>
  <c r="C18" i="6" a="1"/>
  <c r="C18" i="6"/>
  <c r="B18" i="6" a="1"/>
  <c r="B18" i="6"/>
  <c r="A18" i="6" a="1"/>
  <c r="A18" i="6"/>
  <c r="J17" i="6" a="1"/>
  <c r="J17" i="6"/>
  <c r="I17" i="6" a="1"/>
  <c r="I17" i="6"/>
  <c r="F17" i="6" a="1"/>
  <c r="F17" i="6"/>
  <c r="E17" i="6" a="1"/>
  <c r="E17" i="6"/>
  <c r="D17" i="6" a="1"/>
  <c r="D17" i="6"/>
  <c r="C17" i="6" a="1"/>
  <c r="C17" i="6"/>
  <c r="B17" i="6" a="1"/>
  <c r="B17" i="6"/>
  <c r="A17" i="6" a="1"/>
  <c r="A17" i="6"/>
  <c r="J16" i="6" a="1"/>
  <c r="J16" i="6"/>
  <c r="I16" i="6" a="1"/>
  <c r="I16" i="6"/>
  <c r="H16" i="6" a="1"/>
  <c r="H16" i="6" s="1"/>
  <c r="G16" i="6" a="1"/>
  <c r="G16" i="6" s="1"/>
  <c r="F16" i="6" a="1"/>
  <c r="F16" i="6"/>
  <c r="E16" i="6" a="1"/>
  <c r="E16" i="6"/>
  <c r="D16" i="6" a="1"/>
  <c r="D16" i="6"/>
  <c r="C16" i="6" a="1"/>
  <c r="C16" i="6"/>
  <c r="B16" i="6" a="1"/>
  <c r="B16" i="6"/>
  <c r="A16" i="6" a="1"/>
  <c r="A16" i="6"/>
  <c r="J15" i="6" a="1"/>
  <c r="J15" i="6"/>
  <c r="I15" i="6" a="1"/>
  <c r="I15" i="6"/>
  <c r="G15" i="6" a="1"/>
  <c r="G15" i="6" s="1"/>
  <c r="F15" i="6" a="1"/>
  <c r="F15" i="6"/>
  <c r="E15" i="6" a="1"/>
  <c r="E15" i="6"/>
  <c r="D15" i="6" a="1"/>
  <c r="D15" i="6"/>
  <c r="C15" i="6" a="1"/>
  <c r="C15" i="6"/>
  <c r="B15" i="6" a="1"/>
  <c r="B15" i="6"/>
  <c r="A15" i="6" a="1"/>
  <c r="A15" i="6"/>
  <c r="J14" i="6" a="1"/>
  <c r="J14" i="6"/>
  <c r="I14" i="6" a="1"/>
  <c r="I14" i="6"/>
  <c r="G14" i="6" a="1"/>
  <c r="G14" i="6" s="1"/>
  <c r="F14" i="6" a="1"/>
  <c r="F14" i="6"/>
  <c r="E14" i="6" a="1"/>
  <c r="E14" i="6"/>
  <c r="D14" i="6" a="1"/>
  <c r="D14" i="6"/>
  <c r="C14" i="6" a="1"/>
  <c r="C14" i="6"/>
  <c r="B14" i="6" a="1"/>
  <c r="B14" i="6"/>
  <c r="A14" i="6" a="1"/>
  <c r="A14" i="6"/>
  <c r="J13" i="6" a="1"/>
  <c r="J13" i="6"/>
  <c r="I13" i="6" a="1"/>
  <c r="I13" i="6"/>
  <c r="F13" i="6" a="1"/>
  <c r="F13" i="6"/>
  <c r="E13" i="6" a="1"/>
  <c r="E13" i="6"/>
  <c r="D13" i="6" a="1"/>
  <c r="D13" i="6"/>
  <c r="C13" i="6" a="1"/>
  <c r="C13" i="6"/>
  <c r="B13" i="6" a="1"/>
  <c r="B13" i="6"/>
  <c r="A13" i="6" a="1"/>
  <c r="A13" i="6"/>
  <c r="J12" i="6" a="1"/>
  <c r="J12" i="6"/>
  <c r="I12" i="6" a="1"/>
  <c r="I12" i="6"/>
  <c r="H12" i="6" a="1"/>
  <c r="H12" i="6" s="1"/>
  <c r="F12" i="6" a="1"/>
  <c r="F12" i="6"/>
  <c r="E12" i="6" a="1"/>
  <c r="E12" i="6"/>
  <c r="D12" i="6" a="1"/>
  <c r="D12" i="6"/>
  <c r="C12" i="6" a="1"/>
  <c r="C12" i="6"/>
  <c r="B12" i="6" a="1"/>
  <c r="B12" i="6"/>
  <c r="A12" i="6" a="1"/>
  <c r="A12" i="6"/>
  <c r="J11" i="6" a="1"/>
  <c r="J11" i="6"/>
  <c r="I11" i="6" a="1"/>
  <c r="I11" i="6"/>
  <c r="H11" i="6" a="1"/>
  <c r="H11" i="6" s="1"/>
  <c r="G11" i="6" a="1"/>
  <c r="G11" i="6"/>
  <c r="F11" i="6" a="1"/>
  <c r="F11" i="6"/>
  <c r="E11" i="6" a="1"/>
  <c r="E11" i="6"/>
  <c r="D11" i="6" a="1"/>
  <c r="D11" i="6"/>
  <c r="C11" i="6" a="1"/>
  <c r="C11" i="6"/>
  <c r="B11" i="6" a="1"/>
  <c r="B11" i="6"/>
  <c r="A11" i="6" a="1"/>
  <c r="A11" i="6"/>
  <c r="E7" i="6"/>
  <c r="D7" i="6"/>
  <c r="C7" i="6"/>
  <c r="B7" i="6"/>
  <c r="A7" i="6"/>
  <c r="G12" i="6" l="1" a="1"/>
  <c r="G12" i="6" s="1"/>
  <c r="G17" i="6" a="1"/>
  <c r="G17" i="6" s="1"/>
  <c r="K4" i="4"/>
  <c r="L9" i="4"/>
  <c r="H18" i="6" s="1" a="1"/>
  <c r="H18" i="6" s="1"/>
  <c r="G21" i="6" a="1"/>
  <c r="G21" i="6" s="1"/>
  <c r="L17" i="4"/>
  <c r="H26" i="6" s="1" a="1"/>
  <c r="H26" i="6" s="1"/>
  <c r="G20" i="6" a="1"/>
  <c r="G20" i="6" s="1"/>
  <c r="L4" i="4" l="1"/>
  <c r="H13" i="6" s="1" a="1"/>
  <c r="H13" i="6" s="1"/>
  <c r="G13" i="6" a="1"/>
  <c r="G1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<sst xmlns="http://schemas.openxmlformats.org/spreadsheetml/2006/main" count="275" uniqueCount="208">
  <si>
    <t>Demolish old shed</t>
  </si>
  <si>
    <t>Cut foliage back</t>
  </si>
  <si>
    <t>Dig trench</t>
  </si>
  <si>
    <t>Hire digger</t>
  </si>
  <si>
    <t>Fill with concrete</t>
  </si>
  <si>
    <t>Level the base</t>
  </si>
  <si>
    <t>Buy the shed</t>
  </si>
  <si>
    <t>Find suppliers</t>
  </si>
  <si>
    <t>Get quotes</t>
  </si>
  <si>
    <t>Wire down the garden</t>
  </si>
  <si>
    <t>Wait for planning permission</t>
  </si>
  <si>
    <t>Duration (Weeks)</t>
  </si>
  <si>
    <t>Task ID</t>
  </si>
  <si>
    <t>Task Name</t>
  </si>
  <si>
    <t>Duration</t>
  </si>
  <si>
    <t xml:space="preserve"> &gt; Step 1 - Define the project </t>
  </si>
  <si>
    <t>&gt; Step 2 - List the tasks | Level of granularity</t>
  </si>
  <si>
    <t xml:space="preserve">&gt; Step 3 - Establishing task order </t>
  </si>
  <si>
    <t xml:space="preserve">&gt; Step 4 - Estimating time </t>
  </si>
  <si>
    <t xml:space="preserve">&gt; Step 5 - Margin check &amp; reality check </t>
  </si>
  <si>
    <t xml:space="preserve">&gt; Step 6 - Gantt Chart </t>
  </si>
  <si>
    <t xml:space="preserve">&gt; Step 7 - Resource allocation </t>
  </si>
  <si>
    <t xml:space="preserve">&gt; Step 8 - Predicting &amp; reducing risk </t>
  </si>
  <si>
    <t xml:space="preserve">&gt; Step 9 - Monitoring progress </t>
  </si>
  <si>
    <t xml:space="preserve">&gt; Step 10 - Monitoring cost </t>
  </si>
  <si>
    <t xml:space="preserve">&gt; Step 11 - Adjusting the plan </t>
  </si>
  <si>
    <t>&gt; Step 12 - Review &amp; lessons</t>
  </si>
  <si>
    <t>Predecessor Tasks</t>
  </si>
  <si>
    <t>Check funds</t>
  </si>
  <si>
    <t>Budget</t>
  </si>
  <si>
    <t>Who</t>
  </si>
  <si>
    <t>Delivery</t>
  </si>
  <si>
    <t>Hours</t>
  </si>
  <si>
    <t>Total Cost</t>
  </si>
  <si>
    <t>Critical</t>
  </si>
  <si>
    <t>Cost</t>
  </si>
  <si>
    <t xml:space="preserve">Project Initiation Document </t>
  </si>
  <si>
    <t xml:space="preserve">PROJECT INITIATION DOCUMENT </t>
  </si>
  <si>
    <t xml:space="preserve">PROJECT NAME:  </t>
  </si>
  <si>
    <t xml:space="preserve">PROJECT NUMBER:  </t>
  </si>
  <si>
    <t xml:space="preserve">PROJECT RISK LEVEL: H/M/L </t>
  </si>
  <si>
    <t xml:space="preserve">Prepared by:   </t>
  </si>
  <si>
    <t xml:space="preserve">Date:   </t>
  </si>
  <si>
    <t xml:space="preserve">Persons consulted:   </t>
  </si>
  <si>
    <t xml:space="preserve">BUSINESS CASE </t>
  </si>
  <si>
    <t xml:space="preserve">&lt;Insert the Business Case if you have one. &gt; </t>
  </si>
  <si>
    <t xml:space="preserve">• Why this project </t>
  </si>
  <si>
    <t xml:space="preserve">• Why now? </t>
  </si>
  <si>
    <t xml:space="preserve">• Options considered </t>
  </si>
  <si>
    <t xml:space="preserve">• What if we don’t do it? </t>
  </si>
  <si>
    <t xml:space="preserve">• Benefits </t>
  </si>
  <si>
    <t xml:space="preserve">• Payback period </t>
  </si>
  <si>
    <t xml:space="preserve">PROJECT SCOPE </t>
  </si>
  <si>
    <t xml:space="preserve">2.1. In Scope / Included in the Project </t>
  </si>
  <si>
    <t xml:space="preserve">2.2. Out of Scope / Excluded from the Project </t>
  </si>
  <si>
    <t xml:space="preserve">2.3. Dependencies </t>
  </si>
  <si>
    <t xml:space="preserve">&lt;Describe how the project impacts or will be impacted by other projects or programmes &gt; </t>
  </si>
  <si>
    <t xml:space="preserve">Version &lt;version no. &gt;  </t>
  </si>
  <si>
    <t xml:space="preserve">2.4. Constraints </t>
  </si>
  <si>
    <t xml:space="preserve">&lt;Describe any constraints within which the project must be delivered, e.g. government deadlines; </t>
  </si>
  <si>
    <t xml:space="preserve">budget limits; resource limitations. &gt; </t>
  </si>
  <si>
    <t xml:space="preserve">2.5. Assumptions </t>
  </si>
  <si>
    <t xml:space="preserve">&lt; Describe any assumptions that are being worked from at this point (for example, that you will </t>
  </si>
  <si>
    <t xml:space="preserve">get planning permission). &gt; </t>
  </si>
  <si>
    <t xml:space="preserve">2.6 – What’s the key driver of your project, and why do you think that? </t>
  </si>
  <si>
    <t xml:space="preserve">&lt; Cost, Quality or Time? &gt; </t>
  </si>
  <si>
    <t xml:space="preserve">KEY ACTIONS PROPOSED TO DELIVER THE PROJECT </t>
  </si>
  <si>
    <t xml:space="preserve">You MUST Include a high-level or detailed Gantt chart  </t>
  </si>
  <si>
    <t>Communications Plan</t>
  </si>
  <si>
    <t>What</t>
  </si>
  <si>
    <t>How</t>
  </si>
  <si>
    <t>When</t>
  </si>
  <si>
    <t xml:space="preserve">3.1. Quality Plan </t>
  </si>
  <si>
    <t xml:space="preserve">&lt;Describe how it is intended to meet, and shown to meet, the customer’s quality expectations &gt; </t>
  </si>
  <si>
    <t xml:space="preserve">4. PROJECT CONTROLS AND REPORTING </t>
  </si>
  <si>
    <t xml:space="preserve">&lt; Describe how progress will be reported to the Project Board if there is one. &gt; </t>
  </si>
  <si>
    <t xml:space="preserve">5. RISK CONTROL  </t>
  </si>
  <si>
    <t xml:space="preserve">&lt;Attach a risk chart, or for small, low-risk projects, insert below in this document. &gt; </t>
  </si>
  <si>
    <t xml:space="preserve">6. FINANCIAL IMPLICATIONS </t>
  </si>
  <si>
    <t xml:space="preserve">I have considered the benefits against the project costs and assessed the project plan </t>
  </si>
  <si>
    <t>Task Acceptance Criteria</t>
  </si>
  <si>
    <t xml:space="preserve">Frequency / timing </t>
  </si>
  <si>
    <t>(monthly, stage end, etc)</t>
  </si>
  <si>
    <t xml:space="preserve">How will the Control be reported Responsibility for </t>
  </si>
  <si>
    <t>production</t>
  </si>
  <si>
    <t>Project Risk Containment Measures</t>
  </si>
  <si>
    <t>Q1 Q2 Q3 Q4 Total</t>
  </si>
  <si>
    <t>Amount Year 1</t>
  </si>
  <si>
    <t>Amount Year 2</t>
  </si>
  <si>
    <t>Amount Year 3</t>
  </si>
  <si>
    <t>Amount Year 4</t>
  </si>
  <si>
    <t>Amount Year 5</t>
  </si>
  <si>
    <t>Identify Driver</t>
  </si>
  <si>
    <t>Project</t>
  </si>
  <si>
    <t>Start Date</t>
  </si>
  <si>
    <t>New Garden Shed</t>
  </si>
  <si>
    <t>total hours</t>
  </si>
  <si>
    <t>total cost</t>
  </si>
  <si>
    <t>Connect Power</t>
  </si>
  <si>
    <t>Wait for Delivery</t>
  </si>
  <si>
    <t>Assembly</t>
  </si>
  <si>
    <t>Planning permission</t>
  </si>
  <si>
    <t>Start with Running Order Regardless of Time  =&gt; Then Estimate Time for Each Task (Independently of Running Order)</t>
  </si>
  <si>
    <t>Critical Path =&gt; The Longest Path</t>
  </si>
  <si>
    <t>Parallell Floaters</t>
  </si>
  <si>
    <t>Safety Margin -&gt; Add /Blend into Critical Path (50% of worst case =&gt;90% Reliable)</t>
  </si>
  <si>
    <t>Time Down =&gt; Money Up or Quality Down | Overlapping Tasks</t>
  </si>
  <si>
    <t>Path</t>
  </si>
  <si>
    <t>(Weeks)</t>
  </si>
  <si>
    <t>Yes</t>
  </si>
  <si>
    <t>the Finish</t>
  </si>
  <si>
    <t>IsInCriticalPath</t>
  </si>
  <si>
    <t>Resource</t>
  </si>
  <si>
    <t>FE</t>
  </si>
  <si>
    <t>NN</t>
  </si>
  <si>
    <t>01.06.2026</t>
  </si>
  <si>
    <t>Start wk</t>
  </si>
  <si>
    <t>What comes Before/After?</t>
  </si>
  <si>
    <t>Progress</t>
  </si>
  <si>
    <t>Float</t>
  </si>
  <si>
    <t>Finish wk</t>
  </si>
  <si>
    <t>How likely?</t>
  </si>
  <si>
    <t>How serious?</t>
  </si>
  <si>
    <t>RISKS:</t>
  </si>
  <si>
    <t>Actual Cost</t>
  </si>
  <si>
    <t>ActCost</t>
  </si>
  <si>
    <t>Diff</t>
  </si>
  <si>
    <t>MS Visio Task Table Template</t>
  </si>
  <si>
    <t>A Visio-ready project table linked to tblTaskList: each row can become a process/task shape, with dependency text available for connectors.</t>
  </si>
  <si>
    <t>Story in Brief: this template converts the current New Garden Shed task plan into a Visio-style shape list. Critical-path tasks are tagged separately from float tasks, progress is classified into statuses, and each task carries the key fields Visio usually needs: shape ID, shape type, task label, owner, dependency, timing, progress, and import notes.</t>
  </si>
  <si>
    <t>Variance</t>
  </si>
  <si>
    <t>Shape ID</t>
  </si>
  <si>
    <t>Visio Shape Type</t>
  </si>
  <si>
    <t>Task Label</t>
  </si>
  <si>
    <t>Owner</t>
  </si>
  <si>
    <t>Dependency / Connector From</t>
  </si>
  <si>
    <t>Start Wk</t>
  </si>
  <si>
    <t>Finish Wk</t>
  </si>
  <si>
    <t>Import Notes</t>
  </si>
  <si>
    <t>VISIO FIELD MAPPING</t>
  </si>
  <si>
    <t>Template Field</t>
  </si>
  <si>
    <t>Use in Visio</t>
  </si>
  <si>
    <t>Suggested Visio Target</t>
  </si>
  <si>
    <t>Example</t>
  </si>
  <si>
    <t>Unique identifier for each Visio shape</t>
  </si>
  <si>
    <t>Shape Data: ID</t>
  </si>
  <si>
    <t>TASK-02</t>
  </si>
  <si>
    <t>Selects stencil / visual style</t>
  </si>
  <si>
    <t>Shape master or Data Graphic</t>
  </si>
  <si>
    <t>Critical Process</t>
  </si>
  <si>
    <t>Text displayed inside the shape</t>
  </si>
  <si>
    <t>Shape text</t>
  </si>
  <si>
    <t>Connector source task</t>
  </si>
  <si>
    <t>Connector begin / predecessor</t>
  </si>
  <si>
    <t>Data graphic / status icon</t>
  </si>
  <si>
    <t>Shape Data: Progress</t>
  </si>
  <si>
    <t>VISIO APPROACH</t>
  </si>
  <si>
    <t>Import table rows as shapes.</t>
  </si>
  <si>
    <t>Use Shape ID as the unique key.</t>
  </si>
  <si>
    <t>Use Dependency / Connector From to draw connectors.</t>
  </si>
  <si>
    <t>Apply Critical Process formatting to critical-path tasks.</t>
  </si>
  <si>
    <t>Use Progress to show status icons or data bars.</t>
  </si>
  <si>
    <t>Horizontal Swimlane Diagram — MS Visio Style</t>
  </si>
  <si>
    <t>A compact visual mock-up of how the current project plan could look in Visio: lanes are resources, the horizontal axis is project week, and each coloured block is a task.</t>
  </si>
  <si>
    <t>Story in Brief: the plan runs from week 1 to week 26. FE owns planning, procurement, waiting, and finish activities, while NN owns site preparation, base work, wiring, delivery, and assembly. Critical-path tasks are shown in blue; float tasks are shown in amber; completed or in-progress items display their progress percentage inside the block.</t>
  </si>
  <si>
    <t>Lane</t>
  </si>
  <si>
    <t>Meaning</t>
  </si>
  <si>
    <t>Colour</t>
  </si>
  <si>
    <t>Use</t>
  </si>
  <si>
    <t>Frank / project owner lane</t>
  </si>
  <si>
    <t>Blue or amber task blocks</t>
  </si>
  <si>
    <t>Planning, procurement, finish</t>
  </si>
  <si>
    <t>Execution / installer lane</t>
  </si>
  <si>
    <t>Site work, base, assembly</t>
  </si>
  <si>
    <t>On critical path</t>
  </si>
  <si>
    <t>#1F4E78</t>
  </si>
  <si>
    <t>Prioritise for time control</t>
  </si>
  <si>
    <t>Parallel / non-critical</t>
  </si>
  <si>
    <t>#F4B183</t>
  </si>
  <si>
    <t>Can move if resources change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</si>
  <si>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</si>
  <si>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</si>
  <si>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</si>
  <si>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</si>
  <si>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</si>
  <si>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</si>
  <si>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</si>
  <si>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</si>
  <si>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</si>
  <si>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</si>
  <si>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</si>
  <si>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</si>
  <si>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</si>
  <si>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</si>
  <si>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</si>
  <si>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</si>
  <si>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</si>
  <si>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</si>
  <si>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</si>
  <si>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</si>
  <si>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</si>
  <si>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</si>
  <si>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</si>
  <si>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</si>
  <si>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</si>
  <si>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</si>
  <si>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VISIO INTERPRETATION NOTES</t>
  </si>
  <si>
    <t>In Visio, each coloured block would be a process/task shape. The lane bands become horizontal swimlanes. Dependencies from tblTaskList can be converted into dynamic connectors between shapes; this Excel mock-up focuses on the visual layout and timing rather than drawing connector arrows.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</si>
</sst>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.mm\.yyyy"/>
    <numFmt numFmtId="166" formatCode="#,##0;\(#,##0\)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FFFFFF"/>
      <name val="Aptos"/>
      <family val="2"/>
    </font>
    <font>
      <i/>
      <sz val="10"/>
      <color rgb="FF555555"/>
      <name val="Aptos"/>
      <family val="2"/>
    </font>
    <font>
      <sz val="11"/>
      <color theme="1"/>
      <name val="Aptos"/>
      <family val="2"/>
    </font>
    <font>
      <sz val="11"/>
      <color rgb="FF333333"/>
      <name val="Aptos"/>
      <family val="2"/>
    </font>
    <font>
      <b/>
      <sz val="11"/>
      <color rgb="FFFFFFFF"/>
      <name val="Aptos"/>
      <family val="2"/>
    </font>
    <font>
      <b/>
      <sz val="11"/>
      <color theme="1"/>
      <name val="Aptos"/>
      <family val="2"/>
    </font>
    <font>
      <b/>
      <sz val="12"/>
      <color rgb="FFFFFFFF"/>
      <name val="Aptos"/>
      <family val="2"/>
    </font>
    <font>
      <i/>
      <sz val="11"/>
      <color rgb="FF555555"/>
      <name val="Aptos"/>
      <family val="2"/>
    </font>
    <font>
      <sz val="11"/>
      <color rgb="FFFFFFFF"/>
      <name val="Aptos"/>
      <family val="2"/>
    </font>
    <font>
      <b/>
      <sz val="11"/>
      <color rgb="FF00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E2F0D9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rgb="FFE7E6E6"/>
      </left>
      <right/>
      <top/>
      <bottom/>
      <diagonal/>
    </border>
    <border>
      <left/>
      <right style="thin">
        <color rgb="FFE7E6E6"/>
      </right>
      <top/>
      <bottom style="thin">
        <color rgb="FFF2F2F2"/>
      </bottom>
      <diagonal/>
    </border>
    <border>
      <left style="thin">
        <color rgb="FFE7E6E6"/>
      </left>
      <right style="thin">
        <color rgb="FFE7E6E6"/>
      </right>
      <top/>
      <bottom style="thin">
        <color rgb="FFF2F2F2"/>
      </bottom>
      <diagonal/>
    </border>
    <border>
      <left style="thin">
        <color rgb="FFE7E6E6"/>
      </left>
      <right/>
      <top/>
      <bottom style="thin">
        <color rgb="FFF2F2F2"/>
      </bottom>
      <diagonal/>
    </border>
    <border>
      <left/>
      <right style="thin">
        <color rgb="FFE7E6E6"/>
      </right>
      <top style="thin">
        <color rgb="FFF2F2F2"/>
      </top>
      <bottom style="thin">
        <color rgb="FFF2F2F2"/>
      </bottom>
      <diagonal/>
    </border>
    <border>
      <left style="thin">
        <color rgb="FFE7E6E6"/>
      </left>
      <right style="thin">
        <color rgb="FFE7E6E6"/>
      </right>
      <top style="thin">
        <color rgb="FFF2F2F2"/>
      </top>
      <bottom style="thin">
        <color rgb="FFF2F2F2"/>
      </bottom>
      <diagonal/>
    </border>
    <border>
      <left style="thin">
        <color rgb="FFE7E6E6"/>
      </left>
      <right/>
      <top style="thin">
        <color rgb="FFF2F2F2"/>
      </top>
      <bottom style="thin">
        <color rgb="FFF2F2F2"/>
      </bottom>
      <diagonal/>
    </border>
    <border>
      <left/>
      <right style="thin">
        <color rgb="FFE7E6E6"/>
      </right>
      <top style="thin">
        <color rgb="FFF2F2F2"/>
      </top>
      <bottom/>
      <diagonal/>
    </border>
    <border>
      <left style="thin">
        <color rgb="FFE7E6E6"/>
      </left>
      <right style="thin">
        <color rgb="FFE7E6E6"/>
      </right>
      <top style="thin">
        <color rgb="FFF2F2F2"/>
      </top>
      <bottom/>
      <diagonal/>
    </border>
    <border>
      <left style="thin">
        <color rgb="FFE7E6E6"/>
      </left>
      <right/>
      <top style="thin">
        <color rgb="FFF2F2F2"/>
      </top>
      <bottom/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2F2F2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3">
    <xf numFmtId="0" fontId="0" fillId="0" borderId="0" xfId="0"/>
    <xf numFmtId="164" fontId="0" fillId="0" borderId="0" xfId="1" applyNumberFormat="1" applyFont="1"/>
    <xf numFmtId="0" fontId="0" fillId="2" borderId="1" xfId="0" applyFill="1" applyBorder="1"/>
    <xf numFmtId="0" fontId="0" fillId="2" borderId="2" xfId="0" applyFill="1" applyBorder="1"/>
    <xf numFmtId="0" fontId="3" fillId="4" borderId="0" xfId="0" applyFont="1" applyFill="1"/>
    <xf numFmtId="0" fontId="3" fillId="4" borderId="3" xfId="0" applyFont="1" applyFill="1" applyBorder="1"/>
    <xf numFmtId="0" fontId="3" fillId="4" borderId="4" xfId="0" applyFont="1" applyFill="1" applyBorder="1"/>
    <xf numFmtId="0" fontId="0" fillId="2" borderId="4" xfId="0" applyFill="1" applyBorder="1"/>
    <xf numFmtId="164" fontId="0" fillId="2" borderId="4" xfId="1" applyNumberFormat="1" applyFont="1" applyFill="1" applyBorder="1"/>
    <xf numFmtId="165" fontId="0" fillId="2" borderId="4" xfId="0" applyNumberFormat="1" applyFill="1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10" fontId="0" fillId="2" borderId="2" xfId="0" applyNumberFormat="1" applyFill="1" applyBorder="1"/>
    <xf numFmtId="164" fontId="0" fillId="2" borderId="1" xfId="1" applyNumberFormat="1" applyFont="1" applyFill="1" applyBorder="1"/>
    <xf numFmtId="1" fontId="0" fillId="2" borderId="0" xfId="0" applyNumberFormat="1" applyFill="1" applyAlignment="1">
      <alignment horizontal="center"/>
    </xf>
    <xf numFmtId="164" fontId="0" fillId="2" borderId="0" xfId="1" applyNumberFormat="1" applyFont="1" applyFill="1" applyBorder="1"/>
    <xf numFmtId="0" fontId="0" fillId="10" borderId="0" xfId="0" applyFill="1"/>
    <xf numFmtId="164" fontId="0" fillId="10" borderId="0" xfId="1" applyNumberFormat="1" applyFont="1" applyFill="1"/>
    <xf numFmtId="0" fontId="7" fillId="0" borderId="0" xfId="0" applyFont="1"/>
    <xf numFmtId="0" fontId="9" fillId="7" borderId="0" xfId="0" applyFont="1" applyFill="1" applyAlignment="1">
      <alignment horizontal="center"/>
    </xf>
    <xf numFmtId="0" fontId="7" fillId="0" borderId="0" xfId="0" applyFont="1" applyAlignment="1">
      <alignment wrapText="1"/>
    </xf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9" fillId="7" borderId="14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10" fillId="12" borderId="14" xfId="0" applyFont="1" applyFill="1" applyBorder="1"/>
    <xf numFmtId="166" fontId="10" fillId="12" borderId="15" xfId="0" applyNumberFormat="1" applyFont="1" applyFill="1" applyBorder="1"/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15" xfId="0" applyFont="1" applyBorder="1" applyAlignment="1">
      <alignment wrapText="1"/>
    </xf>
    <xf numFmtId="1" fontId="7" fillId="0" borderId="15" xfId="0" applyNumberFormat="1" applyFont="1" applyBorder="1" applyAlignment="1">
      <alignment horizontal="right"/>
    </xf>
    <xf numFmtId="9" fontId="7" fillId="0" borderId="15" xfId="0" applyNumberFormat="1" applyFont="1" applyBorder="1" applyAlignment="1">
      <alignment horizontal="right"/>
    </xf>
    <xf numFmtId="0" fontId="7" fillId="0" borderId="16" xfId="0" applyFont="1" applyBorder="1" applyAlignment="1">
      <alignment wrapText="1"/>
    </xf>
    <xf numFmtId="0" fontId="9" fillId="8" borderId="14" xfId="0" applyFont="1" applyFill="1" applyBorder="1"/>
    <xf numFmtId="9" fontId="7" fillId="0" borderId="15" xfId="0" applyNumberFormat="1" applyFont="1" applyBorder="1" applyAlignment="1">
      <alignment wrapText="1"/>
    </xf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10" fillId="0" borderId="14" xfId="0" applyFont="1" applyBorder="1"/>
    <xf numFmtId="0" fontId="9" fillId="8" borderId="15" xfId="0" applyFont="1" applyFill="1" applyBorder="1" applyAlignment="1">
      <alignment wrapText="1"/>
    </xf>
    <xf numFmtId="0" fontId="7" fillId="0" borderId="41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9" borderId="7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14" fillId="9" borderId="34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wrapText="1"/>
    </xf>
    <xf numFmtId="0" fontId="7" fillId="0" borderId="10" xfId="0" applyFont="1" applyBorder="1" applyAlignment="1">
      <alignment wrapText="1"/>
    </xf>
    <xf numFmtId="0" fontId="7" fillId="0" borderId="42" xfId="0" applyFont="1" applyBorder="1" applyAlignment="1">
      <alignment wrapText="1"/>
    </xf>
    <xf numFmtId="0" fontId="7" fillId="0" borderId="43" xfId="0" applyFont="1" applyBorder="1" applyAlignment="1">
      <alignment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wrapText="1"/>
    </xf>
    <xf numFmtId="0" fontId="6" fillId="6" borderId="15" xfId="0" applyFont="1" applyFill="1" applyBorder="1" applyAlignment="1">
      <alignment wrapText="1"/>
    </xf>
    <xf numFmtId="0" fontId="6" fillId="6" borderId="16" xfId="0" applyFont="1" applyFill="1" applyBorder="1" applyAlignment="1">
      <alignment wrapText="1"/>
    </xf>
    <xf numFmtId="0" fontId="8" fillId="11" borderId="14" xfId="0" applyFont="1" applyFill="1" applyBorder="1" applyAlignment="1">
      <alignment wrapText="1"/>
    </xf>
    <xf numFmtId="0" fontId="8" fillId="11" borderId="15" xfId="0" applyFont="1" applyFill="1" applyBorder="1" applyAlignment="1">
      <alignment wrapText="1"/>
    </xf>
    <xf numFmtId="0" fontId="8" fillId="11" borderId="16" xfId="0" applyFont="1" applyFill="1" applyBorder="1" applyAlignment="1">
      <alignment wrapText="1"/>
    </xf>
    <xf numFmtId="0" fontId="11" fillId="8" borderId="14" xfId="0" applyFont="1" applyFill="1" applyBorder="1"/>
    <xf numFmtId="0" fontId="11" fillId="8" borderId="15" xfId="0" applyFont="1" applyFill="1" applyBorder="1"/>
    <xf numFmtId="0" fontId="11" fillId="8" borderId="16" xfId="0" applyFont="1" applyFill="1" applyBorder="1"/>
    <xf numFmtId="0" fontId="9" fillId="8" borderId="15" xfId="0" applyFont="1" applyFill="1" applyBorder="1"/>
    <xf numFmtId="0" fontId="9" fillId="8" borderId="16" xfId="0" applyFont="1" applyFill="1" applyBorder="1"/>
    <xf numFmtId="0" fontId="10" fillId="13" borderId="0" xfId="0" applyFont="1" applyFill="1" applyAlignment="1">
      <alignment horizontal="center" vertical="center"/>
    </xf>
    <xf numFmtId="0" fontId="14" fillId="9" borderId="33" xfId="0" applyFont="1" applyFill="1" applyBorder="1" applyAlignment="1">
      <alignment horizontal="center" vertical="center" wrapText="1"/>
    </xf>
    <xf numFmtId="0" fontId="14" fillId="9" borderId="32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wrapText="1"/>
    </xf>
    <xf numFmtId="0" fontId="8" fillId="11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0" fontId="12" fillId="6" borderId="0" xfId="0" applyFont="1" applyFill="1" applyAlignment="1">
      <alignment wrapText="1"/>
    </xf>
    <xf numFmtId="0" fontId="10" fillId="6" borderId="0" xfId="0" applyFont="1" applyFill="1" applyAlignment="1">
      <alignment horizontal="center" vertical="center"/>
    </xf>
    <xf numFmtId="0" fontId="9" fillId="3" borderId="33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14" fillId="9" borderId="37" xfId="0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 wrapText="1"/>
    </xf>
    <xf numFmtId="0" fontId="14" fillId="9" borderId="38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2">
    <dxf>
      <font>
        <color rgb="FF9C0006"/>
      </font>
      <fill>
        <patternFill patternType="solid">
          <fgColor indexed="64"/>
          <bgColor rgb="FFFCE4D6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d\.mm\.yyyy"/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FFFCC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FFFCC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CC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70AD47"/>
        </patternFill>
      </fill>
    </dxf>
    <dxf>
      <font>
        <name val="Aptos"/>
      </font>
      <alignment wrapText="1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numFmt numFmtId="13" formatCode="0%"/>
      <alignment horizontal="right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numFmt numFmtId="1" formatCode="0"/>
      <alignment horizontal="right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numFmt numFmtId="1" formatCode="0"/>
      <alignment horizontal="right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numFmt numFmtId="1" formatCode="0"/>
      <alignment horizontal="right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alignment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alignment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alignment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b/>
        <name val="Aptos"/>
      </font>
      <border diagonalUp="0" diagonalDown="0"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1F4E78"/>
        </patternFill>
      </fill>
      <alignment horizontal="center"/>
      <border diagonalUp="0" diagonalDown="0"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</dxfs>
  <tableStyles count="0" defaultTableStyle="TableStyleMedium2" defaultPivotStyle="PivotStyleLight16"/>
  <colors>
    <mruColors>
      <color rgb="FFFFFFCC"/>
      <color rgb="FFFEE2E3"/>
      <color rgb="FFFFFF99"/>
      <color rgb="FFEEE7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1171575</xdr:colOff>
      <xdr:row>22</xdr:row>
      <xdr:rowOff>76200</xdr:rowOff>
    </xdr:from>
    <xdr:to>
      <xdr:col>12</xdr:col>
      <xdr:colOff>454025</xdr:colOff>
      <xdr:row>35</xdr:row>
      <xdr:rowOff>9525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6ED509C-FE06-AB47-6519-4011C1F40C00}"/>
            </a:ext>
          </a:extLst>
        </xdr:cNvPr>
        <xdr:cNvGrpSpPr/>
      </xdr:nvGrpSpPr>
      <xdr:grpSpPr>
        <a:xfrm>
          <a:off x="1825625" y="4057650"/>
          <a:ext cx="10429875" cy="2282825"/>
          <a:chOff x="8677275" y="654050"/>
          <a:chExt cx="8877300" cy="23749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BA41B7E7-A266-AFE4-C5BA-97E35C431056}"/>
              </a:ext>
            </a:extLst>
          </xdr:cNvPr>
          <xdr:cNvSpPr/>
        </xdr:nvSpPr>
        <xdr:spPr>
          <a:xfrm>
            <a:off x="10315575" y="701675"/>
            <a:ext cx="1190625" cy="49847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Demolish Old Shed 1wk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EB10FD0-E96A-40E7-9C99-335C7779A101}"/>
              </a:ext>
            </a:extLst>
          </xdr:cNvPr>
          <xdr:cNvSpPr/>
        </xdr:nvSpPr>
        <xdr:spPr>
          <a:xfrm>
            <a:off x="8677275" y="914400"/>
            <a:ext cx="1187450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Check funds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BA062D4-D97C-4025-A227-4E8FE347010B}"/>
              </a:ext>
            </a:extLst>
          </xdr:cNvPr>
          <xdr:cNvSpPr/>
        </xdr:nvSpPr>
        <xdr:spPr>
          <a:xfrm>
            <a:off x="8788984" y="1581150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Planning Perm 6 wk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42BA3F9-D5EC-472D-B8A8-2ED30042DEFD}"/>
              </a:ext>
            </a:extLst>
          </xdr:cNvPr>
          <xdr:cNvSpPr/>
        </xdr:nvSpPr>
        <xdr:spPr>
          <a:xfrm>
            <a:off x="10189159" y="1590675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Wait</a:t>
            </a:r>
            <a:r>
              <a:rPr lang="nb-NO" sz="1100" baseline="0"/>
              <a:t> Perm</a:t>
            </a:r>
            <a:r>
              <a:rPr lang="nb-NO" sz="1100"/>
              <a:t> 10wk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86A365EC-B6B9-4F55-AF5C-6363ED8D4883}"/>
              </a:ext>
            </a:extLst>
          </xdr:cNvPr>
          <xdr:cNvSpPr/>
        </xdr:nvSpPr>
        <xdr:spPr>
          <a:xfrm>
            <a:off x="11693525" y="701675"/>
            <a:ext cx="1190625" cy="49847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Cutfoliage</a:t>
            </a:r>
            <a:r>
              <a:rPr lang="nb-NO" sz="1100" baseline="0"/>
              <a:t> back </a:t>
            </a:r>
            <a:r>
              <a:rPr lang="nb-NO" sz="1100"/>
              <a:t>4 wk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ED137E79-3704-4ABB-8426-96E67E6A98C0}"/>
              </a:ext>
            </a:extLst>
          </xdr:cNvPr>
          <xdr:cNvSpPr/>
        </xdr:nvSpPr>
        <xdr:spPr>
          <a:xfrm>
            <a:off x="11572802" y="1600200"/>
            <a:ext cx="1193800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Hire Digger</a:t>
            </a:r>
            <a:r>
              <a:rPr lang="nb-NO" sz="1100" baseline="0"/>
              <a:t> 2</a:t>
            </a:r>
            <a:r>
              <a:rPr lang="nb-NO" sz="1100"/>
              <a:t>wk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30A86F9-390A-4C4C-A080-70C880AF4466}"/>
              </a:ext>
            </a:extLst>
          </xdr:cNvPr>
          <xdr:cNvSpPr/>
        </xdr:nvSpPr>
        <xdr:spPr>
          <a:xfrm>
            <a:off x="12905463" y="1591067"/>
            <a:ext cx="1193800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Dig Trench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759D7E9-8048-4A3F-8C7B-D0E8DDA924B6}"/>
              </a:ext>
            </a:extLst>
          </xdr:cNvPr>
          <xdr:cNvSpPr/>
        </xdr:nvSpPr>
        <xdr:spPr>
          <a:xfrm>
            <a:off x="14254181" y="1553104"/>
            <a:ext cx="1190625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Fill Concret</a:t>
            </a:r>
            <a:r>
              <a:rPr lang="nb-NO" sz="1100" baseline="0"/>
              <a:t> 2 </a:t>
            </a:r>
            <a:r>
              <a:rPr lang="nb-NO" sz="1100"/>
              <a:t>wk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E523674-ABA6-421D-A514-AC24E4DE03B6}"/>
              </a:ext>
            </a:extLst>
          </xdr:cNvPr>
          <xdr:cNvSpPr/>
        </xdr:nvSpPr>
        <xdr:spPr>
          <a:xfrm>
            <a:off x="15564434" y="1537805"/>
            <a:ext cx="1187450" cy="50165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Level Base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48D178CF-E603-42AB-9B68-8CDDCC138197}"/>
              </a:ext>
            </a:extLst>
          </xdr:cNvPr>
          <xdr:cNvSpPr/>
        </xdr:nvSpPr>
        <xdr:spPr>
          <a:xfrm>
            <a:off x="13379450" y="663575"/>
            <a:ext cx="1193800" cy="5048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Wire Down Garden </a:t>
            </a:r>
            <a:r>
              <a:rPr lang="nb-NO" sz="1100" baseline="0"/>
              <a:t>1 </a:t>
            </a:r>
            <a:r>
              <a:rPr lang="nb-NO" sz="1100"/>
              <a:t>wk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8B60D60-40D3-4B5D-AAF1-1BF706328818}"/>
              </a:ext>
            </a:extLst>
          </xdr:cNvPr>
          <xdr:cNvSpPr/>
        </xdr:nvSpPr>
        <xdr:spPr>
          <a:xfrm>
            <a:off x="14916151" y="654050"/>
            <a:ext cx="914399" cy="5080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Connect Power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D9D7EEE-7197-4289-84A9-7EE84EB028C7}"/>
              </a:ext>
            </a:extLst>
          </xdr:cNvPr>
          <xdr:cNvSpPr/>
        </xdr:nvSpPr>
        <xdr:spPr>
          <a:xfrm>
            <a:off x="9093200" y="2533650"/>
            <a:ext cx="1190625" cy="49530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Reasearh</a:t>
            </a:r>
            <a:r>
              <a:rPr lang="nb-NO" sz="1100" baseline="0"/>
              <a:t> 3wk</a:t>
            </a:r>
            <a:endParaRPr lang="nb-NO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39AAF731-A402-4103-BC60-669D5C617126}"/>
              </a:ext>
            </a:extLst>
          </xdr:cNvPr>
          <xdr:cNvSpPr/>
        </xdr:nvSpPr>
        <xdr:spPr>
          <a:xfrm>
            <a:off x="10534650" y="2533650"/>
            <a:ext cx="1190625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Find Supplier 1</a:t>
            </a:r>
            <a:r>
              <a:rPr lang="nb-NO" sz="1100" baseline="0"/>
              <a:t>wk</a:t>
            </a:r>
            <a:endParaRPr lang="nb-NO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476618E-A84C-424D-B2A4-CE24CE4B5622}"/>
              </a:ext>
            </a:extLst>
          </xdr:cNvPr>
          <xdr:cNvSpPr/>
        </xdr:nvSpPr>
        <xdr:spPr>
          <a:xfrm>
            <a:off x="11922125" y="2524125"/>
            <a:ext cx="1193800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Get Quotes</a:t>
            </a:r>
            <a:r>
              <a:rPr lang="nb-NO" sz="1100" baseline="0"/>
              <a:t> 4wk</a:t>
            </a:r>
            <a:endParaRPr lang="nb-NO" sz="1100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E0528C63-9E95-4538-ACB9-FE5BF26993C4}"/>
              </a:ext>
            </a:extLst>
          </xdr:cNvPr>
          <xdr:cNvSpPr/>
        </xdr:nvSpPr>
        <xdr:spPr>
          <a:xfrm>
            <a:off x="13741400" y="2524125"/>
            <a:ext cx="1190625" cy="492125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Wait for</a:t>
            </a:r>
            <a:r>
              <a:rPr lang="nb-NO" sz="1100" baseline="0"/>
              <a:t> Delivery 6wk</a:t>
            </a:r>
            <a:endParaRPr lang="nb-NO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7956BCDC-4266-4B9B-8774-20B26BF0CF65}"/>
              </a:ext>
            </a:extLst>
          </xdr:cNvPr>
          <xdr:cNvSpPr/>
        </xdr:nvSpPr>
        <xdr:spPr>
          <a:xfrm>
            <a:off x="15803946" y="2359025"/>
            <a:ext cx="1190625" cy="498476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 baseline="0"/>
              <a:t>Assembly 1wk</a:t>
            </a:r>
            <a:endParaRPr lang="nb-NO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A4EAF5C-AA92-44B8-8565-905E217F12A6}"/>
              </a:ext>
            </a:extLst>
          </xdr:cNvPr>
          <xdr:cNvSpPr/>
        </xdr:nvSpPr>
        <xdr:spPr>
          <a:xfrm>
            <a:off x="16986361" y="685337"/>
            <a:ext cx="552450" cy="1454150"/>
          </a:xfrm>
          <a:prstGeom prst="rect">
            <a:avLst/>
          </a:prstGeom>
          <a:solidFill>
            <a:srgbClr val="FFFFCC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 baseline="0"/>
              <a:t>Finish 4 wk</a:t>
            </a:r>
            <a:endParaRPr lang="nb-NO" sz="1100"/>
          </a:p>
        </xdr:txBody>
      </xdr:sp>
      <xdr:sp macro="" textlink="">
        <xdr:nvSpPr>
          <xdr:cNvPr id="22" name="Flowchart: Decision 21">
            <a:extLst>
              <a:ext uri="{FF2B5EF4-FFF2-40B4-BE49-F238E27FC236}">
                <a16:creationId xmlns:a16="http://schemas.microsoft.com/office/drawing/2014/main" id="{D761BD79-973C-4A34-98F9-91F6CA1E8615}"/>
              </a:ext>
            </a:extLst>
          </xdr:cNvPr>
          <xdr:cNvSpPr/>
        </xdr:nvSpPr>
        <xdr:spPr>
          <a:xfrm>
            <a:off x="13293725" y="2492375"/>
            <a:ext cx="247650" cy="26035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3" name="Flowchart: Decision 22">
            <a:extLst>
              <a:ext uri="{FF2B5EF4-FFF2-40B4-BE49-F238E27FC236}">
                <a16:creationId xmlns:a16="http://schemas.microsoft.com/office/drawing/2014/main" id="{ACBD564C-9B84-467A-8062-3F7C645F49A6}"/>
              </a:ext>
            </a:extLst>
          </xdr:cNvPr>
          <xdr:cNvSpPr/>
        </xdr:nvSpPr>
        <xdr:spPr>
          <a:xfrm>
            <a:off x="9988550" y="781050"/>
            <a:ext cx="247650" cy="26670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5" name="Flowchart: Decision 24">
            <a:extLst>
              <a:ext uri="{FF2B5EF4-FFF2-40B4-BE49-F238E27FC236}">
                <a16:creationId xmlns:a16="http://schemas.microsoft.com/office/drawing/2014/main" id="{FEB96CCE-5DE2-413E-A22D-AFACF5BB19D2}"/>
              </a:ext>
            </a:extLst>
          </xdr:cNvPr>
          <xdr:cNvSpPr/>
        </xdr:nvSpPr>
        <xdr:spPr>
          <a:xfrm>
            <a:off x="14627225" y="714375"/>
            <a:ext cx="247650" cy="263525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26" name="Flowchart: Decision 25">
            <a:extLst>
              <a:ext uri="{FF2B5EF4-FFF2-40B4-BE49-F238E27FC236}">
                <a16:creationId xmlns:a16="http://schemas.microsoft.com/office/drawing/2014/main" id="{D8B3410D-3882-4491-96EB-7EC8D5D4A63D}"/>
              </a:ext>
            </a:extLst>
          </xdr:cNvPr>
          <xdr:cNvSpPr/>
        </xdr:nvSpPr>
        <xdr:spPr>
          <a:xfrm>
            <a:off x="17306925" y="2533650"/>
            <a:ext cx="247650" cy="26670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sesskart%20for%20grunnleggende%20flytskjema1.xlsx" TargetMode="External"/><Relationship Id="rId2" Type="http://schemas.openxmlformats.org/officeDocument/2006/relationships/externalLinkPath" Target="file:///C:\Users\frank\Desktop\Prosesskart%20for%20grunnleggende%20flytskjema1.xlsx" TargetMode="External"/><Relationship Id="rId1" Type="http://schemas.openxmlformats.org/officeDocument/2006/relationships/externalLinkPath" Target="/Users/frank/Desktop/Prosesskart%20for%20grunnleggende%20flytskjem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ject Init"/>
      <sheetName val="tblTaskList"/>
      <sheetName val="Gantt-frame"/>
      <sheetName val="EVM Data"/>
      <sheetName val="EVM"/>
      <sheetName val="S-Curve"/>
      <sheetName val="Visio-datavisualiserer"/>
      <sheetName val="Forstå prosesskartet"/>
      <sheetName val="Prosesskart"/>
      <sheetName val="Flytskjema"/>
      <sheetName val="Prøveversjon av Visio"/>
      <sheetName val="Notater"/>
      <sheetName val="Tilordning av figurnotasjon"/>
    </sheetNames>
    <sheetDataSet>
      <sheetData sheetId="0" refreshError="1"/>
      <sheetData sheetId="1" refreshError="1"/>
      <sheetData sheetId="2">
        <row r="8">
          <cell r="B8">
            <v>6</v>
          </cell>
          <cell r="E8" t="str">
            <v>Planning permission</v>
          </cell>
          <cell r="G8">
            <v>1</v>
          </cell>
        </row>
        <row r="9">
          <cell r="B9">
            <v>10</v>
          </cell>
          <cell r="E9" t="str">
            <v>Wait for planning permission</v>
          </cell>
          <cell r="G9">
            <v>7</v>
          </cell>
        </row>
        <row r="10">
          <cell r="B10">
            <v>1</v>
          </cell>
          <cell r="E10" t="str">
            <v>Dig trench</v>
          </cell>
          <cell r="G10">
            <v>17</v>
          </cell>
        </row>
        <row r="11">
          <cell r="B11">
            <v>2</v>
          </cell>
          <cell r="E11" t="str">
            <v>Hire digger</v>
          </cell>
          <cell r="G11">
            <v>18</v>
          </cell>
        </row>
        <row r="12">
          <cell r="B12">
            <v>1</v>
          </cell>
          <cell r="E12" t="str">
            <v>Fill with concrete</v>
          </cell>
          <cell r="G12">
            <v>20</v>
          </cell>
        </row>
        <row r="13">
          <cell r="B13">
            <v>1</v>
          </cell>
          <cell r="E13" t="str">
            <v>Level the base</v>
          </cell>
          <cell r="G13">
            <v>21</v>
          </cell>
        </row>
        <row r="14">
          <cell r="B14">
            <v>4</v>
          </cell>
          <cell r="E14" t="str">
            <v>the Finish</v>
          </cell>
          <cell r="G14">
            <v>22</v>
          </cell>
        </row>
        <row r="15">
          <cell r="B15">
            <v>0</v>
          </cell>
          <cell r="E15" t="str">
            <v>Delivery</v>
          </cell>
          <cell r="G15">
            <v>22</v>
          </cell>
        </row>
        <row r="16">
          <cell r="B16">
            <v>0</v>
          </cell>
          <cell r="E16" t="str">
            <v>Check funds</v>
          </cell>
          <cell r="G16">
            <v>2</v>
          </cell>
        </row>
        <row r="17">
          <cell r="B17">
            <v>1</v>
          </cell>
          <cell r="E17" t="str">
            <v>Demolish old shed</v>
          </cell>
          <cell r="G17">
            <v>3</v>
          </cell>
        </row>
        <row r="18">
          <cell r="B18">
            <v>4</v>
          </cell>
          <cell r="E18" t="str">
            <v>Cut foliage back</v>
          </cell>
          <cell r="G18">
            <v>8</v>
          </cell>
        </row>
        <row r="19">
          <cell r="B19">
            <v>0</v>
          </cell>
          <cell r="E19" t="str">
            <v>Connect Power</v>
          </cell>
          <cell r="G19">
            <v>13</v>
          </cell>
        </row>
        <row r="20">
          <cell r="B20">
            <v>1</v>
          </cell>
          <cell r="E20" t="str">
            <v>Find suppliers</v>
          </cell>
          <cell r="G20">
            <v>4</v>
          </cell>
        </row>
        <row r="21">
          <cell r="B21">
            <v>3</v>
          </cell>
          <cell r="E21" t="str">
            <v>Get quotes</v>
          </cell>
          <cell r="G21">
            <v>7</v>
          </cell>
        </row>
        <row r="22">
          <cell r="B22">
            <v>0</v>
          </cell>
          <cell r="E22" t="str">
            <v>Buy the shed</v>
          </cell>
          <cell r="G22">
            <v>8</v>
          </cell>
        </row>
        <row r="23">
          <cell r="B23">
            <v>6</v>
          </cell>
          <cell r="E23" t="str">
            <v>Wait for Delivery</v>
          </cell>
          <cell r="G23">
            <v>7</v>
          </cell>
        </row>
        <row r="24">
          <cell r="B24">
            <v>1</v>
          </cell>
          <cell r="E24" t="str">
            <v>Wire down the garden</v>
          </cell>
          <cell r="G24">
            <v>22</v>
          </cell>
        </row>
        <row r="25">
          <cell r="B25">
            <v>1</v>
          </cell>
          <cell r="E25" t="str">
            <v>Assembly</v>
          </cell>
          <cell r="G25">
            <v>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5DD1C-6AAA-4569-8740-F88E2BA33338}" name="tblTaskList" displayName="tblTaskList" ref="A1:L19" totalsRowShown="0" headerRowDxfId="23" dataDxfId="22" tableBorderDxfId="21">
  <autoFilter ref="A1:L19" xr:uid="{6935DD1C-6AAA-4569-8740-F88E2BA33338}"/>
  <sortState xmlns:xlrd2="http://schemas.microsoft.com/office/spreadsheetml/2017/richdata2" ref="A2:I19">
    <sortCondition ref="D2:D19"/>
  </sortState>
  <tableColumns count="12">
    <tableColumn id="1" xr3:uid="{9030512F-993E-4437-AD7F-BB5EC00EBA07}" name="Task ID" dataDxfId="20"/>
    <tableColumn id="2" xr3:uid="{F039CB8C-C70A-4E43-A256-AE09BCF4E211}" name="Task Name" dataDxfId="19"/>
    <tableColumn id="8" xr3:uid="{ACA331A6-C376-40FD-A25E-A4D4747939F3}" name="Resource" dataDxfId="18"/>
    <tableColumn id="7" xr3:uid="{C66D77D6-568F-4644-ADA7-CD41DE046440}" name="IsInCriticalPath" dataDxfId="17"/>
    <tableColumn id="3" xr3:uid="{A44C8BBE-CF0E-47F1-A9DE-73DA24EF5F78}" name="Predecessor Tasks" dataDxfId="16"/>
    <tableColumn id="4" xr3:uid="{C592E05B-8C72-4C4C-8DAB-8030F608010C}" name="Duration (Weeks)" dataDxfId="15"/>
    <tableColumn id="10" xr3:uid="{D43EDB1D-AF1F-46DC-921F-21E09B5FEA93}" name="Progress" dataDxfId="14"/>
    <tableColumn id="5" xr3:uid="{2805CBE6-E11C-4B60-88DA-C8AF24043820}" name="Hours" dataDxfId="13"/>
    <tableColumn id="6" xr3:uid="{2FFE35F8-1C7C-4422-9644-5E98BC850589}" name="Cost" dataDxfId="12" dataCellStyle="Comma"/>
    <tableColumn id="13" xr3:uid="{609A60EA-3CA8-4311-8E3B-5EE546C0D996}" name="Actual Cost" dataDxfId="11" dataCellStyle="Comma"/>
    <tableColumn id="11" xr3:uid="{2EF1BC38-FED4-4B7C-9C59-DCD41720DF96}" name="Start wk" dataDxfId="10">
      <calculatedColumnFormula>_xlfn.XLOOKUP(tblTaskList[[#This Row],[Task Name]],'[1]Gantt-frame'!$E$8:$E$25,'[1]Gantt-frame'!$G$8:$G$25,"")</calculatedColumnFormula>
    </tableColumn>
    <tableColumn id="12" xr3:uid="{3460E9E0-D3B3-42E6-8F30-12E5C67A4958}" name="Finish wk" dataDxfId="9">
      <calculatedColumnFormula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03658F-B887-4F30-B6CA-B7DA2D01969C}" name="tblBudget" displayName="tblBudget" ref="N1:T2" totalsRowShown="0">
  <autoFilter ref="N1:T2" xr:uid="{2C03658F-B887-4F30-B6CA-B7DA2D01969C}"/>
  <tableColumns count="7">
    <tableColumn id="1" xr3:uid="{D9AD062C-1E1B-4755-9A0C-F6E9EF1AB879}" name="Project" dataDxfId="8"/>
    <tableColumn id="2" xr3:uid="{6E81E285-31B4-4689-800F-F57E6DADA8CD}" name="Budget" dataDxfId="7" dataCellStyle="Comma"/>
    <tableColumn id="3" xr3:uid="{A1F3783B-50FE-4AEA-869C-FA3CB77D57E8}" name="Start Date" dataDxfId="6"/>
    <tableColumn id="5" xr3:uid="{4D76A083-8546-4309-A0D5-CF9DBB773988}" name="total hours" dataDxfId="5" dataCellStyle="Comma">
      <calculatedColumnFormula>SUM(tblTaskList[Hours])</calculatedColumnFormula>
    </tableColumn>
    <tableColumn id="6" xr3:uid="{806FEB7C-F0FA-439C-810F-803B39A19D28}" name="total cost" dataDxfId="4" dataCellStyle="Comma">
      <calculatedColumnFormula>SUM(tblTaskList[Cost])</calculatedColumnFormula>
    </tableColumn>
    <tableColumn id="7" xr3:uid="{453FBC4F-3EAD-434A-A709-9AD99434FDBC}" name="ActCost" dataDxfId="3" dataCellStyle="Comma">
      <calculatedColumnFormula>SUM(tblTaskList[Actual Cost])</calculatedColumnFormula>
    </tableColumn>
    <tableColumn id="8" xr3:uid="{945152FF-09EE-4A53-BC08-67C5AA001712}" name="Diff" dataDxfId="2" dataCellStyle="Comma">
      <calculatedColumnFormula>tblBudget[[#This Row],[total cost]]-tblBudget[[#This Row],[ActCost]]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38C71B-EA01-4720-9489-F0360E5F0EA7}" name="tblVisioTemplate" displayName="tblVisioTemplate" ref="A10:J28" totalsRowShown="0" headerRowDxfId="41" dataDxfId="40">
  <autoFilter ref="A10:J28" xr:uid="{FF38C71B-EA01-4720-9489-F0360E5F0EA7}"/>
  <tableColumns count="10">
    <tableColumn id="1" xr3:uid="{C714EB41-4858-4303-8E3E-767C820334D6}" name="Shape ID" dataDxfId="39">
      <calculatedColumnFormula array="1">IFERROR("TASK-"&amp;TEXT(INDEX(tblTaskList[Task ID],ROWS($A$11:A11)),"00"),"")</calculatedColumnFormula>
    </tableColumn>
    <tableColumn id="2" xr3:uid="{0D0321B0-A715-4E06-82A2-DE10F97D264D}" name="Visio Shape Type" dataDxfId="38">
      <calculatedColumnFormula array="1">IFERROR(IF(INDEX(tblTaskList[IsInCriticalPath],ROWS($A$11:A11))="Yes","Critical Process","Floating Process"),"")</calculatedColumnFormula>
    </tableColumn>
    <tableColumn id="3" xr3:uid="{718296B0-3553-40FE-8E45-43474C91D74B}" name="Task Label" dataDxfId="37">
      <calculatedColumnFormula array="1">IFERROR(INDEX(tblTaskList[Task Name],ROWS($A$11:A11)),"")</calculatedColumnFormula>
    </tableColumn>
    <tableColumn id="4" xr3:uid="{49159D98-28D8-47C6-A10E-B701BF103DDD}" name="Owner" dataDxfId="36">
      <calculatedColumnFormula array="1">IFERROR(INDEX(tblTaskList[Resource],ROWS($A$11:A11)),"")</calculatedColumnFormula>
    </tableColumn>
    <tableColumn id="5" xr3:uid="{BE4AD8F1-0E0E-46C8-80E3-40E8A8000787}" name="Dependency / Connector From" dataDxfId="35">
      <calculatedColumnFormula array="1">IFERROR(INDEX(tblTaskList[Predecessor Tasks],ROWS($A$11:A11)),"")</calculatedColumnFormula>
    </tableColumn>
    <tableColumn id="6" xr3:uid="{C00726EA-144A-41CD-A02B-157821A92110}" name="Duration" dataDxfId="34">
      <calculatedColumnFormula array="1">IFERROR(INDEX(tblTaskList[Duration (Weeks)],ROWS($A$11:A11)),"")</calculatedColumnFormula>
    </tableColumn>
    <tableColumn id="7" xr3:uid="{9FBB3AF4-B9DB-44C1-8675-D1BB5E2D55A1}" name="Start Wk" dataDxfId="33">
      <calculatedColumnFormula array="1">IFERROR(INDEX(tblTaskList[Start wk],ROWS($A$11:A11)),"")</calculatedColumnFormula>
    </tableColumn>
    <tableColumn id="8" xr3:uid="{1C078A1A-ACDC-481E-88C2-AA7D051E6ACA}" name="Finish Wk" dataDxfId="32">
      <calculatedColumnFormula array="1">IFERROR(INDEX(tblTaskList[Finish wk],ROWS($A$11:A11)),"")</calculatedColumnFormula>
    </tableColumn>
    <tableColumn id="9" xr3:uid="{A0E7D155-86DF-4D1D-A46C-3DDE7A4FAF9A}" name="Progress" dataDxfId="31">
      <calculatedColumnFormula array="1">IFERROR(INDEX(tblTaskList[Progress],ROWS($A$11:A11)),"")</calculatedColumnFormula>
    </tableColumn>
    <tableColumn id="10" xr3:uid="{95AE68E9-516C-4B8B-A9F6-7DF1A84A4F12}" name="Import Notes" dataDxfId="30">
      <calculatedColumnFormula array="1">IFERROR(IF(INDEX(tblTaskList[Progress],ROWS($A$11:A11))&gt;=1,"Completed",IF(INDEX(tblTaskList[Progress],ROWS($A$11:A11))&gt;0,"In progress","Not started"))&amp;" | Cost "&amp;TEXT(INDEX(tblTaskList[Cost],ROWS($A$11:A11)),"#,##0"),"")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6C85E4-FE5F-4F48-9926-DCF4C95A95F1}" name="tblVisioMapping" displayName="tblVisioMapping" ref="A32:D37" totalsRowShown="0" headerRowDxfId="29" dataDxfId="28">
  <autoFilter ref="A32:D37" xr:uid="{326C85E4-FE5F-4F48-9926-DCF4C95A95F1}"/>
  <tableColumns count="4">
    <tableColumn id="1" xr3:uid="{FCC0C980-B166-4D92-B418-1EB69F52AB2A}" name="Template Field" dataDxfId="27"/>
    <tableColumn id="2" xr3:uid="{2FB953A8-9144-4133-850D-F38E089A20D4}" name="Use in Visio" dataDxfId="26"/>
    <tableColumn id="3" xr3:uid="{0B6DB5E9-D967-4E46-A185-10FAA4EAF6DF}" name="Suggested Visio Target" dataDxfId="25"/>
    <tableColumn id="4" xr3:uid="{A2D01CEB-0F5F-4F79-8D37-02300A9E4F14}" name="Example" dataDxfId="2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93F0-C00A-4A97-BC3A-0FF09B63127C}">
  <sheetPr>
    <tabColor theme="3" tint="0.89999084444715716"/>
  </sheetPr>
  <dimension ref="A1:V31"/>
  <sheetViews>
    <sheetView showGridLines="0" workbookViewId="0">
      <selection activeCell="K28" sqref="K28"/>
    </sheetView>
  </sheetViews>
  <sheetFormatPr defaultRowHeight="14.5" x14ac:dyDescent="0.35"/>
  <cols>
    <col min="2" max="2" width="20.08984375" customWidth="1"/>
    <col min="3" max="3" width="11.08984375" customWidth="1"/>
    <col min="9" max="9" width="12.36328125" customWidth="1"/>
    <col min="10" max="10" width="4.08984375" customWidth="1"/>
  </cols>
  <sheetData>
    <row r="1" spans="1:22" x14ac:dyDescent="0.35">
      <c r="A1" s="10" t="s">
        <v>37</v>
      </c>
      <c r="B1" s="10"/>
      <c r="E1">
        <v>1</v>
      </c>
      <c r="F1" t="s">
        <v>44</v>
      </c>
      <c r="J1">
        <v>2</v>
      </c>
      <c r="K1" t="s">
        <v>52</v>
      </c>
      <c r="M1" t="s">
        <v>65</v>
      </c>
      <c r="P1" t="s">
        <v>92</v>
      </c>
      <c r="V1" t="s">
        <v>15</v>
      </c>
    </row>
    <row r="2" spans="1:22" x14ac:dyDescent="0.35">
      <c r="F2" t="s">
        <v>45</v>
      </c>
      <c r="K2" t="s">
        <v>53</v>
      </c>
      <c r="V2" t="s">
        <v>16</v>
      </c>
    </row>
    <row r="3" spans="1:22" x14ac:dyDescent="0.35">
      <c r="A3" t="s">
        <v>38</v>
      </c>
      <c r="F3" t="s">
        <v>46</v>
      </c>
      <c r="K3" t="s">
        <v>54</v>
      </c>
      <c r="V3" t="s">
        <v>17</v>
      </c>
    </row>
    <row r="4" spans="1:22" x14ac:dyDescent="0.35">
      <c r="A4" t="s">
        <v>39</v>
      </c>
      <c r="F4" t="s">
        <v>47</v>
      </c>
      <c r="K4" t="s">
        <v>55</v>
      </c>
      <c r="V4" t="s">
        <v>18</v>
      </c>
    </row>
    <row r="5" spans="1:22" x14ac:dyDescent="0.35">
      <c r="A5" t="s">
        <v>40</v>
      </c>
      <c r="F5" t="s">
        <v>48</v>
      </c>
      <c r="K5" t="s">
        <v>56</v>
      </c>
      <c r="V5" t="s">
        <v>19</v>
      </c>
    </row>
    <row r="6" spans="1:22" x14ac:dyDescent="0.35">
      <c r="A6" t="s">
        <v>41</v>
      </c>
      <c r="F6" t="s">
        <v>49</v>
      </c>
      <c r="V6" t="s">
        <v>20</v>
      </c>
    </row>
    <row r="7" spans="1:22" x14ac:dyDescent="0.35">
      <c r="A7" t="s">
        <v>42</v>
      </c>
      <c r="F7" t="s">
        <v>50</v>
      </c>
      <c r="K7" t="s">
        <v>58</v>
      </c>
      <c r="V7" t="s">
        <v>21</v>
      </c>
    </row>
    <row r="8" spans="1:22" x14ac:dyDescent="0.35">
      <c r="A8" t="s">
        <v>43</v>
      </c>
      <c r="F8" t="s">
        <v>51</v>
      </c>
      <c r="K8" t="s">
        <v>59</v>
      </c>
      <c r="V8" t="s">
        <v>22</v>
      </c>
    </row>
    <row r="9" spans="1:22" x14ac:dyDescent="0.35">
      <c r="K9" t="s">
        <v>60</v>
      </c>
      <c r="V9" t="s">
        <v>23</v>
      </c>
    </row>
    <row r="10" spans="1:22" x14ac:dyDescent="0.35">
      <c r="A10" t="s">
        <v>66</v>
      </c>
      <c r="K10" t="s">
        <v>61</v>
      </c>
      <c r="V10" t="s">
        <v>24</v>
      </c>
    </row>
    <row r="11" spans="1:22" x14ac:dyDescent="0.35">
      <c r="A11" t="s">
        <v>67</v>
      </c>
      <c r="K11" t="s">
        <v>62</v>
      </c>
      <c r="V11" t="s">
        <v>25</v>
      </c>
    </row>
    <row r="12" spans="1:22" x14ac:dyDescent="0.35">
      <c r="A12" t="s">
        <v>68</v>
      </c>
      <c r="K12" t="s">
        <v>63</v>
      </c>
      <c r="V12" t="s">
        <v>26</v>
      </c>
    </row>
    <row r="13" spans="1:22" x14ac:dyDescent="0.35">
      <c r="A13" t="s">
        <v>69</v>
      </c>
      <c r="K13" t="s">
        <v>64</v>
      </c>
    </row>
    <row r="14" spans="1:22" x14ac:dyDescent="0.35">
      <c r="A14" t="s">
        <v>70</v>
      </c>
    </row>
    <row r="15" spans="1:22" x14ac:dyDescent="0.35">
      <c r="A15" t="s">
        <v>30</v>
      </c>
      <c r="K15" t="s">
        <v>36</v>
      </c>
    </row>
    <row r="16" spans="1:22" x14ac:dyDescent="0.35">
      <c r="A16" t="s">
        <v>57</v>
      </c>
      <c r="K16" t="s">
        <v>72</v>
      </c>
    </row>
    <row r="17" spans="1:11" x14ac:dyDescent="0.35">
      <c r="A17" t="s">
        <v>71</v>
      </c>
      <c r="K17" t="s">
        <v>73</v>
      </c>
    </row>
    <row r="18" spans="1:11" x14ac:dyDescent="0.35">
      <c r="A18" t="s">
        <v>35</v>
      </c>
      <c r="K18" t="s">
        <v>74</v>
      </c>
    </row>
    <row r="19" spans="1:11" x14ac:dyDescent="0.35">
      <c r="K19" t="s">
        <v>75</v>
      </c>
    </row>
    <row r="20" spans="1:11" x14ac:dyDescent="0.35">
      <c r="A20" t="s">
        <v>80</v>
      </c>
      <c r="K20" t="s">
        <v>76</v>
      </c>
    </row>
    <row r="21" spans="1:11" x14ac:dyDescent="0.35">
      <c r="A21" t="s">
        <v>81</v>
      </c>
      <c r="K21" t="s">
        <v>77</v>
      </c>
    </row>
    <row r="22" spans="1:11" x14ac:dyDescent="0.35">
      <c r="A22" t="s">
        <v>82</v>
      </c>
      <c r="K22" t="s">
        <v>78</v>
      </c>
    </row>
    <row r="23" spans="1:11" x14ac:dyDescent="0.35">
      <c r="A23" t="s">
        <v>83</v>
      </c>
      <c r="K23" t="s">
        <v>79</v>
      </c>
    </row>
    <row r="24" spans="1:11" x14ac:dyDescent="0.35">
      <c r="A24" t="s">
        <v>84</v>
      </c>
    </row>
    <row r="25" spans="1:11" x14ac:dyDescent="0.35">
      <c r="A25" t="s">
        <v>85</v>
      </c>
      <c r="K25" t="s">
        <v>123</v>
      </c>
    </row>
    <row r="26" spans="1:11" x14ac:dyDescent="0.35">
      <c r="A26" t="s">
        <v>86</v>
      </c>
      <c r="K26" t="s">
        <v>121</v>
      </c>
    </row>
    <row r="27" spans="1:11" x14ac:dyDescent="0.35">
      <c r="A27" t="s">
        <v>87</v>
      </c>
      <c r="K27" t="s">
        <v>122</v>
      </c>
    </row>
    <row r="28" spans="1:11" x14ac:dyDescent="0.35">
      <c r="A28" t="s">
        <v>88</v>
      </c>
    </row>
    <row r="29" spans="1:11" x14ac:dyDescent="0.35">
      <c r="A29" t="s">
        <v>89</v>
      </c>
    </row>
    <row r="30" spans="1:11" x14ac:dyDescent="0.35">
      <c r="A30" t="s">
        <v>90</v>
      </c>
    </row>
    <row r="31" spans="1:11" x14ac:dyDescent="0.35">
      <c r="A3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E911-E3BA-4525-AA70-EB8175AEBB77}">
  <sheetPr>
    <tabColor rgb="FFFFFF99"/>
  </sheetPr>
  <dimension ref="A1:Y32"/>
  <sheetViews>
    <sheetView topLeftCell="B1" workbookViewId="0">
      <selection activeCell="Q6" sqref="Q6"/>
    </sheetView>
  </sheetViews>
  <sheetFormatPr defaultRowHeight="14.5" x14ac:dyDescent="0.35"/>
  <cols>
    <col min="1" max="1" width="9.36328125" bestFit="1" customWidth="1"/>
    <col min="2" max="2" width="25.90625" bestFit="1" customWidth="1"/>
    <col min="3" max="3" width="11.453125" bestFit="1" customWidth="1"/>
    <col min="4" max="4" width="16.6328125" bestFit="1" customWidth="1"/>
    <col min="5" max="5" width="25.90625" bestFit="1" customWidth="1"/>
    <col min="6" max="6" width="18.54296875" bestFit="1" customWidth="1"/>
    <col min="7" max="7" width="10.7265625" bestFit="1" customWidth="1"/>
    <col min="8" max="8" width="8.453125" bestFit="1" customWidth="1"/>
    <col min="9" max="9" width="7.36328125" bestFit="1" customWidth="1"/>
    <col min="10" max="10" width="8.90625" customWidth="1"/>
    <col min="11" max="11" width="12.26953125" bestFit="1" customWidth="1"/>
    <col min="12" max="12" width="13.36328125" bestFit="1" customWidth="1"/>
    <col min="13" max="13" width="17.36328125" customWidth="1"/>
    <col min="14" max="14" width="8.90625" customWidth="1"/>
    <col min="15" max="15" width="11.453125" customWidth="1"/>
    <col min="16" max="16" width="10.6328125" customWidth="1"/>
    <col min="17" max="17" width="12.1796875" customWidth="1"/>
    <col min="18" max="18" width="10.90625" customWidth="1"/>
    <col min="20" max="20" width="8.7265625" customWidth="1"/>
  </cols>
  <sheetData>
    <row r="1" spans="1:25" x14ac:dyDescent="0.35">
      <c r="A1" s="4" t="s">
        <v>12</v>
      </c>
      <c r="B1" s="4" t="s">
        <v>13</v>
      </c>
      <c r="C1" s="4" t="s">
        <v>112</v>
      </c>
      <c r="D1" s="4" t="s">
        <v>111</v>
      </c>
      <c r="E1" s="4" t="s">
        <v>27</v>
      </c>
      <c r="F1" s="5" t="s">
        <v>11</v>
      </c>
      <c r="G1" s="5" t="s">
        <v>118</v>
      </c>
      <c r="H1" s="5" t="s">
        <v>32</v>
      </c>
      <c r="I1" s="4" t="s">
        <v>35</v>
      </c>
      <c r="J1" s="4" t="s">
        <v>124</v>
      </c>
      <c r="K1" s="5" t="s">
        <v>116</v>
      </c>
      <c r="L1" s="5" t="s">
        <v>120</v>
      </c>
      <c r="N1" s="6" t="s">
        <v>93</v>
      </c>
      <c r="O1" s="6" t="s">
        <v>29</v>
      </c>
      <c r="P1" s="6" t="s">
        <v>94</v>
      </c>
      <c r="Q1" s="4" t="s">
        <v>96</v>
      </c>
      <c r="R1" s="4" t="s">
        <v>97</v>
      </c>
      <c r="S1" s="4" t="s">
        <v>125</v>
      </c>
      <c r="T1" s="17" t="s">
        <v>126</v>
      </c>
    </row>
    <row r="2" spans="1:25" x14ac:dyDescent="0.35">
      <c r="A2" s="2">
        <v>2</v>
      </c>
      <c r="B2" s="2" t="s">
        <v>101</v>
      </c>
      <c r="C2" s="2" t="s">
        <v>113</v>
      </c>
      <c r="D2" s="2" t="s">
        <v>109</v>
      </c>
      <c r="E2" s="2" t="s">
        <v>10</v>
      </c>
      <c r="F2" s="3">
        <v>6</v>
      </c>
      <c r="G2" s="13">
        <v>1</v>
      </c>
      <c r="H2" s="3"/>
      <c r="I2" s="14"/>
      <c r="J2" s="16"/>
      <c r="K2" s="15">
        <f>_xlfn.XLOOKUP(tblTaskList[[#This Row],[Task Name]],'[1]Gantt-frame'!$E$8:$E$25,'[1]Gantt-frame'!$G$8:$G$25,"")</f>
        <v>1</v>
      </c>
      <c r="L2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6</v>
      </c>
      <c r="N2" s="7" t="s">
        <v>95</v>
      </c>
      <c r="O2" s="8">
        <v>20000</v>
      </c>
      <c r="P2" s="9" t="s">
        <v>115</v>
      </c>
      <c r="Q2" s="1">
        <f>SUM(tblTaskList[Hours])</f>
        <v>70</v>
      </c>
      <c r="R2" s="1">
        <f>SUM(tblTaskList[Cost])</f>
        <v>18800</v>
      </c>
      <c r="S2" s="1">
        <f>SUM(tblTaskList[Actual Cost])</f>
        <v>19450</v>
      </c>
      <c r="T2" s="18">
        <f>tblBudget[[#This Row],[total cost]]-tblBudget[[#This Row],[ActCost]]</f>
        <v>-650</v>
      </c>
    </row>
    <row r="3" spans="1:25" x14ac:dyDescent="0.35">
      <c r="A3" s="2">
        <v>3</v>
      </c>
      <c r="B3" s="2" t="s">
        <v>10</v>
      </c>
      <c r="C3" s="2" t="s">
        <v>113</v>
      </c>
      <c r="D3" s="2" t="s">
        <v>109</v>
      </c>
      <c r="E3" s="2" t="s">
        <v>3</v>
      </c>
      <c r="F3" s="3">
        <v>10</v>
      </c>
      <c r="G3" s="13">
        <v>0.2</v>
      </c>
      <c r="H3" s="3"/>
      <c r="I3" s="14">
        <v>100</v>
      </c>
      <c r="J3" s="16">
        <v>100</v>
      </c>
      <c r="K3" s="15">
        <f>_xlfn.XLOOKUP(tblTaskList[[#This Row],[Task Name]],'[1]Gantt-frame'!$E$8:$E$25,'[1]Gantt-frame'!$G$8:$G$25,"")</f>
        <v>7</v>
      </c>
      <c r="L3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16</v>
      </c>
    </row>
    <row r="4" spans="1:25" x14ac:dyDescent="0.35">
      <c r="A4" s="2">
        <v>6</v>
      </c>
      <c r="B4" s="2" t="s">
        <v>2</v>
      </c>
      <c r="C4" s="2" t="s">
        <v>114</v>
      </c>
      <c r="D4" s="2" t="s">
        <v>109</v>
      </c>
      <c r="E4" s="2" t="s">
        <v>9</v>
      </c>
      <c r="F4" s="3">
        <v>1</v>
      </c>
      <c r="G4" s="13">
        <v>0</v>
      </c>
      <c r="H4" s="3">
        <v>4</v>
      </c>
      <c r="I4" s="14">
        <v>350</v>
      </c>
      <c r="J4" s="16">
        <v>400</v>
      </c>
      <c r="K4" s="15">
        <f>_xlfn.XLOOKUP(tblTaskList[[#This Row],[Task Name]],'[1]Gantt-frame'!$E$8:$E$25,'[1]Gantt-frame'!$G$8:$G$25,"")</f>
        <v>17</v>
      </c>
      <c r="L4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17</v>
      </c>
    </row>
    <row r="5" spans="1:25" x14ac:dyDescent="0.35">
      <c r="A5" s="2">
        <v>7</v>
      </c>
      <c r="B5" s="2" t="s">
        <v>3</v>
      </c>
      <c r="C5" s="2" t="s">
        <v>113</v>
      </c>
      <c r="D5" s="2" t="s">
        <v>109</v>
      </c>
      <c r="E5" s="2" t="s">
        <v>2</v>
      </c>
      <c r="F5" s="3">
        <v>2</v>
      </c>
      <c r="G5" s="13">
        <v>0</v>
      </c>
      <c r="H5" s="3"/>
      <c r="I5" s="14"/>
      <c r="J5" s="16"/>
      <c r="K5" s="15">
        <f>_xlfn.XLOOKUP(tblTaskList[[#This Row],[Task Name]],'[1]Gantt-frame'!$E$8:$E$25,'[1]Gantt-frame'!$G$8:$G$25,"")</f>
        <v>18</v>
      </c>
      <c r="L5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19</v>
      </c>
    </row>
    <row r="6" spans="1:25" x14ac:dyDescent="0.35">
      <c r="A6" s="2">
        <v>9</v>
      </c>
      <c r="B6" s="2" t="s">
        <v>4</v>
      </c>
      <c r="C6" s="2" t="s">
        <v>114</v>
      </c>
      <c r="D6" s="2" t="s">
        <v>109</v>
      </c>
      <c r="E6" s="2" t="s">
        <v>5</v>
      </c>
      <c r="F6" s="3">
        <v>1</v>
      </c>
      <c r="G6" s="13">
        <v>0</v>
      </c>
      <c r="H6" s="3">
        <v>3</v>
      </c>
      <c r="I6" s="14">
        <v>700</v>
      </c>
      <c r="J6" s="16">
        <v>800</v>
      </c>
      <c r="K6" s="15">
        <f>_xlfn.XLOOKUP(tblTaskList[[#This Row],[Task Name]],'[1]Gantt-frame'!$E$8:$E$25,'[1]Gantt-frame'!$G$8:$G$25,"")</f>
        <v>20</v>
      </c>
      <c r="L6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20</v>
      </c>
    </row>
    <row r="7" spans="1:25" x14ac:dyDescent="0.35">
      <c r="A7" s="2">
        <v>10</v>
      </c>
      <c r="B7" s="2" t="s">
        <v>5</v>
      </c>
      <c r="C7" s="2" t="s">
        <v>114</v>
      </c>
      <c r="D7" s="2" t="s">
        <v>109</v>
      </c>
      <c r="E7" s="2" t="s">
        <v>100</v>
      </c>
      <c r="F7" s="3">
        <v>1</v>
      </c>
      <c r="G7" s="13">
        <v>0</v>
      </c>
      <c r="H7" s="3">
        <v>5</v>
      </c>
      <c r="I7" s="14">
        <v>100</v>
      </c>
      <c r="J7" s="16">
        <v>100</v>
      </c>
      <c r="K7" s="15">
        <f>_xlfn.XLOOKUP(tblTaskList[[#This Row],[Task Name]],'[1]Gantt-frame'!$E$8:$E$25,'[1]Gantt-frame'!$G$8:$G$25,"")</f>
        <v>21</v>
      </c>
      <c r="L7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21</v>
      </c>
    </row>
    <row r="8" spans="1:25" x14ac:dyDescent="0.35">
      <c r="A8" s="2">
        <v>17</v>
      </c>
      <c r="B8" s="2" t="s">
        <v>110</v>
      </c>
      <c r="C8" s="2" t="s">
        <v>113</v>
      </c>
      <c r="D8" s="2" t="s">
        <v>109</v>
      </c>
      <c r="E8" s="2"/>
      <c r="F8" s="3">
        <v>4</v>
      </c>
      <c r="G8" s="13">
        <v>0</v>
      </c>
      <c r="H8" s="3">
        <v>34</v>
      </c>
      <c r="I8" s="14">
        <v>8000</v>
      </c>
      <c r="J8" s="16">
        <v>8500</v>
      </c>
      <c r="K8" s="15">
        <f>_xlfn.XLOOKUP(tblTaskList[[#This Row],[Task Name]],'[1]Gantt-frame'!$E$8:$E$25,'[1]Gantt-frame'!$G$8:$G$25,"")</f>
        <v>22</v>
      </c>
      <c r="L8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25</v>
      </c>
    </row>
    <row r="9" spans="1:25" x14ac:dyDescent="0.35">
      <c r="A9" s="2">
        <v>19</v>
      </c>
      <c r="B9" s="2" t="s">
        <v>31</v>
      </c>
      <c r="C9" s="2" t="s">
        <v>114</v>
      </c>
      <c r="D9" s="2" t="s">
        <v>109</v>
      </c>
      <c r="E9" s="2" t="s">
        <v>99</v>
      </c>
      <c r="F9" s="3">
        <v>0</v>
      </c>
      <c r="G9" s="13">
        <v>0</v>
      </c>
      <c r="H9" s="3"/>
      <c r="I9" s="14"/>
      <c r="J9" s="16"/>
      <c r="K9" s="15">
        <f>_xlfn.XLOOKUP(tblTaskList[[#This Row],[Task Name]],'[1]Gantt-frame'!$E$8:$E$25,'[1]Gantt-frame'!$G$8:$G$25,"")</f>
        <v>22</v>
      </c>
      <c r="L9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22</v>
      </c>
    </row>
    <row r="10" spans="1:25" x14ac:dyDescent="0.35">
      <c r="A10" s="2">
        <v>1</v>
      </c>
      <c r="B10" s="2" t="s">
        <v>28</v>
      </c>
      <c r="C10" s="2" t="s">
        <v>113</v>
      </c>
      <c r="D10" s="2" t="s">
        <v>119</v>
      </c>
      <c r="E10" s="2" t="s">
        <v>0</v>
      </c>
      <c r="F10" s="3">
        <v>0</v>
      </c>
      <c r="G10" s="13">
        <v>1</v>
      </c>
      <c r="H10" s="3"/>
      <c r="I10" s="14"/>
      <c r="J10" s="16"/>
      <c r="K10" s="15">
        <f>_xlfn.XLOOKUP(tblTaskList[[#This Row],[Task Name]],'[1]Gantt-frame'!$E$8:$E$25,'[1]Gantt-frame'!$G$8:$G$25,"")</f>
        <v>2</v>
      </c>
      <c r="L10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2</v>
      </c>
    </row>
    <row r="11" spans="1:25" x14ac:dyDescent="0.35">
      <c r="A11" s="2">
        <v>4</v>
      </c>
      <c r="B11" s="2" t="s">
        <v>0</v>
      </c>
      <c r="C11" s="2" t="s">
        <v>114</v>
      </c>
      <c r="D11" s="2" t="s">
        <v>119</v>
      </c>
      <c r="E11" s="2" t="s">
        <v>1</v>
      </c>
      <c r="F11" s="3">
        <v>1</v>
      </c>
      <c r="G11" s="13">
        <v>0</v>
      </c>
      <c r="H11" s="3">
        <v>6</v>
      </c>
      <c r="I11" s="14">
        <v>300</v>
      </c>
      <c r="J11" s="14">
        <v>300</v>
      </c>
      <c r="K11" s="15">
        <f>_xlfn.XLOOKUP(tblTaskList[[#This Row],[Task Name]],'[1]Gantt-frame'!$E$8:$E$25,'[1]Gantt-frame'!$G$8:$G$25,"")</f>
        <v>3</v>
      </c>
      <c r="L11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3</v>
      </c>
      <c r="Y11" t="s">
        <v>34</v>
      </c>
    </row>
    <row r="12" spans="1:25" x14ac:dyDescent="0.35">
      <c r="A12" s="2">
        <v>5</v>
      </c>
      <c r="B12" s="2" t="s">
        <v>1</v>
      </c>
      <c r="C12" s="2" t="s">
        <v>114</v>
      </c>
      <c r="D12" s="2" t="s">
        <v>119</v>
      </c>
      <c r="E12" s="2" t="s">
        <v>2</v>
      </c>
      <c r="F12" s="3">
        <v>4</v>
      </c>
      <c r="G12" s="13">
        <v>0</v>
      </c>
      <c r="H12" s="3">
        <v>10</v>
      </c>
      <c r="I12" s="14">
        <v>500</v>
      </c>
      <c r="J12" s="14">
        <v>500</v>
      </c>
      <c r="K12" s="15">
        <f>_xlfn.XLOOKUP(tblTaskList[[#This Row],[Task Name]],'[1]Gantt-frame'!$E$8:$E$25,'[1]Gantt-frame'!$G$8:$G$25,"")</f>
        <v>8</v>
      </c>
      <c r="L12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11</v>
      </c>
      <c r="Y12" t="s">
        <v>107</v>
      </c>
    </row>
    <row r="13" spans="1:25" x14ac:dyDescent="0.35">
      <c r="A13" s="2">
        <v>8</v>
      </c>
      <c r="B13" s="2" t="s">
        <v>98</v>
      </c>
      <c r="C13" s="2" t="s">
        <v>114</v>
      </c>
      <c r="D13" s="2" t="s">
        <v>119</v>
      </c>
      <c r="E13" s="2" t="s">
        <v>110</v>
      </c>
      <c r="F13" s="3"/>
      <c r="G13" s="13">
        <v>0</v>
      </c>
      <c r="H13" s="3"/>
      <c r="I13" s="14"/>
      <c r="J13" s="14"/>
      <c r="K13" s="15">
        <f>_xlfn.XLOOKUP(tblTaskList[[#This Row],[Task Name]],'[1]Gantt-frame'!$E$8:$E$25,'[1]Gantt-frame'!$G$8:$G$25,"")</f>
        <v>13</v>
      </c>
      <c r="L13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13</v>
      </c>
      <c r="Y13" t="s">
        <v>108</v>
      </c>
    </row>
    <row r="14" spans="1:25" x14ac:dyDescent="0.35">
      <c r="A14" s="2">
        <v>11</v>
      </c>
      <c r="B14" s="2" t="s">
        <v>7</v>
      </c>
      <c r="C14" s="2" t="s">
        <v>113</v>
      </c>
      <c r="D14" s="2" t="s">
        <v>119</v>
      </c>
      <c r="E14" s="2" t="s">
        <v>8</v>
      </c>
      <c r="F14" s="3">
        <v>1</v>
      </c>
      <c r="G14" s="13">
        <v>1</v>
      </c>
      <c r="H14" s="3"/>
      <c r="I14" s="14"/>
      <c r="J14" s="14"/>
      <c r="K14" s="15">
        <f>_xlfn.XLOOKUP(tblTaskList[[#This Row],[Task Name]],'[1]Gantt-frame'!$E$8:$E$25,'[1]Gantt-frame'!$G$8:$G$25,"")</f>
        <v>4</v>
      </c>
      <c r="L14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4</v>
      </c>
      <c r="Y14" s="12">
        <f>6+10+2+1+2+1+4</f>
        <v>26</v>
      </c>
    </row>
    <row r="15" spans="1:25" x14ac:dyDescent="0.35">
      <c r="A15" s="2">
        <v>12</v>
      </c>
      <c r="B15" s="2" t="s">
        <v>8</v>
      </c>
      <c r="C15" s="2" t="s">
        <v>113</v>
      </c>
      <c r="D15" s="2" t="s">
        <v>119</v>
      </c>
      <c r="E15" s="2" t="s">
        <v>6</v>
      </c>
      <c r="F15" s="3">
        <v>3</v>
      </c>
      <c r="G15" s="13">
        <v>0</v>
      </c>
      <c r="H15" s="3"/>
      <c r="I15" s="14"/>
      <c r="J15" s="14"/>
      <c r="K15" s="15">
        <f>_xlfn.XLOOKUP(tblTaskList[[#This Row],[Task Name]],'[1]Gantt-frame'!$E$8:$E$25,'[1]Gantt-frame'!$G$8:$G$25,"")</f>
        <v>7</v>
      </c>
      <c r="L15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9</v>
      </c>
    </row>
    <row r="16" spans="1:25" x14ac:dyDescent="0.35">
      <c r="A16" s="2">
        <v>13</v>
      </c>
      <c r="B16" s="2" t="s">
        <v>6</v>
      </c>
      <c r="C16" s="2" t="s">
        <v>113</v>
      </c>
      <c r="D16" s="2" t="s">
        <v>119</v>
      </c>
      <c r="E16" s="2"/>
      <c r="F16" s="3">
        <v>0</v>
      </c>
      <c r="G16" s="13">
        <v>0</v>
      </c>
      <c r="H16" s="3"/>
      <c r="I16" s="14">
        <v>8000</v>
      </c>
      <c r="J16" s="14">
        <v>8000</v>
      </c>
      <c r="K16" s="15">
        <f>_xlfn.XLOOKUP(tblTaskList[[#This Row],[Task Name]],'[1]Gantt-frame'!$E$8:$E$25,'[1]Gantt-frame'!$G$8:$G$25,"")</f>
        <v>8</v>
      </c>
      <c r="L16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8</v>
      </c>
    </row>
    <row r="17" spans="1:15" x14ac:dyDescent="0.35">
      <c r="A17" s="2">
        <v>14</v>
      </c>
      <c r="B17" s="2" t="s">
        <v>99</v>
      </c>
      <c r="C17" s="2" t="s">
        <v>113</v>
      </c>
      <c r="D17" s="2" t="s">
        <v>119</v>
      </c>
      <c r="E17" s="2" t="s">
        <v>100</v>
      </c>
      <c r="F17" s="3">
        <v>6</v>
      </c>
      <c r="G17" s="13">
        <v>0</v>
      </c>
      <c r="H17" s="3"/>
      <c r="I17" s="14"/>
      <c r="J17" s="14"/>
      <c r="K17" s="15">
        <f>_xlfn.XLOOKUP(tblTaskList[[#This Row],[Task Name]],'[1]Gantt-frame'!$E$8:$E$25,'[1]Gantt-frame'!$G$8:$G$25,"")</f>
        <v>7</v>
      </c>
      <c r="L17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12</v>
      </c>
    </row>
    <row r="18" spans="1:15" x14ac:dyDescent="0.35">
      <c r="A18" s="2">
        <v>15</v>
      </c>
      <c r="B18" s="2" t="s">
        <v>9</v>
      </c>
      <c r="C18" s="2" t="s">
        <v>114</v>
      </c>
      <c r="D18" s="2" t="s">
        <v>119</v>
      </c>
      <c r="E18" s="2" t="s">
        <v>98</v>
      </c>
      <c r="F18" s="3">
        <v>1</v>
      </c>
      <c r="G18" s="13">
        <v>0</v>
      </c>
      <c r="H18" s="3">
        <v>8</v>
      </c>
      <c r="I18" s="14"/>
      <c r="J18" s="14"/>
      <c r="K18" s="15">
        <f>_xlfn.XLOOKUP(tblTaskList[[#This Row],[Task Name]],'[1]Gantt-frame'!$E$8:$E$25,'[1]Gantt-frame'!$G$8:$G$25,"")</f>
        <v>22</v>
      </c>
      <c r="L18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22</v>
      </c>
    </row>
    <row r="19" spans="1:15" x14ac:dyDescent="0.35">
      <c r="A19" s="2">
        <v>16</v>
      </c>
      <c r="B19" s="2" t="s">
        <v>100</v>
      </c>
      <c r="C19" s="2" t="s">
        <v>114</v>
      </c>
      <c r="D19" s="2" t="s">
        <v>119</v>
      </c>
      <c r="E19" s="2"/>
      <c r="F19" s="3">
        <v>1</v>
      </c>
      <c r="G19" s="13">
        <v>0</v>
      </c>
      <c r="H19" s="3"/>
      <c r="I19" s="14">
        <v>750</v>
      </c>
      <c r="J19" s="14">
        <v>750</v>
      </c>
      <c r="K19" s="15">
        <f>_xlfn.XLOOKUP(tblTaskList[[#This Row],[Task Name]],'[1]Gantt-frame'!$E$8:$E$25,'[1]Gantt-frame'!$G$8:$G$25,"")</f>
        <v>23</v>
      </c>
      <c r="L19" s="15">
        <f>_xlfn.LET(_xlpm.s,tblTaskList[[#This Row],[Start wk]],_xlpm.d,IF(tblTaskList[[#This Row],[Duration (Weeks)]]="",_xlfn.XLOOKUP(tblTaskList[[#This Row],[Task Name]],'[1]Gantt-frame'!$E$8:$E$25,'[1]Gantt-frame'!$B$8:$B$25,0),tblTaskList[[#This Row],[Duration (Weeks)]]),IF(_xlpm.s="","",_xlpm.s+MAX(_xlpm.d,1)-1))</f>
        <v>23</v>
      </c>
    </row>
    <row r="20" spans="1:15" x14ac:dyDescent="0.35">
      <c r="A20" s="2"/>
      <c r="B20" s="2"/>
      <c r="C20" s="2"/>
      <c r="D20" s="2"/>
      <c r="E20" s="2"/>
      <c r="F20" s="3"/>
      <c r="G20" s="3"/>
      <c r="H20" s="3"/>
      <c r="I20" s="2"/>
      <c r="J20" s="11"/>
    </row>
    <row r="21" spans="1:15" x14ac:dyDescent="0.35">
      <c r="A21" s="2"/>
      <c r="B21" s="2"/>
      <c r="C21" s="2"/>
      <c r="D21" s="2"/>
      <c r="E21" s="2"/>
      <c r="F21" s="3"/>
      <c r="G21" s="3"/>
      <c r="H21" s="3"/>
      <c r="I21" s="2"/>
      <c r="J21" s="11"/>
    </row>
    <row r="22" spans="1:15" x14ac:dyDescent="0.35">
      <c r="A22" s="2"/>
      <c r="B22" s="2"/>
      <c r="C22" s="2"/>
      <c r="D22" s="2"/>
      <c r="E22" s="2"/>
      <c r="F22" s="3"/>
      <c r="G22" s="3"/>
      <c r="H22" s="3"/>
      <c r="I22" s="2"/>
      <c r="J22" s="11"/>
    </row>
    <row r="23" spans="1:15" x14ac:dyDescent="0.35">
      <c r="A23" s="2"/>
      <c r="B23" s="2"/>
      <c r="C23" s="2"/>
      <c r="D23" s="2"/>
      <c r="E23" s="2"/>
      <c r="F23" s="3"/>
      <c r="G23" s="3"/>
      <c r="H23" s="3"/>
      <c r="I23" s="2"/>
      <c r="J23" s="11"/>
      <c r="N23" t="s">
        <v>102</v>
      </c>
    </row>
    <row r="24" spans="1:15" x14ac:dyDescent="0.35">
      <c r="A24" s="2"/>
      <c r="B24" s="2"/>
      <c r="C24" s="2"/>
      <c r="D24" s="2"/>
      <c r="E24" s="2"/>
      <c r="F24" s="3"/>
      <c r="G24" s="3"/>
      <c r="H24" s="3"/>
      <c r="I24" s="2"/>
      <c r="J24" s="11"/>
    </row>
    <row r="25" spans="1:15" x14ac:dyDescent="0.35">
      <c r="A25" s="2"/>
      <c r="B25" s="2"/>
      <c r="C25" s="2"/>
      <c r="D25" s="2"/>
      <c r="E25" s="2"/>
      <c r="F25" s="3"/>
      <c r="G25" s="3"/>
      <c r="H25" s="3"/>
      <c r="I25" s="2"/>
      <c r="J25" s="11"/>
      <c r="N25" t="s">
        <v>103</v>
      </c>
    </row>
    <row r="26" spans="1:15" x14ac:dyDescent="0.35">
      <c r="A26" s="2"/>
      <c r="B26" s="2"/>
      <c r="C26" s="2"/>
      <c r="D26" s="2"/>
      <c r="E26" s="2"/>
      <c r="F26" s="3"/>
      <c r="G26" s="3"/>
      <c r="H26" s="3"/>
      <c r="I26" s="2"/>
      <c r="J26" s="11"/>
    </row>
    <row r="27" spans="1:15" x14ac:dyDescent="0.35">
      <c r="N27" t="s">
        <v>104</v>
      </c>
      <c r="O27" t="s">
        <v>117</v>
      </c>
    </row>
    <row r="29" spans="1:15" x14ac:dyDescent="0.35">
      <c r="N29" t="s">
        <v>105</v>
      </c>
    </row>
    <row r="32" spans="1:15" x14ac:dyDescent="0.35">
      <c r="N32" t="s">
        <v>106</v>
      </c>
    </row>
  </sheetData>
  <phoneticPr fontId="4" type="noConversion"/>
  <conditionalFormatting sqref="R2:S2">
    <cfRule type="expression" dxfId="1" priority="1">
      <formula>$R$2&lt;=$O$2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7A52-7CF1-4499-8993-DA6CFAA8E874}">
  <dimension ref="A1:J38"/>
  <sheetViews>
    <sheetView tabSelected="1" topLeftCell="A25" workbookViewId="0">
      <selection activeCell="I35" sqref="I35"/>
    </sheetView>
  </sheetViews>
  <sheetFormatPr defaultRowHeight="14.5" x14ac:dyDescent="0.35"/>
  <cols>
    <col min="1" max="1" width="11.81640625" customWidth="1"/>
    <col min="2" max="2" width="17.26953125" customWidth="1"/>
    <col min="3" max="3" width="24.54296875" customWidth="1"/>
    <col min="4" max="4" width="14.54296875" customWidth="1"/>
    <col min="5" max="5" width="23.6328125" customWidth="1"/>
    <col min="6" max="6" width="8.1796875" customWidth="1"/>
    <col min="7" max="7" width="36.36328125" customWidth="1"/>
    <col min="8" max="8" width="8.1796875" customWidth="1"/>
    <col min="9" max="9" width="11.81640625" customWidth="1"/>
    <col min="10" max="10" width="25.453125" customWidth="1"/>
  </cols>
  <sheetData>
    <row r="1" spans="1:10" ht="23.5" x14ac:dyDescent="0.55000000000000004">
      <c r="A1" s="73" t="s">
        <v>127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x14ac:dyDescent="0.35">
      <c r="A2" s="76" t="s">
        <v>128</v>
      </c>
      <c r="B2" s="77"/>
      <c r="C2" s="77"/>
      <c r="D2" s="77"/>
      <c r="E2" s="77"/>
      <c r="F2" s="77"/>
      <c r="G2" s="77"/>
      <c r="H2" s="77"/>
      <c r="I2" s="77"/>
      <c r="J2" s="78"/>
    </row>
    <row r="3" spans="1:10" x14ac:dyDescent="0.35">
      <c r="A3" s="22"/>
      <c r="B3" s="23"/>
      <c r="C3" s="23"/>
      <c r="D3" s="23"/>
      <c r="E3" s="23"/>
      <c r="F3" s="23"/>
      <c r="G3" s="23"/>
      <c r="H3" s="23"/>
      <c r="I3" s="23"/>
      <c r="J3" s="24"/>
    </row>
    <row r="4" spans="1:10" x14ac:dyDescent="0.35">
      <c r="A4" s="79" t="s">
        <v>129</v>
      </c>
      <c r="B4" s="80"/>
      <c r="C4" s="80"/>
      <c r="D4" s="80"/>
      <c r="E4" s="80"/>
      <c r="F4" s="80"/>
      <c r="G4" s="80"/>
      <c r="H4" s="80"/>
      <c r="I4" s="80"/>
      <c r="J4" s="81"/>
    </row>
    <row r="5" spans="1:10" x14ac:dyDescent="0.35">
      <c r="A5" s="22"/>
      <c r="B5" s="23"/>
      <c r="C5" s="23"/>
      <c r="D5" s="23"/>
      <c r="E5" s="23"/>
      <c r="F5" s="23"/>
      <c r="G5" s="23"/>
      <c r="H5" s="23"/>
      <c r="I5" s="23"/>
      <c r="J5" s="24"/>
    </row>
    <row r="6" spans="1:10" x14ac:dyDescent="0.35">
      <c r="A6" s="25" t="s">
        <v>93</v>
      </c>
      <c r="B6" s="26" t="s">
        <v>29</v>
      </c>
      <c r="C6" s="26" t="s">
        <v>33</v>
      </c>
      <c r="D6" s="26" t="s">
        <v>124</v>
      </c>
      <c r="E6" s="26" t="s">
        <v>130</v>
      </c>
      <c r="F6" s="23"/>
      <c r="G6" s="23"/>
      <c r="H6" s="23"/>
      <c r="I6" s="23"/>
      <c r="J6" s="24"/>
    </row>
    <row r="7" spans="1:10" x14ac:dyDescent="0.35">
      <c r="A7" s="27" t="str">
        <f>INDEX(tblBudget[Project],1)</f>
        <v>New Garden Shed</v>
      </c>
      <c r="B7" s="28">
        <f>INDEX(tblBudget[Budget],1)</f>
        <v>20000</v>
      </c>
      <c r="C7" s="28">
        <f>INDEX(tblBudget[total cost],1)</f>
        <v>18800</v>
      </c>
      <c r="D7" s="28">
        <f>INDEX(tblBudget[ActCost],1)</f>
        <v>19450</v>
      </c>
      <c r="E7" s="28">
        <f>INDEX(tblBudget[Diff],1)</f>
        <v>-650</v>
      </c>
      <c r="F7" s="23"/>
      <c r="G7" s="23"/>
      <c r="H7" s="23"/>
      <c r="I7" s="23"/>
      <c r="J7" s="24"/>
    </row>
    <row r="8" spans="1:10" x14ac:dyDescent="0.35">
      <c r="A8" s="22"/>
      <c r="B8" s="23"/>
      <c r="C8" s="23"/>
      <c r="D8" s="23"/>
      <c r="E8" s="23"/>
      <c r="F8" s="23"/>
      <c r="G8" s="23"/>
      <c r="H8" s="23"/>
      <c r="I8" s="23"/>
      <c r="J8" s="24"/>
    </row>
    <row r="9" spans="1:10" x14ac:dyDescent="0.35">
      <c r="A9" s="22"/>
      <c r="B9" s="23"/>
      <c r="C9" s="23"/>
      <c r="D9" s="23"/>
      <c r="E9" s="23"/>
      <c r="F9" s="23"/>
      <c r="G9" s="23"/>
      <c r="H9" s="23"/>
      <c r="I9" s="23"/>
      <c r="J9" s="24"/>
    </row>
    <row r="10" spans="1:10" x14ac:dyDescent="0.35">
      <c r="A10" s="29" t="s">
        <v>131</v>
      </c>
      <c r="B10" s="30" t="s">
        <v>132</v>
      </c>
      <c r="C10" s="30" t="s">
        <v>133</v>
      </c>
      <c r="D10" s="30" t="s">
        <v>134</v>
      </c>
      <c r="E10" s="30" t="s">
        <v>135</v>
      </c>
      <c r="F10" s="30" t="s">
        <v>14</v>
      </c>
      <c r="G10" s="30" t="s">
        <v>136</v>
      </c>
      <c r="H10" s="30" t="s">
        <v>137</v>
      </c>
      <c r="I10" s="30" t="s">
        <v>118</v>
      </c>
      <c r="J10" s="31" t="s">
        <v>138</v>
      </c>
    </row>
    <row r="11" spans="1:10" ht="29" x14ac:dyDescent="0.35">
      <c r="A11" s="41" t="str" cm="1">
        <f t="array" ref="A11">IFERROR("TASK-"&amp;TEXT(INDEX(tblTaskList[Task ID],ROWS($A$11:A11)),"00"),"")</f>
        <v>TASK-02</v>
      </c>
      <c r="B11" s="23" t="str" cm="1">
        <f t="array" ref="B11">IFERROR(IF(INDEX(tblTaskList[IsInCriticalPath],ROWS($A$11:A11))="Yes","Critical Process","Floating Process"),"")</f>
        <v>Critical Process</v>
      </c>
      <c r="C11" s="32" t="str" cm="1">
        <f t="array" ref="C11">IFERROR(INDEX(tblTaskList[Task Name],ROWS($A$11:A11)),"")</f>
        <v>Planning permission</v>
      </c>
      <c r="D11" s="32" t="str" cm="1">
        <f t="array" ref="D11">IFERROR(INDEX(tblTaskList[Resource],ROWS($A$11:A11)),"")</f>
        <v>FE</v>
      </c>
      <c r="E11" s="32" t="str" cm="1">
        <f t="array" ref="E11">IFERROR(INDEX(tblTaskList[Predecessor Tasks],ROWS($A$11:A11)),"")</f>
        <v>Wait for planning permission</v>
      </c>
      <c r="F11" s="33" cm="1">
        <f t="array" ref="F11">IFERROR(INDEX(tblTaskList[Duration (Weeks)],ROWS($A$11:A11)),"")</f>
        <v>6</v>
      </c>
      <c r="G11" s="33" cm="1">
        <f t="array" ref="G11">IFERROR(INDEX(tblTaskList[Start wk],ROWS($A$11:A11)),"")</f>
        <v>1</v>
      </c>
      <c r="H11" s="33" cm="1">
        <f t="array" ref="H11">IFERROR(INDEX(tblTaskList[Finish wk],ROWS($A$11:A11)),"")</f>
        <v>6</v>
      </c>
      <c r="I11" s="34" cm="1">
        <f t="array" ref="I11">IFERROR(INDEX(tblTaskList[Progress],ROWS($A$11:A11)),"")</f>
        <v>1</v>
      </c>
      <c r="J11" s="35" t="str" cm="1">
        <f t="array" ref="J11">IFERROR(IF(INDEX(tblTaskList[Progress],ROWS($A$11:A11))&gt;=1,"Completed",IF(INDEX(tblTaskList[Progress],ROWS($A$11:A11))&gt;0,"In progress","Not started"))&amp;" | Cost "&amp;TEXT(INDEX(tblTaskList[Cost],ROWS($A$11:A11)),"#,##0"),"")</f>
        <v>Completed | Cost 0</v>
      </c>
    </row>
    <row r="12" spans="1:10" ht="29" x14ac:dyDescent="0.35">
      <c r="A12" s="41" t="str" cm="1">
        <f t="array" ref="A12">IFERROR("TASK-"&amp;TEXT(INDEX(tblTaskList[Task ID],ROWS($A$11:A12)),"00"),"")</f>
        <v>TASK-03</v>
      </c>
      <c r="B12" s="23" t="str" cm="1">
        <f t="array" ref="B12">IFERROR(IF(INDEX(tblTaskList[IsInCriticalPath],ROWS($A$11:A12))="Yes","Critical Process","Floating Process"),"")</f>
        <v>Critical Process</v>
      </c>
      <c r="C12" s="32" t="str" cm="1">
        <f t="array" ref="C12">IFERROR(INDEX(tblTaskList[Task Name],ROWS($A$11:A12)),"")</f>
        <v>Wait for planning permission</v>
      </c>
      <c r="D12" s="32" t="str" cm="1">
        <f t="array" ref="D12">IFERROR(INDEX(tblTaskList[Resource],ROWS($A$11:A12)),"")</f>
        <v>FE</v>
      </c>
      <c r="E12" s="32" t="str" cm="1">
        <f t="array" ref="E12">IFERROR(INDEX(tblTaskList[Predecessor Tasks],ROWS($A$11:A12)),"")</f>
        <v>Hire digger</v>
      </c>
      <c r="F12" s="33" cm="1">
        <f t="array" ref="F12">IFERROR(INDEX(tblTaskList[Duration (Weeks)],ROWS($A$11:A12)),"")</f>
        <v>10</v>
      </c>
      <c r="G12" s="33" cm="1">
        <f t="array" ref="G12">IFERROR(INDEX(tblTaskList[Start wk],ROWS($A$11:A12)),"")</f>
        <v>7</v>
      </c>
      <c r="H12" s="33" cm="1">
        <f t="array" ref="H12">IFERROR(INDEX(tblTaskList[Finish wk],ROWS($A$11:A12)),"")</f>
        <v>16</v>
      </c>
      <c r="I12" s="34" cm="1">
        <f t="array" ref="I12">IFERROR(INDEX(tblTaskList[Progress],ROWS($A$11:A12)),"")</f>
        <v>0.2</v>
      </c>
      <c r="J12" s="35" t="str" cm="1">
        <f t="array" ref="J12">IFERROR(IF(INDEX(tblTaskList[Progress],ROWS($A$11:A12))&gt;=1,"Completed",IF(INDEX(tblTaskList[Progress],ROWS($A$11:A12))&gt;0,"In progress","Not started"))&amp;" | Cost "&amp;TEXT(INDEX(tblTaskList[Cost],ROWS($A$11:A12)),"#,##0"),"")</f>
        <v>In progress | Cost 100</v>
      </c>
    </row>
    <row r="13" spans="1:10" x14ac:dyDescent="0.35">
      <c r="A13" s="41" t="str" cm="1">
        <f t="array" ref="A13">IFERROR("TASK-"&amp;TEXT(INDEX(tblTaskList[Task ID],ROWS($A$11:A13)),"00"),"")</f>
        <v>TASK-06</v>
      </c>
      <c r="B13" s="23" t="str" cm="1">
        <f t="array" ref="B13">IFERROR(IF(INDEX(tblTaskList[IsInCriticalPath],ROWS($A$11:A13))="Yes","Critical Process","Floating Process"),"")</f>
        <v>Critical Process</v>
      </c>
      <c r="C13" s="32" t="str" cm="1">
        <f t="array" ref="C13">IFERROR(INDEX(tblTaskList[Task Name],ROWS($A$11:A13)),"")</f>
        <v>Dig trench</v>
      </c>
      <c r="D13" s="32" t="str" cm="1">
        <f t="array" ref="D13">IFERROR(INDEX(tblTaskList[Resource],ROWS($A$11:A13)),"")</f>
        <v>NN</v>
      </c>
      <c r="E13" s="32" t="str" cm="1">
        <f t="array" ref="E13">IFERROR(INDEX(tblTaskList[Predecessor Tasks],ROWS($A$11:A13)),"")</f>
        <v>Wire down the garden</v>
      </c>
      <c r="F13" s="33" cm="1">
        <f t="array" ref="F13">IFERROR(INDEX(tblTaskList[Duration (Weeks)],ROWS($A$11:A13)),"")</f>
        <v>1</v>
      </c>
      <c r="G13" s="33" cm="1">
        <f t="array" ref="G13">IFERROR(INDEX(tblTaskList[Start wk],ROWS($A$11:A13)),"")</f>
        <v>17</v>
      </c>
      <c r="H13" s="33" cm="1">
        <f t="array" ref="H13">IFERROR(INDEX(tblTaskList[Finish wk],ROWS($A$11:A13)),"")</f>
        <v>17</v>
      </c>
      <c r="I13" s="34" cm="1">
        <f t="array" ref="I13">IFERROR(INDEX(tblTaskList[Progress],ROWS($A$11:A13)),"")</f>
        <v>0</v>
      </c>
      <c r="J13" s="35" t="str" cm="1">
        <f t="array" ref="J13">IFERROR(IF(INDEX(tblTaskList[Progress],ROWS($A$11:A13))&gt;=1,"Completed",IF(INDEX(tblTaskList[Progress],ROWS($A$11:A13))&gt;0,"In progress","Not started"))&amp;" | Cost "&amp;TEXT(INDEX(tblTaskList[Cost],ROWS($A$11:A13)),"#,##0"),"")</f>
        <v>Not started | Cost 350</v>
      </c>
    </row>
    <row r="14" spans="1:10" x14ac:dyDescent="0.35">
      <c r="A14" s="41" t="str" cm="1">
        <f t="array" ref="A14">IFERROR("TASK-"&amp;TEXT(INDEX(tblTaskList[Task ID],ROWS($A$11:A14)),"00"),"")</f>
        <v>TASK-07</v>
      </c>
      <c r="B14" s="23" t="str" cm="1">
        <f t="array" ref="B14">IFERROR(IF(INDEX(tblTaskList[IsInCriticalPath],ROWS($A$11:A14))="Yes","Critical Process","Floating Process"),"")</f>
        <v>Critical Process</v>
      </c>
      <c r="C14" s="32" t="str" cm="1">
        <f t="array" ref="C14">IFERROR(INDEX(tblTaskList[Task Name],ROWS($A$11:A14)),"")</f>
        <v>Hire digger</v>
      </c>
      <c r="D14" s="32" t="str" cm="1">
        <f t="array" ref="D14">IFERROR(INDEX(tblTaskList[Resource],ROWS($A$11:A14)),"")</f>
        <v>FE</v>
      </c>
      <c r="E14" s="32" t="str" cm="1">
        <f t="array" ref="E14">IFERROR(INDEX(tblTaskList[Predecessor Tasks],ROWS($A$11:A14)),"")</f>
        <v>Dig trench</v>
      </c>
      <c r="F14" s="33" cm="1">
        <f t="array" ref="F14">IFERROR(INDEX(tblTaskList[Duration (Weeks)],ROWS($A$11:A14)),"")</f>
        <v>2</v>
      </c>
      <c r="G14" s="33" cm="1">
        <f t="array" ref="G14">IFERROR(INDEX(tblTaskList[Start wk],ROWS($A$11:A14)),"")</f>
        <v>18</v>
      </c>
      <c r="H14" s="33" cm="1">
        <f t="array" ref="H14">IFERROR(INDEX(tblTaskList[Finish wk],ROWS($A$11:A14)),"")</f>
        <v>19</v>
      </c>
      <c r="I14" s="34" cm="1">
        <f t="array" ref="I14">IFERROR(INDEX(tblTaskList[Progress],ROWS($A$11:A14)),"")</f>
        <v>0</v>
      </c>
      <c r="J14" s="35" t="str" cm="1">
        <f t="array" ref="J14">IFERROR(IF(INDEX(tblTaskList[Progress],ROWS($A$11:A14))&gt;=1,"Completed",IF(INDEX(tblTaskList[Progress],ROWS($A$11:A14))&gt;0,"In progress","Not started"))&amp;" | Cost "&amp;TEXT(INDEX(tblTaskList[Cost],ROWS($A$11:A14)),"#,##0"),"")</f>
        <v>Not started | Cost 0</v>
      </c>
    </row>
    <row r="15" spans="1:10" x14ac:dyDescent="0.35">
      <c r="A15" s="41" t="str" cm="1">
        <f t="array" ref="A15">IFERROR("TASK-"&amp;TEXT(INDEX(tblTaskList[Task ID],ROWS($A$11:A15)),"00"),"")</f>
        <v>TASK-09</v>
      </c>
      <c r="B15" s="23" t="str" cm="1">
        <f t="array" ref="B15">IFERROR(IF(INDEX(tblTaskList[IsInCriticalPath],ROWS($A$11:A15))="Yes","Critical Process","Floating Process"),"")</f>
        <v>Critical Process</v>
      </c>
      <c r="C15" s="32" t="str" cm="1">
        <f t="array" ref="C15">IFERROR(INDEX(tblTaskList[Task Name],ROWS($A$11:A15)),"")</f>
        <v>Fill with concrete</v>
      </c>
      <c r="D15" s="32" t="str" cm="1">
        <f t="array" ref="D15">IFERROR(INDEX(tblTaskList[Resource],ROWS($A$11:A15)),"")</f>
        <v>NN</v>
      </c>
      <c r="E15" s="32" t="str" cm="1">
        <f t="array" ref="E15">IFERROR(INDEX(tblTaskList[Predecessor Tasks],ROWS($A$11:A15)),"")</f>
        <v>Level the base</v>
      </c>
      <c r="F15" s="33" cm="1">
        <f t="array" ref="F15">IFERROR(INDEX(tblTaskList[Duration (Weeks)],ROWS($A$11:A15)),"")</f>
        <v>1</v>
      </c>
      <c r="G15" s="33" cm="1">
        <f t="array" ref="G15">IFERROR(INDEX(tblTaskList[Start wk],ROWS($A$11:A15)),"")</f>
        <v>20</v>
      </c>
      <c r="H15" s="33" cm="1">
        <f t="array" ref="H15">IFERROR(INDEX(tblTaskList[Finish wk],ROWS($A$11:A15)),"")</f>
        <v>20</v>
      </c>
      <c r="I15" s="34" cm="1">
        <f t="array" ref="I15">IFERROR(INDEX(tblTaskList[Progress],ROWS($A$11:A15)),"")</f>
        <v>0</v>
      </c>
      <c r="J15" s="35" t="str" cm="1">
        <f t="array" ref="J15">IFERROR(IF(INDEX(tblTaskList[Progress],ROWS($A$11:A15))&gt;=1,"Completed",IF(INDEX(tblTaskList[Progress],ROWS($A$11:A15))&gt;0,"In progress","Not started"))&amp;" | Cost "&amp;TEXT(INDEX(tblTaskList[Cost],ROWS($A$11:A15)),"#,##0"),"")</f>
        <v>Not started | Cost 700</v>
      </c>
    </row>
    <row r="16" spans="1:10" x14ac:dyDescent="0.35">
      <c r="A16" s="41" t="str" cm="1">
        <f t="array" ref="A16">IFERROR("TASK-"&amp;TEXT(INDEX(tblTaskList[Task ID],ROWS($A$11:A16)),"00"),"")</f>
        <v>TASK-10</v>
      </c>
      <c r="B16" s="23" t="str" cm="1">
        <f t="array" ref="B16">IFERROR(IF(INDEX(tblTaskList[IsInCriticalPath],ROWS($A$11:A16))="Yes","Critical Process","Floating Process"),"")</f>
        <v>Critical Process</v>
      </c>
      <c r="C16" s="32" t="str" cm="1">
        <f t="array" ref="C16">IFERROR(INDEX(tblTaskList[Task Name],ROWS($A$11:A16)),"")</f>
        <v>Level the base</v>
      </c>
      <c r="D16" s="32" t="str" cm="1">
        <f t="array" ref="D16">IFERROR(INDEX(tblTaskList[Resource],ROWS($A$11:A16)),"")</f>
        <v>NN</v>
      </c>
      <c r="E16" s="32" t="str" cm="1">
        <f t="array" ref="E16">IFERROR(INDEX(tblTaskList[Predecessor Tasks],ROWS($A$11:A16)),"")</f>
        <v>Assembly</v>
      </c>
      <c r="F16" s="33" cm="1">
        <f t="array" ref="F16">IFERROR(INDEX(tblTaskList[Duration (Weeks)],ROWS($A$11:A16)),"")</f>
        <v>1</v>
      </c>
      <c r="G16" s="33" cm="1">
        <f t="array" ref="G16">IFERROR(INDEX(tblTaskList[Start wk],ROWS($A$11:A16)),"")</f>
        <v>21</v>
      </c>
      <c r="H16" s="33" cm="1">
        <f t="array" ref="H16">IFERROR(INDEX(tblTaskList[Finish wk],ROWS($A$11:A16)),"")</f>
        <v>21</v>
      </c>
      <c r="I16" s="34" cm="1">
        <f t="array" ref="I16">IFERROR(INDEX(tblTaskList[Progress],ROWS($A$11:A16)),"")</f>
        <v>0</v>
      </c>
      <c r="J16" s="35" t="str" cm="1">
        <f t="array" ref="J16">IFERROR(IF(INDEX(tblTaskList[Progress],ROWS($A$11:A16))&gt;=1,"Completed",IF(INDEX(tblTaskList[Progress],ROWS($A$11:A16))&gt;0,"In progress","Not started"))&amp;" | Cost "&amp;TEXT(INDEX(tblTaskList[Cost],ROWS($A$11:A16)),"#,##0"),"")</f>
        <v>Not started | Cost 100</v>
      </c>
    </row>
    <row r="17" spans="1:10" x14ac:dyDescent="0.35">
      <c r="A17" s="41" t="str" cm="1">
        <f t="array" ref="A17">IFERROR("TASK-"&amp;TEXT(INDEX(tblTaskList[Task ID],ROWS($A$11:A17)),"00"),"")</f>
        <v>TASK-17</v>
      </c>
      <c r="B17" s="23" t="str" cm="1">
        <f t="array" ref="B17">IFERROR(IF(INDEX(tblTaskList[IsInCriticalPath],ROWS($A$11:A17))="Yes","Critical Process","Floating Process"),"")</f>
        <v>Critical Process</v>
      </c>
      <c r="C17" s="32" t="str" cm="1">
        <f t="array" ref="C17">IFERROR(INDEX(tblTaskList[Task Name],ROWS($A$11:A17)),"")</f>
        <v>the Finish</v>
      </c>
      <c r="D17" s="32" t="str" cm="1">
        <f t="array" ref="D17">IFERROR(INDEX(tblTaskList[Resource],ROWS($A$11:A17)),"")</f>
        <v>FE</v>
      </c>
      <c r="E17" s="32" cm="1">
        <f t="array" ref="E17">IFERROR(INDEX(tblTaskList[Predecessor Tasks],ROWS($A$11:A17)),"")</f>
        <v>0</v>
      </c>
      <c r="F17" s="33" cm="1">
        <f t="array" ref="F17">IFERROR(INDEX(tblTaskList[Duration (Weeks)],ROWS($A$11:A17)),"")</f>
        <v>4</v>
      </c>
      <c r="G17" s="33" cm="1">
        <f t="array" ref="G17">IFERROR(INDEX(tblTaskList[Start wk],ROWS($A$11:A17)),"")</f>
        <v>22</v>
      </c>
      <c r="H17" s="33" cm="1">
        <f t="array" ref="H17">IFERROR(INDEX(tblTaskList[Finish wk],ROWS($A$11:A17)),"")</f>
        <v>25</v>
      </c>
      <c r="I17" s="34" cm="1">
        <f t="array" ref="I17">IFERROR(INDEX(tblTaskList[Progress],ROWS($A$11:A17)),"")</f>
        <v>0</v>
      </c>
      <c r="J17" s="35" t="str" cm="1">
        <f t="array" ref="J17">IFERROR(IF(INDEX(tblTaskList[Progress],ROWS($A$11:A17))&gt;=1,"Completed",IF(INDEX(tblTaskList[Progress],ROWS($A$11:A17))&gt;0,"In progress","Not started"))&amp;" | Cost "&amp;TEXT(INDEX(tblTaskList[Cost],ROWS($A$11:A17)),"#,##0"),"")</f>
        <v>Not started | Cost 8,000</v>
      </c>
    </row>
    <row r="18" spans="1:10" x14ac:dyDescent="0.35">
      <c r="A18" s="41" t="str" cm="1">
        <f t="array" ref="A18">IFERROR("TASK-"&amp;TEXT(INDEX(tblTaskList[Task ID],ROWS($A$11:A18)),"00"),"")</f>
        <v>TASK-19</v>
      </c>
      <c r="B18" s="23" t="str" cm="1">
        <f t="array" ref="B18">IFERROR(IF(INDEX(tblTaskList[IsInCriticalPath],ROWS($A$11:A18))="Yes","Critical Process","Floating Process"),"")</f>
        <v>Critical Process</v>
      </c>
      <c r="C18" s="32" t="str" cm="1">
        <f t="array" ref="C18">IFERROR(INDEX(tblTaskList[Task Name],ROWS($A$11:A18)),"")</f>
        <v>Delivery</v>
      </c>
      <c r="D18" s="32" t="str" cm="1">
        <f t="array" ref="D18">IFERROR(INDEX(tblTaskList[Resource],ROWS($A$11:A18)),"")</f>
        <v>NN</v>
      </c>
      <c r="E18" s="32" t="str" cm="1">
        <f t="array" ref="E18">IFERROR(INDEX(tblTaskList[Predecessor Tasks],ROWS($A$11:A18)),"")</f>
        <v>Wait for Delivery</v>
      </c>
      <c r="F18" s="33" cm="1">
        <f t="array" ref="F18">IFERROR(INDEX(tblTaskList[Duration (Weeks)],ROWS($A$11:A18)),"")</f>
        <v>0</v>
      </c>
      <c r="G18" s="33" cm="1">
        <f t="array" ref="G18">IFERROR(INDEX(tblTaskList[Start wk],ROWS($A$11:A18)),"")</f>
        <v>22</v>
      </c>
      <c r="H18" s="33" cm="1">
        <f t="array" ref="H18">IFERROR(INDEX(tblTaskList[Finish wk],ROWS($A$11:A18)),"")</f>
        <v>22</v>
      </c>
      <c r="I18" s="34" cm="1">
        <f t="array" ref="I18">IFERROR(INDEX(tblTaskList[Progress],ROWS($A$11:A18)),"")</f>
        <v>0</v>
      </c>
      <c r="J18" s="35" t="str" cm="1">
        <f t="array" ref="J18">IFERROR(IF(INDEX(tblTaskList[Progress],ROWS($A$11:A18))&gt;=1,"Completed",IF(INDEX(tblTaskList[Progress],ROWS($A$11:A18))&gt;0,"In progress","Not started"))&amp;" | Cost "&amp;TEXT(INDEX(tblTaskList[Cost],ROWS($A$11:A18)),"#,##0"),"")</f>
        <v>Not started | Cost 0</v>
      </c>
    </row>
    <row r="19" spans="1:10" x14ac:dyDescent="0.35">
      <c r="A19" s="41" t="str" cm="1">
        <f t="array" ref="A19">IFERROR("TASK-"&amp;TEXT(INDEX(tblTaskList[Task ID],ROWS($A$11:A19)),"00"),"")</f>
        <v>TASK-01</v>
      </c>
      <c r="B19" s="23" t="str" cm="1">
        <f t="array" ref="B19">IFERROR(IF(INDEX(tblTaskList[IsInCriticalPath],ROWS($A$11:A19))="Yes","Critical Process","Floating Process"),"")</f>
        <v>Floating Process</v>
      </c>
      <c r="C19" s="32" t="str" cm="1">
        <f t="array" ref="C19">IFERROR(INDEX(tblTaskList[Task Name],ROWS($A$11:A19)),"")</f>
        <v>Check funds</v>
      </c>
      <c r="D19" s="32" t="str" cm="1">
        <f t="array" ref="D19">IFERROR(INDEX(tblTaskList[Resource],ROWS($A$11:A19)),"")</f>
        <v>FE</v>
      </c>
      <c r="E19" s="32" t="str" cm="1">
        <f t="array" ref="E19">IFERROR(INDEX(tblTaskList[Predecessor Tasks],ROWS($A$11:A19)),"")</f>
        <v>Demolish old shed</v>
      </c>
      <c r="F19" s="33" cm="1">
        <f t="array" ref="F19">IFERROR(INDEX(tblTaskList[Duration (Weeks)],ROWS($A$11:A19)),"")</f>
        <v>0</v>
      </c>
      <c r="G19" s="33" cm="1">
        <f t="array" ref="G19">IFERROR(INDEX(tblTaskList[Start wk],ROWS($A$11:A19)),"")</f>
        <v>2</v>
      </c>
      <c r="H19" s="33" cm="1">
        <f t="array" ref="H19">IFERROR(INDEX(tblTaskList[Finish wk],ROWS($A$11:A19)),"")</f>
        <v>2</v>
      </c>
      <c r="I19" s="34" cm="1">
        <f t="array" ref="I19">IFERROR(INDEX(tblTaskList[Progress],ROWS($A$11:A19)),"")</f>
        <v>1</v>
      </c>
      <c r="J19" s="35" t="str" cm="1">
        <f t="array" ref="J19">IFERROR(IF(INDEX(tblTaskList[Progress],ROWS($A$11:A19))&gt;=1,"Completed",IF(INDEX(tblTaskList[Progress],ROWS($A$11:A19))&gt;0,"In progress","Not started"))&amp;" | Cost "&amp;TEXT(INDEX(tblTaskList[Cost],ROWS($A$11:A19)),"#,##0"),"")</f>
        <v>Completed | Cost 0</v>
      </c>
    </row>
    <row r="20" spans="1:10" x14ac:dyDescent="0.35">
      <c r="A20" s="41" t="str" cm="1">
        <f t="array" ref="A20">IFERROR("TASK-"&amp;TEXT(INDEX(tblTaskList[Task ID],ROWS($A$11:A20)),"00"),"")</f>
        <v>TASK-04</v>
      </c>
      <c r="B20" s="23" t="str" cm="1">
        <f t="array" ref="B20">IFERROR(IF(INDEX(tblTaskList[IsInCriticalPath],ROWS($A$11:A20))="Yes","Critical Process","Floating Process"),"")</f>
        <v>Floating Process</v>
      </c>
      <c r="C20" s="32" t="str" cm="1">
        <f t="array" ref="C20">IFERROR(INDEX(tblTaskList[Task Name],ROWS($A$11:A20)),"")</f>
        <v>Demolish old shed</v>
      </c>
      <c r="D20" s="32" t="str" cm="1">
        <f t="array" ref="D20">IFERROR(INDEX(tblTaskList[Resource],ROWS($A$11:A20)),"")</f>
        <v>NN</v>
      </c>
      <c r="E20" s="32" t="str" cm="1">
        <f t="array" ref="E20">IFERROR(INDEX(tblTaskList[Predecessor Tasks],ROWS($A$11:A20)),"")</f>
        <v>Cut foliage back</v>
      </c>
      <c r="F20" s="33" cm="1">
        <f t="array" ref="F20">IFERROR(INDEX(tblTaskList[Duration (Weeks)],ROWS($A$11:A20)),"")</f>
        <v>1</v>
      </c>
      <c r="G20" s="33" cm="1">
        <f t="array" ref="G20">IFERROR(INDEX(tblTaskList[Start wk],ROWS($A$11:A20)),"")</f>
        <v>3</v>
      </c>
      <c r="H20" s="33" cm="1">
        <f t="array" ref="H20">IFERROR(INDEX(tblTaskList[Finish wk],ROWS($A$11:A20)),"")</f>
        <v>3</v>
      </c>
      <c r="I20" s="34" cm="1">
        <f t="array" ref="I20">IFERROR(INDEX(tblTaskList[Progress],ROWS($A$11:A20)),"")</f>
        <v>0</v>
      </c>
      <c r="J20" s="35" t="str" cm="1">
        <f t="array" ref="J20">IFERROR(IF(INDEX(tblTaskList[Progress],ROWS($A$11:A20))&gt;=1,"Completed",IF(INDEX(tblTaskList[Progress],ROWS($A$11:A20))&gt;0,"In progress","Not started"))&amp;" | Cost "&amp;TEXT(INDEX(tblTaskList[Cost],ROWS($A$11:A20)),"#,##0"),"")</f>
        <v>Not started | Cost 300</v>
      </c>
    </row>
    <row r="21" spans="1:10" x14ac:dyDescent="0.35">
      <c r="A21" s="41" t="str" cm="1">
        <f t="array" ref="A21">IFERROR("TASK-"&amp;TEXT(INDEX(tblTaskList[Task ID],ROWS($A$11:A21)),"00"),"")</f>
        <v>TASK-05</v>
      </c>
      <c r="B21" s="23" t="str" cm="1">
        <f t="array" ref="B21">IFERROR(IF(INDEX(tblTaskList[IsInCriticalPath],ROWS($A$11:A21))="Yes","Critical Process","Floating Process"),"")</f>
        <v>Floating Process</v>
      </c>
      <c r="C21" s="32" t="str" cm="1">
        <f t="array" ref="C21">IFERROR(INDEX(tblTaskList[Task Name],ROWS($A$11:A21)),"")</f>
        <v>Cut foliage back</v>
      </c>
      <c r="D21" s="32" t="str" cm="1">
        <f t="array" ref="D21">IFERROR(INDEX(tblTaskList[Resource],ROWS($A$11:A21)),"")</f>
        <v>NN</v>
      </c>
      <c r="E21" s="32" t="str" cm="1">
        <f t="array" ref="E21">IFERROR(INDEX(tblTaskList[Predecessor Tasks],ROWS($A$11:A21)),"")</f>
        <v>Dig trench</v>
      </c>
      <c r="F21" s="33" cm="1">
        <f t="array" ref="F21">IFERROR(INDEX(tblTaskList[Duration (Weeks)],ROWS($A$11:A21)),"")</f>
        <v>4</v>
      </c>
      <c r="G21" s="33" cm="1">
        <f t="array" ref="G21">IFERROR(INDEX(tblTaskList[Start wk],ROWS($A$11:A21)),"")</f>
        <v>8</v>
      </c>
      <c r="H21" s="33" cm="1">
        <f t="array" ref="H21">IFERROR(INDEX(tblTaskList[Finish wk],ROWS($A$11:A21)),"")</f>
        <v>11</v>
      </c>
      <c r="I21" s="34" cm="1">
        <f t="array" ref="I21">IFERROR(INDEX(tblTaskList[Progress],ROWS($A$11:A21)),"")</f>
        <v>0</v>
      </c>
      <c r="J21" s="35" t="str" cm="1">
        <f t="array" ref="J21">IFERROR(IF(INDEX(tblTaskList[Progress],ROWS($A$11:A21))&gt;=1,"Completed",IF(INDEX(tblTaskList[Progress],ROWS($A$11:A21))&gt;0,"In progress","Not started"))&amp;" | Cost "&amp;TEXT(INDEX(tblTaskList[Cost],ROWS($A$11:A21)),"#,##0"),"")</f>
        <v>Not started | Cost 500</v>
      </c>
    </row>
    <row r="22" spans="1:10" x14ac:dyDescent="0.35">
      <c r="A22" s="41" t="str" cm="1">
        <f t="array" ref="A22">IFERROR("TASK-"&amp;TEXT(INDEX(tblTaskList[Task ID],ROWS($A$11:A22)),"00"),"")</f>
        <v>TASK-08</v>
      </c>
      <c r="B22" s="23" t="str" cm="1">
        <f t="array" ref="B22">IFERROR(IF(INDEX(tblTaskList[IsInCriticalPath],ROWS($A$11:A22))="Yes","Critical Process","Floating Process"),"")</f>
        <v>Floating Process</v>
      </c>
      <c r="C22" s="32" t="str" cm="1">
        <f t="array" ref="C22">IFERROR(INDEX(tblTaskList[Task Name],ROWS($A$11:A22)),"")</f>
        <v>Connect Power</v>
      </c>
      <c r="D22" s="32" t="str" cm="1">
        <f t="array" ref="D22">IFERROR(INDEX(tblTaskList[Resource],ROWS($A$11:A22)),"")</f>
        <v>NN</v>
      </c>
      <c r="E22" s="32" t="str" cm="1">
        <f t="array" ref="E22">IFERROR(INDEX(tblTaskList[Predecessor Tasks],ROWS($A$11:A22)),"")</f>
        <v>the Finish</v>
      </c>
      <c r="F22" s="33" cm="1">
        <f t="array" ref="F22">IFERROR(INDEX(tblTaskList[Duration (Weeks)],ROWS($A$11:A22)),"")</f>
        <v>0</v>
      </c>
      <c r="G22" s="33" cm="1">
        <f t="array" ref="G22">IFERROR(INDEX(tblTaskList[Start wk],ROWS($A$11:A22)),"")</f>
        <v>13</v>
      </c>
      <c r="H22" s="33" cm="1">
        <f t="array" ref="H22">IFERROR(INDEX(tblTaskList[Finish wk],ROWS($A$11:A22)),"")</f>
        <v>13</v>
      </c>
      <c r="I22" s="34" cm="1">
        <f t="array" ref="I22">IFERROR(INDEX(tblTaskList[Progress],ROWS($A$11:A22)),"")</f>
        <v>0</v>
      </c>
      <c r="J22" s="35" t="str" cm="1">
        <f t="array" ref="J22">IFERROR(IF(INDEX(tblTaskList[Progress],ROWS($A$11:A22))&gt;=1,"Completed",IF(INDEX(tblTaskList[Progress],ROWS($A$11:A22))&gt;0,"In progress","Not started"))&amp;" | Cost "&amp;TEXT(INDEX(tblTaskList[Cost],ROWS($A$11:A22)),"#,##0"),"")</f>
        <v>Not started | Cost 0</v>
      </c>
    </row>
    <row r="23" spans="1:10" x14ac:dyDescent="0.35">
      <c r="A23" s="41" t="str" cm="1">
        <f t="array" ref="A23">IFERROR("TASK-"&amp;TEXT(INDEX(tblTaskList[Task ID],ROWS($A$11:A23)),"00"),"")</f>
        <v>TASK-11</v>
      </c>
      <c r="B23" s="23" t="str" cm="1">
        <f t="array" ref="B23">IFERROR(IF(INDEX(tblTaskList[IsInCriticalPath],ROWS($A$11:A23))="Yes","Critical Process","Floating Process"),"")</f>
        <v>Floating Process</v>
      </c>
      <c r="C23" s="32" t="str" cm="1">
        <f t="array" ref="C23">IFERROR(INDEX(tblTaskList[Task Name],ROWS($A$11:A23)),"")</f>
        <v>Find suppliers</v>
      </c>
      <c r="D23" s="32" t="str" cm="1">
        <f t="array" ref="D23">IFERROR(INDEX(tblTaskList[Resource],ROWS($A$11:A23)),"")</f>
        <v>FE</v>
      </c>
      <c r="E23" s="32" t="str" cm="1">
        <f t="array" ref="E23">IFERROR(INDEX(tblTaskList[Predecessor Tasks],ROWS($A$11:A23)),"")</f>
        <v>Get quotes</v>
      </c>
      <c r="F23" s="33" cm="1">
        <f t="array" ref="F23">IFERROR(INDEX(tblTaskList[Duration (Weeks)],ROWS($A$11:A23)),"")</f>
        <v>1</v>
      </c>
      <c r="G23" s="33" cm="1">
        <f t="array" ref="G23">IFERROR(INDEX(tblTaskList[Start wk],ROWS($A$11:A23)),"")</f>
        <v>4</v>
      </c>
      <c r="H23" s="33" cm="1">
        <f t="array" ref="H23">IFERROR(INDEX(tblTaskList[Finish wk],ROWS($A$11:A23)),"")</f>
        <v>4</v>
      </c>
      <c r="I23" s="34" cm="1">
        <f t="array" ref="I23">IFERROR(INDEX(tblTaskList[Progress],ROWS($A$11:A23)),"")</f>
        <v>1</v>
      </c>
      <c r="J23" s="35" t="str" cm="1">
        <f t="array" ref="J23">IFERROR(IF(INDEX(tblTaskList[Progress],ROWS($A$11:A23))&gt;=1,"Completed",IF(INDEX(tblTaskList[Progress],ROWS($A$11:A23))&gt;0,"In progress","Not started"))&amp;" | Cost "&amp;TEXT(INDEX(tblTaskList[Cost],ROWS($A$11:A23)),"#,##0"),"")</f>
        <v>Completed | Cost 0</v>
      </c>
    </row>
    <row r="24" spans="1:10" x14ac:dyDescent="0.35">
      <c r="A24" s="41" t="str" cm="1">
        <f t="array" ref="A24">IFERROR("TASK-"&amp;TEXT(INDEX(tblTaskList[Task ID],ROWS($A$11:A24)),"00"),"")</f>
        <v>TASK-12</v>
      </c>
      <c r="B24" s="23" t="str" cm="1">
        <f t="array" ref="B24">IFERROR(IF(INDEX(tblTaskList[IsInCriticalPath],ROWS($A$11:A24))="Yes","Critical Process","Floating Process"),"")</f>
        <v>Floating Process</v>
      </c>
      <c r="C24" s="32" t="str" cm="1">
        <f t="array" ref="C24">IFERROR(INDEX(tblTaskList[Task Name],ROWS($A$11:A24)),"")</f>
        <v>Get quotes</v>
      </c>
      <c r="D24" s="32" t="str" cm="1">
        <f t="array" ref="D24">IFERROR(INDEX(tblTaskList[Resource],ROWS($A$11:A24)),"")</f>
        <v>FE</v>
      </c>
      <c r="E24" s="32" t="str" cm="1">
        <f t="array" ref="E24">IFERROR(INDEX(tblTaskList[Predecessor Tasks],ROWS($A$11:A24)),"")</f>
        <v>Buy the shed</v>
      </c>
      <c r="F24" s="33" cm="1">
        <f t="array" ref="F24">IFERROR(INDEX(tblTaskList[Duration (Weeks)],ROWS($A$11:A24)),"")</f>
        <v>3</v>
      </c>
      <c r="G24" s="33" cm="1">
        <f t="array" ref="G24">IFERROR(INDEX(tblTaskList[Start wk],ROWS($A$11:A24)),"")</f>
        <v>7</v>
      </c>
      <c r="H24" s="33" cm="1">
        <f t="array" ref="H24">IFERROR(INDEX(tblTaskList[Finish wk],ROWS($A$11:A24)),"")</f>
        <v>9</v>
      </c>
      <c r="I24" s="34" cm="1">
        <f t="array" ref="I24">IFERROR(INDEX(tblTaskList[Progress],ROWS($A$11:A24)),"")</f>
        <v>0</v>
      </c>
      <c r="J24" s="35" t="str" cm="1">
        <f t="array" ref="J24">IFERROR(IF(INDEX(tblTaskList[Progress],ROWS($A$11:A24))&gt;=1,"Completed",IF(INDEX(tblTaskList[Progress],ROWS($A$11:A24))&gt;0,"In progress","Not started"))&amp;" | Cost "&amp;TEXT(INDEX(tblTaskList[Cost],ROWS($A$11:A24)),"#,##0"),"")</f>
        <v>Not started | Cost 0</v>
      </c>
    </row>
    <row r="25" spans="1:10" x14ac:dyDescent="0.35">
      <c r="A25" s="41" t="str" cm="1">
        <f t="array" ref="A25">IFERROR("TASK-"&amp;TEXT(INDEX(tblTaskList[Task ID],ROWS($A$11:A25)),"00"),"")</f>
        <v>TASK-13</v>
      </c>
      <c r="B25" s="23" t="str" cm="1">
        <f t="array" ref="B25">IFERROR(IF(INDEX(tblTaskList[IsInCriticalPath],ROWS($A$11:A25))="Yes","Critical Process","Floating Process"),"")</f>
        <v>Floating Process</v>
      </c>
      <c r="C25" s="32" t="str" cm="1">
        <f t="array" ref="C25">IFERROR(INDEX(tblTaskList[Task Name],ROWS($A$11:A25)),"")</f>
        <v>Buy the shed</v>
      </c>
      <c r="D25" s="32" t="str" cm="1">
        <f t="array" ref="D25">IFERROR(INDEX(tblTaskList[Resource],ROWS($A$11:A25)),"")</f>
        <v>FE</v>
      </c>
      <c r="E25" s="32" cm="1">
        <f t="array" ref="E25">IFERROR(INDEX(tblTaskList[Predecessor Tasks],ROWS($A$11:A25)),"")</f>
        <v>0</v>
      </c>
      <c r="F25" s="33" cm="1">
        <f t="array" ref="F25">IFERROR(INDEX(tblTaskList[Duration (Weeks)],ROWS($A$11:A25)),"")</f>
        <v>0</v>
      </c>
      <c r="G25" s="33" cm="1">
        <f t="array" ref="G25">IFERROR(INDEX(tblTaskList[Start wk],ROWS($A$11:A25)),"")</f>
        <v>8</v>
      </c>
      <c r="H25" s="33" cm="1">
        <f t="array" ref="H25">IFERROR(INDEX(tblTaskList[Finish wk],ROWS($A$11:A25)),"")</f>
        <v>8</v>
      </c>
      <c r="I25" s="34" cm="1">
        <f t="array" ref="I25">IFERROR(INDEX(tblTaskList[Progress],ROWS($A$11:A25)),"")</f>
        <v>0</v>
      </c>
      <c r="J25" s="35" t="str" cm="1">
        <f t="array" ref="J25">IFERROR(IF(INDEX(tblTaskList[Progress],ROWS($A$11:A25))&gt;=1,"Completed",IF(INDEX(tblTaskList[Progress],ROWS($A$11:A25))&gt;0,"In progress","Not started"))&amp;" | Cost "&amp;TEXT(INDEX(tblTaskList[Cost],ROWS($A$11:A25)),"#,##0"),"")</f>
        <v>Not started | Cost 8,000</v>
      </c>
    </row>
    <row r="26" spans="1:10" x14ac:dyDescent="0.35">
      <c r="A26" s="41" t="str" cm="1">
        <f t="array" ref="A26">IFERROR("TASK-"&amp;TEXT(INDEX(tblTaskList[Task ID],ROWS($A$11:A26)),"00"),"")</f>
        <v>TASK-14</v>
      </c>
      <c r="B26" s="23" t="str" cm="1">
        <f t="array" ref="B26">IFERROR(IF(INDEX(tblTaskList[IsInCriticalPath],ROWS($A$11:A26))="Yes","Critical Process","Floating Process"),"")</f>
        <v>Floating Process</v>
      </c>
      <c r="C26" s="32" t="str" cm="1">
        <f t="array" ref="C26">IFERROR(INDEX(tblTaskList[Task Name],ROWS($A$11:A26)),"")</f>
        <v>Wait for Delivery</v>
      </c>
      <c r="D26" s="32" t="str" cm="1">
        <f t="array" ref="D26">IFERROR(INDEX(tblTaskList[Resource],ROWS($A$11:A26)),"")</f>
        <v>FE</v>
      </c>
      <c r="E26" s="32" t="str" cm="1">
        <f t="array" ref="E26">IFERROR(INDEX(tblTaskList[Predecessor Tasks],ROWS($A$11:A26)),"")</f>
        <v>Assembly</v>
      </c>
      <c r="F26" s="33" cm="1">
        <f t="array" ref="F26">IFERROR(INDEX(tblTaskList[Duration (Weeks)],ROWS($A$11:A26)),"")</f>
        <v>6</v>
      </c>
      <c r="G26" s="33" cm="1">
        <f t="array" ref="G26">IFERROR(INDEX(tblTaskList[Start wk],ROWS($A$11:A26)),"")</f>
        <v>7</v>
      </c>
      <c r="H26" s="33" cm="1">
        <f t="array" ref="H26">IFERROR(INDEX(tblTaskList[Finish wk],ROWS($A$11:A26)),"")</f>
        <v>12</v>
      </c>
      <c r="I26" s="34" cm="1">
        <f t="array" ref="I26">IFERROR(INDEX(tblTaskList[Progress],ROWS($A$11:A26)),"")</f>
        <v>0</v>
      </c>
      <c r="J26" s="35" t="str" cm="1">
        <f t="array" ref="J26">IFERROR(IF(INDEX(tblTaskList[Progress],ROWS($A$11:A26))&gt;=1,"Completed",IF(INDEX(tblTaskList[Progress],ROWS($A$11:A26))&gt;0,"In progress","Not started"))&amp;" | Cost "&amp;TEXT(INDEX(tblTaskList[Cost],ROWS($A$11:A26)),"#,##0"),"")</f>
        <v>Not started | Cost 0</v>
      </c>
    </row>
    <row r="27" spans="1:10" x14ac:dyDescent="0.35">
      <c r="A27" s="41" t="str" cm="1">
        <f t="array" ref="A27">IFERROR("TASK-"&amp;TEXT(INDEX(tblTaskList[Task ID],ROWS($A$11:A27)),"00"),"")</f>
        <v>TASK-15</v>
      </c>
      <c r="B27" s="23" t="str" cm="1">
        <f t="array" ref="B27">IFERROR(IF(INDEX(tblTaskList[IsInCriticalPath],ROWS($A$11:A27))="Yes","Critical Process","Floating Process"),"")</f>
        <v>Floating Process</v>
      </c>
      <c r="C27" s="32" t="str" cm="1">
        <f t="array" ref="C27">IFERROR(INDEX(tblTaskList[Task Name],ROWS($A$11:A27)),"")</f>
        <v>Wire down the garden</v>
      </c>
      <c r="D27" s="32" t="str" cm="1">
        <f t="array" ref="D27">IFERROR(INDEX(tblTaskList[Resource],ROWS($A$11:A27)),"")</f>
        <v>NN</v>
      </c>
      <c r="E27" s="32" t="str" cm="1">
        <f t="array" ref="E27">IFERROR(INDEX(tblTaskList[Predecessor Tasks],ROWS($A$11:A27)),"")</f>
        <v>Connect Power</v>
      </c>
      <c r="F27" s="33" cm="1">
        <f t="array" ref="F27">IFERROR(INDEX(tblTaskList[Duration (Weeks)],ROWS($A$11:A27)),"")</f>
        <v>1</v>
      </c>
      <c r="G27" s="33" cm="1">
        <f t="array" ref="G27">IFERROR(INDEX(tblTaskList[Start wk],ROWS($A$11:A27)),"")</f>
        <v>22</v>
      </c>
      <c r="H27" s="33" cm="1">
        <f t="array" ref="H27">IFERROR(INDEX(tblTaskList[Finish wk],ROWS($A$11:A27)),"")</f>
        <v>22</v>
      </c>
      <c r="I27" s="34" cm="1">
        <f t="array" ref="I27">IFERROR(INDEX(tblTaskList[Progress],ROWS($A$11:A27)),"")</f>
        <v>0</v>
      </c>
      <c r="J27" s="35" t="str" cm="1">
        <f t="array" ref="J27">IFERROR(IF(INDEX(tblTaskList[Progress],ROWS($A$11:A27))&gt;=1,"Completed",IF(INDEX(tblTaskList[Progress],ROWS($A$11:A27))&gt;0,"In progress","Not started"))&amp;" | Cost "&amp;TEXT(INDEX(tblTaskList[Cost],ROWS($A$11:A27)),"#,##0"),"")</f>
        <v>Not started | Cost 0</v>
      </c>
    </row>
    <row r="28" spans="1:10" x14ac:dyDescent="0.35">
      <c r="A28" s="41" t="str" cm="1">
        <f t="array" ref="A28">IFERROR("TASK-"&amp;TEXT(INDEX(tblTaskList[Task ID],ROWS($A$11:A28)),"00"),"")</f>
        <v>TASK-16</v>
      </c>
      <c r="B28" s="23" t="str" cm="1">
        <f t="array" ref="B28">IFERROR(IF(INDEX(tblTaskList[IsInCriticalPath],ROWS($A$11:A28))="Yes","Critical Process","Floating Process"),"")</f>
        <v>Floating Process</v>
      </c>
      <c r="C28" s="32" t="str" cm="1">
        <f t="array" ref="C28">IFERROR(INDEX(tblTaskList[Task Name],ROWS($A$11:A28)),"")</f>
        <v>Assembly</v>
      </c>
      <c r="D28" s="32" t="str" cm="1">
        <f t="array" ref="D28">IFERROR(INDEX(tblTaskList[Resource],ROWS($A$11:A28)),"")</f>
        <v>NN</v>
      </c>
      <c r="E28" s="32" cm="1">
        <f t="array" ref="E28">IFERROR(INDEX(tblTaskList[Predecessor Tasks],ROWS($A$11:A28)),"")</f>
        <v>0</v>
      </c>
      <c r="F28" s="33" cm="1">
        <f t="array" ref="F28">IFERROR(INDEX(tblTaskList[Duration (Weeks)],ROWS($A$11:A28)),"")</f>
        <v>1</v>
      </c>
      <c r="G28" s="33" cm="1">
        <f t="array" ref="G28">IFERROR(INDEX(tblTaskList[Start wk],ROWS($A$11:A28)),"")</f>
        <v>23</v>
      </c>
      <c r="H28" s="33" cm="1">
        <f t="array" ref="H28">IFERROR(INDEX(tblTaskList[Finish wk],ROWS($A$11:A28)),"")</f>
        <v>23</v>
      </c>
      <c r="I28" s="34" cm="1">
        <f t="array" ref="I28">IFERROR(INDEX(tblTaskList[Progress],ROWS($A$11:A28)),"")</f>
        <v>0</v>
      </c>
      <c r="J28" s="35" t="str" cm="1">
        <f t="array" ref="J28">IFERROR(IF(INDEX(tblTaskList[Progress],ROWS($A$11:A28))&gt;=1,"Completed",IF(INDEX(tblTaskList[Progress],ROWS($A$11:A28))&gt;0,"In progress","Not started"))&amp;" | Cost "&amp;TEXT(INDEX(tblTaskList[Cost],ROWS($A$11:A28)),"#,##0"),"")</f>
        <v>Not started | Cost 750</v>
      </c>
    </row>
    <row r="29" spans="1:10" x14ac:dyDescent="0.35">
      <c r="A29" s="22"/>
      <c r="B29" s="23"/>
      <c r="C29" s="23"/>
      <c r="D29" s="23"/>
      <c r="E29" s="23"/>
      <c r="F29" s="23"/>
      <c r="G29" s="23"/>
      <c r="H29" s="23"/>
      <c r="I29" s="23"/>
      <c r="J29" s="24"/>
    </row>
    <row r="30" spans="1:10" x14ac:dyDescent="0.35">
      <c r="A30" s="22"/>
      <c r="B30" s="23"/>
      <c r="C30" s="23"/>
      <c r="D30" s="23"/>
      <c r="E30" s="23"/>
      <c r="F30" s="23"/>
      <c r="G30" s="23"/>
      <c r="H30" s="23"/>
      <c r="I30" s="23"/>
      <c r="J30" s="24"/>
    </row>
    <row r="31" spans="1:10" ht="16" x14ac:dyDescent="0.4">
      <c r="A31" s="82" t="s">
        <v>139</v>
      </c>
      <c r="B31" s="83"/>
      <c r="C31" s="83"/>
      <c r="D31" s="83"/>
      <c r="E31" s="83"/>
      <c r="F31" s="83"/>
      <c r="G31" s="83"/>
      <c r="H31" s="83"/>
      <c r="I31" s="83"/>
      <c r="J31" s="84"/>
    </row>
    <row r="32" spans="1:10" x14ac:dyDescent="0.35">
      <c r="A32" s="36" t="s">
        <v>140</v>
      </c>
      <c r="B32" s="42" t="s">
        <v>141</v>
      </c>
      <c r="C32" s="42" t="s">
        <v>142</v>
      </c>
      <c r="D32" s="42" t="s">
        <v>143</v>
      </c>
      <c r="E32" s="23"/>
      <c r="F32" s="85" t="s">
        <v>156</v>
      </c>
      <c r="G32" s="85"/>
      <c r="H32" s="85"/>
      <c r="I32" s="85"/>
      <c r="J32" s="86"/>
    </row>
    <row r="33" spans="1:10" ht="43.5" x14ac:dyDescent="0.35">
      <c r="A33" s="22" t="s">
        <v>131</v>
      </c>
      <c r="B33" s="32" t="s">
        <v>144</v>
      </c>
      <c r="C33" s="32" t="s">
        <v>145</v>
      </c>
      <c r="D33" s="32" t="s">
        <v>146</v>
      </c>
      <c r="E33" s="23"/>
      <c r="F33" s="23">
        <v>1</v>
      </c>
      <c r="G33" s="32" t="s">
        <v>157</v>
      </c>
      <c r="H33" s="23"/>
      <c r="I33" s="23"/>
      <c r="J33" s="24"/>
    </row>
    <row r="34" spans="1:10" ht="29" x14ac:dyDescent="0.35">
      <c r="A34" s="22" t="s">
        <v>132</v>
      </c>
      <c r="B34" s="32" t="s">
        <v>147</v>
      </c>
      <c r="C34" s="32" t="s">
        <v>148</v>
      </c>
      <c r="D34" s="32" t="s">
        <v>149</v>
      </c>
      <c r="E34" s="23"/>
      <c r="F34" s="23">
        <v>2</v>
      </c>
      <c r="G34" s="32" t="s">
        <v>158</v>
      </c>
      <c r="H34" s="23"/>
      <c r="I34" s="23"/>
      <c r="J34" s="24"/>
    </row>
    <row r="35" spans="1:10" ht="29" x14ac:dyDescent="0.35">
      <c r="A35" s="22" t="s">
        <v>133</v>
      </c>
      <c r="B35" s="32" t="s">
        <v>150</v>
      </c>
      <c r="C35" s="32" t="s">
        <v>151</v>
      </c>
      <c r="D35" s="32" t="s">
        <v>101</v>
      </c>
      <c r="E35" s="23"/>
      <c r="F35" s="23">
        <v>3</v>
      </c>
      <c r="G35" s="32" t="s">
        <v>159</v>
      </c>
      <c r="H35" s="23"/>
      <c r="I35" s="23"/>
      <c r="J35" s="24"/>
    </row>
    <row r="36" spans="1:10" ht="43.5" x14ac:dyDescent="0.35">
      <c r="A36" s="22" t="s">
        <v>135</v>
      </c>
      <c r="B36" s="32" t="s">
        <v>152</v>
      </c>
      <c r="C36" s="32" t="s">
        <v>153</v>
      </c>
      <c r="D36" s="32" t="s">
        <v>10</v>
      </c>
      <c r="E36" s="23"/>
      <c r="F36" s="23">
        <v>4</v>
      </c>
      <c r="G36" s="32" t="s">
        <v>160</v>
      </c>
      <c r="H36" s="23"/>
      <c r="I36" s="23"/>
      <c r="J36" s="24"/>
    </row>
    <row r="37" spans="1:10" ht="29" x14ac:dyDescent="0.35">
      <c r="A37" s="22" t="s">
        <v>118</v>
      </c>
      <c r="B37" s="32" t="s">
        <v>154</v>
      </c>
      <c r="C37" s="32" t="s">
        <v>155</v>
      </c>
      <c r="D37" s="37">
        <v>0.2</v>
      </c>
      <c r="E37" s="23"/>
      <c r="F37" s="23">
        <v>5</v>
      </c>
      <c r="G37" s="32" t="s">
        <v>161</v>
      </c>
      <c r="H37" s="23"/>
      <c r="I37" s="23"/>
      <c r="J37" s="24"/>
    </row>
    <row r="38" spans="1:10" x14ac:dyDescent="0.35">
      <c r="A38" s="38"/>
      <c r="B38" s="39"/>
      <c r="C38" s="39"/>
      <c r="D38" s="39"/>
      <c r="E38" s="39"/>
      <c r="F38" s="39"/>
      <c r="G38" s="39"/>
      <c r="H38" s="39"/>
      <c r="I38" s="39"/>
      <c r="J38" s="40"/>
    </row>
  </sheetData>
  <mergeCells count="5">
    <mergeCell ref="A1:J1"/>
    <mergeCell ref="A2:J2"/>
    <mergeCell ref="A4:J4"/>
    <mergeCell ref="A31:J31"/>
    <mergeCell ref="F32:J32"/>
  </mergeCells>
  <conditionalFormatting sqref="B11:B28">
    <cfRule type="containsText" dxfId="0" priority="2" operator="containsText" text="Critical">
      <formula>NOT(ISERROR(SEARCH("Critical",B11)))</formula>
    </cfRule>
  </conditionalFormatting>
  <conditionalFormatting sqref="I11:I28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{A76CF1AD-50B2-4538-B337-9FE5F1E252EB}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6CF1AD-50B2-4538-B337-9FE5F1E252E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I11:I28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66AC-7AF2-4D17-A5C0-B284CEA8F2D1}">
  <dimension ref="A1:AE37"/>
  <sheetViews>
    <sheetView topLeftCell="A20" workbookViewId="0">
      <selection activeCell="H20" sqref="H20"/>
    </sheetView>
  </sheetViews>
  <sheetFormatPr defaultRowHeight="14.5" x14ac:dyDescent="0.35"/>
  <cols>
    <col min="1" max="1" width="20.90625" customWidth="1"/>
    <col min="2" max="2" width="5.08984375" customWidth="1"/>
    <col min="3" max="3" width="7.81640625" customWidth="1"/>
    <col min="4" max="4" width="6.7265625" customWidth="1"/>
    <col min="5" max="5" width="8" customWidth="1"/>
    <col min="6" max="6" width="6.453125" customWidth="1"/>
    <col min="7" max="8" width="5.08984375" customWidth="1"/>
    <col min="9" max="9" width="11" customWidth="1"/>
    <col min="10" max="17" width="5.08984375" customWidth="1"/>
    <col min="18" max="18" width="6.36328125" customWidth="1"/>
    <col min="19" max="27" width="5.08984375" customWidth="1"/>
    <col min="28" max="31" width="10.90625" customWidth="1"/>
  </cols>
  <sheetData>
    <row r="1" spans="1:31" ht="48" customHeight="1" x14ac:dyDescent="0.55000000000000004">
      <c r="A1" s="93" t="s">
        <v>162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</row>
    <row r="2" spans="1:31" ht="30" customHeight="1" x14ac:dyDescent="0.35">
      <c r="A2" s="94" t="s">
        <v>163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</row>
    <row r="3" spans="1:31" ht="8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49" customHeight="1" x14ac:dyDescent="0.35">
      <c r="A4" s="92" t="s">
        <v>164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</row>
    <row r="5" spans="1:31" ht="10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ht="31.5" customHeight="1" x14ac:dyDescent="0.35">
      <c r="A6" s="54" t="s">
        <v>165</v>
      </c>
      <c r="B6" s="54" t="s">
        <v>166</v>
      </c>
      <c r="C6" s="54" t="s">
        <v>167</v>
      </c>
      <c r="D6" s="54" t="s">
        <v>168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ht="46" customHeight="1" x14ac:dyDescent="0.35">
      <c r="A7" s="55" t="s">
        <v>113</v>
      </c>
      <c r="B7" s="43" t="s">
        <v>169</v>
      </c>
      <c r="C7" s="43" t="s">
        <v>170</v>
      </c>
      <c r="D7" s="44" t="s">
        <v>171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 ht="41" customHeight="1" x14ac:dyDescent="0.35">
      <c r="A8" s="56" t="s">
        <v>114</v>
      </c>
      <c r="B8" s="45" t="s">
        <v>172</v>
      </c>
      <c r="C8" s="45" t="s">
        <v>170</v>
      </c>
      <c r="D8" s="46" t="s">
        <v>173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 ht="50.5" customHeight="1" x14ac:dyDescent="0.35">
      <c r="A9" s="56" t="s">
        <v>34</v>
      </c>
      <c r="B9" s="45" t="s">
        <v>174</v>
      </c>
      <c r="C9" s="47" t="s">
        <v>175</v>
      </c>
      <c r="D9" s="46" t="s">
        <v>176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pans="1:31" ht="40" customHeight="1" x14ac:dyDescent="0.35">
      <c r="A10" s="57" t="s">
        <v>119</v>
      </c>
      <c r="B10" s="48" t="s">
        <v>177</v>
      </c>
      <c r="C10" s="49" t="s">
        <v>178</v>
      </c>
      <c r="D10" s="50" t="s">
        <v>179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ht="24" customHeight="1" x14ac:dyDescent="0.35">
      <c r="A11" s="19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19"/>
      <c r="AC11" s="19"/>
      <c r="AD11" s="19"/>
      <c r="AE11" s="19"/>
    </row>
    <row r="12" spans="1:31" ht="22" customHeight="1" x14ac:dyDescent="0.35">
      <c r="A12" s="20" t="s">
        <v>165</v>
      </c>
      <c r="B12" s="20" t="s">
        <v>180</v>
      </c>
      <c r="C12" s="20" t="s">
        <v>181</v>
      </c>
      <c r="D12" s="20" t="s">
        <v>182</v>
      </c>
      <c r="E12" s="20" t="s">
        <v>183</v>
      </c>
      <c r="F12" s="20" t="s">
        <v>184</v>
      </c>
      <c r="G12" s="20" t="s">
        <v>185</v>
      </c>
      <c r="H12" s="20" t="s">
        <v>186</v>
      </c>
      <c r="I12" s="20" t="s">
        <v>187</v>
      </c>
      <c r="J12" s="20" t="s">
        <v>188</v>
      </c>
      <c r="K12" s="20" t="s">
        <v>189</v>
      </c>
      <c r="L12" s="20" t="s">
        <v>190</v>
      </c>
      <c r="M12" s="20" t="s">
        <v>191</v>
      </c>
      <c r="N12" s="20" t="s">
        <v>192</v>
      </c>
      <c r="O12" s="20" t="s">
        <v>193</v>
      </c>
      <c r="P12" s="20" t="s">
        <v>194</v>
      </c>
      <c r="Q12" s="20" t="s">
        <v>195</v>
      </c>
      <c r="R12" s="20" t="s">
        <v>196</v>
      </c>
      <c r="S12" s="20" t="s">
        <v>197</v>
      </c>
      <c r="T12" s="20" t="s">
        <v>198</v>
      </c>
      <c r="U12" s="20" t="s">
        <v>199</v>
      </c>
      <c r="V12" s="20" t="s">
        <v>200</v>
      </c>
      <c r="W12" s="20" t="s">
        <v>201</v>
      </c>
      <c r="X12" s="20" t="s">
        <v>202</v>
      </c>
      <c r="Y12" s="20" t="s">
        <v>203</v>
      </c>
      <c r="Z12" s="20" t="s">
        <v>204</v>
      </c>
      <c r="AA12" s="20" t="s">
        <v>205</v>
      </c>
      <c r="AB12" s="19"/>
      <c r="AC12" s="19"/>
      <c r="AD12" s="19"/>
      <c r="AE12" s="19"/>
    </row>
    <row r="13" spans="1:31" ht="48" customHeight="1" x14ac:dyDescent="0.35">
      <c r="A13" s="95" t="s">
        <v>113</v>
      </c>
      <c r="B13" s="96" t="str">
        <f>INDEX(tblTaskList[Task Name],1)&amp;CHAR(10)&amp;TEXT(INDEX(tblTaskList[Progress],1),"0%")&amp;" | "&amp;INDEX(tblTaskList[IsInCriticalPath],1)</f>
        <v>Planning permission
100% | Yes</v>
      </c>
      <c r="C13" s="97"/>
      <c r="D13" s="98"/>
      <c r="E13" s="98"/>
      <c r="F13" s="98"/>
      <c r="G13" s="99"/>
      <c r="H13" s="58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60"/>
      <c r="AB13" s="19"/>
      <c r="AC13" s="19"/>
      <c r="AD13" s="19"/>
      <c r="AE13" s="19"/>
    </row>
    <row r="14" spans="1:31" ht="57" customHeight="1" x14ac:dyDescent="0.35">
      <c r="A14" s="95"/>
      <c r="B14" s="61"/>
      <c r="C14" s="51" t="str">
        <f>INDEX(tblTaskList[Task Name],9)&amp;CHAR(10)&amp;TEXT(INDEX(tblTaskList[Progress],9),"0%")&amp;" | "&amp;INDEX(tblTaskList[IsInCriticalPath],9)</f>
        <v>Check funds
100% | Float</v>
      </c>
      <c r="D14" s="58"/>
      <c r="E14" s="62"/>
      <c r="F14" s="59"/>
      <c r="G14" s="59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  <c r="AB14" s="19"/>
      <c r="AC14" s="19"/>
      <c r="AD14" s="19"/>
      <c r="AE14" s="19"/>
    </row>
    <row r="15" spans="1:31" ht="58" customHeight="1" x14ac:dyDescent="0.35">
      <c r="A15" s="95"/>
      <c r="B15" s="65"/>
      <c r="C15" s="59"/>
      <c r="D15" s="64"/>
      <c r="E15" s="51" t="str">
        <f>INDEX(tblTaskList[Task Name],13)&amp;CHAR(10)&amp;TEXT(INDEX(tblTaskList[Progress],13),"0%")&amp;" | "&amp;INDEX(tblTaskList[IsInCriticalPath],13)</f>
        <v>Find suppliers
100% | Float</v>
      </c>
      <c r="F15" s="65"/>
      <c r="G15" s="63"/>
      <c r="H15" s="66"/>
      <c r="I15" s="66"/>
      <c r="J15" s="6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  <c r="AB15" s="19"/>
      <c r="AC15" s="19"/>
      <c r="AD15" s="19"/>
      <c r="AE15" s="19"/>
    </row>
    <row r="16" spans="1:31" ht="48" customHeight="1" x14ac:dyDescent="0.35">
      <c r="A16" s="95"/>
      <c r="B16" s="65"/>
      <c r="C16" s="63"/>
      <c r="D16" s="63"/>
      <c r="E16" s="59"/>
      <c r="F16" s="63"/>
      <c r="G16" s="64"/>
      <c r="H16" s="100" t="str">
        <f>INDEX(tblTaskList[Task Name],14)&amp;CHAR(10)&amp;TEXT(INDEX(tblTaskList[Progress],14),"0%")&amp;" | "&amp;INDEX(tblTaskList[IsInCriticalPath],14)</f>
        <v>Get quotes
0% | Float</v>
      </c>
      <c r="I16" s="101"/>
      <c r="J16" s="102"/>
      <c r="K16" s="67"/>
      <c r="L16" s="66"/>
      <c r="M16" s="66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  <c r="AB16" s="19"/>
      <c r="AC16" s="19"/>
      <c r="AD16" s="19"/>
      <c r="AE16" s="19"/>
    </row>
    <row r="17" spans="1:31" ht="48" customHeight="1" x14ac:dyDescent="0.35">
      <c r="A17" s="95"/>
      <c r="B17" s="65"/>
      <c r="C17" s="63"/>
      <c r="D17" s="63"/>
      <c r="E17" s="63"/>
      <c r="F17" s="63"/>
      <c r="G17" s="64"/>
      <c r="H17" s="100" t="str">
        <f>INDEX(tblTaskList[Task Name],16)&amp;CHAR(10)&amp;TEXT(INDEX(tblTaskList[Progress],16),"0%")&amp;" | "&amp;INDEX(tblTaskList[IsInCriticalPath],16)</f>
        <v>Wait for Delivery
0% | Float</v>
      </c>
      <c r="I17" s="101"/>
      <c r="J17" s="101"/>
      <c r="K17" s="101"/>
      <c r="L17" s="101"/>
      <c r="M17" s="102"/>
      <c r="N17" s="67"/>
      <c r="O17" s="66"/>
      <c r="P17" s="66"/>
      <c r="Q17" s="66"/>
      <c r="R17" s="63"/>
      <c r="S17" s="63"/>
      <c r="T17" s="63"/>
      <c r="U17" s="63"/>
      <c r="V17" s="63"/>
      <c r="W17" s="63"/>
      <c r="X17" s="63"/>
      <c r="Y17" s="63"/>
      <c r="Z17" s="63"/>
      <c r="AA17" s="64"/>
      <c r="AB17" s="19"/>
      <c r="AC17" s="19"/>
      <c r="AD17" s="19"/>
      <c r="AE17" s="19"/>
    </row>
    <row r="18" spans="1:31" ht="48" customHeight="1" x14ac:dyDescent="0.35">
      <c r="A18" s="95"/>
      <c r="B18" s="65"/>
      <c r="C18" s="63"/>
      <c r="D18" s="63"/>
      <c r="E18" s="63"/>
      <c r="F18" s="63"/>
      <c r="G18" s="64"/>
      <c r="H18" s="96" t="str">
        <f>INDEX(tblTaskList[Task Name],2)&amp;CHAR(10)&amp;TEXT(INDEX(tblTaskList[Progress],2),"0%")&amp;" | "&amp;INDEX(tblTaskList[IsInCriticalPath],2)</f>
        <v>Wait for planning permission
20% | Yes</v>
      </c>
      <c r="I18" s="97"/>
      <c r="J18" s="98"/>
      <c r="K18" s="98"/>
      <c r="L18" s="98"/>
      <c r="M18" s="98"/>
      <c r="N18" s="98"/>
      <c r="O18" s="98"/>
      <c r="P18" s="98"/>
      <c r="Q18" s="99"/>
      <c r="R18" s="65"/>
      <c r="S18" s="63"/>
      <c r="T18" s="63"/>
      <c r="U18" s="63"/>
      <c r="V18" s="63"/>
      <c r="W18" s="63"/>
      <c r="X18" s="63"/>
      <c r="Y18" s="63"/>
      <c r="Z18" s="63"/>
      <c r="AA18" s="64"/>
      <c r="AB18" s="19"/>
      <c r="AC18" s="19"/>
      <c r="AD18" s="19"/>
      <c r="AE18" s="19"/>
    </row>
    <row r="19" spans="1:31" ht="48" customHeight="1" x14ac:dyDescent="0.35">
      <c r="A19" s="95"/>
      <c r="B19" s="65"/>
      <c r="C19" s="63"/>
      <c r="D19" s="63"/>
      <c r="E19" s="63"/>
      <c r="F19" s="63"/>
      <c r="G19" s="63"/>
      <c r="H19" s="60"/>
      <c r="I19" s="51" t="str">
        <f>INDEX(tblTaskList[Task Name],15)&amp;CHAR(10)&amp;TEXT(INDEX(tblTaskList[Progress],15),"0%")&amp;" | "&amp;INDEX(tblTaskList[IsInCriticalPath],15)</f>
        <v>Buy the shed
0% | Float</v>
      </c>
      <c r="J19" s="58"/>
      <c r="K19" s="59"/>
      <c r="L19" s="59"/>
      <c r="M19" s="59"/>
      <c r="N19" s="59"/>
      <c r="O19" s="59"/>
      <c r="P19" s="59"/>
      <c r="Q19" s="59"/>
      <c r="R19" s="63"/>
      <c r="S19" s="66"/>
      <c r="T19" s="66"/>
      <c r="U19" s="63"/>
      <c r="V19" s="63"/>
      <c r="W19" s="63"/>
      <c r="X19" s="63"/>
      <c r="Y19" s="63"/>
      <c r="Z19" s="63"/>
      <c r="AA19" s="64"/>
      <c r="AB19" s="19"/>
      <c r="AC19" s="19"/>
      <c r="AD19" s="19"/>
      <c r="AE19" s="19"/>
    </row>
    <row r="20" spans="1:31" ht="48" customHeight="1" x14ac:dyDescent="0.35">
      <c r="A20" s="95"/>
      <c r="B20" s="65"/>
      <c r="C20" s="63"/>
      <c r="D20" s="63"/>
      <c r="E20" s="63"/>
      <c r="F20" s="63"/>
      <c r="G20" s="63"/>
      <c r="H20" s="63"/>
      <c r="I20" s="59"/>
      <c r="J20" s="63"/>
      <c r="K20" s="63"/>
      <c r="L20" s="63"/>
      <c r="M20" s="63"/>
      <c r="N20" s="63"/>
      <c r="O20" s="63"/>
      <c r="P20" s="63"/>
      <c r="Q20" s="63"/>
      <c r="R20" s="64"/>
      <c r="S20" s="96" t="str">
        <f>INDEX(tblTaskList[Task Name],4)&amp;CHAR(10)&amp;TEXT(INDEX(tblTaskList[Progress],4),"0%")&amp;" | "&amp;INDEX(tblTaskList[IsInCriticalPath],4)</f>
        <v>Hire digger
0% | Yes</v>
      </c>
      <c r="T20" s="99"/>
      <c r="U20" s="65"/>
      <c r="V20" s="63"/>
      <c r="W20" s="66"/>
      <c r="X20" s="66"/>
      <c r="Y20" s="66"/>
      <c r="Z20" s="66"/>
      <c r="AA20" s="64"/>
      <c r="AB20" s="19"/>
      <c r="AC20" s="19"/>
      <c r="AD20" s="19"/>
      <c r="AE20" s="19"/>
    </row>
    <row r="21" spans="1:31" ht="48" customHeight="1" x14ac:dyDescent="0.35">
      <c r="A21" s="95"/>
      <c r="B21" s="67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2"/>
      <c r="T21" s="62"/>
      <c r="U21" s="66"/>
      <c r="V21" s="68"/>
      <c r="W21" s="96" t="str">
        <f>INDEX(tblTaskList[Task Name],7)&amp;CHAR(10)&amp;TEXT(INDEX(tblTaskList[Progress],7),"0%")&amp;" | "&amp;INDEX(tblTaskList[IsInCriticalPath],7)</f>
        <v>the Finish
0% | Yes</v>
      </c>
      <c r="X21" s="98"/>
      <c r="Y21" s="98"/>
      <c r="Z21" s="99"/>
      <c r="AA21" s="69"/>
      <c r="AB21" s="19"/>
      <c r="AC21" s="19"/>
      <c r="AD21" s="19"/>
      <c r="AE21" s="19"/>
    </row>
    <row r="22" spans="1:31" ht="12" customHeight="1" x14ac:dyDescent="0.35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19"/>
      <c r="AC22" s="19"/>
      <c r="AD22" s="19"/>
      <c r="AE22" s="19"/>
    </row>
    <row r="23" spans="1:31" ht="48" customHeight="1" x14ac:dyDescent="0.35">
      <c r="A23" s="87" t="s">
        <v>114</v>
      </c>
      <c r="B23" s="58"/>
      <c r="C23" s="60"/>
      <c r="D23" s="51" t="str">
        <f>INDEX(tblTaskList[Task Name],10)&amp;CHAR(10)&amp;TEXT(INDEX(tblTaskList[Progress],10),"0%")&amp;" | "&amp;INDEX(tblTaskList[IsInCriticalPath],10)</f>
        <v>Demolish old shed
0% | Float</v>
      </c>
      <c r="E23" s="58"/>
      <c r="F23" s="59"/>
      <c r="G23" s="59"/>
      <c r="H23" s="59"/>
      <c r="I23" s="62"/>
      <c r="J23" s="62"/>
      <c r="K23" s="62"/>
      <c r="L23" s="62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60"/>
      <c r="AB23" s="19"/>
      <c r="AC23" s="19"/>
      <c r="AD23" s="19"/>
      <c r="AE23" s="19"/>
    </row>
    <row r="24" spans="1:31" ht="48" customHeight="1" x14ac:dyDescent="0.35">
      <c r="A24" s="87"/>
      <c r="B24" s="65"/>
      <c r="C24" s="63"/>
      <c r="D24" s="59"/>
      <c r="E24" s="63"/>
      <c r="F24" s="63"/>
      <c r="G24" s="63"/>
      <c r="H24" s="64"/>
      <c r="I24" s="88" t="str">
        <f>INDEX(tblTaskList[Task Name],11)&amp;CHAR(10)&amp;TEXT(INDEX(tblTaskList[Progress],11),"0%")&amp;" | "&amp;INDEX(tblTaskList[IsInCriticalPath],11)</f>
        <v>Cut foliage back
0% | Float</v>
      </c>
      <c r="J24" s="89"/>
      <c r="K24" s="89"/>
      <c r="L24" s="90"/>
      <c r="M24" s="65"/>
      <c r="N24" s="66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  <c r="AB24" s="19"/>
      <c r="AC24" s="19"/>
      <c r="AD24" s="19"/>
      <c r="AE24" s="19"/>
    </row>
    <row r="25" spans="1:31" ht="48" customHeight="1" x14ac:dyDescent="0.35">
      <c r="A25" s="87"/>
      <c r="B25" s="65"/>
      <c r="C25" s="63"/>
      <c r="D25" s="63"/>
      <c r="E25" s="63"/>
      <c r="F25" s="63"/>
      <c r="G25" s="63"/>
      <c r="H25" s="63"/>
      <c r="I25" s="59"/>
      <c r="J25" s="59"/>
      <c r="K25" s="59"/>
      <c r="L25" s="59"/>
      <c r="M25" s="64"/>
      <c r="N25" s="51" t="str">
        <f>INDEX(tblTaskList[Task Name],12)&amp;CHAR(10)&amp;TEXT(INDEX(tblTaskList[Progress],12),"0%")&amp;" | "&amp;INDEX(tblTaskList[IsInCriticalPath],12)</f>
        <v>Connect Power
0% | Float</v>
      </c>
      <c r="O25" s="65"/>
      <c r="P25" s="63"/>
      <c r="Q25" s="63"/>
      <c r="R25" s="66"/>
      <c r="S25" s="63"/>
      <c r="T25" s="63"/>
      <c r="U25" s="63"/>
      <c r="V25" s="63"/>
      <c r="W25" s="63"/>
      <c r="X25" s="63"/>
      <c r="Y25" s="63"/>
      <c r="Z25" s="63"/>
      <c r="AA25" s="64"/>
      <c r="AB25" s="19"/>
      <c r="AC25" s="19"/>
      <c r="AD25" s="19"/>
      <c r="AE25" s="19"/>
    </row>
    <row r="26" spans="1:31" ht="48" customHeight="1" x14ac:dyDescent="0.35">
      <c r="A26" s="87"/>
      <c r="B26" s="65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59"/>
      <c r="O26" s="63"/>
      <c r="P26" s="63"/>
      <c r="Q26" s="64"/>
      <c r="R26" s="52" t="str">
        <f>INDEX(tblTaskList[Task Name],3)&amp;CHAR(10)&amp;TEXT(INDEX(tblTaskList[Progress],3),"0%")&amp;" | "&amp;INDEX(tblTaskList[IsInCriticalPath],3)</f>
        <v>Dig trench
0% | Yes</v>
      </c>
      <c r="S26" s="65"/>
      <c r="T26" s="63"/>
      <c r="U26" s="66"/>
      <c r="V26" s="63"/>
      <c r="W26" s="63"/>
      <c r="X26" s="63"/>
      <c r="Y26" s="63"/>
      <c r="Z26" s="63"/>
      <c r="AA26" s="64"/>
      <c r="AB26" s="19"/>
      <c r="AC26" s="19"/>
      <c r="AD26" s="19"/>
      <c r="AE26" s="19"/>
    </row>
    <row r="27" spans="1:31" ht="48" customHeight="1" x14ac:dyDescent="0.35">
      <c r="A27" s="87"/>
      <c r="B27" s="65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59"/>
      <c r="S27" s="63"/>
      <c r="T27" s="64"/>
      <c r="U27" s="52" t="str">
        <f>INDEX(tblTaskList[Task Name],5)&amp;CHAR(10)&amp;TEXT(INDEX(tblTaskList[Progress],5),"0%")&amp;" | "&amp;INDEX(tblTaskList[IsInCriticalPath],5)</f>
        <v>Fill with concrete
0% | Yes</v>
      </c>
      <c r="V27" s="67"/>
      <c r="W27" s="63"/>
      <c r="X27" s="63"/>
      <c r="Y27" s="63"/>
      <c r="Z27" s="63"/>
      <c r="AA27" s="64"/>
      <c r="AB27" s="19"/>
      <c r="AC27" s="19"/>
      <c r="AD27" s="19"/>
      <c r="AE27" s="19"/>
    </row>
    <row r="28" spans="1:31" ht="48" customHeight="1" x14ac:dyDescent="0.35">
      <c r="A28" s="87"/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0"/>
      <c r="V28" s="52" t="str">
        <f>INDEX(tblTaskList[Task Name],6)&amp;CHAR(10)&amp;TEXT(INDEX(tblTaskList[Progress],6),"0%")&amp;" | "&amp;INDEX(tblTaskList[IsInCriticalPath],6)</f>
        <v>Level the base
0% | Yes</v>
      </c>
      <c r="W28" s="67"/>
      <c r="X28" s="63"/>
      <c r="Y28" s="63"/>
      <c r="Z28" s="63"/>
      <c r="AA28" s="64"/>
      <c r="AB28" s="19"/>
      <c r="AC28" s="19"/>
      <c r="AD28" s="19"/>
      <c r="AE28" s="19"/>
    </row>
    <row r="29" spans="1:31" ht="48" customHeight="1" x14ac:dyDescent="0.35">
      <c r="A29" s="87"/>
      <c r="B29" s="65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0"/>
      <c r="W29" s="53" t="str">
        <f>INDEX(tblTaskList[Task Name],8)&amp;CHAR(10)&amp;TEXT(INDEX(tblTaskList[Progress],8),"0%")&amp;" | "&amp;INDEX(tblTaskList[IsInCriticalPath],8)</f>
        <v>Delivery
0% | Yes</v>
      </c>
      <c r="X29" s="65"/>
      <c r="Y29" s="63"/>
      <c r="Z29" s="63"/>
      <c r="AA29" s="64"/>
      <c r="AB29" s="19"/>
      <c r="AC29" s="19"/>
      <c r="AD29" s="19"/>
      <c r="AE29" s="19"/>
    </row>
    <row r="30" spans="1:31" ht="48" customHeight="1" x14ac:dyDescent="0.35">
      <c r="A30" s="87"/>
      <c r="B30" s="65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4"/>
      <c r="W30" s="51" t="str">
        <f>INDEX(tblTaskList[Task Name],17)&amp;CHAR(10)&amp;TEXT(INDEX(tblTaskList[Progress],17),"0%")&amp;" | "&amp;INDEX(tblTaskList[IsInCriticalPath],17)</f>
        <v>Wire down the garden
0% | Float</v>
      </c>
      <c r="X30" s="67"/>
      <c r="Y30" s="63"/>
      <c r="Z30" s="63"/>
      <c r="AA30" s="64"/>
      <c r="AB30" s="19"/>
      <c r="AC30" s="19"/>
      <c r="AD30" s="19"/>
      <c r="AE30" s="19"/>
    </row>
    <row r="31" spans="1:31" ht="48" customHeight="1" x14ac:dyDescent="0.35">
      <c r="A31" s="87"/>
      <c r="B31" s="67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71"/>
      <c r="X31" s="51" t="str">
        <f>INDEX(tblTaskList[Task Name],18)&amp;CHAR(10)&amp;TEXT(INDEX(tblTaskList[Progress],18),"0%")&amp;" | "&amp;INDEX(tblTaskList[IsInCriticalPath],18)</f>
        <v>Assembly
0% | Float</v>
      </c>
      <c r="Y31" s="67"/>
      <c r="Z31" s="66"/>
      <c r="AA31" s="68"/>
      <c r="AB31" s="19"/>
      <c r="AC31" s="19"/>
      <c r="AD31" s="19"/>
      <c r="AE31" s="19"/>
    </row>
    <row r="32" spans="1:31" ht="12" customHeight="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ht="24" customHeight="1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spans="1:31" ht="42" customHeight="1" x14ac:dyDescent="0.35">
      <c r="A34" s="91" t="s">
        <v>206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</row>
    <row r="35" spans="1:31" ht="42" customHeight="1" x14ac:dyDescent="0.35">
      <c r="A35" s="92" t="s">
        <v>207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</row>
    <row r="36" spans="1:31" ht="42" customHeight="1" x14ac:dyDescent="0.35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</row>
    <row r="37" spans="1:31" ht="10" customHeight="1" x14ac:dyDescent="0.35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</row>
  </sheetData>
  <mergeCells count="14">
    <mergeCell ref="A23:A31"/>
    <mergeCell ref="I24:L24"/>
    <mergeCell ref="A34:AE34"/>
    <mergeCell ref="A35:AE37"/>
    <mergeCell ref="A1:AE1"/>
    <mergeCell ref="A2:AE2"/>
    <mergeCell ref="A4:AE4"/>
    <mergeCell ref="A13:A21"/>
    <mergeCell ref="B13:G13"/>
    <mergeCell ref="H16:J16"/>
    <mergeCell ref="H17:M17"/>
    <mergeCell ref="H18:Q18"/>
    <mergeCell ref="S20:T20"/>
    <mergeCell ref="W21:Z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443F8-470D-4587-BBD5-DBA103B73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Init</vt:lpstr>
      <vt:lpstr>tblTaskList</vt:lpstr>
      <vt:lpstr>MS VISIO</vt:lpstr>
      <vt:lpstr>Swimlane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2026-08-05T12:33:58Z</dcterms:created>
  <dcterms:modified xsi:type="dcterms:W3CDTF">2026-08-06T18:56:50Z</dcterms:modified>
</cp:coreProperties>
</file>