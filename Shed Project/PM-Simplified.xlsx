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Desktop\Shed Project\"/>
    </mc:Choice>
  </mc:AlternateContent>
  <xr:revisionPtr revIDLastSave="0" documentId="13_ncr:1_{BA746421-271A-4EFA-B52A-D06AD85523C9}" xr6:coauthVersionLast="47" xr6:coauthVersionMax="47" xr10:uidLastSave="{00000000-0000-0000-0000-000000000000}"/>
  <bookViews>
    <workbookView xWindow="-120" yWindow="-16320" windowWidth="29040" windowHeight="15720" activeTab="3" xr2:uid="{0106B83F-EB37-4C4F-9556-363874988AEC}"/>
  </bookViews>
  <sheets>
    <sheet name="Project Init" sheetId="20" r:id="rId1"/>
    <sheet name="tblTaskList" sheetId="4" r:id="rId2"/>
    <sheet name="Gantt-frame" sheetId="19" r:id="rId3"/>
    <sheet name="EVM" sheetId="2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T2" i="4" l="1"/>
  <c r="S2" i="4"/>
  <c r="J8" i="19" a="1"/>
  <c r="J8" i="19" s="1"/>
  <c r="I8" i="19" a="1"/>
  <c r="I8" i="19" s="1"/>
  <c r="C8" i="19" a="1"/>
  <c r="C8" i="19" s="1"/>
  <c r="F4" i="19"/>
  <c r="G4" i="19" s="1"/>
  <c r="F5" i="19"/>
  <c r="BJ5" i="19" s="1"/>
  <c r="BJ6" i="19" s="1"/>
  <c r="B8" i="19" a="1"/>
  <c r="B8" i="19" s="1"/>
  <c r="A8" i="19" a="1"/>
  <c r="A8" i="19" s="1"/>
  <c r="G8" i="19" s="1"/>
  <c r="A3" i="19"/>
  <c r="F8" i="19" a="1"/>
  <c r="F8" i="19" s="1"/>
  <c r="E8" i="19" a="1"/>
  <c r="E8" i="19" s="1"/>
  <c r="K12" i="4" s="1"/>
  <c r="L12" i="4" s="1"/>
  <c r="Y14" i="4"/>
  <c r="Q2" i="4"/>
  <c r="R2" i="4"/>
  <c r="I6" i="19" l="1"/>
  <c r="J6" i="19"/>
  <c r="K13" i="4"/>
  <c r="L13" i="4" s="1"/>
  <c r="K14" i="4"/>
  <c r="L14" i="4" s="1"/>
  <c r="K16" i="4"/>
  <c r="L16" i="4" s="1"/>
  <c r="K2" i="4"/>
  <c r="L2" i="4" s="1"/>
  <c r="K9" i="4"/>
  <c r="L9" i="4" s="1"/>
  <c r="K17" i="4"/>
  <c r="L17" i="4" s="1"/>
  <c r="K10" i="4"/>
  <c r="L10" i="4" s="1"/>
  <c r="K18" i="4"/>
  <c r="L18" i="4" s="1"/>
  <c r="K15" i="4"/>
  <c r="L15" i="4" s="1"/>
  <c r="K11" i="4"/>
  <c r="L11" i="4" s="1"/>
  <c r="K19" i="4"/>
  <c r="L19" i="4" s="1"/>
  <c r="D8" i="19"/>
  <c r="BE8" i="19" s="1"/>
  <c r="D25" i="19"/>
  <c r="BI25" i="19" s="1"/>
  <c r="D16" i="19"/>
  <c r="AQ16" i="19" s="1"/>
  <c r="D17" i="19"/>
  <c r="N17" i="19" s="1"/>
  <c r="D24" i="19"/>
  <c r="Z24" i="19" s="1"/>
  <c r="D18" i="19"/>
  <c r="D19" i="19"/>
  <c r="D20" i="19"/>
  <c r="D21" i="19"/>
  <c r="D22" i="19"/>
  <c r="D15" i="19"/>
  <c r="D23" i="19"/>
  <c r="G10" i="19"/>
  <c r="D10" i="19" s="1"/>
  <c r="G9" i="19"/>
  <c r="D9" i="19" s="1"/>
  <c r="G14" i="19"/>
  <c r="D14" i="19" s="1"/>
  <c r="G13" i="19"/>
  <c r="D13" i="19" s="1"/>
  <c r="G12" i="19"/>
  <c r="G11" i="19"/>
  <c r="BD5" i="19"/>
  <c r="BD6" i="19" s="1"/>
  <c r="R5" i="19"/>
  <c r="R6" i="19" s="1"/>
  <c r="Z5" i="19"/>
  <c r="Z6" i="19" s="1"/>
  <c r="AH5" i="19"/>
  <c r="AH6" i="19" s="1"/>
  <c r="AP5" i="19"/>
  <c r="AP6" i="19" s="1"/>
  <c r="AX5" i="19"/>
  <c r="AX6" i="19" s="1"/>
  <c r="BF5" i="19"/>
  <c r="BF6" i="19" s="1"/>
  <c r="X5" i="19"/>
  <c r="X6" i="19" s="1"/>
  <c r="AN5" i="19"/>
  <c r="AN6" i="19" s="1"/>
  <c r="Y5" i="19"/>
  <c r="Y6" i="19" s="1"/>
  <c r="AG5" i="19"/>
  <c r="AG6" i="19" s="1"/>
  <c r="AO5" i="19"/>
  <c r="AO6" i="19" s="1"/>
  <c r="AW5" i="19"/>
  <c r="AW6" i="19" s="1"/>
  <c r="BE5" i="19"/>
  <c r="BE6" i="19" s="1"/>
  <c r="K5" i="19"/>
  <c r="K6" i="19" s="1"/>
  <c r="S5" i="19"/>
  <c r="S6" i="19" s="1"/>
  <c r="AA5" i="19"/>
  <c r="AA6" i="19" s="1"/>
  <c r="AI5" i="19"/>
  <c r="AI6" i="19" s="1"/>
  <c r="AQ5" i="19"/>
  <c r="AQ6" i="19" s="1"/>
  <c r="AY5" i="19"/>
  <c r="AY6" i="19" s="1"/>
  <c r="BG5" i="19"/>
  <c r="BG6" i="19" s="1"/>
  <c r="O5" i="19"/>
  <c r="O6" i="19" s="1"/>
  <c r="BC5" i="19"/>
  <c r="BC6" i="19" s="1"/>
  <c r="BH5" i="19"/>
  <c r="BH6" i="19" s="1"/>
  <c r="L5" i="19"/>
  <c r="L6" i="19" s="1"/>
  <c r="AB5" i="19"/>
  <c r="AB6" i="19" s="1"/>
  <c r="AJ5" i="19"/>
  <c r="AR5" i="19"/>
  <c r="AR6" i="19" s="1"/>
  <c r="M5" i="19"/>
  <c r="M6" i="19" s="1"/>
  <c r="U5" i="19"/>
  <c r="U6" i="19" s="1"/>
  <c r="AC5" i="19"/>
  <c r="AC6" i="19" s="1"/>
  <c r="AK5" i="19"/>
  <c r="AK6" i="19" s="1"/>
  <c r="AS5" i="19"/>
  <c r="AS6" i="19" s="1"/>
  <c r="BA5" i="19"/>
  <c r="BA6" i="19" s="1"/>
  <c r="BI5" i="19"/>
  <c r="BI6" i="19" s="1"/>
  <c r="W5" i="19"/>
  <c r="W6" i="19" s="1"/>
  <c r="AE5" i="19"/>
  <c r="AE6" i="19" s="1"/>
  <c r="AM5" i="19"/>
  <c r="AM6" i="19" s="1"/>
  <c r="AU5" i="19"/>
  <c r="AU6" i="19" s="1"/>
  <c r="P5" i="19"/>
  <c r="P6" i="19" s="1"/>
  <c r="AF5" i="19"/>
  <c r="AF6" i="19" s="1"/>
  <c r="AV5" i="19"/>
  <c r="AV6" i="19" s="1"/>
  <c r="Q5" i="19"/>
  <c r="Q6" i="19" s="1"/>
  <c r="T5" i="19"/>
  <c r="T6" i="19" s="1"/>
  <c r="AZ5" i="19"/>
  <c r="AZ6" i="19" s="1"/>
  <c r="N5" i="19"/>
  <c r="N6" i="19" s="1"/>
  <c r="V5" i="19"/>
  <c r="V6" i="19" s="1"/>
  <c r="AD5" i="19"/>
  <c r="AD6" i="19" s="1"/>
  <c r="AL5" i="19"/>
  <c r="AL6" i="19" s="1"/>
  <c r="AT5" i="19"/>
  <c r="AT6" i="19" s="1"/>
  <c r="BB5" i="19"/>
  <c r="BB6" i="19" s="1"/>
  <c r="AH3" i="19" l="1"/>
  <c r="BB3" i="19"/>
  <c r="AL4" i="19"/>
  <c r="Y3" i="19"/>
  <c r="AS3" i="19"/>
  <c r="BF4" i="19"/>
  <c r="K3" i="19"/>
  <c r="U4" i="19"/>
  <c r="AZ3" i="19"/>
  <c r="AX3" i="19"/>
  <c r="BC3" i="19"/>
  <c r="BG3" i="19"/>
  <c r="AD4" i="19"/>
  <c r="Q3" i="19"/>
  <c r="M4" i="19"/>
  <c r="BH4" i="19"/>
  <c r="AU3" i="19"/>
  <c r="BG4" i="19"/>
  <c r="AT3" i="19"/>
  <c r="AX4" i="19"/>
  <c r="AK3" i="19"/>
  <c r="BE4" i="19"/>
  <c r="AR3" i="19"/>
  <c r="R3" i="19"/>
  <c r="AY3" i="19"/>
  <c r="V4" i="19"/>
  <c r="BD3" i="19"/>
  <c r="AZ4" i="19"/>
  <c r="AM3" i="19"/>
  <c r="AY4" i="19"/>
  <c r="AL3" i="19"/>
  <c r="AP4" i="19"/>
  <c r="AC3" i="19"/>
  <c r="AW4" i="19"/>
  <c r="AJ3" i="19"/>
  <c r="BD4" i="19"/>
  <c r="AQ3" i="19"/>
  <c r="N4" i="19"/>
  <c r="BI4" i="19"/>
  <c r="AV3" i="19"/>
  <c r="AR4" i="19"/>
  <c r="AE3" i="19"/>
  <c r="AQ4" i="19"/>
  <c r="AD3" i="19"/>
  <c r="AH4" i="19"/>
  <c r="U3" i="19"/>
  <c r="AO4" i="19"/>
  <c r="AB3" i="19"/>
  <c r="AV4" i="19"/>
  <c r="AI3" i="19"/>
  <c r="BE3" i="19"/>
  <c r="BA4" i="19"/>
  <c r="AN3" i="19"/>
  <c r="AJ4" i="19"/>
  <c r="W3" i="19"/>
  <c r="AI4" i="19"/>
  <c r="V3" i="19"/>
  <c r="Z4" i="19"/>
  <c r="M3" i="19"/>
  <c r="AG4" i="19"/>
  <c r="T3" i="19"/>
  <c r="AN4" i="19"/>
  <c r="AA3" i="19"/>
  <c r="AW3" i="19"/>
  <c r="AS4" i="19"/>
  <c r="AF3" i="19"/>
  <c r="AB4" i="19"/>
  <c r="O3" i="19"/>
  <c r="AA4" i="19"/>
  <c r="N3" i="19"/>
  <c r="R4" i="19"/>
  <c r="AU4" i="19"/>
  <c r="Y4" i="19"/>
  <c r="L3" i="19"/>
  <c r="AF4" i="19"/>
  <c r="S3" i="19"/>
  <c r="BB4" i="19"/>
  <c r="AO3" i="19"/>
  <c r="AK4" i="19"/>
  <c r="X3" i="19"/>
  <c r="T4" i="19"/>
  <c r="AM4" i="19"/>
  <c r="S4" i="19"/>
  <c r="AE4" i="19"/>
  <c r="BI3" i="19"/>
  <c r="O4" i="19"/>
  <c r="Q4" i="19"/>
  <c r="BC4" i="19"/>
  <c r="X4" i="19"/>
  <c r="K4" i="19"/>
  <c r="AT4" i="19"/>
  <c r="AG3" i="19"/>
  <c r="AC4" i="19"/>
  <c r="P3" i="19"/>
  <c r="L4" i="19"/>
  <c r="BF3" i="19"/>
  <c r="BJ3" i="19"/>
  <c r="Z3" i="19"/>
  <c r="BA3" i="19"/>
  <c r="AP3" i="19"/>
  <c r="BH3" i="19"/>
  <c r="W4" i="19"/>
  <c r="P4" i="19"/>
  <c r="BJ4" i="19"/>
  <c r="AY24" i="19"/>
  <c r="U24" i="19"/>
  <c r="AI24" i="19"/>
  <c r="BI24" i="19"/>
  <c r="V24" i="19"/>
  <c r="Q24" i="19"/>
  <c r="R24" i="19"/>
  <c r="AL24" i="19"/>
  <c r="K4" i="4"/>
  <c r="L4" i="4" s="1"/>
  <c r="D12" i="19"/>
  <c r="BD12" i="19" s="1"/>
  <c r="K6" i="4"/>
  <c r="L6" i="4" s="1"/>
  <c r="K3" i="4"/>
  <c r="L3" i="4" s="1"/>
  <c r="K8" i="4"/>
  <c r="L8" i="4" s="1"/>
  <c r="D11" i="19"/>
  <c r="AB11" i="19" s="1"/>
  <c r="K5" i="4"/>
  <c r="L5" i="4" s="1"/>
  <c r="K7" i="4"/>
  <c r="L7" i="4" s="1"/>
  <c r="T24" i="19"/>
  <c r="BE24" i="19"/>
  <c r="N24" i="19"/>
  <c r="AK25" i="19"/>
  <c r="AQ8" i="19"/>
  <c r="AF8" i="19"/>
  <c r="AY8" i="19"/>
  <c r="AZ8" i="19"/>
  <c r="BH8" i="19"/>
  <c r="BI8" i="19"/>
  <c r="O8" i="19"/>
  <c r="AN8" i="19"/>
  <c r="N8" i="19"/>
  <c r="BF8" i="19"/>
  <c r="W8" i="19"/>
  <c r="AO8" i="19"/>
  <c r="Z8" i="19"/>
  <c r="BG8" i="19"/>
  <c r="M8" i="19"/>
  <c r="V8" i="19"/>
  <c r="AE8" i="19"/>
  <c r="AV8" i="19"/>
  <c r="R8" i="19"/>
  <c r="Y8" i="19"/>
  <c r="L8" i="19"/>
  <c r="U8" i="19"/>
  <c r="AD8" i="19"/>
  <c r="AM8" i="19"/>
  <c r="BD8" i="19"/>
  <c r="AW8" i="19"/>
  <c r="AH8" i="19"/>
  <c r="S8" i="19"/>
  <c r="AB8" i="19"/>
  <c r="AK8" i="19"/>
  <c r="AT8" i="19"/>
  <c r="BC8" i="19"/>
  <c r="AX8" i="19"/>
  <c r="K8" i="19"/>
  <c r="Q8" i="19"/>
  <c r="T8" i="19"/>
  <c r="AC8" i="19"/>
  <c r="AL8" i="19"/>
  <c r="AU8" i="19"/>
  <c r="AP8" i="19"/>
  <c r="AA8" i="19"/>
  <c r="AJ8" i="19"/>
  <c r="AS8" i="19"/>
  <c r="BB8" i="19"/>
  <c r="P8" i="19"/>
  <c r="AG8" i="19"/>
  <c r="AI8" i="19"/>
  <c r="AR8" i="19"/>
  <c r="BA8" i="19"/>
  <c r="BJ8" i="19"/>
  <c r="X8" i="19"/>
  <c r="BF25" i="19"/>
  <c r="AA16" i="19"/>
  <c r="AE24" i="19"/>
  <c r="AV24" i="19"/>
  <c r="AB24" i="19"/>
  <c r="AU24" i="19"/>
  <c r="AV25" i="19"/>
  <c r="U25" i="19"/>
  <c r="R17" i="19"/>
  <c r="BH16" i="19"/>
  <c r="S25" i="19"/>
  <c r="Y25" i="19"/>
  <c r="AG25" i="19"/>
  <c r="BG25" i="19"/>
  <c r="V25" i="19"/>
  <c r="W16" i="19"/>
  <c r="BH24" i="19"/>
  <c r="W24" i="19"/>
  <c r="AH24" i="19"/>
  <c r="AO25" i="19"/>
  <c r="L25" i="19"/>
  <c r="AD25" i="19"/>
  <c r="BC25" i="19"/>
  <c r="T16" i="19"/>
  <c r="AY25" i="19"/>
  <c r="AM16" i="19"/>
  <c r="AM25" i="19"/>
  <c r="BF16" i="19"/>
  <c r="AU25" i="19"/>
  <c r="AP25" i="19"/>
  <c r="BH25" i="19"/>
  <c r="AE25" i="19"/>
  <c r="N25" i="19"/>
  <c r="AJ16" i="19"/>
  <c r="L16" i="19"/>
  <c r="BE25" i="19"/>
  <c r="AB25" i="19"/>
  <c r="AT25" i="19"/>
  <c r="AR24" i="19"/>
  <c r="AN24" i="19"/>
  <c r="P25" i="19"/>
  <c r="AX25" i="19"/>
  <c r="M25" i="19"/>
  <c r="U17" i="19"/>
  <c r="K24" i="19"/>
  <c r="AC24" i="19"/>
  <c r="AT24" i="19"/>
  <c r="BC24" i="19"/>
  <c r="Y24" i="19"/>
  <c r="AP24" i="19"/>
  <c r="BF17" i="19"/>
  <c r="S24" i="19"/>
  <c r="AJ24" i="19"/>
  <c r="AK24" i="19"/>
  <c r="BB24" i="19"/>
  <c r="P24" i="19"/>
  <c r="AG24" i="19"/>
  <c r="AX24" i="19"/>
  <c r="AA17" i="19"/>
  <c r="AA24" i="19"/>
  <c r="L24" i="19"/>
  <c r="AS24" i="19"/>
  <c r="BJ24" i="19"/>
  <c r="X24" i="19"/>
  <c r="AO24" i="19"/>
  <c r="BF24" i="19"/>
  <c r="BI17" i="19"/>
  <c r="BG24" i="19"/>
  <c r="AQ24" i="19"/>
  <c r="BA24" i="19"/>
  <c r="O24" i="19"/>
  <c r="AF24" i="19"/>
  <c r="AW24" i="19"/>
  <c r="AZ24" i="19"/>
  <c r="M24" i="19"/>
  <c r="AD24" i="19"/>
  <c r="AM24" i="19"/>
  <c r="BD24" i="19"/>
  <c r="AF17" i="19"/>
  <c r="AO17" i="19"/>
  <c r="AR17" i="19"/>
  <c r="X17" i="19"/>
  <c r="AQ17" i="19"/>
  <c r="V17" i="19"/>
  <c r="BC17" i="19"/>
  <c r="BE17" i="19"/>
  <c r="AH17" i="19"/>
  <c r="AY17" i="19"/>
  <c r="AD17" i="19"/>
  <c r="AL16" i="19"/>
  <c r="AP16" i="19"/>
  <c r="AT16" i="19"/>
  <c r="W25" i="19"/>
  <c r="AW25" i="19"/>
  <c r="K25" i="19"/>
  <c r="T25" i="19"/>
  <c r="AC25" i="19"/>
  <c r="AL25" i="19"/>
  <c r="M17" i="19"/>
  <c r="T17" i="19"/>
  <c r="BG17" i="19"/>
  <c r="AL17" i="19"/>
  <c r="AE17" i="19"/>
  <c r="Z17" i="19"/>
  <c r="AC17" i="19"/>
  <c r="Q17" i="19"/>
  <c r="AV17" i="19"/>
  <c r="AB17" i="19"/>
  <c r="W17" i="19"/>
  <c r="BH17" i="19"/>
  <c r="AT17" i="19"/>
  <c r="AN25" i="19"/>
  <c r="X25" i="19"/>
  <c r="R25" i="19"/>
  <c r="AA25" i="19"/>
  <c r="AJ25" i="19"/>
  <c r="AS25" i="19"/>
  <c r="BB25" i="19"/>
  <c r="AN17" i="19"/>
  <c r="AP17" i="19"/>
  <c r="AG17" i="19"/>
  <c r="K17" i="19"/>
  <c r="AS17" i="19"/>
  <c r="BB17" i="19"/>
  <c r="AO16" i="19"/>
  <c r="AF25" i="19"/>
  <c r="BD25" i="19"/>
  <c r="Z25" i="19"/>
  <c r="AI25" i="19"/>
  <c r="AR25" i="19"/>
  <c r="BA25" i="19"/>
  <c r="BJ25" i="19"/>
  <c r="AI17" i="19"/>
  <c r="L17" i="19"/>
  <c r="AK17" i="19"/>
  <c r="AZ17" i="19"/>
  <c r="BD17" i="19"/>
  <c r="AU17" i="19"/>
  <c r="S17" i="19"/>
  <c r="BA17" i="19"/>
  <c r="BJ17" i="19"/>
  <c r="O25" i="19"/>
  <c r="Q25" i="19"/>
  <c r="AH25" i="19"/>
  <c r="AQ25" i="19"/>
  <c r="AZ25" i="19"/>
  <c r="Y16" i="19"/>
  <c r="AS16" i="19"/>
  <c r="M16" i="19"/>
  <c r="BD16" i="19"/>
  <c r="N16" i="19"/>
  <c r="BE16" i="19"/>
  <c r="P16" i="19"/>
  <c r="AW16" i="19"/>
  <c r="AD16" i="19"/>
  <c r="BA16" i="19"/>
  <c r="AE16" i="19"/>
  <c r="AX16" i="19"/>
  <c r="AK16" i="19"/>
  <c r="S16" i="19"/>
  <c r="AZ16" i="19"/>
  <c r="V16" i="19"/>
  <c r="AU16" i="19"/>
  <c r="AV16" i="19"/>
  <c r="AC16" i="19"/>
  <c r="BJ16" i="19"/>
  <c r="AG16" i="19"/>
  <c r="BC16" i="19"/>
  <c r="BG16" i="19"/>
  <c r="AN16" i="19"/>
  <c r="K16" i="19"/>
  <c r="AR16" i="19"/>
  <c r="R16" i="19"/>
  <c r="Q16" i="19"/>
  <c r="AY16" i="19"/>
  <c r="U16" i="19"/>
  <c r="BB16" i="19"/>
  <c r="Z16" i="19"/>
  <c r="X16" i="19"/>
  <c r="AI16" i="19"/>
  <c r="AB16" i="19"/>
  <c r="BI16" i="19"/>
  <c r="AF16" i="19"/>
  <c r="O16" i="19"/>
  <c r="AH16" i="19"/>
  <c r="P17" i="19"/>
  <c r="AX17" i="19"/>
  <c r="AM17" i="19"/>
  <c r="AJ17" i="19"/>
  <c r="O17" i="19"/>
  <c r="Y17" i="19"/>
  <c r="AW17" i="19"/>
  <c r="BD10" i="19"/>
  <c r="AV10" i="19"/>
  <c r="AN10" i="19"/>
  <c r="AF10" i="19"/>
  <c r="X10" i="19"/>
  <c r="P10" i="19"/>
  <c r="BC10" i="19"/>
  <c r="AU10" i="19"/>
  <c r="AM10" i="19"/>
  <c r="AE10" i="19"/>
  <c r="W10" i="19"/>
  <c r="O10" i="19"/>
  <c r="BJ10" i="19"/>
  <c r="BB10" i="19"/>
  <c r="AT10" i="19"/>
  <c r="AL10" i="19"/>
  <c r="AD10" i="19"/>
  <c r="V10" i="19"/>
  <c r="N10" i="19"/>
  <c r="BI10" i="19"/>
  <c r="BA10" i="19"/>
  <c r="AS10" i="19"/>
  <c r="AK10" i="19"/>
  <c r="AC10" i="19"/>
  <c r="U10" i="19"/>
  <c r="M10" i="19"/>
  <c r="BH10" i="19"/>
  <c r="AZ10" i="19"/>
  <c r="AR10" i="19"/>
  <c r="AJ10" i="19"/>
  <c r="AB10" i="19"/>
  <c r="T10" i="19"/>
  <c r="L10" i="19"/>
  <c r="BG10" i="19"/>
  <c r="AY10" i="19"/>
  <c r="AQ10" i="19"/>
  <c r="AI10" i="19"/>
  <c r="AA10" i="19"/>
  <c r="S10" i="19"/>
  <c r="K10" i="19"/>
  <c r="BF10" i="19"/>
  <c r="Z10" i="19"/>
  <c r="BE10" i="19"/>
  <c r="Y10" i="19"/>
  <c r="AX10" i="19"/>
  <c r="R10" i="19"/>
  <c r="AW10" i="19"/>
  <c r="Q10" i="19"/>
  <c r="AP10" i="19"/>
  <c r="AO10" i="19"/>
  <c r="AG10" i="19"/>
  <c r="AH10" i="19"/>
  <c r="AN12" i="19"/>
  <c r="W12" i="19"/>
  <c r="AL12" i="19"/>
  <c r="N12" i="19"/>
  <c r="BH12" i="19"/>
  <c r="T12" i="19"/>
  <c r="AY12" i="19"/>
  <c r="AW12" i="19"/>
  <c r="AH12" i="19"/>
  <c r="BF12" i="19"/>
  <c r="BJ13" i="19"/>
  <c r="BB13" i="19"/>
  <c r="AT13" i="19"/>
  <c r="AL13" i="19"/>
  <c r="AD13" i="19"/>
  <c r="V13" i="19"/>
  <c r="N13" i="19"/>
  <c r="BF13" i="19"/>
  <c r="AW13" i="19"/>
  <c r="AN13" i="19"/>
  <c r="AE13" i="19"/>
  <c r="U13" i="19"/>
  <c r="L13" i="19"/>
  <c r="BE13" i="19"/>
  <c r="AV13" i="19"/>
  <c r="AM13" i="19"/>
  <c r="AC13" i="19"/>
  <c r="T13" i="19"/>
  <c r="K13" i="19"/>
  <c r="BD13" i="19"/>
  <c r="AU13" i="19"/>
  <c r="AK13" i="19"/>
  <c r="AB13" i="19"/>
  <c r="S13" i="19"/>
  <c r="BC13" i="19"/>
  <c r="AS13" i="19"/>
  <c r="AJ13" i="19"/>
  <c r="AA13" i="19"/>
  <c r="R13" i="19"/>
  <c r="BA13" i="19"/>
  <c r="AR13" i="19"/>
  <c r="AI13" i="19"/>
  <c r="Z13" i="19"/>
  <c r="Q13" i="19"/>
  <c r="BI13" i="19"/>
  <c r="AZ13" i="19"/>
  <c r="AQ13" i="19"/>
  <c r="AH13" i="19"/>
  <c r="Y13" i="19"/>
  <c r="P13" i="19"/>
  <c r="AG13" i="19"/>
  <c r="AF13" i="19"/>
  <c r="M13" i="19"/>
  <c r="AO13" i="19"/>
  <c r="BH13" i="19"/>
  <c r="X13" i="19"/>
  <c r="BG13" i="19"/>
  <c r="AY13" i="19"/>
  <c r="W13" i="19"/>
  <c r="O13" i="19"/>
  <c r="AX13" i="19"/>
  <c r="AP13" i="19"/>
  <c r="BF14" i="19"/>
  <c r="AX14" i="19"/>
  <c r="AP14" i="19"/>
  <c r="AH14" i="19"/>
  <c r="Z14" i="19"/>
  <c r="R14" i="19"/>
  <c r="BC14" i="19"/>
  <c r="BJ14" i="19"/>
  <c r="AZ14" i="19"/>
  <c r="AQ14" i="19"/>
  <c r="AG14" i="19"/>
  <c r="X14" i="19"/>
  <c r="O14" i="19"/>
  <c r="BI14" i="19"/>
  <c r="AY14" i="19"/>
  <c r="AO14" i="19"/>
  <c r="AF14" i="19"/>
  <c r="W14" i="19"/>
  <c r="N14" i="19"/>
  <c r="BH14" i="19"/>
  <c r="AW14" i="19"/>
  <c r="AN14" i="19"/>
  <c r="AE14" i="19"/>
  <c r="V14" i="19"/>
  <c r="M14" i="19"/>
  <c r="BG14" i="19"/>
  <c r="AV14" i="19"/>
  <c r="AM14" i="19"/>
  <c r="AD14" i="19"/>
  <c r="U14" i="19"/>
  <c r="L14" i="19"/>
  <c r="BE14" i="19"/>
  <c r="AU14" i="19"/>
  <c r="AL14" i="19"/>
  <c r="AC14" i="19"/>
  <c r="T14" i="19"/>
  <c r="K14" i="19"/>
  <c r="BD14" i="19"/>
  <c r="AT14" i="19"/>
  <c r="AK14" i="19"/>
  <c r="AB14" i="19"/>
  <c r="S14" i="19"/>
  <c r="BB14" i="19"/>
  <c r="Q14" i="19"/>
  <c r="BA14" i="19"/>
  <c r="P14" i="19"/>
  <c r="AS14" i="19"/>
  <c r="AR14" i="19"/>
  <c r="AJ14" i="19"/>
  <c r="AI14" i="19"/>
  <c r="Y14" i="19"/>
  <c r="AA14" i="19"/>
  <c r="BH9" i="19"/>
  <c r="AZ9" i="19"/>
  <c r="AR9" i="19"/>
  <c r="AJ9" i="19"/>
  <c r="AB9" i="19"/>
  <c r="T9" i="19"/>
  <c r="L9" i="19"/>
  <c r="BG9" i="19"/>
  <c r="AY9" i="19"/>
  <c r="AQ9" i="19"/>
  <c r="AI9" i="19"/>
  <c r="AA9" i="19"/>
  <c r="S9" i="19"/>
  <c r="K9" i="19"/>
  <c r="BF9" i="19"/>
  <c r="AX9" i="19"/>
  <c r="AP9" i="19"/>
  <c r="AH9" i="19"/>
  <c r="Z9" i="19"/>
  <c r="R9" i="19"/>
  <c r="BE9" i="19"/>
  <c r="AW9" i="19"/>
  <c r="AO9" i="19"/>
  <c r="AG9" i="19"/>
  <c r="Y9" i="19"/>
  <c r="Q9" i="19"/>
  <c r="BD9" i="19"/>
  <c r="AV9" i="19"/>
  <c r="AN9" i="19"/>
  <c r="AF9" i="19"/>
  <c r="X9" i="19"/>
  <c r="P9" i="19"/>
  <c r="BC9" i="19"/>
  <c r="AU9" i="19"/>
  <c r="AM9" i="19"/>
  <c r="AE9" i="19"/>
  <c r="W9" i="19"/>
  <c r="O9" i="19"/>
  <c r="AT9" i="19"/>
  <c r="N9" i="19"/>
  <c r="AS9" i="19"/>
  <c r="BA9" i="19"/>
  <c r="M9" i="19"/>
  <c r="U9" i="19"/>
  <c r="AL9" i="19"/>
  <c r="AK9" i="19"/>
  <c r="AD9" i="19"/>
  <c r="BJ9" i="19"/>
  <c r="BI9" i="19"/>
  <c r="AC9" i="19"/>
  <c r="BB9" i="19"/>
  <c r="V9" i="19"/>
  <c r="BF20" i="19"/>
  <c r="AX20" i="19"/>
  <c r="AP20" i="19"/>
  <c r="AH20" i="19"/>
  <c r="Z20" i="19"/>
  <c r="R20" i="19"/>
  <c r="BE20" i="19"/>
  <c r="AW20" i="19"/>
  <c r="AO20" i="19"/>
  <c r="AG20" i="19"/>
  <c r="Y20" i="19"/>
  <c r="Q20" i="19"/>
  <c r="BC20" i="19"/>
  <c r="AU20" i="19"/>
  <c r="AM20" i="19"/>
  <c r="AE20" i="19"/>
  <c r="W20" i="19"/>
  <c r="O20" i="19"/>
  <c r="BI20" i="19"/>
  <c r="BA20" i="19"/>
  <c r="AS20" i="19"/>
  <c r="AK20" i="19"/>
  <c r="AC20" i="19"/>
  <c r="U20" i="19"/>
  <c r="M20" i="19"/>
  <c r="BH20" i="19"/>
  <c r="AR20" i="19"/>
  <c r="AB20" i="19"/>
  <c r="L20" i="19"/>
  <c r="BG20" i="19"/>
  <c r="AQ20" i="19"/>
  <c r="AA20" i="19"/>
  <c r="K20" i="19"/>
  <c r="BD20" i="19"/>
  <c r="AN20" i="19"/>
  <c r="X20" i="19"/>
  <c r="BB20" i="19"/>
  <c r="AL20" i="19"/>
  <c r="V20" i="19"/>
  <c r="AZ20" i="19"/>
  <c r="AJ20" i="19"/>
  <c r="T20" i="19"/>
  <c r="AY20" i="19"/>
  <c r="AI20" i="19"/>
  <c r="S20" i="19"/>
  <c r="AF20" i="19"/>
  <c r="AD20" i="19"/>
  <c r="P20" i="19"/>
  <c r="AT20" i="19"/>
  <c r="N20" i="19"/>
  <c r="BJ20" i="19"/>
  <c r="AV20" i="19"/>
  <c r="BJ23" i="19"/>
  <c r="BB23" i="19"/>
  <c r="AT23" i="19"/>
  <c r="AL23" i="19"/>
  <c r="AD23" i="19"/>
  <c r="V23" i="19"/>
  <c r="N23" i="19"/>
  <c r="BI23" i="19"/>
  <c r="BA23" i="19"/>
  <c r="AS23" i="19"/>
  <c r="AK23" i="19"/>
  <c r="AC23" i="19"/>
  <c r="U23" i="19"/>
  <c r="M23" i="19"/>
  <c r="BH23" i="19"/>
  <c r="AZ23" i="19"/>
  <c r="AR23" i="19"/>
  <c r="AJ23" i="19"/>
  <c r="AB23" i="19"/>
  <c r="T23" i="19"/>
  <c r="L23" i="19"/>
  <c r="BG23" i="19"/>
  <c r="AY23" i="19"/>
  <c r="AQ23" i="19"/>
  <c r="AI23" i="19"/>
  <c r="AA23" i="19"/>
  <c r="S23" i="19"/>
  <c r="K23" i="19"/>
  <c r="BE23" i="19"/>
  <c r="AW23" i="19"/>
  <c r="AO23" i="19"/>
  <c r="AG23" i="19"/>
  <c r="Y23" i="19"/>
  <c r="Q23" i="19"/>
  <c r="AU23" i="19"/>
  <c r="X23" i="19"/>
  <c r="AP23" i="19"/>
  <c r="W23" i="19"/>
  <c r="AN23" i="19"/>
  <c r="R23" i="19"/>
  <c r="BF23" i="19"/>
  <c r="AM23" i="19"/>
  <c r="P23" i="19"/>
  <c r="BD23" i="19"/>
  <c r="AH23" i="19"/>
  <c r="O23" i="19"/>
  <c r="BC23" i="19"/>
  <c r="AF23" i="19"/>
  <c r="Z23" i="19"/>
  <c r="AV23" i="19"/>
  <c r="AX23" i="19"/>
  <c r="AE23" i="19"/>
  <c r="BJ19" i="19"/>
  <c r="BB19" i="19"/>
  <c r="AT19" i="19"/>
  <c r="AL19" i="19"/>
  <c r="AD19" i="19"/>
  <c r="V19" i="19"/>
  <c r="N19" i="19"/>
  <c r="BI19" i="19"/>
  <c r="BA19" i="19"/>
  <c r="AS19" i="19"/>
  <c r="AK19" i="19"/>
  <c r="AC19" i="19"/>
  <c r="U19" i="19"/>
  <c r="M19" i="19"/>
  <c r="BG19" i="19"/>
  <c r="AY19" i="19"/>
  <c r="AQ19" i="19"/>
  <c r="AI19" i="19"/>
  <c r="AA19" i="19"/>
  <c r="S19" i="19"/>
  <c r="K19" i="19"/>
  <c r="BE19" i="19"/>
  <c r="AW19" i="19"/>
  <c r="AO19" i="19"/>
  <c r="AV19" i="19"/>
  <c r="AG19" i="19"/>
  <c r="T19" i="19"/>
  <c r="AU19" i="19"/>
  <c r="AF19" i="19"/>
  <c r="R19" i="19"/>
  <c r="BH19" i="19"/>
  <c r="AR19" i="19"/>
  <c r="AE19" i="19"/>
  <c r="Q19" i="19"/>
  <c r="BF19" i="19"/>
  <c r="AP19" i="19"/>
  <c r="AB19" i="19"/>
  <c r="P19" i="19"/>
  <c r="BD19" i="19"/>
  <c r="AN19" i="19"/>
  <c r="Z19" i="19"/>
  <c r="O19" i="19"/>
  <c r="BC19" i="19"/>
  <c r="AM19" i="19"/>
  <c r="Y19" i="19"/>
  <c r="L19" i="19"/>
  <c r="X19" i="19"/>
  <c r="W19" i="19"/>
  <c r="AH19" i="19"/>
  <c r="AX19" i="19"/>
  <c r="AZ19" i="19"/>
  <c r="AJ19" i="19"/>
  <c r="BJ21" i="19"/>
  <c r="BB21" i="19"/>
  <c r="AT21" i="19"/>
  <c r="AL21" i="19"/>
  <c r="AD21" i="19"/>
  <c r="V21" i="19"/>
  <c r="N21" i="19"/>
  <c r="BI21" i="19"/>
  <c r="BA21" i="19"/>
  <c r="AS21" i="19"/>
  <c r="AK21" i="19"/>
  <c r="AC21" i="19"/>
  <c r="U21" i="19"/>
  <c r="M21" i="19"/>
  <c r="BG21" i="19"/>
  <c r="AY21" i="19"/>
  <c r="AQ21" i="19"/>
  <c r="AI21" i="19"/>
  <c r="AA21" i="19"/>
  <c r="S21" i="19"/>
  <c r="K21" i="19"/>
  <c r="BE21" i="19"/>
  <c r="AW21" i="19"/>
  <c r="AO21" i="19"/>
  <c r="AG21" i="19"/>
  <c r="Y21" i="19"/>
  <c r="Q21" i="19"/>
  <c r="BD21" i="19"/>
  <c r="AN21" i="19"/>
  <c r="X21" i="19"/>
  <c r="BC21" i="19"/>
  <c r="AM21" i="19"/>
  <c r="W21" i="19"/>
  <c r="AZ21" i="19"/>
  <c r="AJ21" i="19"/>
  <c r="T21" i="19"/>
  <c r="AX21" i="19"/>
  <c r="AH21" i="19"/>
  <c r="R21" i="19"/>
  <c r="AV21" i="19"/>
  <c r="AF21" i="19"/>
  <c r="P21" i="19"/>
  <c r="AU21" i="19"/>
  <c r="AE21" i="19"/>
  <c r="O21" i="19"/>
  <c r="AR21" i="19"/>
  <c r="AP21" i="19"/>
  <c r="AB21" i="19"/>
  <c r="Z21" i="19"/>
  <c r="L21" i="19"/>
  <c r="BF21" i="19"/>
  <c r="BH21" i="19"/>
  <c r="BJ15" i="19"/>
  <c r="BB15" i="19"/>
  <c r="AT15" i="19"/>
  <c r="AL15" i="19"/>
  <c r="AD15" i="19"/>
  <c r="V15" i="19"/>
  <c r="N15" i="19"/>
  <c r="BG15" i="19"/>
  <c r="AY15" i="19"/>
  <c r="AQ15" i="19"/>
  <c r="AI15" i="19"/>
  <c r="AA15" i="19"/>
  <c r="S15" i="19"/>
  <c r="K15" i="19"/>
  <c r="BA15" i="19"/>
  <c r="AP15" i="19"/>
  <c r="AF15" i="19"/>
  <c r="U15" i="19"/>
  <c r="AZ15" i="19"/>
  <c r="AO15" i="19"/>
  <c r="AE15" i="19"/>
  <c r="T15" i="19"/>
  <c r="BI15" i="19"/>
  <c r="AX15" i="19"/>
  <c r="AN15" i="19"/>
  <c r="AC15" i="19"/>
  <c r="R15" i="19"/>
  <c r="BH15" i="19"/>
  <c r="AW15" i="19"/>
  <c r="AM15" i="19"/>
  <c r="AB15" i="19"/>
  <c r="Q15" i="19"/>
  <c r="BF15" i="19"/>
  <c r="AV15" i="19"/>
  <c r="AK15" i="19"/>
  <c r="Z15" i="19"/>
  <c r="P15" i="19"/>
  <c r="BE15" i="19"/>
  <c r="AU15" i="19"/>
  <c r="AJ15" i="19"/>
  <c r="Y15" i="19"/>
  <c r="O15" i="19"/>
  <c r="AS15" i="19"/>
  <c r="AR15" i="19"/>
  <c r="W15" i="19"/>
  <c r="L15" i="19"/>
  <c r="AH15" i="19"/>
  <c r="AG15" i="19"/>
  <c r="X15" i="19"/>
  <c r="BC15" i="19"/>
  <c r="BD15" i="19"/>
  <c r="M15" i="19"/>
  <c r="BF22" i="19"/>
  <c r="AX22" i="19"/>
  <c r="AP22" i="19"/>
  <c r="AH22" i="19"/>
  <c r="Z22" i="19"/>
  <c r="R22" i="19"/>
  <c r="BE22" i="19"/>
  <c r="AW22" i="19"/>
  <c r="AO22" i="19"/>
  <c r="AG22" i="19"/>
  <c r="Y22" i="19"/>
  <c r="Q22" i="19"/>
  <c r="BD22" i="19"/>
  <c r="AV22" i="19"/>
  <c r="BC22" i="19"/>
  <c r="AU22" i="19"/>
  <c r="AM22" i="19"/>
  <c r="AE22" i="19"/>
  <c r="W22" i="19"/>
  <c r="O22" i="19"/>
  <c r="BI22" i="19"/>
  <c r="BA22" i="19"/>
  <c r="AS22" i="19"/>
  <c r="AK22" i="19"/>
  <c r="AC22" i="19"/>
  <c r="U22" i="19"/>
  <c r="M22" i="19"/>
  <c r="BB22" i="19"/>
  <c r="AJ22" i="19"/>
  <c r="T22" i="19"/>
  <c r="AZ22" i="19"/>
  <c r="AI22" i="19"/>
  <c r="S22" i="19"/>
  <c r="AY22" i="19"/>
  <c r="AF22" i="19"/>
  <c r="P22" i="19"/>
  <c r="AT22" i="19"/>
  <c r="AD22" i="19"/>
  <c r="N22" i="19"/>
  <c r="AR22" i="19"/>
  <c r="AB22" i="19"/>
  <c r="L22" i="19"/>
  <c r="BJ22" i="19"/>
  <c r="AQ22" i="19"/>
  <c r="AA22" i="19"/>
  <c r="K22" i="19"/>
  <c r="BH22" i="19"/>
  <c r="BG22" i="19"/>
  <c r="V22" i="19"/>
  <c r="AN22" i="19"/>
  <c r="AL22" i="19"/>
  <c r="X22" i="19"/>
  <c r="BF18" i="19"/>
  <c r="AX18" i="19"/>
  <c r="AP18" i="19"/>
  <c r="AH18" i="19"/>
  <c r="Z18" i="19"/>
  <c r="R18" i="19"/>
  <c r="BE18" i="19"/>
  <c r="AW18" i="19"/>
  <c r="AO18" i="19"/>
  <c r="AG18" i="19"/>
  <c r="Y18" i="19"/>
  <c r="Q18" i="19"/>
  <c r="BC18" i="19"/>
  <c r="AU18" i="19"/>
  <c r="AM18" i="19"/>
  <c r="AE18" i="19"/>
  <c r="W18" i="19"/>
  <c r="O18" i="19"/>
  <c r="BH18" i="19"/>
  <c r="AT18" i="19"/>
  <c r="AI18" i="19"/>
  <c r="U18" i="19"/>
  <c r="BG18" i="19"/>
  <c r="AS18" i="19"/>
  <c r="AF18" i="19"/>
  <c r="T18" i="19"/>
  <c r="BD18" i="19"/>
  <c r="AR18" i="19"/>
  <c r="AD18" i="19"/>
  <c r="S18" i="19"/>
  <c r="BB18" i="19"/>
  <c r="AQ18" i="19"/>
  <c r="AC18" i="19"/>
  <c r="P18" i="19"/>
  <c r="BA18" i="19"/>
  <c r="AN18" i="19"/>
  <c r="AB18" i="19"/>
  <c r="N18" i="19"/>
  <c r="AZ18" i="19"/>
  <c r="AL18" i="19"/>
  <c r="AA18" i="19"/>
  <c r="M18" i="19"/>
  <c r="X18" i="19"/>
  <c r="V18" i="19"/>
  <c r="BJ18" i="19"/>
  <c r="L18" i="19"/>
  <c r="AV18" i="19"/>
  <c r="BI18" i="19"/>
  <c r="K18" i="19"/>
  <c r="AY18" i="19"/>
  <c r="AJ18" i="19"/>
  <c r="AK18" i="19"/>
  <c r="G6" i="19" a="1"/>
  <c r="G6" i="19" s="1"/>
  <c r="F6" i="19" s="1"/>
  <c r="AJ6" i="19"/>
  <c r="H8" i="19" l="1" a="1"/>
  <c r="H8" i="19" s="1"/>
  <c r="AT11" i="19"/>
  <c r="AV11" i="19"/>
  <c r="AO12" i="19"/>
  <c r="AB12" i="19"/>
  <c r="AT12" i="19"/>
  <c r="AM11" i="19"/>
  <c r="R12" i="19"/>
  <c r="M12" i="19"/>
  <c r="AE12" i="19"/>
  <c r="AA11" i="19"/>
  <c r="K12" i="19"/>
  <c r="AC12" i="19"/>
  <c r="AU12" i="19"/>
  <c r="BG11" i="19"/>
  <c r="S12" i="19"/>
  <c r="AK12" i="19"/>
  <c r="BC12" i="19"/>
  <c r="BE12" i="19"/>
  <c r="BG12" i="19"/>
  <c r="V12" i="19"/>
  <c r="AV12" i="19"/>
  <c r="AP12" i="19"/>
  <c r="AA12" i="19"/>
  <c r="AJ12" i="19"/>
  <c r="AS12" i="19"/>
  <c r="BB12" i="19"/>
  <c r="P12" i="19"/>
  <c r="Y12" i="19"/>
  <c r="AI12" i="19"/>
  <c r="AR12" i="19"/>
  <c r="BA12" i="19"/>
  <c r="BJ12" i="19"/>
  <c r="X12" i="19"/>
  <c r="Z12" i="19"/>
  <c r="Q12" i="19"/>
  <c r="AQ12" i="19"/>
  <c r="AZ12" i="19"/>
  <c r="BI12" i="19"/>
  <c r="O12" i="19"/>
  <c r="AF12" i="19"/>
  <c r="AG12" i="19"/>
  <c r="AX12" i="19"/>
  <c r="L12" i="19"/>
  <c r="U12" i="19"/>
  <c r="AD12" i="19"/>
  <c r="AM12" i="19"/>
  <c r="N11" i="19"/>
  <c r="P11" i="19"/>
  <c r="AI11" i="19"/>
  <c r="M11" i="19"/>
  <c r="BD11" i="19"/>
  <c r="AJ11" i="19"/>
  <c r="BJ11" i="19"/>
  <c r="AG11" i="19"/>
  <c r="AR11" i="19"/>
  <c r="V11" i="19"/>
  <c r="R11" i="19"/>
  <c r="AK11" i="19"/>
  <c r="Z11" i="19"/>
  <c r="AE11" i="19"/>
  <c r="AX11" i="19"/>
  <c r="U11" i="19"/>
  <c r="AS11" i="19"/>
  <c r="AU11" i="19"/>
  <c r="Q11" i="19"/>
  <c r="AH11" i="19"/>
  <c r="AQ11" i="19"/>
  <c r="AZ11" i="19"/>
  <c r="BB11" i="19"/>
  <c r="BA11" i="19"/>
  <c r="BC11" i="19"/>
  <c r="Y11" i="19"/>
  <c r="AP11" i="19"/>
  <c r="AY11" i="19"/>
  <c r="BH11" i="19"/>
  <c r="AC11" i="19"/>
  <c r="AL11" i="19"/>
  <c r="X11" i="19"/>
  <c r="AO11" i="19"/>
  <c r="BF11" i="19"/>
  <c r="L11" i="19"/>
  <c r="BI11" i="19"/>
  <c r="O11" i="19"/>
  <c r="AF11" i="19"/>
  <c r="AW11" i="19"/>
  <c r="K11" i="19"/>
  <c r="T11" i="19"/>
  <c r="AD11" i="19"/>
  <c r="W11" i="19"/>
  <c r="AN11" i="19"/>
  <c r="BE11" i="19"/>
  <c r="S11" i="1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<sst xmlns="http://schemas.openxmlformats.org/spreadsheetml/2006/main" count="192" uniqueCount="135">
  <si>
    <t>Demolish old shed</t>
  </si>
  <si>
    <t>Cut foliage back</t>
  </si>
  <si>
    <t>Dig trench</t>
  </si>
  <si>
    <t>Hire digger</t>
  </si>
  <si>
    <t>Fill with concrete</t>
  </si>
  <si>
    <t>Level the base</t>
  </si>
  <si>
    <t>Buy the shed</t>
  </si>
  <si>
    <t>Find suppliers</t>
  </si>
  <si>
    <t>Get quotes</t>
  </si>
  <si>
    <t>Wire down the garden</t>
  </si>
  <si>
    <t>Wait for planning permission</t>
  </si>
  <si>
    <t>Duration (Weeks)</t>
  </si>
  <si>
    <t>Task ID</t>
  </si>
  <si>
    <t>Task Name</t>
  </si>
  <si>
    <t xml:space="preserve"> &gt; Step 1 - Define the project </t>
  </si>
  <si>
    <t>&gt; Step 2 - List the tasks | Level of granularity</t>
  </si>
  <si>
    <t xml:space="preserve">&gt; Step 3 - Establishing task order </t>
  </si>
  <si>
    <t xml:space="preserve">&gt; Step 4 - Estimating time </t>
  </si>
  <si>
    <t xml:space="preserve">&gt; Step 5 - Margin check &amp; reality check </t>
  </si>
  <si>
    <t xml:space="preserve">&gt; Step 6 - Gantt Chart </t>
  </si>
  <si>
    <t xml:space="preserve">&gt; Step 7 - Resource allocation </t>
  </si>
  <si>
    <t xml:space="preserve">&gt; Step 8 - Predicting &amp; reducing risk </t>
  </si>
  <si>
    <t xml:space="preserve">&gt; Step 9 - Monitoring progress </t>
  </si>
  <si>
    <t xml:space="preserve">&gt; Step 10 - Monitoring cost </t>
  </si>
  <si>
    <t xml:space="preserve">&gt; Step 11 - Adjusting the plan </t>
  </si>
  <si>
    <t>&gt; Step 12 - Review &amp; lessons</t>
  </si>
  <si>
    <t>Predecessor Tasks</t>
  </si>
  <si>
    <t>Check funds</t>
  </si>
  <si>
    <t>Today</t>
  </si>
  <si>
    <t>Budget</t>
  </si>
  <si>
    <t>Who</t>
  </si>
  <si>
    <t>Delivery</t>
  </si>
  <si>
    <t>Start</t>
  </si>
  <si>
    <t>Finish</t>
  </si>
  <si>
    <t>Hours</t>
  </si>
  <si>
    <t>Critical</t>
  </si>
  <si>
    <t>Cost</t>
  </si>
  <si>
    <t xml:space="preserve">Project Initiation Document </t>
  </si>
  <si>
    <t xml:space="preserve">PROJECT INITIATION DOCUMENT </t>
  </si>
  <si>
    <t xml:space="preserve">PROJECT NAME:  </t>
  </si>
  <si>
    <t xml:space="preserve">PROJECT NUMBER:  </t>
  </si>
  <si>
    <t xml:space="preserve">PROJECT RISK LEVEL: H/M/L </t>
  </si>
  <si>
    <t xml:space="preserve">Prepared by:   </t>
  </si>
  <si>
    <t xml:space="preserve">Date:   </t>
  </si>
  <si>
    <t xml:space="preserve">Persons consulted:   </t>
  </si>
  <si>
    <t xml:space="preserve">BUSINESS CASE </t>
  </si>
  <si>
    <t xml:space="preserve">&lt;Insert the Business Case if you have one. &gt; </t>
  </si>
  <si>
    <t xml:space="preserve">• Why this project </t>
  </si>
  <si>
    <t xml:space="preserve">• Why now? </t>
  </si>
  <si>
    <t xml:space="preserve">• Options considered </t>
  </si>
  <si>
    <t xml:space="preserve">• What if we don’t do it? </t>
  </si>
  <si>
    <t xml:space="preserve">• Benefits </t>
  </si>
  <si>
    <t xml:space="preserve">• Payback period </t>
  </si>
  <si>
    <t xml:space="preserve">PROJECT SCOPE </t>
  </si>
  <si>
    <t xml:space="preserve">2.1. In Scope / Included in the Project </t>
  </si>
  <si>
    <t xml:space="preserve">2.2. Out of Scope / Excluded from the Project </t>
  </si>
  <si>
    <t xml:space="preserve">2.3. Dependencies </t>
  </si>
  <si>
    <t xml:space="preserve">&lt;Describe how the project impacts or will be impacted by other projects or programmes &gt; </t>
  </si>
  <si>
    <t xml:space="preserve">Version &lt;version no. &gt;  </t>
  </si>
  <si>
    <t xml:space="preserve">2.4. Constraints </t>
  </si>
  <si>
    <t xml:space="preserve">&lt;Describe any constraints within which the project must be delivered, e.g. government deadlines; </t>
  </si>
  <si>
    <t xml:space="preserve">budget limits; resource limitations. &gt; </t>
  </si>
  <si>
    <t xml:space="preserve">2.5. Assumptions </t>
  </si>
  <si>
    <t xml:space="preserve">&lt; Describe any assumptions that are being worked from at this point (for example, that you will </t>
  </si>
  <si>
    <t xml:space="preserve">get planning permission). &gt; </t>
  </si>
  <si>
    <t xml:space="preserve">2.6 – What’s the key driver of your project, and why do you think that? </t>
  </si>
  <si>
    <t xml:space="preserve">&lt; Cost, Quality or Time? &gt; </t>
  </si>
  <si>
    <t xml:space="preserve">KEY ACTIONS PROPOSED TO DELIVER THE PROJECT </t>
  </si>
  <si>
    <t xml:space="preserve">You MUST Include a high-level or detailed Gantt chart  </t>
  </si>
  <si>
    <t>Communications Plan</t>
  </si>
  <si>
    <t>What</t>
  </si>
  <si>
    <t>How</t>
  </si>
  <si>
    <t>When</t>
  </si>
  <si>
    <t xml:space="preserve">3.1. Quality Plan </t>
  </si>
  <si>
    <t xml:space="preserve">&lt;Describe how it is intended to meet, and shown to meet, the customer’s quality expectations &gt; </t>
  </si>
  <si>
    <t xml:space="preserve">4. PROJECT CONTROLS AND REPORTING </t>
  </si>
  <si>
    <t xml:space="preserve">&lt; Describe how progress will be reported to the Project Board if there is one. &gt; </t>
  </si>
  <si>
    <t xml:space="preserve">5. RISK CONTROL  </t>
  </si>
  <si>
    <t xml:space="preserve">&lt;Attach a risk chart, or for small, low-risk projects, insert below in this document. &gt; </t>
  </si>
  <si>
    <t xml:space="preserve">6. FINANCIAL IMPLICATIONS </t>
  </si>
  <si>
    <t xml:space="preserve">I have considered the benefits against the project costs and assessed the project plan </t>
  </si>
  <si>
    <t>Task Acceptance Criteria</t>
  </si>
  <si>
    <t xml:space="preserve">Frequency / timing </t>
  </si>
  <si>
    <t>(monthly, stage end, etc)</t>
  </si>
  <si>
    <t xml:space="preserve">How will the Control be reported Responsibility for </t>
  </si>
  <si>
    <t>production</t>
  </si>
  <si>
    <t>Project Risk Containment Measures</t>
  </si>
  <si>
    <t>Q1 Q2 Q3 Q4 Total</t>
  </si>
  <si>
    <t>Amount Year 1</t>
  </si>
  <si>
    <t>Amount Year 2</t>
  </si>
  <si>
    <t>Amount Year 3</t>
  </si>
  <si>
    <t>Amount Year 4</t>
  </si>
  <si>
    <t>Amount Year 5</t>
  </si>
  <si>
    <t>Identify Driver</t>
  </si>
  <si>
    <t>Project</t>
  </si>
  <si>
    <t>Start Date</t>
  </si>
  <si>
    <t>New Garden Shed</t>
  </si>
  <si>
    <t>total hours</t>
  </si>
  <si>
    <t>total cost</t>
  </si>
  <si>
    <t>Connect Power</t>
  </si>
  <si>
    <t>Wait for Delivery</t>
  </si>
  <si>
    <t>Assembly</t>
  </si>
  <si>
    <t>Planning permission</t>
  </si>
  <si>
    <t>Start with Running Order Regardless of Time  =&gt; Then Estimate Time for Each Task (Independently of Running Order)</t>
  </si>
  <si>
    <t>Critical Path =&gt; The Longest Path</t>
  </si>
  <si>
    <t>Parallell Floaters</t>
  </si>
  <si>
    <t>Safety Margin -&gt; Add /Blend into Critical Path (50% of worst case =&gt;90% Reliable)</t>
  </si>
  <si>
    <t>Time Down =&gt; Money Up or Quality Down | Overlapping Tasks</t>
  </si>
  <si>
    <t>Path</t>
  </si>
  <si>
    <t>(Weeks)</t>
  </si>
  <si>
    <t>Yes</t>
  </si>
  <si>
    <t>TASK</t>
  </si>
  <si>
    <t>the Finish</t>
  </si>
  <si>
    <t>IsInCriticalPath</t>
  </si>
  <si>
    <t>Resource</t>
  </si>
  <si>
    <t>FE</t>
  </si>
  <si>
    <t>NN</t>
  </si>
  <si>
    <t>01.06.2026</t>
  </si>
  <si>
    <t>duration (wk)</t>
  </si>
  <si>
    <t>critical path</t>
  </si>
  <si>
    <t>Start wk</t>
  </si>
  <si>
    <t>What comes Before/After?</t>
  </si>
  <si>
    <t>Progress</t>
  </si>
  <si>
    <t>Actual wk</t>
  </si>
  <si>
    <t>● Actual progress marker</t>
  </si>
  <si>
    <t>Float</t>
  </si>
  <si>
    <t>Finish wk</t>
  </si>
  <si>
    <t>How likely?</t>
  </si>
  <si>
    <t>How serious?</t>
  </si>
  <si>
    <t>RISKS:</t>
  </si>
  <si>
    <t>Actual Cost</t>
  </si>
  <si>
    <t>ActCost</t>
  </si>
  <si>
    <t>Diff</t>
  </si>
  <si>
    <t>Actual</t>
  </si>
  <si>
    <t>Forcast Act at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</si>
</sst>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7" formatCode="_(* #,##0_);_(* \(#,##0\);_(* &quot;-&quot;??_);_(@_)"/>
    <numFmt numFmtId="175" formatCode="dd\.mm\.yyyy"/>
    <numFmt numFmtId="176" formatCode="[$-409]d\-mmm;@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0"/>
      <color rgb="FFC00000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 style="thin">
        <color theme="9" tint="0.39997558519241921"/>
      </right>
      <top/>
      <bottom/>
      <diagonal/>
    </border>
    <border>
      <left/>
      <right/>
      <top style="thin">
        <color theme="9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E0E0E0"/>
      </right>
      <top/>
      <bottom style="thin">
        <color rgb="FFBFBFBF"/>
      </bottom>
      <diagonal/>
    </border>
    <border>
      <left style="thin">
        <color rgb="FFE0E0E0"/>
      </left>
      <right style="thin">
        <color rgb="FFE0E0E0"/>
      </right>
      <top/>
      <bottom style="thin">
        <color rgb="FFBFBFBF"/>
      </bottom>
      <diagonal/>
    </border>
    <border>
      <left style="thin">
        <color rgb="FFE0E0E0"/>
      </left>
      <right/>
      <top/>
      <bottom style="thin">
        <color rgb="FFBFBFBF"/>
      </bottom>
      <diagonal/>
    </border>
    <border>
      <left/>
      <right style="thin">
        <color rgb="FFE0E0E0"/>
      </right>
      <top style="thin">
        <color rgb="FFBFBFBF"/>
      </top>
      <bottom/>
      <diagonal/>
    </border>
    <border>
      <left style="thin">
        <color rgb="FFE0E0E0"/>
      </left>
      <right style="thin">
        <color rgb="FFE0E0E0"/>
      </right>
      <top style="thin">
        <color rgb="FFBFBFBF"/>
      </top>
      <bottom/>
      <diagonal/>
    </border>
    <border>
      <left style="thin">
        <color rgb="FFE0E0E0"/>
      </left>
      <right/>
      <top style="thin">
        <color rgb="FFBFBFBF"/>
      </top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67">
    <xf numFmtId="0" fontId="0" fillId="0" borderId="0" xfId="0"/>
    <xf numFmtId="0" fontId="2" fillId="3" borderId="0" xfId="0" applyFont="1" applyFill="1" applyAlignment="1">
      <alignment horizontal="center"/>
    </xf>
    <xf numFmtId="167" fontId="0" fillId="0" borderId="0" xfId="1" applyNumberFormat="1" applyFont="1"/>
    <xf numFmtId="0" fontId="0" fillId="2" borderId="1" xfId="0" applyFont="1" applyFill="1" applyBorder="1"/>
    <xf numFmtId="0" fontId="0" fillId="2" borderId="2" xfId="0" applyFont="1" applyFill="1" applyBorder="1"/>
    <xf numFmtId="0" fontId="4" fillId="4" borderId="0" xfId="0" applyFont="1" applyFill="1" applyBorder="1"/>
    <xf numFmtId="0" fontId="4" fillId="4" borderId="3" xfId="0" applyFont="1" applyFill="1" applyBorder="1"/>
    <xf numFmtId="0" fontId="4" fillId="4" borderId="4" xfId="0" applyFont="1" applyFill="1" applyBorder="1"/>
    <xf numFmtId="0" fontId="0" fillId="2" borderId="4" xfId="0" applyFont="1" applyFill="1" applyBorder="1"/>
    <xf numFmtId="167" fontId="0" fillId="2" borderId="4" xfId="1" applyNumberFormat="1" applyFont="1" applyFill="1" applyBorder="1"/>
    <xf numFmtId="175" fontId="0" fillId="2" borderId="4" xfId="0" applyNumberFormat="1" applyFont="1" applyFill="1" applyBorder="1"/>
    <xf numFmtId="0" fontId="1" fillId="0" borderId="0" xfId="0" applyFont="1"/>
    <xf numFmtId="0" fontId="0" fillId="2" borderId="0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176" fontId="6" fillId="0" borderId="0" xfId="0" applyNumberFormat="1" applyFont="1" applyAlignment="1">
      <alignment horizontal="left"/>
    </xf>
    <xf numFmtId="1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176" fontId="0" fillId="0" borderId="6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6" fillId="0" borderId="0" xfId="0" applyFont="1" applyAlignment="1">
      <alignment horizontal="center"/>
    </xf>
    <xf numFmtId="176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wrapText="1"/>
    </xf>
    <xf numFmtId="0" fontId="0" fillId="0" borderId="0" xfId="0" applyBorder="1"/>
    <xf numFmtId="1" fontId="0" fillId="5" borderId="0" xfId="0" applyNumberForma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1" fontId="0" fillId="5" borderId="5" xfId="0" applyNumberFormat="1" applyFill="1" applyBorder="1" applyAlignment="1">
      <alignment horizontal="center"/>
    </xf>
    <xf numFmtId="0" fontId="0" fillId="0" borderId="9" xfId="0" applyBorder="1" applyAlignment="1">
      <alignment horizontal="center"/>
    </xf>
    <xf numFmtId="9" fontId="0" fillId="0" borderId="0" xfId="2" applyFont="1" applyBorder="1" applyAlignment="1">
      <alignment horizontal="center"/>
    </xf>
    <xf numFmtId="9" fontId="0" fillId="0" borderId="5" xfId="2" applyFont="1" applyBorder="1" applyAlignment="1">
      <alignment horizontal="center"/>
    </xf>
    <xf numFmtId="10" fontId="0" fillId="2" borderId="2" xfId="0" applyNumberFormat="1" applyFont="1" applyFill="1" applyBorder="1"/>
    <xf numFmtId="167" fontId="0" fillId="2" borderId="1" xfId="1" applyNumberFormat="1" applyFont="1" applyFill="1" applyBorder="1"/>
    <xf numFmtId="1" fontId="0" fillId="0" borderId="0" xfId="2" applyNumberFormat="1" applyFont="1" applyBorder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0" xfId="0" applyFont="1" applyBorder="1" applyAlignment="1">
      <alignment horizontal="left"/>
    </xf>
    <xf numFmtId="1" fontId="0" fillId="2" borderId="0" xfId="0" applyNumberFormat="1" applyFont="1" applyFill="1" applyAlignment="1">
      <alignment horizontal="center"/>
    </xf>
    <xf numFmtId="167" fontId="0" fillId="0" borderId="0" xfId="1" applyNumberFormat="1" applyFont="1" applyAlignment="1">
      <alignment horizontal="center" vertical="top"/>
    </xf>
    <xf numFmtId="167" fontId="0" fillId="5" borderId="0" xfId="1" applyNumberFormat="1" applyFont="1" applyFill="1" applyBorder="1" applyAlignment="1">
      <alignment horizontal="center"/>
    </xf>
    <xf numFmtId="167" fontId="0" fillId="5" borderId="5" xfId="1" applyNumberFormat="1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1" fontId="10" fillId="5" borderId="0" xfId="0" applyNumberFormat="1" applyFont="1" applyFill="1" applyAlignment="1">
      <alignment horizontal="center"/>
    </xf>
    <xf numFmtId="3" fontId="1" fillId="0" borderId="10" xfId="0" applyNumberFormat="1" applyFont="1" applyBorder="1" applyAlignment="1">
      <alignment horizontal="center"/>
    </xf>
    <xf numFmtId="3" fontId="1" fillId="0" borderId="11" xfId="0" applyNumberFormat="1" applyFont="1" applyBorder="1" applyAlignment="1">
      <alignment horizontal="center"/>
    </xf>
    <xf numFmtId="3" fontId="1" fillId="0" borderId="12" xfId="0" applyNumberFormat="1" applyFont="1" applyBorder="1" applyAlignment="1">
      <alignment horizontal="center"/>
    </xf>
    <xf numFmtId="3" fontId="1" fillId="0" borderId="13" xfId="0" applyNumberFormat="1" applyFont="1" applyBorder="1" applyAlignment="1">
      <alignment horizontal="center"/>
    </xf>
    <xf numFmtId="3" fontId="1" fillId="0" borderId="14" xfId="0" applyNumberFormat="1" applyFont="1" applyBorder="1" applyAlignment="1">
      <alignment horizontal="center"/>
    </xf>
    <xf numFmtId="3" fontId="1" fillId="0" borderId="15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67" fontId="0" fillId="2" borderId="0" xfId="1" applyNumberFormat="1" applyFont="1" applyFill="1" applyBorder="1"/>
    <xf numFmtId="0" fontId="0" fillId="6" borderId="0" xfId="0" applyFill="1"/>
    <xf numFmtId="167" fontId="0" fillId="6" borderId="0" xfId="1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5" formatCode="dd\.mm\.yyyy"/>
      <fill>
        <patternFill patternType="solid">
          <fgColor indexed="64"/>
          <bgColor rgb="FFFFFFCC"/>
        </patternFill>
      </fill>
      <border diagonalUp="0" diagonalDown="0">
        <left/>
        <right/>
        <top style="thin">
          <color theme="9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rgb="FFFFFFCC"/>
        </patternFill>
      </fill>
      <border diagonalUp="0" diagonalDown="0">
        <left/>
        <right/>
        <top style="thin">
          <color theme="9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border diagonalUp="0" diagonalDown="0">
        <left/>
        <right/>
        <top style="thin">
          <color theme="9" tint="0.39997558519241921"/>
        </top>
        <bottom style="thin">
          <color theme="4" tint="0.39997558519241921"/>
        </bottom>
        <vertical/>
        <horizontal/>
      </border>
    </dxf>
    <dxf>
      <border>
        <left style="thin">
          <color auto="1"/>
        </left>
        <right/>
        <top/>
        <bottom/>
        <vertical/>
        <horizontal/>
      </border>
    </dxf>
    <dxf>
      <font>
        <color rgb="FF000000"/>
      </font>
      <fill>
        <patternFill patternType="solid">
          <fgColor indexed="64"/>
          <bgColor theme="2" tint="-9.9948118533890809E-2"/>
        </patternFill>
      </fill>
    </dxf>
    <dxf>
      <font>
        <color rgb="FF000000"/>
      </font>
      <fill>
        <patternFill patternType="solid">
          <fgColor indexed="64"/>
          <bgColor theme="2" tint="-9.9948118533890809E-2"/>
        </patternFill>
      </fill>
    </dxf>
    <dxf>
      <font>
        <color rgb="FFFFFFFF"/>
      </font>
      <fill>
        <patternFill patternType="solid">
          <fgColor indexed="64"/>
          <bgColor theme="5" tint="0.79998168889431442"/>
        </patternFill>
      </fill>
    </dxf>
    <dxf>
      <font>
        <color rgb="FF000000"/>
      </font>
      <fill>
        <patternFill patternType="solid">
          <fgColor indexed="64"/>
          <bgColor rgb="FFFFF2CC"/>
        </patternFill>
      </fill>
    </dxf>
    <dxf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rgb="FFFFFFCC"/>
        </patternFill>
      </fill>
    </dxf>
    <dxf>
      <border>
        <left style="thin">
          <color auto="1"/>
        </left>
        <right/>
        <top/>
        <bottom/>
        <vertical/>
        <horizontal/>
      </border>
    </dxf>
    <dxf>
      <font>
        <color rgb="FF000000"/>
      </font>
      <fill>
        <patternFill patternType="solid">
          <fgColor indexed="64"/>
          <bgColor theme="2" tint="-9.9948118533890809E-2"/>
        </patternFill>
      </fill>
    </dxf>
    <dxf>
      <font>
        <color rgb="FF000000"/>
      </font>
      <fill>
        <patternFill patternType="solid">
          <fgColor indexed="64"/>
          <bgColor theme="2" tint="-9.9948118533890809E-2"/>
        </patternFill>
      </fill>
    </dxf>
    <dxf>
      <font>
        <color rgb="FFFFFFFF"/>
      </font>
      <fill>
        <patternFill patternType="solid">
          <fgColor indexed="64"/>
          <bgColor theme="5" tint="0.79998168889431442"/>
        </patternFill>
      </fill>
    </dxf>
    <dxf>
      <font>
        <color rgb="FF000000"/>
      </font>
      <fill>
        <patternFill patternType="solid">
          <fgColor indexed="64"/>
          <bgColor rgb="FFFFF2CC"/>
        </patternFill>
      </fill>
    </dxf>
    <dxf>
      <border>
        <left style="thin">
          <color auto="1"/>
        </left>
        <right/>
        <top/>
        <bottom/>
        <vertical/>
        <horizontal/>
      </border>
    </dxf>
    <dxf>
      <font>
        <color rgb="FF000000"/>
      </font>
      <fill>
        <patternFill patternType="solid">
          <fgColor indexed="64"/>
          <bgColor theme="2" tint="-9.9948118533890809E-2"/>
        </patternFill>
      </fill>
    </dxf>
    <dxf>
      <font>
        <color rgb="FF000000"/>
      </font>
      <fill>
        <patternFill patternType="solid">
          <fgColor indexed="64"/>
          <bgColor theme="2" tint="-9.9948118533890809E-2"/>
        </patternFill>
      </fill>
    </dxf>
    <dxf>
      <font>
        <color rgb="FFFFFFFF"/>
      </font>
      <fill>
        <patternFill patternType="solid">
          <fgColor indexed="64"/>
          <bgColor theme="5" tint="0.79998168889431442"/>
        </patternFill>
      </fill>
    </dxf>
    <dxf>
      <font>
        <color rgb="FF000000"/>
      </font>
      <fill>
        <patternFill patternType="solid">
          <fgColor indexed="64"/>
          <bgColor rgb="FFFFF2CC"/>
        </patternFill>
      </fill>
    </dxf>
    <dxf>
      <border>
        <left style="thin">
          <color auto="1"/>
        </left>
        <right/>
        <top/>
        <bottom/>
        <vertical/>
        <horizontal/>
      </border>
    </dxf>
    <dxf>
      <font>
        <color rgb="FF000000"/>
      </font>
      <fill>
        <patternFill patternType="solid">
          <fgColor indexed="64"/>
          <bgColor theme="2" tint="-9.9948118533890809E-2"/>
        </patternFill>
      </fill>
    </dxf>
    <dxf>
      <font>
        <color rgb="FF000000"/>
      </font>
      <fill>
        <patternFill patternType="solid">
          <fgColor indexed="64"/>
          <bgColor theme="2" tint="-9.9948118533890809E-2"/>
        </patternFill>
      </fill>
    </dxf>
    <dxf>
      <font>
        <color rgb="FFFFFFFF"/>
      </font>
      <fill>
        <patternFill patternType="solid">
          <fgColor indexed="64"/>
          <bgColor theme="5" tint="0.79998168889431442"/>
        </patternFill>
      </fill>
    </dxf>
    <dxf>
      <font>
        <color rgb="FF000000"/>
      </font>
      <fill>
        <patternFill patternType="solid">
          <fgColor indexed="64"/>
          <bgColor rgb="FFFFF2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rgb="FFFFFFCC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rgb="FFFFFFCC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rgb="FFFFFFCC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border diagonalUp="0" diagonalDown="0" outline="0">
        <left style="thin">
          <color theme="9" tint="0.39997558519241921"/>
        </left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rgb="FFFFFFCC"/>
        </patternFill>
      </fill>
      <border diagonalUp="0" diagonalDown="0" outline="0">
        <left/>
        <right style="thin">
          <color theme="9" tint="0.39997558519241921"/>
        </right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theme="9" tint="0.39997558519241921"/>
        </left>
        <right style="thin">
          <color theme="9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colors>
    <mruColors>
      <color rgb="FFFFFFCC"/>
      <color rgb="FFFEE2E3"/>
      <color rgb="FFFFFF99"/>
      <color rgb="FFEEE7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'Gantt-frame'!$K$7:$AI$7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'Gantt-frame'!$K$3:$AI$3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5</c:v>
                </c:pt>
                <c:pt idx="21">
                  <c:v>42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4A-442C-B6C1-D1E92EE73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7468464"/>
        <c:axId val="1926348592"/>
      </c:lineChart>
      <c:catAx>
        <c:axId val="19274684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6348592"/>
        <c:crosses val="autoZero"/>
        <c:auto val="1"/>
        <c:lblAlgn val="ctr"/>
        <c:lblOffset val="100"/>
        <c:noMultiLvlLbl val="0"/>
      </c:catAx>
      <c:valAx>
        <c:axId val="192634859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927468464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'Gantt-frame'!$K$7:$AI$7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'Gantt-frame'!$K$4:$AI$4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300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100</c:v>
                </c:pt>
                <c:pt idx="7">
                  <c:v>8500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350</c:v>
                </c:pt>
                <c:pt idx="17">
                  <c:v>0</c:v>
                </c:pt>
                <c:pt idx="18">
                  <c:v>0</c:v>
                </c:pt>
                <c:pt idx="19">
                  <c:v>700</c:v>
                </c:pt>
                <c:pt idx="20">
                  <c:v>100</c:v>
                </c:pt>
                <c:pt idx="21">
                  <c:v>8000</c:v>
                </c:pt>
                <c:pt idx="22">
                  <c:v>750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C6-47B7-8745-A56384DB0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7502336"/>
        <c:axId val="1926354352"/>
      </c:lineChart>
      <c:catAx>
        <c:axId val="1927502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6354352"/>
        <c:crosses val="autoZero"/>
        <c:auto val="1"/>
        <c:lblAlgn val="ctr"/>
        <c:lblOffset val="100"/>
        <c:noMultiLvlLbl val="0"/>
      </c:catAx>
      <c:valAx>
        <c:axId val="19263543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92750233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1171575</xdr:colOff>
      <xdr:row>22</xdr:row>
      <xdr:rowOff>76200</xdr:rowOff>
    </xdr:from>
    <xdr:to>
      <xdr:col>12</xdr:col>
      <xdr:colOff>454025</xdr:colOff>
      <xdr:row>35</xdr:row>
      <xdr:rowOff>9525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86ED509C-FE06-AB47-6519-4011C1F40C00}"/>
            </a:ext>
          </a:extLst>
        </xdr:cNvPr>
        <xdr:cNvGrpSpPr/>
      </xdr:nvGrpSpPr>
      <xdr:grpSpPr>
        <a:xfrm>
          <a:off x="1825625" y="4057650"/>
          <a:ext cx="10429875" cy="2282825"/>
          <a:chOff x="8677275" y="654050"/>
          <a:chExt cx="8877300" cy="2374900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BA41B7E7-A266-AFE4-C5BA-97E35C431056}"/>
              </a:ext>
            </a:extLst>
          </xdr:cNvPr>
          <xdr:cNvSpPr/>
        </xdr:nvSpPr>
        <xdr:spPr>
          <a:xfrm>
            <a:off x="10315575" y="701675"/>
            <a:ext cx="1190625" cy="498475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Demolish Old Shed 1wk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DEB10FD0-E96A-40E7-9C99-335C7779A101}"/>
              </a:ext>
            </a:extLst>
          </xdr:cNvPr>
          <xdr:cNvSpPr/>
        </xdr:nvSpPr>
        <xdr:spPr>
          <a:xfrm>
            <a:off x="8677275" y="914400"/>
            <a:ext cx="1187450" cy="492125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Check funds</a:t>
            </a: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DBA062D4-D97C-4025-A227-4E8FE347010B}"/>
              </a:ext>
            </a:extLst>
          </xdr:cNvPr>
          <xdr:cNvSpPr/>
        </xdr:nvSpPr>
        <xdr:spPr>
          <a:xfrm>
            <a:off x="8788984" y="1581150"/>
            <a:ext cx="1193800" cy="495300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Planning Perm 6 wk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42BA3F9-D5EC-472D-B8A8-2ED30042DEFD}"/>
              </a:ext>
            </a:extLst>
          </xdr:cNvPr>
          <xdr:cNvSpPr/>
        </xdr:nvSpPr>
        <xdr:spPr>
          <a:xfrm>
            <a:off x="10189159" y="1590675"/>
            <a:ext cx="1193800" cy="495300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Wait</a:t>
            </a:r>
            <a:r>
              <a:rPr lang="nb-NO" sz="1100" baseline="0"/>
              <a:t> Perm</a:t>
            </a:r>
            <a:r>
              <a:rPr lang="nb-NO" sz="1100"/>
              <a:t> 10wk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86A365EC-B6B9-4F55-AF5C-6363ED8D4883}"/>
              </a:ext>
            </a:extLst>
          </xdr:cNvPr>
          <xdr:cNvSpPr/>
        </xdr:nvSpPr>
        <xdr:spPr>
          <a:xfrm>
            <a:off x="11693525" y="701675"/>
            <a:ext cx="1190625" cy="498475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Cutfoliage</a:t>
            </a:r>
            <a:r>
              <a:rPr lang="nb-NO" sz="1100" baseline="0"/>
              <a:t> back </a:t>
            </a:r>
            <a:r>
              <a:rPr lang="nb-NO" sz="1100"/>
              <a:t>4 wk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ED137E79-3704-4ABB-8426-96E67E6A98C0}"/>
              </a:ext>
            </a:extLst>
          </xdr:cNvPr>
          <xdr:cNvSpPr/>
        </xdr:nvSpPr>
        <xdr:spPr>
          <a:xfrm>
            <a:off x="11572802" y="1600200"/>
            <a:ext cx="1193800" cy="495300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Hire Digger</a:t>
            </a:r>
            <a:r>
              <a:rPr lang="nb-NO" sz="1100" baseline="0"/>
              <a:t> 2</a:t>
            </a:r>
            <a:r>
              <a:rPr lang="nb-NO" sz="1100"/>
              <a:t>wk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830A86F9-390A-4C4C-A080-70C880AF4466}"/>
              </a:ext>
            </a:extLst>
          </xdr:cNvPr>
          <xdr:cNvSpPr/>
        </xdr:nvSpPr>
        <xdr:spPr>
          <a:xfrm>
            <a:off x="12905463" y="1591067"/>
            <a:ext cx="1193800" cy="508000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Dig Trench </a:t>
            </a:r>
            <a:r>
              <a:rPr lang="nb-NO" sz="1100" baseline="0"/>
              <a:t>1 </a:t>
            </a:r>
            <a:r>
              <a:rPr lang="nb-NO" sz="1100"/>
              <a:t>wk</a:t>
            </a: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9759D7E9-8048-4A3F-8C7B-D0E8DDA924B6}"/>
              </a:ext>
            </a:extLst>
          </xdr:cNvPr>
          <xdr:cNvSpPr/>
        </xdr:nvSpPr>
        <xdr:spPr>
          <a:xfrm>
            <a:off x="14254181" y="1553104"/>
            <a:ext cx="1190625" cy="508000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Fill Concret</a:t>
            </a:r>
            <a:r>
              <a:rPr lang="nb-NO" sz="1100" baseline="0"/>
              <a:t> 2 </a:t>
            </a:r>
            <a:r>
              <a:rPr lang="nb-NO" sz="1100"/>
              <a:t>wk</a:t>
            </a: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DE523674-ABA6-421D-A514-AC24E4DE03B6}"/>
              </a:ext>
            </a:extLst>
          </xdr:cNvPr>
          <xdr:cNvSpPr/>
        </xdr:nvSpPr>
        <xdr:spPr>
          <a:xfrm>
            <a:off x="15564434" y="1537805"/>
            <a:ext cx="1187450" cy="501650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Level Base </a:t>
            </a:r>
            <a:r>
              <a:rPr lang="nb-NO" sz="1100" baseline="0"/>
              <a:t>1 </a:t>
            </a:r>
            <a:r>
              <a:rPr lang="nb-NO" sz="1100"/>
              <a:t>wk</a:t>
            </a: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48D178CF-E603-42AB-9B68-8CDDCC138197}"/>
              </a:ext>
            </a:extLst>
          </xdr:cNvPr>
          <xdr:cNvSpPr/>
        </xdr:nvSpPr>
        <xdr:spPr>
          <a:xfrm>
            <a:off x="13379450" y="663575"/>
            <a:ext cx="1193800" cy="504825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Wire Down Garden </a:t>
            </a:r>
            <a:r>
              <a:rPr lang="nb-NO" sz="1100" baseline="0"/>
              <a:t>1 </a:t>
            </a:r>
            <a:r>
              <a:rPr lang="nb-NO" sz="1100"/>
              <a:t>wk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F8B60D60-40D3-4B5D-AAF1-1BF706328818}"/>
              </a:ext>
            </a:extLst>
          </xdr:cNvPr>
          <xdr:cNvSpPr/>
        </xdr:nvSpPr>
        <xdr:spPr>
          <a:xfrm>
            <a:off x="14916151" y="654050"/>
            <a:ext cx="914399" cy="508000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Connect Power</a:t>
            </a: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0D9D7EEE-7197-4289-84A9-7EE84EB028C7}"/>
              </a:ext>
            </a:extLst>
          </xdr:cNvPr>
          <xdr:cNvSpPr/>
        </xdr:nvSpPr>
        <xdr:spPr>
          <a:xfrm>
            <a:off x="9093200" y="2533650"/>
            <a:ext cx="1190625" cy="495300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Reasearh</a:t>
            </a:r>
            <a:r>
              <a:rPr lang="nb-NO" sz="1100" baseline="0"/>
              <a:t> 3wk</a:t>
            </a:r>
            <a:endParaRPr lang="nb-NO" sz="1100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39AAF731-A402-4103-BC60-669D5C617126}"/>
              </a:ext>
            </a:extLst>
          </xdr:cNvPr>
          <xdr:cNvSpPr/>
        </xdr:nvSpPr>
        <xdr:spPr>
          <a:xfrm>
            <a:off x="10534650" y="2533650"/>
            <a:ext cx="1190625" cy="492125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Find Supplier 1</a:t>
            </a:r>
            <a:r>
              <a:rPr lang="nb-NO" sz="1100" baseline="0"/>
              <a:t>wk</a:t>
            </a:r>
            <a:endParaRPr lang="nb-NO" sz="1100"/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1476618E-A84C-424D-B2A4-CE24CE4B5622}"/>
              </a:ext>
            </a:extLst>
          </xdr:cNvPr>
          <xdr:cNvSpPr/>
        </xdr:nvSpPr>
        <xdr:spPr>
          <a:xfrm>
            <a:off x="11922125" y="2524125"/>
            <a:ext cx="1193800" cy="492125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Get Quotes</a:t>
            </a:r>
            <a:r>
              <a:rPr lang="nb-NO" sz="1100" baseline="0"/>
              <a:t> 4wk</a:t>
            </a:r>
            <a:endParaRPr lang="nb-NO" sz="1100"/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E0528C63-9E95-4538-ACB9-FE5BF26993C4}"/>
              </a:ext>
            </a:extLst>
          </xdr:cNvPr>
          <xdr:cNvSpPr/>
        </xdr:nvSpPr>
        <xdr:spPr>
          <a:xfrm>
            <a:off x="13741400" y="2524125"/>
            <a:ext cx="1190625" cy="492125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Wait for</a:t>
            </a:r>
            <a:r>
              <a:rPr lang="nb-NO" sz="1100" baseline="0"/>
              <a:t> Delivery 6wk</a:t>
            </a:r>
            <a:endParaRPr lang="nb-NO" sz="1100"/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7956BCDC-4266-4B9B-8774-20B26BF0CF65}"/>
              </a:ext>
            </a:extLst>
          </xdr:cNvPr>
          <xdr:cNvSpPr/>
        </xdr:nvSpPr>
        <xdr:spPr>
          <a:xfrm>
            <a:off x="15803946" y="2359025"/>
            <a:ext cx="1190625" cy="498476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 baseline="0"/>
              <a:t>Assembly 1wk</a:t>
            </a:r>
            <a:endParaRPr lang="nb-NO" sz="1100"/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2A4EAF5C-AA92-44B8-8565-905E217F12A6}"/>
              </a:ext>
            </a:extLst>
          </xdr:cNvPr>
          <xdr:cNvSpPr/>
        </xdr:nvSpPr>
        <xdr:spPr>
          <a:xfrm>
            <a:off x="16986361" y="685337"/>
            <a:ext cx="552450" cy="1454150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 baseline="0"/>
              <a:t>Finish 4 wk</a:t>
            </a:r>
            <a:endParaRPr lang="nb-NO" sz="1100"/>
          </a:p>
        </xdr:txBody>
      </xdr:sp>
      <xdr:sp macro="" textlink="">
        <xdr:nvSpPr>
          <xdr:cNvPr id="22" name="Flowchart: Decision 21">
            <a:extLst>
              <a:ext uri="{FF2B5EF4-FFF2-40B4-BE49-F238E27FC236}">
                <a16:creationId xmlns:a16="http://schemas.microsoft.com/office/drawing/2014/main" id="{D761BD79-973C-4A34-98F9-91F6CA1E8615}"/>
              </a:ext>
            </a:extLst>
          </xdr:cNvPr>
          <xdr:cNvSpPr/>
        </xdr:nvSpPr>
        <xdr:spPr>
          <a:xfrm>
            <a:off x="13293725" y="2492375"/>
            <a:ext cx="247650" cy="260350"/>
          </a:xfrm>
          <a:prstGeom prst="flowChartDecision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b-NO" sz="1100"/>
          </a:p>
        </xdr:txBody>
      </xdr:sp>
      <xdr:sp macro="" textlink="">
        <xdr:nvSpPr>
          <xdr:cNvPr id="23" name="Flowchart: Decision 22">
            <a:extLst>
              <a:ext uri="{FF2B5EF4-FFF2-40B4-BE49-F238E27FC236}">
                <a16:creationId xmlns:a16="http://schemas.microsoft.com/office/drawing/2014/main" id="{ACBD564C-9B84-467A-8062-3F7C645F49A6}"/>
              </a:ext>
            </a:extLst>
          </xdr:cNvPr>
          <xdr:cNvSpPr/>
        </xdr:nvSpPr>
        <xdr:spPr>
          <a:xfrm>
            <a:off x="9988550" y="781050"/>
            <a:ext cx="247650" cy="266700"/>
          </a:xfrm>
          <a:prstGeom prst="flowChartDecision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b-NO" sz="1100"/>
          </a:p>
        </xdr:txBody>
      </xdr:sp>
      <xdr:sp macro="" textlink="">
        <xdr:nvSpPr>
          <xdr:cNvPr id="25" name="Flowchart: Decision 24">
            <a:extLst>
              <a:ext uri="{FF2B5EF4-FFF2-40B4-BE49-F238E27FC236}">
                <a16:creationId xmlns:a16="http://schemas.microsoft.com/office/drawing/2014/main" id="{FEB96CCE-5DE2-413E-A22D-AFACF5BB19D2}"/>
              </a:ext>
            </a:extLst>
          </xdr:cNvPr>
          <xdr:cNvSpPr/>
        </xdr:nvSpPr>
        <xdr:spPr>
          <a:xfrm>
            <a:off x="14627225" y="714375"/>
            <a:ext cx="247650" cy="263525"/>
          </a:xfrm>
          <a:prstGeom prst="flowChartDecision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b-NO" sz="1100"/>
          </a:p>
        </xdr:txBody>
      </xdr:sp>
      <xdr:sp macro="" textlink="">
        <xdr:nvSpPr>
          <xdr:cNvPr id="26" name="Flowchart: Decision 25">
            <a:extLst>
              <a:ext uri="{FF2B5EF4-FFF2-40B4-BE49-F238E27FC236}">
                <a16:creationId xmlns:a16="http://schemas.microsoft.com/office/drawing/2014/main" id="{D8B3410D-3882-4491-96EB-7EC8D5D4A63D}"/>
              </a:ext>
            </a:extLst>
          </xdr:cNvPr>
          <xdr:cNvSpPr/>
        </xdr:nvSpPr>
        <xdr:spPr>
          <a:xfrm>
            <a:off x="17306925" y="2533650"/>
            <a:ext cx="247650" cy="266700"/>
          </a:xfrm>
          <a:prstGeom prst="flowChartDecision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b-NO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489884</xdr:colOff>
      <xdr:row>30</xdr:row>
      <xdr:rowOff>142500</xdr:rowOff>
    </xdr:from>
    <xdr:to>
      <xdr:col>32</xdr:col>
      <xdr:colOff>429559</xdr:colOff>
      <xdr:row>43</xdr:row>
      <xdr:rowOff>107202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5F511EF-FEC7-47C9-AAE6-B33CFF583E43}"/>
            </a:ext>
          </a:extLst>
        </xdr:cNvPr>
        <xdr:cNvGrpSpPr/>
      </xdr:nvGrpSpPr>
      <xdr:grpSpPr>
        <a:xfrm>
          <a:off x="486709" y="5658969"/>
          <a:ext cx="17779440" cy="2289176"/>
          <a:chOff x="8677275" y="654050"/>
          <a:chExt cx="8877300" cy="237490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852CBE18-0D7A-11C9-12AE-8CF83B1328C9}"/>
              </a:ext>
            </a:extLst>
          </xdr:cNvPr>
          <xdr:cNvSpPr/>
        </xdr:nvSpPr>
        <xdr:spPr>
          <a:xfrm>
            <a:off x="10290746" y="736504"/>
            <a:ext cx="1190625" cy="498475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Demolish Old Shed 1wk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2AF831A5-2071-E311-4886-09A1351EDB24}"/>
              </a:ext>
            </a:extLst>
          </xdr:cNvPr>
          <xdr:cNvSpPr/>
        </xdr:nvSpPr>
        <xdr:spPr>
          <a:xfrm>
            <a:off x="8677275" y="914400"/>
            <a:ext cx="1187450" cy="492125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Check funds</a:t>
            </a: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665B769B-B70C-FA8D-AC98-5731EF12E121}"/>
              </a:ext>
            </a:extLst>
          </xdr:cNvPr>
          <xdr:cNvSpPr/>
        </xdr:nvSpPr>
        <xdr:spPr>
          <a:xfrm>
            <a:off x="8788984" y="1581150"/>
            <a:ext cx="1193800" cy="495300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Planning Perm 6 wk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679C970-9460-5F45-BF58-BE3C108526B3}"/>
              </a:ext>
            </a:extLst>
          </xdr:cNvPr>
          <xdr:cNvSpPr/>
        </xdr:nvSpPr>
        <xdr:spPr>
          <a:xfrm>
            <a:off x="10189159" y="1590675"/>
            <a:ext cx="1193800" cy="495300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Wait</a:t>
            </a:r>
            <a:r>
              <a:rPr lang="nb-NO" sz="1100" baseline="0"/>
              <a:t> Perm</a:t>
            </a:r>
            <a:r>
              <a:rPr lang="nb-NO" sz="1100"/>
              <a:t> 10wk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B8272F7E-66C0-DD85-2B5B-7DAC56C73E49}"/>
              </a:ext>
            </a:extLst>
          </xdr:cNvPr>
          <xdr:cNvSpPr/>
        </xdr:nvSpPr>
        <xdr:spPr>
          <a:xfrm>
            <a:off x="11693525" y="701675"/>
            <a:ext cx="1190625" cy="498475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Cutfoliage</a:t>
            </a:r>
            <a:r>
              <a:rPr lang="nb-NO" sz="1100" baseline="0"/>
              <a:t> back </a:t>
            </a:r>
            <a:r>
              <a:rPr lang="nb-NO" sz="1100"/>
              <a:t>4 wk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5ED13E2E-4139-F53D-C016-5E8BA29243A9}"/>
              </a:ext>
            </a:extLst>
          </xdr:cNvPr>
          <xdr:cNvSpPr/>
        </xdr:nvSpPr>
        <xdr:spPr>
          <a:xfrm>
            <a:off x="11572802" y="1600200"/>
            <a:ext cx="1193800" cy="495300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Hire Digger</a:t>
            </a:r>
            <a:r>
              <a:rPr lang="nb-NO" sz="1100" baseline="0"/>
              <a:t> 2</a:t>
            </a:r>
            <a:r>
              <a:rPr lang="nb-NO" sz="1100"/>
              <a:t>wk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950378CE-1CC7-DF8F-D3BE-322FF82BC73D}"/>
              </a:ext>
            </a:extLst>
          </xdr:cNvPr>
          <xdr:cNvSpPr/>
        </xdr:nvSpPr>
        <xdr:spPr>
          <a:xfrm>
            <a:off x="12905463" y="1591067"/>
            <a:ext cx="1193800" cy="508000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Dig Trench </a:t>
            </a:r>
            <a:r>
              <a:rPr lang="nb-NO" sz="1100" baseline="0"/>
              <a:t>1 </a:t>
            </a:r>
            <a:r>
              <a:rPr lang="nb-NO" sz="1100"/>
              <a:t>wk</a:t>
            </a: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31AA9439-BD89-822C-B198-CC2852FBB95A}"/>
              </a:ext>
            </a:extLst>
          </xdr:cNvPr>
          <xdr:cNvSpPr/>
        </xdr:nvSpPr>
        <xdr:spPr>
          <a:xfrm>
            <a:off x="14254181" y="1553104"/>
            <a:ext cx="1190625" cy="508000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Fill Concret</a:t>
            </a:r>
            <a:r>
              <a:rPr lang="nb-NO" sz="1100" baseline="0"/>
              <a:t> 2 </a:t>
            </a:r>
            <a:r>
              <a:rPr lang="nb-NO" sz="1100"/>
              <a:t>wk</a:t>
            </a: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142EB70A-F0BF-4F6D-6843-36761A2A0C55}"/>
              </a:ext>
            </a:extLst>
          </xdr:cNvPr>
          <xdr:cNvSpPr/>
        </xdr:nvSpPr>
        <xdr:spPr>
          <a:xfrm>
            <a:off x="15564434" y="1537805"/>
            <a:ext cx="1187450" cy="501650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Level Base </a:t>
            </a:r>
            <a:r>
              <a:rPr lang="nb-NO" sz="1100" baseline="0"/>
              <a:t>1 </a:t>
            </a:r>
            <a:r>
              <a:rPr lang="nb-NO" sz="1100"/>
              <a:t>wk</a:t>
            </a: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22B9F69-BC40-6DF5-A5DD-F3BEDB0B3CF0}"/>
              </a:ext>
            </a:extLst>
          </xdr:cNvPr>
          <xdr:cNvSpPr/>
        </xdr:nvSpPr>
        <xdr:spPr>
          <a:xfrm>
            <a:off x="13379450" y="663575"/>
            <a:ext cx="1193800" cy="504825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Wire Down Garden </a:t>
            </a:r>
            <a:r>
              <a:rPr lang="nb-NO" sz="1100" baseline="0"/>
              <a:t>1 </a:t>
            </a:r>
            <a:r>
              <a:rPr lang="nb-NO" sz="1100"/>
              <a:t>wk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20F2FECF-17E5-48BA-6345-0786C30A53CC}"/>
              </a:ext>
            </a:extLst>
          </xdr:cNvPr>
          <xdr:cNvSpPr/>
        </xdr:nvSpPr>
        <xdr:spPr>
          <a:xfrm>
            <a:off x="14916151" y="654050"/>
            <a:ext cx="914399" cy="508000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Connect Power</a:t>
            </a: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FCC13986-22AA-BBAB-485F-4E23A9EB8861}"/>
              </a:ext>
            </a:extLst>
          </xdr:cNvPr>
          <xdr:cNvSpPr/>
        </xdr:nvSpPr>
        <xdr:spPr>
          <a:xfrm>
            <a:off x="9093200" y="2533650"/>
            <a:ext cx="1190625" cy="495300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Reasearh</a:t>
            </a:r>
            <a:r>
              <a:rPr lang="nb-NO" sz="1100" baseline="0"/>
              <a:t> 3wk</a:t>
            </a:r>
            <a:endParaRPr lang="nb-NO" sz="1100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51751896-9731-AF54-E013-D850D1310F6B}"/>
              </a:ext>
            </a:extLst>
          </xdr:cNvPr>
          <xdr:cNvSpPr/>
        </xdr:nvSpPr>
        <xdr:spPr>
          <a:xfrm>
            <a:off x="10534650" y="2533650"/>
            <a:ext cx="1190625" cy="492125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Find Supplier 1</a:t>
            </a:r>
            <a:r>
              <a:rPr lang="nb-NO" sz="1100" baseline="0"/>
              <a:t>wk</a:t>
            </a:r>
            <a:endParaRPr lang="nb-NO" sz="1100"/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74FA453F-DA2D-554C-32F6-F95E1A7D4657}"/>
              </a:ext>
            </a:extLst>
          </xdr:cNvPr>
          <xdr:cNvSpPr/>
        </xdr:nvSpPr>
        <xdr:spPr>
          <a:xfrm>
            <a:off x="11922125" y="2524125"/>
            <a:ext cx="1193800" cy="492125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Get Quotes</a:t>
            </a:r>
            <a:r>
              <a:rPr lang="nb-NO" sz="1100" baseline="0"/>
              <a:t> 4wk</a:t>
            </a:r>
            <a:endParaRPr lang="nb-NO" sz="1100"/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2E0FD829-6FA8-3568-C86B-7D34708B9561}"/>
              </a:ext>
            </a:extLst>
          </xdr:cNvPr>
          <xdr:cNvSpPr/>
        </xdr:nvSpPr>
        <xdr:spPr>
          <a:xfrm>
            <a:off x="13741400" y="2524125"/>
            <a:ext cx="1190625" cy="492125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Wait for</a:t>
            </a:r>
            <a:r>
              <a:rPr lang="nb-NO" sz="1100" baseline="0"/>
              <a:t> Delivery 6wk</a:t>
            </a:r>
            <a:endParaRPr lang="nb-NO" sz="1100"/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A07AF753-D1E6-9740-EA36-BE5EAB889729}"/>
              </a:ext>
            </a:extLst>
          </xdr:cNvPr>
          <xdr:cNvSpPr/>
        </xdr:nvSpPr>
        <xdr:spPr>
          <a:xfrm>
            <a:off x="15803946" y="2359025"/>
            <a:ext cx="1190625" cy="498476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 baseline="0"/>
              <a:t>Assembly 1wk</a:t>
            </a:r>
            <a:endParaRPr lang="nb-NO" sz="1100"/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87CB7E9E-7361-518E-E97E-2BF3A5945137}"/>
              </a:ext>
            </a:extLst>
          </xdr:cNvPr>
          <xdr:cNvSpPr/>
        </xdr:nvSpPr>
        <xdr:spPr>
          <a:xfrm>
            <a:off x="16986361" y="685337"/>
            <a:ext cx="552450" cy="1454150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 baseline="0"/>
              <a:t>Finish 4 wk</a:t>
            </a:r>
            <a:endParaRPr lang="nb-NO" sz="1100"/>
          </a:p>
        </xdr:txBody>
      </xdr:sp>
      <xdr:sp macro="" textlink="">
        <xdr:nvSpPr>
          <xdr:cNvPr id="20" name="Flowchart: Decision 19">
            <a:extLst>
              <a:ext uri="{FF2B5EF4-FFF2-40B4-BE49-F238E27FC236}">
                <a16:creationId xmlns:a16="http://schemas.microsoft.com/office/drawing/2014/main" id="{224C96B0-2BF0-E3E7-0768-C08520D7B6AE}"/>
              </a:ext>
            </a:extLst>
          </xdr:cNvPr>
          <xdr:cNvSpPr/>
        </xdr:nvSpPr>
        <xdr:spPr>
          <a:xfrm>
            <a:off x="15190734" y="2457595"/>
            <a:ext cx="247650" cy="260350"/>
          </a:xfrm>
          <a:prstGeom prst="flowChartDecision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b-NO" sz="1100"/>
          </a:p>
        </xdr:txBody>
      </xdr:sp>
      <xdr:sp macro="" textlink="">
        <xdr:nvSpPr>
          <xdr:cNvPr id="21" name="Flowchart: Decision 20">
            <a:extLst>
              <a:ext uri="{FF2B5EF4-FFF2-40B4-BE49-F238E27FC236}">
                <a16:creationId xmlns:a16="http://schemas.microsoft.com/office/drawing/2014/main" id="{6BA9175E-D510-107E-FD3A-51DBD97631C5}"/>
              </a:ext>
            </a:extLst>
          </xdr:cNvPr>
          <xdr:cNvSpPr/>
        </xdr:nvSpPr>
        <xdr:spPr>
          <a:xfrm>
            <a:off x="9988550" y="781050"/>
            <a:ext cx="247650" cy="266700"/>
          </a:xfrm>
          <a:prstGeom prst="flowChartDecision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b-NO" sz="1100"/>
          </a:p>
        </xdr:txBody>
      </xdr:sp>
      <xdr:sp macro="" textlink="">
        <xdr:nvSpPr>
          <xdr:cNvPr id="22" name="Flowchart: Decision 21">
            <a:extLst>
              <a:ext uri="{FF2B5EF4-FFF2-40B4-BE49-F238E27FC236}">
                <a16:creationId xmlns:a16="http://schemas.microsoft.com/office/drawing/2014/main" id="{EB5206D9-E596-5BA2-43EE-71C9F23ED857}"/>
              </a:ext>
            </a:extLst>
          </xdr:cNvPr>
          <xdr:cNvSpPr/>
        </xdr:nvSpPr>
        <xdr:spPr>
          <a:xfrm>
            <a:off x="14627225" y="714375"/>
            <a:ext cx="247650" cy="263525"/>
          </a:xfrm>
          <a:prstGeom prst="flowChartDecision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b-NO" sz="1100"/>
          </a:p>
        </xdr:txBody>
      </xdr:sp>
      <xdr:sp macro="" textlink="">
        <xdr:nvSpPr>
          <xdr:cNvPr id="23" name="Flowchart: Decision 22">
            <a:extLst>
              <a:ext uri="{FF2B5EF4-FFF2-40B4-BE49-F238E27FC236}">
                <a16:creationId xmlns:a16="http://schemas.microsoft.com/office/drawing/2014/main" id="{CCABB6F0-19CC-7D9C-664B-5D8F98EE3439}"/>
              </a:ext>
            </a:extLst>
          </xdr:cNvPr>
          <xdr:cNvSpPr/>
        </xdr:nvSpPr>
        <xdr:spPr>
          <a:xfrm>
            <a:off x="17306925" y="2533650"/>
            <a:ext cx="247650" cy="266700"/>
          </a:xfrm>
          <a:prstGeom prst="flowChartDecision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b-NO" sz="1100"/>
          </a:p>
        </xdr:txBody>
      </xdr:sp>
    </xdr:grpSp>
    <xdr:clientData/>
  </xdr:twoCellAnchor>
  <xdr:twoCellAnchor>
    <xdr:from>
      <xdr:col>31</xdr:col>
      <xdr:colOff>190500</xdr:colOff>
      <xdr:row>14</xdr:row>
      <xdr:rowOff>44824</xdr:rowOff>
    </xdr:from>
    <xdr:to>
      <xdr:col>31</xdr:col>
      <xdr:colOff>324971</xdr:colOff>
      <xdr:row>15</xdr:row>
      <xdr:rowOff>0</xdr:rowOff>
    </xdr:to>
    <xdr:sp macro="" textlink="">
      <xdr:nvSpPr>
        <xdr:cNvPr id="24" name="Flowchart: Decision 23">
          <a:extLst>
            <a:ext uri="{FF2B5EF4-FFF2-40B4-BE49-F238E27FC236}">
              <a16:creationId xmlns:a16="http://schemas.microsoft.com/office/drawing/2014/main" id="{08CCDB3F-BAEF-7AEF-A9CC-DB544BC37989}"/>
            </a:ext>
          </a:extLst>
        </xdr:cNvPr>
        <xdr:cNvSpPr/>
      </xdr:nvSpPr>
      <xdr:spPr>
        <a:xfrm>
          <a:off x="14433176" y="2196353"/>
          <a:ext cx="134471" cy="134471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b-NO" sz="1100"/>
        </a:p>
      </xdr:txBody>
    </xdr:sp>
    <xdr:clientData/>
  </xdr:twoCellAnchor>
  <xdr:twoCellAnchor>
    <xdr:from>
      <xdr:col>22</xdr:col>
      <xdr:colOff>134471</xdr:colOff>
      <xdr:row>18</xdr:row>
      <xdr:rowOff>22412</xdr:rowOff>
    </xdr:from>
    <xdr:to>
      <xdr:col>22</xdr:col>
      <xdr:colOff>268942</xdr:colOff>
      <xdr:row>18</xdr:row>
      <xdr:rowOff>153708</xdr:rowOff>
    </xdr:to>
    <xdr:sp macro="" textlink="">
      <xdr:nvSpPr>
        <xdr:cNvPr id="25" name="Flowchart: Decision 24">
          <a:extLst>
            <a:ext uri="{FF2B5EF4-FFF2-40B4-BE49-F238E27FC236}">
              <a16:creationId xmlns:a16="http://schemas.microsoft.com/office/drawing/2014/main" id="{23AA0815-199C-4F6B-84F4-5B35CED2F378}"/>
            </a:ext>
          </a:extLst>
        </xdr:cNvPr>
        <xdr:cNvSpPr/>
      </xdr:nvSpPr>
      <xdr:spPr>
        <a:xfrm>
          <a:off x="10343030" y="2891118"/>
          <a:ext cx="134471" cy="131296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b-NO" sz="1100"/>
        </a:p>
      </xdr:txBody>
    </xdr:sp>
    <xdr:clientData/>
  </xdr:twoCellAnchor>
  <xdr:twoCellAnchor>
    <xdr:from>
      <xdr:col>35</xdr:col>
      <xdr:colOff>44823</xdr:colOff>
      <xdr:row>13</xdr:row>
      <xdr:rowOff>44823</xdr:rowOff>
    </xdr:from>
    <xdr:to>
      <xdr:col>35</xdr:col>
      <xdr:colOff>179294</xdr:colOff>
      <xdr:row>13</xdr:row>
      <xdr:rowOff>176119</xdr:rowOff>
    </xdr:to>
    <xdr:sp macro="" textlink="">
      <xdr:nvSpPr>
        <xdr:cNvPr id="26" name="Flowchart: Decision 25">
          <a:extLst>
            <a:ext uri="{FF2B5EF4-FFF2-40B4-BE49-F238E27FC236}">
              <a16:creationId xmlns:a16="http://schemas.microsoft.com/office/drawing/2014/main" id="{C6D3FA16-F0A6-4B09-BA13-D1BC8A7B4C80}"/>
            </a:ext>
          </a:extLst>
        </xdr:cNvPr>
        <xdr:cNvSpPr/>
      </xdr:nvSpPr>
      <xdr:spPr>
        <a:xfrm>
          <a:off x="16080441" y="2017058"/>
          <a:ext cx="134471" cy="131296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b-NO" sz="1100"/>
        </a:p>
      </xdr:txBody>
    </xdr:sp>
    <xdr:clientData/>
  </xdr:twoCellAnchor>
  <xdr:twoCellAnchor>
    <xdr:from>
      <xdr:col>6</xdr:col>
      <xdr:colOff>502584</xdr:colOff>
      <xdr:row>0</xdr:row>
      <xdr:rowOff>33618</xdr:rowOff>
    </xdr:from>
    <xdr:to>
      <xdr:col>8</xdr:col>
      <xdr:colOff>555437</xdr:colOff>
      <xdr:row>2</xdr:row>
      <xdr:rowOff>201334</xdr:rowOff>
    </xdr:to>
    <xdr:graphicFrame macro="">
      <xdr:nvGraphicFramePr>
        <xdr:cNvPr id="28" name="Hours Sparkline">
          <a:extLst>
            <a:ext uri="{FF2B5EF4-FFF2-40B4-BE49-F238E27FC236}">
              <a16:creationId xmlns:a16="http://schemas.microsoft.com/office/drawing/2014/main" id="{866A63F2-D9EC-0F0F-784E-AF68C5AD2C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502584</xdr:colOff>
      <xdr:row>2</xdr:row>
      <xdr:rowOff>160058</xdr:rowOff>
    </xdr:from>
    <xdr:to>
      <xdr:col>8</xdr:col>
      <xdr:colOff>568137</xdr:colOff>
      <xdr:row>4</xdr:row>
      <xdr:rowOff>190500</xdr:rowOff>
    </xdr:to>
    <xdr:graphicFrame macro="">
      <xdr:nvGraphicFramePr>
        <xdr:cNvPr id="29" name="Cost Sparkline">
          <a:extLst>
            <a:ext uri="{FF2B5EF4-FFF2-40B4-BE49-F238E27FC236}">
              <a16:creationId xmlns:a16="http://schemas.microsoft.com/office/drawing/2014/main" id="{01225C4F-747D-7E88-0CA8-55007012E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35DD1C-6AAA-4569-8740-F88E2BA33338}" name="tblTaskList" displayName="tblTaskList" ref="A1:L19" totalsRowShown="0" headerRowDxfId="37" dataDxfId="38" tableBorderDxfId="42">
  <autoFilter ref="A1:L19" xr:uid="{6935DD1C-6AAA-4569-8740-F88E2BA33338}"/>
  <sortState xmlns:xlrd2="http://schemas.microsoft.com/office/spreadsheetml/2017/richdata2" ref="A2:I19">
    <sortCondition ref="D2:D19"/>
  </sortState>
  <tableColumns count="12">
    <tableColumn id="1" xr3:uid="{9030512F-993E-4437-AD7F-BB5EC00EBA07}" name="Task ID" dataDxfId="41"/>
    <tableColumn id="2" xr3:uid="{F039CB8C-C70A-4E43-A256-AE09BCF4E211}" name="Task Name" dataDxfId="40"/>
    <tableColumn id="8" xr3:uid="{ACA331A6-C376-40FD-A25E-A4D4747939F3}" name="Resource" dataDxfId="35"/>
    <tableColumn id="7" xr3:uid="{C66D77D6-568F-4644-ADA7-CD41DE046440}" name="IsInCriticalPath" dataDxfId="36"/>
    <tableColumn id="3" xr3:uid="{A44C8BBE-CF0E-47F1-A9DE-73DA24EF5F78}" name="Predecessor Tasks" dataDxfId="39"/>
    <tableColumn id="4" xr3:uid="{C592E05B-8C72-4C4C-8DAB-8030F608010C}" name="Duration (Weeks)" dataDxfId="34"/>
    <tableColumn id="10" xr3:uid="{D43EDB1D-AF1F-46DC-921F-21E09B5FEA93}" name="Progress" dataDxfId="33"/>
    <tableColumn id="5" xr3:uid="{2805CBE6-E11C-4B60-88DA-C8AF24043820}" name="Hours" dataDxfId="32"/>
    <tableColumn id="6" xr3:uid="{2FFE35F8-1C7C-4422-9644-5E98BC850589}" name="Cost" dataDxfId="31" dataCellStyle="Comma"/>
    <tableColumn id="13" xr3:uid="{609A60EA-3CA8-4311-8E3B-5EE546C0D996}" name="Actual Cost" dataDxfId="13" dataCellStyle="Comma"/>
    <tableColumn id="11" xr3:uid="{2EF1BC38-FED4-4B7C-9C59-DCD41720DF96}" name="Start wk" dataDxfId="30">
      <calculatedColumnFormula>_xlfn.XLOOKUP(tblTaskList[[#This Row],[Task Name]],'Gantt-frame'!$E$8:$E$25,'Gantt-frame'!$G$8:$G$25,"")</calculatedColumnFormula>
    </tableColumn>
    <tableColumn id="12" xr3:uid="{3460E9E0-D3B3-42E6-8F30-12E5C67A4958}" name="Finish wk" dataDxfId="29">
      <calculatedColumnFormula>_xlfn.LET(_xlpm.s,tblTaskList[[#This Row],[Start wk]],_xlpm.d,IF(tblTaskList[[#This Row],[Duration (Weeks)]]="",_xlfn.XLOOKUP(tblTaskList[[#This Row],[Task Name]],'Gantt-frame'!$E$8:$E$25,'Gantt-frame'!$B$8:$B$25,0),tblTaskList[[#This Row],[Duration (Weeks)]]),IF(_xlpm.s="","",_xlpm.s+MAX(_xlpm.d,1)-1))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03658F-B887-4F30-B6CA-B7DA2D01969C}" name="tblBudget" displayName="tblBudget" ref="N1:T2" totalsRowShown="0">
  <autoFilter ref="N1:T2" xr:uid="{2C03658F-B887-4F30-B6CA-B7DA2D01969C}"/>
  <tableColumns count="7">
    <tableColumn id="1" xr3:uid="{D9AD062C-1E1B-4755-9A0C-F6E9EF1AB879}" name="Project" dataDxfId="6"/>
    <tableColumn id="2" xr3:uid="{6E81E285-31B4-4689-800F-F57E6DADA8CD}" name="Budget" dataDxfId="5" dataCellStyle="Comma"/>
    <tableColumn id="3" xr3:uid="{A1F3783B-50FE-4AEA-869C-FA3CB77D57E8}" name="Start Date" dataDxfId="4"/>
    <tableColumn id="5" xr3:uid="{4D76A083-8546-4309-A0D5-CF9DBB773988}" name="total hours" dataDxfId="3" dataCellStyle="Comma">
      <calculatedColumnFormula>SUM(tblTaskList[Hours])</calculatedColumnFormula>
    </tableColumn>
    <tableColumn id="6" xr3:uid="{806FEB7C-F0FA-439C-810F-803B39A19D28}" name="total cost" dataDxfId="2" dataCellStyle="Comma">
      <calculatedColumnFormula>SUM(tblTaskList[Cost])</calculatedColumnFormula>
    </tableColumn>
    <tableColumn id="7" xr3:uid="{453FBC4F-3EAD-434A-A709-9AD99434FDBC}" name="ActCost" dataDxfId="1" dataCellStyle="Comma">
      <calculatedColumnFormula>SUM(tblTaskList[Actual Cost])</calculatedColumnFormula>
    </tableColumn>
    <tableColumn id="8" xr3:uid="{945152FF-09EE-4A53-BC08-67C5AA001712}" name="Diff" dataDxfId="0" dataCellStyle="Comma">
      <calculatedColumnFormula>tblBudget[[#This Row],[total cost]]-tblBudget[[#This Row],[ActCost]]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E93F0-C00A-4A97-BC3A-0FF09B63127C}">
  <sheetPr>
    <tabColor theme="3" tint="0.89999084444715716"/>
  </sheetPr>
  <dimension ref="A1:V31"/>
  <sheetViews>
    <sheetView showGridLines="0" workbookViewId="0">
      <selection activeCell="K28" sqref="K28"/>
    </sheetView>
  </sheetViews>
  <sheetFormatPr defaultRowHeight="14.5" x14ac:dyDescent="0.35"/>
  <cols>
    <col min="2" max="2" width="20.08984375" customWidth="1"/>
    <col min="3" max="3" width="11.08984375" customWidth="1"/>
    <col min="9" max="9" width="12.36328125" customWidth="1"/>
    <col min="10" max="10" width="4.08984375" customWidth="1"/>
  </cols>
  <sheetData>
    <row r="1" spans="1:22" x14ac:dyDescent="0.35">
      <c r="A1" s="11" t="s">
        <v>38</v>
      </c>
      <c r="B1" s="11"/>
      <c r="E1">
        <v>1</v>
      </c>
      <c r="F1" t="s">
        <v>45</v>
      </c>
      <c r="J1">
        <v>2</v>
      </c>
      <c r="K1" t="s">
        <v>53</v>
      </c>
      <c r="M1" t="s">
        <v>66</v>
      </c>
      <c r="P1" t="s">
        <v>93</v>
      </c>
      <c r="V1" t="s">
        <v>14</v>
      </c>
    </row>
    <row r="2" spans="1:22" x14ac:dyDescent="0.35">
      <c r="F2" t="s">
        <v>46</v>
      </c>
      <c r="K2" t="s">
        <v>54</v>
      </c>
      <c r="V2" t="s">
        <v>15</v>
      </c>
    </row>
    <row r="3" spans="1:22" x14ac:dyDescent="0.35">
      <c r="A3" t="s">
        <v>39</v>
      </c>
      <c r="F3" t="s">
        <v>47</v>
      </c>
      <c r="K3" t="s">
        <v>55</v>
      </c>
      <c r="V3" t="s">
        <v>16</v>
      </c>
    </row>
    <row r="4" spans="1:22" x14ac:dyDescent="0.35">
      <c r="A4" t="s">
        <v>40</v>
      </c>
      <c r="F4" t="s">
        <v>48</v>
      </c>
      <c r="K4" t="s">
        <v>56</v>
      </c>
      <c r="V4" t="s">
        <v>17</v>
      </c>
    </row>
    <row r="5" spans="1:22" x14ac:dyDescent="0.35">
      <c r="A5" t="s">
        <v>41</v>
      </c>
      <c r="F5" t="s">
        <v>49</v>
      </c>
      <c r="K5" t="s">
        <v>57</v>
      </c>
      <c r="V5" t="s">
        <v>18</v>
      </c>
    </row>
    <row r="6" spans="1:22" x14ac:dyDescent="0.35">
      <c r="A6" t="s">
        <v>42</v>
      </c>
      <c r="F6" t="s">
        <v>50</v>
      </c>
      <c r="V6" t="s">
        <v>19</v>
      </c>
    </row>
    <row r="7" spans="1:22" x14ac:dyDescent="0.35">
      <c r="A7" t="s">
        <v>43</v>
      </c>
      <c r="F7" t="s">
        <v>51</v>
      </c>
      <c r="K7" t="s">
        <v>59</v>
      </c>
      <c r="V7" t="s">
        <v>20</v>
      </c>
    </row>
    <row r="8" spans="1:22" x14ac:dyDescent="0.35">
      <c r="A8" t="s">
        <v>44</v>
      </c>
      <c r="F8" t="s">
        <v>52</v>
      </c>
      <c r="K8" t="s">
        <v>60</v>
      </c>
      <c r="V8" t="s">
        <v>21</v>
      </c>
    </row>
    <row r="9" spans="1:22" x14ac:dyDescent="0.35">
      <c r="K9" t="s">
        <v>61</v>
      </c>
      <c r="V9" t="s">
        <v>22</v>
      </c>
    </row>
    <row r="10" spans="1:22" x14ac:dyDescent="0.35">
      <c r="A10" t="s">
        <v>67</v>
      </c>
      <c r="K10" t="s">
        <v>62</v>
      </c>
      <c r="V10" t="s">
        <v>23</v>
      </c>
    </row>
    <row r="11" spans="1:22" x14ac:dyDescent="0.35">
      <c r="A11" t="s">
        <v>68</v>
      </c>
      <c r="K11" t="s">
        <v>63</v>
      </c>
      <c r="V11" t="s">
        <v>24</v>
      </c>
    </row>
    <row r="12" spans="1:22" x14ac:dyDescent="0.35">
      <c r="A12" t="s">
        <v>69</v>
      </c>
      <c r="K12" t="s">
        <v>64</v>
      </c>
      <c r="V12" t="s">
        <v>25</v>
      </c>
    </row>
    <row r="13" spans="1:22" x14ac:dyDescent="0.35">
      <c r="A13" t="s">
        <v>70</v>
      </c>
      <c r="K13" t="s">
        <v>65</v>
      </c>
    </row>
    <row r="14" spans="1:22" x14ac:dyDescent="0.35">
      <c r="A14" t="s">
        <v>71</v>
      </c>
    </row>
    <row r="15" spans="1:22" x14ac:dyDescent="0.35">
      <c r="A15" t="s">
        <v>30</v>
      </c>
      <c r="K15" t="s">
        <v>37</v>
      </c>
    </row>
    <row r="16" spans="1:22" x14ac:dyDescent="0.35">
      <c r="A16" t="s">
        <v>58</v>
      </c>
      <c r="K16" t="s">
        <v>73</v>
      </c>
    </row>
    <row r="17" spans="1:11" x14ac:dyDescent="0.35">
      <c r="A17" t="s">
        <v>72</v>
      </c>
      <c r="K17" t="s">
        <v>74</v>
      </c>
    </row>
    <row r="18" spans="1:11" x14ac:dyDescent="0.35">
      <c r="A18" t="s">
        <v>36</v>
      </c>
      <c r="K18" t="s">
        <v>75</v>
      </c>
    </row>
    <row r="19" spans="1:11" x14ac:dyDescent="0.35">
      <c r="K19" t="s">
        <v>76</v>
      </c>
    </row>
    <row r="20" spans="1:11" x14ac:dyDescent="0.35">
      <c r="A20" t="s">
        <v>81</v>
      </c>
      <c r="K20" t="s">
        <v>77</v>
      </c>
    </row>
    <row r="21" spans="1:11" x14ac:dyDescent="0.35">
      <c r="A21" t="s">
        <v>82</v>
      </c>
      <c r="K21" t="s">
        <v>78</v>
      </c>
    </row>
    <row r="22" spans="1:11" x14ac:dyDescent="0.35">
      <c r="A22" t="s">
        <v>83</v>
      </c>
      <c r="K22" t="s">
        <v>79</v>
      </c>
    </row>
    <row r="23" spans="1:11" x14ac:dyDescent="0.35">
      <c r="A23" t="s">
        <v>84</v>
      </c>
      <c r="K23" t="s">
        <v>80</v>
      </c>
    </row>
    <row r="24" spans="1:11" x14ac:dyDescent="0.35">
      <c r="A24" t="s">
        <v>85</v>
      </c>
    </row>
    <row r="25" spans="1:11" x14ac:dyDescent="0.35">
      <c r="A25" t="s">
        <v>86</v>
      </c>
      <c r="K25" t="s">
        <v>129</v>
      </c>
    </row>
    <row r="26" spans="1:11" x14ac:dyDescent="0.35">
      <c r="A26" t="s">
        <v>87</v>
      </c>
      <c r="K26" t="s">
        <v>127</v>
      </c>
    </row>
    <row r="27" spans="1:11" x14ac:dyDescent="0.35">
      <c r="A27" t="s">
        <v>88</v>
      </c>
      <c r="K27" t="s">
        <v>128</v>
      </c>
    </row>
    <row r="28" spans="1:11" x14ac:dyDescent="0.35">
      <c r="A28" t="s">
        <v>89</v>
      </c>
    </row>
    <row r="29" spans="1:11" x14ac:dyDescent="0.35">
      <c r="A29" t="s">
        <v>90</v>
      </c>
    </row>
    <row r="30" spans="1:11" x14ac:dyDescent="0.35">
      <c r="A30" t="s">
        <v>91</v>
      </c>
    </row>
    <row r="31" spans="1:11" x14ac:dyDescent="0.35">
      <c r="A31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6E911-E3BA-4525-AA70-EB8175AEBB77}">
  <sheetPr>
    <tabColor rgb="FFFFFF99"/>
  </sheetPr>
  <dimension ref="A1:Y32"/>
  <sheetViews>
    <sheetView topLeftCell="B1" workbookViewId="0">
      <selection activeCell="Q6" sqref="Q6"/>
    </sheetView>
  </sheetViews>
  <sheetFormatPr defaultRowHeight="14.5" x14ac:dyDescent="0.35"/>
  <cols>
    <col min="1" max="1" width="9.36328125" bestFit="1" customWidth="1"/>
    <col min="2" max="2" width="25.90625" bestFit="1" customWidth="1"/>
    <col min="3" max="3" width="11.453125" bestFit="1" customWidth="1"/>
    <col min="4" max="4" width="16.6328125" bestFit="1" customWidth="1"/>
    <col min="5" max="5" width="25.90625" bestFit="1" customWidth="1"/>
    <col min="6" max="6" width="18.54296875" bestFit="1" customWidth="1"/>
    <col min="7" max="7" width="10.7265625" bestFit="1" customWidth="1"/>
    <col min="8" max="8" width="8.453125" bestFit="1" customWidth="1"/>
    <col min="9" max="9" width="7.36328125" bestFit="1" customWidth="1"/>
    <col min="10" max="10" width="8.90625" customWidth="1"/>
    <col min="11" max="11" width="12.26953125" bestFit="1" customWidth="1"/>
    <col min="12" max="12" width="13.36328125" bestFit="1" customWidth="1"/>
    <col min="13" max="13" width="17.36328125" customWidth="1"/>
    <col min="14" max="14" width="8.90625" customWidth="1"/>
    <col min="15" max="15" width="11.453125" customWidth="1"/>
    <col min="16" max="16" width="10.6328125" customWidth="1"/>
    <col min="17" max="17" width="12.1796875" customWidth="1"/>
    <col min="18" max="18" width="10.90625" customWidth="1"/>
    <col min="20" max="20" width="8.7265625" customWidth="1"/>
  </cols>
  <sheetData>
    <row r="1" spans="1:25" x14ac:dyDescent="0.35">
      <c r="A1" s="5" t="s">
        <v>12</v>
      </c>
      <c r="B1" s="5" t="s">
        <v>13</v>
      </c>
      <c r="C1" s="5" t="s">
        <v>114</v>
      </c>
      <c r="D1" s="5" t="s">
        <v>113</v>
      </c>
      <c r="E1" s="5" t="s">
        <v>26</v>
      </c>
      <c r="F1" s="6" t="s">
        <v>11</v>
      </c>
      <c r="G1" s="6" t="s">
        <v>122</v>
      </c>
      <c r="H1" s="6" t="s">
        <v>34</v>
      </c>
      <c r="I1" s="5" t="s">
        <v>36</v>
      </c>
      <c r="J1" s="5" t="s">
        <v>130</v>
      </c>
      <c r="K1" s="6" t="s">
        <v>120</v>
      </c>
      <c r="L1" s="6" t="s">
        <v>126</v>
      </c>
      <c r="N1" s="7" t="s">
        <v>94</v>
      </c>
      <c r="O1" s="7" t="s">
        <v>29</v>
      </c>
      <c r="P1" s="7" t="s">
        <v>95</v>
      </c>
      <c r="Q1" s="5" t="s">
        <v>97</v>
      </c>
      <c r="R1" s="5" t="s">
        <v>98</v>
      </c>
      <c r="S1" s="5" t="s">
        <v>131</v>
      </c>
      <c r="T1" s="65" t="s">
        <v>132</v>
      </c>
    </row>
    <row r="2" spans="1:25" x14ac:dyDescent="0.35">
      <c r="A2" s="3">
        <v>2</v>
      </c>
      <c r="B2" s="3" t="s">
        <v>102</v>
      </c>
      <c r="C2" s="3" t="s">
        <v>115</v>
      </c>
      <c r="D2" s="3" t="s">
        <v>110</v>
      </c>
      <c r="E2" s="3" t="s">
        <v>10</v>
      </c>
      <c r="F2" s="4">
        <v>6</v>
      </c>
      <c r="G2" s="42">
        <v>1</v>
      </c>
      <c r="H2" s="4"/>
      <c r="I2" s="43"/>
      <c r="J2" s="64"/>
      <c r="K2" s="50">
        <f>_xlfn.XLOOKUP(tblTaskList[[#This Row],[Task Name]],'Gantt-frame'!$E$8:$E$25,'Gantt-frame'!$G$8:$G$25,"")</f>
        <v>1</v>
      </c>
      <c r="L2" s="50">
        <f>_xlfn.LET(_xlpm.s,tblTaskList[[#This Row],[Start wk]],_xlpm.d,IF(tblTaskList[[#This Row],[Duration (Weeks)]]="",_xlfn.XLOOKUP(tblTaskList[[#This Row],[Task Name]],'Gantt-frame'!$E$8:$E$25,'Gantt-frame'!$B$8:$B$25,0),tblTaskList[[#This Row],[Duration (Weeks)]]),IF(_xlpm.s="","",_xlpm.s+MAX(_xlpm.d,1)-1))</f>
        <v>6</v>
      </c>
      <c r="N2" s="8" t="s">
        <v>96</v>
      </c>
      <c r="O2" s="9">
        <v>20000</v>
      </c>
      <c r="P2" s="10" t="s">
        <v>117</v>
      </c>
      <c r="Q2" s="2">
        <f>SUM(tblTaskList[Hours])</f>
        <v>70</v>
      </c>
      <c r="R2" s="2">
        <f>SUM(tblTaskList[Cost])</f>
        <v>18800</v>
      </c>
      <c r="S2" s="2">
        <f>SUM(tblTaskList[Actual Cost])</f>
        <v>19450</v>
      </c>
      <c r="T2" s="66">
        <f>tblBudget[[#This Row],[total cost]]-tblBudget[[#This Row],[ActCost]]</f>
        <v>-650</v>
      </c>
    </row>
    <row r="3" spans="1:25" x14ac:dyDescent="0.35">
      <c r="A3" s="3">
        <v>3</v>
      </c>
      <c r="B3" s="3" t="s">
        <v>10</v>
      </c>
      <c r="C3" s="3" t="s">
        <v>115</v>
      </c>
      <c r="D3" s="3" t="s">
        <v>110</v>
      </c>
      <c r="E3" s="3" t="s">
        <v>3</v>
      </c>
      <c r="F3" s="4">
        <v>10</v>
      </c>
      <c r="G3" s="42">
        <v>0.2</v>
      </c>
      <c r="H3" s="4"/>
      <c r="I3" s="43">
        <v>100</v>
      </c>
      <c r="J3" s="64">
        <v>100</v>
      </c>
      <c r="K3" s="50">
        <f>_xlfn.XLOOKUP(tblTaskList[[#This Row],[Task Name]],'Gantt-frame'!$E$8:$E$25,'Gantt-frame'!$G$8:$G$25,"")</f>
        <v>7</v>
      </c>
      <c r="L3" s="50">
        <f>_xlfn.LET(_xlpm.s,tblTaskList[[#This Row],[Start wk]],_xlpm.d,IF(tblTaskList[[#This Row],[Duration (Weeks)]]="",_xlfn.XLOOKUP(tblTaskList[[#This Row],[Task Name]],'Gantt-frame'!$E$8:$E$25,'Gantt-frame'!$B$8:$B$25,0),tblTaskList[[#This Row],[Duration (Weeks)]]),IF(_xlpm.s="","",_xlpm.s+MAX(_xlpm.d,1)-1))</f>
        <v>16</v>
      </c>
    </row>
    <row r="4" spans="1:25" x14ac:dyDescent="0.35">
      <c r="A4" s="3">
        <v>6</v>
      </c>
      <c r="B4" s="3" t="s">
        <v>2</v>
      </c>
      <c r="C4" s="3" t="s">
        <v>116</v>
      </c>
      <c r="D4" s="3" t="s">
        <v>110</v>
      </c>
      <c r="E4" s="3" t="s">
        <v>9</v>
      </c>
      <c r="F4" s="4">
        <v>1</v>
      </c>
      <c r="G4" s="42">
        <v>0</v>
      </c>
      <c r="H4" s="4">
        <v>4</v>
      </c>
      <c r="I4" s="43">
        <v>350</v>
      </c>
      <c r="J4" s="64">
        <v>400</v>
      </c>
      <c r="K4" s="50">
        <f>_xlfn.XLOOKUP(tblTaskList[[#This Row],[Task Name]],'Gantt-frame'!$E$8:$E$25,'Gantt-frame'!$G$8:$G$25,"")</f>
        <v>17</v>
      </c>
      <c r="L4" s="50">
        <f>_xlfn.LET(_xlpm.s,tblTaskList[[#This Row],[Start wk]],_xlpm.d,IF(tblTaskList[[#This Row],[Duration (Weeks)]]="",_xlfn.XLOOKUP(tblTaskList[[#This Row],[Task Name]],'Gantt-frame'!$E$8:$E$25,'Gantt-frame'!$B$8:$B$25,0),tblTaskList[[#This Row],[Duration (Weeks)]]),IF(_xlpm.s="","",_xlpm.s+MAX(_xlpm.d,1)-1))</f>
        <v>17</v>
      </c>
    </row>
    <row r="5" spans="1:25" x14ac:dyDescent="0.35">
      <c r="A5" s="3">
        <v>7</v>
      </c>
      <c r="B5" s="3" t="s">
        <v>3</v>
      </c>
      <c r="C5" s="3" t="s">
        <v>115</v>
      </c>
      <c r="D5" s="3" t="s">
        <v>110</v>
      </c>
      <c r="E5" s="3" t="s">
        <v>2</v>
      </c>
      <c r="F5" s="4">
        <v>2</v>
      </c>
      <c r="G5" s="42">
        <v>0</v>
      </c>
      <c r="H5" s="4"/>
      <c r="I5" s="43"/>
      <c r="J5" s="64"/>
      <c r="K5" s="50">
        <f>_xlfn.XLOOKUP(tblTaskList[[#This Row],[Task Name]],'Gantt-frame'!$E$8:$E$25,'Gantt-frame'!$G$8:$G$25,"")</f>
        <v>18</v>
      </c>
      <c r="L5" s="50">
        <f>_xlfn.LET(_xlpm.s,tblTaskList[[#This Row],[Start wk]],_xlpm.d,IF(tblTaskList[[#This Row],[Duration (Weeks)]]="",_xlfn.XLOOKUP(tblTaskList[[#This Row],[Task Name]],'Gantt-frame'!$E$8:$E$25,'Gantt-frame'!$B$8:$B$25,0),tblTaskList[[#This Row],[Duration (Weeks)]]),IF(_xlpm.s="","",_xlpm.s+MAX(_xlpm.d,1)-1))</f>
        <v>19</v>
      </c>
    </row>
    <row r="6" spans="1:25" x14ac:dyDescent="0.35">
      <c r="A6" s="3">
        <v>9</v>
      </c>
      <c r="B6" s="3" t="s">
        <v>4</v>
      </c>
      <c r="C6" s="3" t="s">
        <v>116</v>
      </c>
      <c r="D6" s="3" t="s">
        <v>110</v>
      </c>
      <c r="E6" s="3" t="s">
        <v>5</v>
      </c>
      <c r="F6" s="4">
        <v>1</v>
      </c>
      <c r="G6" s="42">
        <v>0</v>
      </c>
      <c r="H6" s="4">
        <v>3</v>
      </c>
      <c r="I6" s="43">
        <v>700</v>
      </c>
      <c r="J6" s="64">
        <v>800</v>
      </c>
      <c r="K6" s="50">
        <f>_xlfn.XLOOKUP(tblTaskList[[#This Row],[Task Name]],'Gantt-frame'!$E$8:$E$25,'Gantt-frame'!$G$8:$G$25,"")</f>
        <v>20</v>
      </c>
      <c r="L6" s="50">
        <f>_xlfn.LET(_xlpm.s,tblTaskList[[#This Row],[Start wk]],_xlpm.d,IF(tblTaskList[[#This Row],[Duration (Weeks)]]="",_xlfn.XLOOKUP(tblTaskList[[#This Row],[Task Name]],'Gantt-frame'!$E$8:$E$25,'Gantt-frame'!$B$8:$B$25,0),tblTaskList[[#This Row],[Duration (Weeks)]]),IF(_xlpm.s="","",_xlpm.s+MAX(_xlpm.d,1)-1))</f>
        <v>20</v>
      </c>
    </row>
    <row r="7" spans="1:25" x14ac:dyDescent="0.35">
      <c r="A7" s="3">
        <v>10</v>
      </c>
      <c r="B7" s="3" t="s">
        <v>5</v>
      </c>
      <c r="C7" s="3" t="s">
        <v>116</v>
      </c>
      <c r="D7" s="3" t="s">
        <v>110</v>
      </c>
      <c r="E7" s="3" t="s">
        <v>101</v>
      </c>
      <c r="F7" s="4">
        <v>1</v>
      </c>
      <c r="G7" s="42">
        <v>0</v>
      </c>
      <c r="H7" s="4">
        <v>5</v>
      </c>
      <c r="I7" s="43">
        <v>100</v>
      </c>
      <c r="J7" s="64">
        <v>100</v>
      </c>
      <c r="K7" s="50">
        <f>_xlfn.XLOOKUP(tblTaskList[[#This Row],[Task Name]],'Gantt-frame'!$E$8:$E$25,'Gantt-frame'!$G$8:$G$25,"")</f>
        <v>21</v>
      </c>
      <c r="L7" s="50">
        <f>_xlfn.LET(_xlpm.s,tblTaskList[[#This Row],[Start wk]],_xlpm.d,IF(tblTaskList[[#This Row],[Duration (Weeks)]]="",_xlfn.XLOOKUP(tblTaskList[[#This Row],[Task Name]],'Gantt-frame'!$E$8:$E$25,'Gantt-frame'!$B$8:$B$25,0),tblTaskList[[#This Row],[Duration (Weeks)]]),IF(_xlpm.s="","",_xlpm.s+MAX(_xlpm.d,1)-1))</f>
        <v>21</v>
      </c>
    </row>
    <row r="8" spans="1:25" x14ac:dyDescent="0.35">
      <c r="A8" s="3">
        <v>17</v>
      </c>
      <c r="B8" s="3" t="s">
        <v>112</v>
      </c>
      <c r="C8" s="3" t="s">
        <v>115</v>
      </c>
      <c r="D8" s="3" t="s">
        <v>110</v>
      </c>
      <c r="E8" s="3"/>
      <c r="F8" s="4">
        <v>4</v>
      </c>
      <c r="G8" s="42">
        <v>0</v>
      </c>
      <c r="H8" s="4">
        <v>34</v>
      </c>
      <c r="I8" s="43">
        <v>8000</v>
      </c>
      <c r="J8" s="64">
        <v>8500</v>
      </c>
      <c r="K8" s="50">
        <f>_xlfn.XLOOKUP(tblTaskList[[#This Row],[Task Name]],'Gantt-frame'!$E$8:$E$25,'Gantt-frame'!$G$8:$G$25,"")</f>
        <v>22</v>
      </c>
      <c r="L8" s="50">
        <f>_xlfn.LET(_xlpm.s,tblTaskList[[#This Row],[Start wk]],_xlpm.d,IF(tblTaskList[[#This Row],[Duration (Weeks)]]="",_xlfn.XLOOKUP(tblTaskList[[#This Row],[Task Name]],'Gantt-frame'!$E$8:$E$25,'Gantt-frame'!$B$8:$B$25,0),tblTaskList[[#This Row],[Duration (Weeks)]]),IF(_xlpm.s="","",_xlpm.s+MAX(_xlpm.d,1)-1))</f>
        <v>25</v>
      </c>
    </row>
    <row r="9" spans="1:25" x14ac:dyDescent="0.35">
      <c r="A9" s="3">
        <v>19</v>
      </c>
      <c r="B9" s="3" t="s">
        <v>31</v>
      </c>
      <c r="C9" s="3" t="s">
        <v>116</v>
      </c>
      <c r="D9" s="3" t="s">
        <v>110</v>
      </c>
      <c r="E9" s="3" t="s">
        <v>100</v>
      </c>
      <c r="F9" s="4">
        <v>0</v>
      </c>
      <c r="G9" s="42">
        <v>0</v>
      </c>
      <c r="H9" s="4"/>
      <c r="I9" s="43"/>
      <c r="J9" s="64"/>
      <c r="K9" s="50">
        <f>_xlfn.XLOOKUP(tblTaskList[[#This Row],[Task Name]],'Gantt-frame'!$E$8:$E$25,'Gantt-frame'!$G$8:$G$25,"")</f>
        <v>22</v>
      </c>
      <c r="L9" s="50">
        <f>_xlfn.LET(_xlpm.s,tblTaskList[[#This Row],[Start wk]],_xlpm.d,IF(tblTaskList[[#This Row],[Duration (Weeks)]]="",_xlfn.XLOOKUP(tblTaskList[[#This Row],[Task Name]],'Gantt-frame'!$E$8:$E$25,'Gantt-frame'!$B$8:$B$25,0),tblTaskList[[#This Row],[Duration (Weeks)]]),IF(_xlpm.s="","",_xlpm.s+MAX(_xlpm.d,1)-1))</f>
        <v>22</v>
      </c>
    </row>
    <row r="10" spans="1:25" x14ac:dyDescent="0.35">
      <c r="A10" s="3">
        <v>1</v>
      </c>
      <c r="B10" s="3" t="s">
        <v>27</v>
      </c>
      <c r="C10" s="3" t="s">
        <v>115</v>
      </c>
      <c r="D10" s="3" t="s">
        <v>125</v>
      </c>
      <c r="E10" s="3" t="s">
        <v>0</v>
      </c>
      <c r="F10" s="4">
        <v>0</v>
      </c>
      <c r="G10" s="42">
        <v>1</v>
      </c>
      <c r="H10" s="4"/>
      <c r="I10" s="43"/>
      <c r="J10" s="64"/>
      <c r="K10" s="50">
        <f>_xlfn.XLOOKUP(tblTaskList[[#This Row],[Task Name]],'Gantt-frame'!$E$8:$E$25,'Gantt-frame'!$G$8:$G$25,"")</f>
        <v>2</v>
      </c>
      <c r="L10" s="50">
        <f>_xlfn.LET(_xlpm.s,tblTaskList[[#This Row],[Start wk]],_xlpm.d,IF(tblTaskList[[#This Row],[Duration (Weeks)]]="",_xlfn.XLOOKUP(tblTaskList[[#This Row],[Task Name]],'Gantt-frame'!$E$8:$E$25,'Gantt-frame'!$B$8:$B$25,0),tblTaskList[[#This Row],[Duration (Weeks)]]),IF(_xlpm.s="","",_xlpm.s+MAX(_xlpm.d,1)-1))</f>
        <v>2</v>
      </c>
    </row>
    <row r="11" spans="1:25" x14ac:dyDescent="0.35">
      <c r="A11" s="3">
        <v>4</v>
      </c>
      <c r="B11" s="3" t="s">
        <v>0</v>
      </c>
      <c r="C11" s="3" t="s">
        <v>116</v>
      </c>
      <c r="D11" s="3" t="s">
        <v>125</v>
      </c>
      <c r="E11" s="3" t="s">
        <v>1</v>
      </c>
      <c r="F11" s="4">
        <v>1</v>
      </c>
      <c r="G11" s="42">
        <v>0</v>
      </c>
      <c r="H11" s="4">
        <v>6</v>
      </c>
      <c r="I11" s="43">
        <v>300</v>
      </c>
      <c r="J11" s="43">
        <v>300</v>
      </c>
      <c r="K11" s="50">
        <f>_xlfn.XLOOKUP(tblTaskList[[#This Row],[Task Name]],'Gantt-frame'!$E$8:$E$25,'Gantt-frame'!$G$8:$G$25,"")</f>
        <v>3</v>
      </c>
      <c r="L11" s="50">
        <f>_xlfn.LET(_xlpm.s,tblTaskList[[#This Row],[Start wk]],_xlpm.d,IF(tblTaskList[[#This Row],[Duration (Weeks)]]="",_xlfn.XLOOKUP(tblTaskList[[#This Row],[Task Name]],'Gantt-frame'!$E$8:$E$25,'Gantt-frame'!$B$8:$B$25,0),tblTaskList[[#This Row],[Duration (Weeks)]]),IF(_xlpm.s="","",_xlpm.s+MAX(_xlpm.d,1)-1))</f>
        <v>3</v>
      </c>
      <c r="Y11" t="s">
        <v>35</v>
      </c>
    </row>
    <row r="12" spans="1:25" x14ac:dyDescent="0.35">
      <c r="A12" s="3">
        <v>5</v>
      </c>
      <c r="B12" s="3" t="s">
        <v>1</v>
      </c>
      <c r="C12" s="3" t="s">
        <v>116</v>
      </c>
      <c r="D12" s="3" t="s">
        <v>125</v>
      </c>
      <c r="E12" s="3" t="s">
        <v>2</v>
      </c>
      <c r="F12" s="4">
        <v>4</v>
      </c>
      <c r="G12" s="42">
        <v>0</v>
      </c>
      <c r="H12" s="4">
        <v>10</v>
      </c>
      <c r="I12" s="43">
        <v>500</v>
      </c>
      <c r="J12" s="43">
        <v>500</v>
      </c>
      <c r="K12" s="50">
        <f>_xlfn.XLOOKUP(tblTaskList[[#This Row],[Task Name]],'Gantt-frame'!$E$8:$E$25,'Gantt-frame'!$G$8:$G$25,"")</f>
        <v>8</v>
      </c>
      <c r="L12" s="50">
        <f>_xlfn.LET(_xlpm.s,tblTaskList[[#This Row],[Start wk]],_xlpm.d,IF(tblTaskList[[#This Row],[Duration (Weeks)]]="",_xlfn.XLOOKUP(tblTaskList[[#This Row],[Task Name]],'Gantt-frame'!$E$8:$E$25,'Gantt-frame'!$B$8:$B$25,0),tblTaskList[[#This Row],[Duration (Weeks)]]),IF(_xlpm.s="","",_xlpm.s+MAX(_xlpm.d,1)-1))</f>
        <v>11</v>
      </c>
      <c r="Y12" t="s">
        <v>108</v>
      </c>
    </row>
    <row r="13" spans="1:25" x14ac:dyDescent="0.35">
      <c r="A13" s="3">
        <v>8</v>
      </c>
      <c r="B13" s="3" t="s">
        <v>99</v>
      </c>
      <c r="C13" s="3" t="s">
        <v>116</v>
      </c>
      <c r="D13" s="3" t="s">
        <v>125</v>
      </c>
      <c r="E13" s="3" t="s">
        <v>112</v>
      </c>
      <c r="F13" s="4"/>
      <c r="G13" s="42">
        <v>0</v>
      </c>
      <c r="H13" s="4"/>
      <c r="I13" s="43"/>
      <c r="J13" s="43"/>
      <c r="K13" s="50">
        <f>_xlfn.XLOOKUP(tblTaskList[[#This Row],[Task Name]],'Gantt-frame'!$E$8:$E$25,'Gantt-frame'!$G$8:$G$25,"")</f>
        <v>13</v>
      </c>
      <c r="L13" s="50">
        <f>_xlfn.LET(_xlpm.s,tblTaskList[[#This Row],[Start wk]],_xlpm.d,IF(tblTaskList[[#This Row],[Duration (Weeks)]]="",_xlfn.XLOOKUP(tblTaskList[[#This Row],[Task Name]],'Gantt-frame'!$E$8:$E$25,'Gantt-frame'!$B$8:$B$25,0),tblTaskList[[#This Row],[Duration (Weeks)]]),IF(_xlpm.s="","",_xlpm.s+MAX(_xlpm.d,1)-1))</f>
        <v>13</v>
      </c>
      <c r="Y13" t="s">
        <v>109</v>
      </c>
    </row>
    <row r="14" spans="1:25" x14ac:dyDescent="0.35">
      <c r="A14" s="3">
        <v>11</v>
      </c>
      <c r="B14" s="3" t="s">
        <v>7</v>
      </c>
      <c r="C14" s="3" t="s">
        <v>115</v>
      </c>
      <c r="D14" s="3" t="s">
        <v>125</v>
      </c>
      <c r="E14" s="3" t="s">
        <v>8</v>
      </c>
      <c r="F14" s="4">
        <v>1</v>
      </c>
      <c r="G14" s="42">
        <v>1</v>
      </c>
      <c r="H14" s="4"/>
      <c r="I14" s="43"/>
      <c r="J14" s="43"/>
      <c r="K14" s="50">
        <f>_xlfn.XLOOKUP(tblTaskList[[#This Row],[Task Name]],'Gantt-frame'!$E$8:$E$25,'Gantt-frame'!$G$8:$G$25,"")</f>
        <v>4</v>
      </c>
      <c r="L14" s="50">
        <f>_xlfn.LET(_xlpm.s,tblTaskList[[#This Row],[Start wk]],_xlpm.d,IF(tblTaskList[[#This Row],[Duration (Weeks)]]="",_xlfn.XLOOKUP(tblTaskList[[#This Row],[Task Name]],'Gantt-frame'!$E$8:$E$25,'Gantt-frame'!$B$8:$B$25,0),tblTaskList[[#This Row],[Duration (Weeks)]]),IF(_xlpm.s="","",_xlpm.s+MAX(_xlpm.d,1)-1))</f>
        <v>4</v>
      </c>
      <c r="Y14" s="13">
        <f>6+10+2+1+2+1+4</f>
        <v>26</v>
      </c>
    </row>
    <row r="15" spans="1:25" x14ac:dyDescent="0.35">
      <c r="A15" s="3">
        <v>12</v>
      </c>
      <c r="B15" s="3" t="s">
        <v>8</v>
      </c>
      <c r="C15" s="3" t="s">
        <v>115</v>
      </c>
      <c r="D15" s="3" t="s">
        <v>125</v>
      </c>
      <c r="E15" s="3" t="s">
        <v>6</v>
      </c>
      <c r="F15" s="4">
        <v>3</v>
      </c>
      <c r="G15" s="42">
        <v>0</v>
      </c>
      <c r="H15" s="4"/>
      <c r="I15" s="43"/>
      <c r="J15" s="43"/>
      <c r="K15" s="50">
        <f>_xlfn.XLOOKUP(tblTaskList[[#This Row],[Task Name]],'Gantt-frame'!$E$8:$E$25,'Gantt-frame'!$G$8:$G$25,"")</f>
        <v>7</v>
      </c>
      <c r="L15" s="50">
        <f>_xlfn.LET(_xlpm.s,tblTaskList[[#This Row],[Start wk]],_xlpm.d,IF(tblTaskList[[#This Row],[Duration (Weeks)]]="",_xlfn.XLOOKUP(tblTaskList[[#This Row],[Task Name]],'Gantt-frame'!$E$8:$E$25,'Gantt-frame'!$B$8:$B$25,0),tblTaskList[[#This Row],[Duration (Weeks)]]),IF(_xlpm.s="","",_xlpm.s+MAX(_xlpm.d,1)-1))</f>
        <v>9</v>
      </c>
    </row>
    <row r="16" spans="1:25" x14ac:dyDescent="0.35">
      <c r="A16" s="3">
        <v>13</v>
      </c>
      <c r="B16" s="3" t="s">
        <v>6</v>
      </c>
      <c r="C16" s="3" t="s">
        <v>115</v>
      </c>
      <c r="D16" s="3" t="s">
        <v>125</v>
      </c>
      <c r="E16" s="3"/>
      <c r="F16" s="4">
        <v>0</v>
      </c>
      <c r="G16" s="42">
        <v>0</v>
      </c>
      <c r="H16" s="4"/>
      <c r="I16" s="43">
        <v>8000</v>
      </c>
      <c r="J16" s="43">
        <v>8000</v>
      </c>
      <c r="K16" s="50">
        <f>_xlfn.XLOOKUP(tblTaskList[[#This Row],[Task Name]],'Gantt-frame'!$E$8:$E$25,'Gantt-frame'!$G$8:$G$25,"")</f>
        <v>8</v>
      </c>
      <c r="L16" s="50">
        <f>_xlfn.LET(_xlpm.s,tblTaskList[[#This Row],[Start wk]],_xlpm.d,IF(tblTaskList[[#This Row],[Duration (Weeks)]]="",_xlfn.XLOOKUP(tblTaskList[[#This Row],[Task Name]],'Gantt-frame'!$E$8:$E$25,'Gantt-frame'!$B$8:$B$25,0),tblTaskList[[#This Row],[Duration (Weeks)]]),IF(_xlpm.s="","",_xlpm.s+MAX(_xlpm.d,1)-1))</f>
        <v>8</v>
      </c>
    </row>
    <row r="17" spans="1:15" x14ac:dyDescent="0.35">
      <c r="A17" s="3">
        <v>14</v>
      </c>
      <c r="B17" s="3" t="s">
        <v>100</v>
      </c>
      <c r="C17" s="3" t="s">
        <v>115</v>
      </c>
      <c r="D17" s="3" t="s">
        <v>125</v>
      </c>
      <c r="E17" s="3" t="s">
        <v>101</v>
      </c>
      <c r="F17" s="4">
        <v>6</v>
      </c>
      <c r="G17" s="42">
        <v>0</v>
      </c>
      <c r="H17" s="4"/>
      <c r="I17" s="43"/>
      <c r="J17" s="43"/>
      <c r="K17" s="50">
        <f>_xlfn.XLOOKUP(tblTaskList[[#This Row],[Task Name]],'Gantt-frame'!$E$8:$E$25,'Gantt-frame'!$G$8:$G$25,"")</f>
        <v>7</v>
      </c>
      <c r="L17" s="50">
        <f>_xlfn.LET(_xlpm.s,tblTaskList[[#This Row],[Start wk]],_xlpm.d,IF(tblTaskList[[#This Row],[Duration (Weeks)]]="",_xlfn.XLOOKUP(tblTaskList[[#This Row],[Task Name]],'Gantt-frame'!$E$8:$E$25,'Gantt-frame'!$B$8:$B$25,0),tblTaskList[[#This Row],[Duration (Weeks)]]),IF(_xlpm.s="","",_xlpm.s+MAX(_xlpm.d,1)-1))</f>
        <v>12</v>
      </c>
    </row>
    <row r="18" spans="1:15" x14ac:dyDescent="0.35">
      <c r="A18" s="3">
        <v>15</v>
      </c>
      <c r="B18" s="3" t="s">
        <v>9</v>
      </c>
      <c r="C18" s="3" t="s">
        <v>116</v>
      </c>
      <c r="D18" s="3" t="s">
        <v>125</v>
      </c>
      <c r="E18" s="3" t="s">
        <v>99</v>
      </c>
      <c r="F18" s="4">
        <v>1</v>
      </c>
      <c r="G18" s="42">
        <v>0</v>
      </c>
      <c r="H18" s="4">
        <v>8</v>
      </c>
      <c r="I18" s="43"/>
      <c r="J18" s="43"/>
      <c r="K18" s="50">
        <f>_xlfn.XLOOKUP(tblTaskList[[#This Row],[Task Name]],'Gantt-frame'!$E$8:$E$25,'Gantt-frame'!$G$8:$G$25,"")</f>
        <v>22</v>
      </c>
      <c r="L18" s="50">
        <f>_xlfn.LET(_xlpm.s,tblTaskList[[#This Row],[Start wk]],_xlpm.d,IF(tblTaskList[[#This Row],[Duration (Weeks)]]="",_xlfn.XLOOKUP(tblTaskList[[#This Row],[Task Name]],'Gantt-frame'!$E$8:$E$25,'Gantt-frame'!$B$8:$B$25,0),tblTaskList[[#This Row],[Duration (Weeks)]]),IF(_xlpm.s="","",_xlpm.s+MAX(_xlpm.d,1)-1))</f>
        <v>22</v>
      </c>
    </row>
    <row r="19" spans="1:15" x14ac:dyDescent="0.35">
      <c r="A19" s="3">
        <v>16</v>
      </c>
      <c r="B19" s="3" t="s">
        <v>101</v>
      </c>
      <c r="C19" s="3" t="s">
        <v>116</v>
      </c>
      <c r="D19" s="3" t="s">
        <v>125</v>
      </c>
      <c r="E19" s="3"/>
      <c r="F19" s="4">
        <v>1</v>
      </c>
      <c r="G19" s="42">
        <v>0</v>
      </c>
      <c r="H19" s="4"/>
      <c r="I19" s="43">
        <v>750</v>
      </c>
      <c r="J19" s="43">
        <v>750</v>
      </c>
      <c r="K19" s="50">
        <f>_xlfn.XLOOKUP(tblTaskList[[#This Row],[Task Name]],'Gantt-frame'!$E$8:$E$25,'Gantt-frame'!$G$8:$G$25,"")</f>
        <v>23</v>
      </c>
      <c r="L19" s="50">
        <f>_xlfn.LET(_xlpm.s,tblTaskList[[#This Row],[Start wk]],_xlpm.d,IF(tblTaskList[[#This Row],[Duration (Weeks)]]="",_xlfn.XLOOKUP(tblTaskList[[#This Row],[Task Name]],'Gantt-frame'!$E$8:$E$25,'Gantt-frame'!$B$8:$B$25,0),tblTaskList[[#This Row],[Duration (Weeks)]]),IF(_xlpm.s="","",_xlpm.s+MAX(_xlpm.d,1)-1))</f>
        <v>23</v>
      </c>
    </row>
    <row r="20" spans="1:15" x14ac:dyDescent="0.35">
      <c r="A20" s="3"/>
      <c r="B20" s="3"/>
      <c r="C20" s="3"/>
      <c r="D20" s="3"/>
      <c r="E20" s="3"/>
      <c r="F20" s="4"/>
      <c r="G20" s="4"/>
      <c r="H20" s="4"/>
      <c r="I20" s="3"/>
      <c r="J20" s="12"/>
    </row>
    <row r="21" spans="1:15" x14ac:dyDescent="0.35">
      <c r="A21" s="3"/>
      <c r="B21" s="3"/>
      <c r="C21" s="3"/>
      <c r="D21" s="3"/>
      <c r="E21" s="3"/>
      <c r="F21" s="4"/>
      <c r="G21" s="4"/>
      <c r="H21" s="4"/>
      <c r="I21" s="3"/>
      <c r="J21" s="12"/>
    </row>
    <row r="22" spans="1:15" x14ac:dyDescent="0.35">
      <c r="A22" s="3"/>
      <c r="B22" s="3"/>
      <c r="C22" s="3"/>
      <c r="D22" s="3"/>
      <c r="E22" s="3"/>
      <c r="F22" s="4"/>
      <c r="G22" s="4"/>
      <c r="H22" s="4"/>
      <c r="I22" s="3"/>
      <c r="J22" s="12"/>
    </row>
    <row r="23" spans="1:15" x14ac:dyDescent="0.35">
      <c r="A23" s="3"/>
      <c r="B23" s="3"/>
      <c r="C23" s="3"/>
      <c r="D23" s="3"/>
      <c r="E23" s="3"/>
      <c r="F23" s="4"/>
      <c r="G23" s="4"/>
      <c r="H23" s="4"/>
      <c r="I23" s="3"/>
      <c r="J23" s="12"/>
      <c r="N23" t="s">
        <v>103</v>
      </c>
    </row>
    <row r="24" spans="1:15" x14ac:dyDescent="0.35">
      <c r="A24" s="3"/>
      <c r="B24" s="3"/>
      <c r="C24" s="3"/>
      <c r="D24" s="3"/>
      <c r="E24" s="3"/>
      <c r="F24" s="4"/>
      <c r="G24" s="4"/>
      <c r="H24" s="4"/>
      <c r="I24" s="3"/>
      <c r="J24" s="12"/>
    </row>
    <row r="25" spans="1:15" x14ac:dyDescent="0.35">
      <c r="A25" s="3"/>
      <c r="B25" s="3"/>
      <c r="C25" s="3"/>
      <c r="D25" s="3"/>
      <c r="E25" s="3"/>
      <c r="F25" s="4"/>
      <c r="G25" s="4"/>
      <c r="H25" s="4"/>
      <c r="I25" s="3"/>
      <c r="J25" s="12"/>
      <c r="N25" t="s">
        <v>104</v>
      </c>
    </row>
    <row r="26" spans="1:15" x14ac:dyDescent="0.35">
      <c r="A26" s="3"/>
      <c r="B26" s="3"/>
      <c r="C26" s="3"/>
      <c r="D26" s="3"/>
      <c r="E26" s="3"/>
      <c r="F26" s="4"/>
      <c r="G26" s="4"/>
      <c r="H26" s="4"/>
      <c r="I26" s="3"/>
      <c r="J26" s="12"/>
    </row>
    <row r="27" spans="1:15" x14ac:dyDescent="0.35">
      <c r="N27" t="s">
        <v>105</v>
      </c>
      <c r="O27" t="s">
        <v>121</v>
      </c>
    </row>
    <row r="29" spans="1:15" x14ac:dyDescent="0.35">
      <c r="N29" t="s">
        <v>106</v>
      </c>
    </row>
    <row r="32" spans="1:15" x14ac:dyDescent="0.35">
      <c r="N32" t="s">
        <v>107</v>
      </c>
    </row>
  </sheetData>
  <phoneticPr fontId="9" type="noConversion"/>
  <conditionalFormatting sqref="R2:S2">
    <cfRule type="expression" dxfId="12" priority="1">
      <formula>$R$2&lt;=$O$2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51410-6504-402D-97D5-0CC2A1F1327C}">
  <dimension ref="A3:BJ27"/>
  <sheetViews>
    <sheetView zoomScale="85" zoomScaleNormal="85" workbookViewId="0">
      <selection activeCell="J29" sqref="J29"/>
    </sheetView>
  </sheetViews>
  <sheetFormatPr defaultRowHeight="14.5" x14ac:dyDescent="0.35"/>
  <cols>
    <col min="1" max="1" width="10.90625" style="31" bestFit="1" customWidth="1"/>
    <col min="2" max="2" width="11.90625" style="14" bestFit="1" customWidth="1"/>
    <col min="3" max="3" width="11.90625" style="14" customWidth="1"/>
    <col min="4" max="4" width="8" style="14" customWidth="1"/>
    <col min="5" max="5" width="28.1796875" customWidth="1"/>
    <col min="6" max="6" width="10.6328125" bestFit="1" customWidth="1"/>
    <col min="7" max="7" width="7.54296875" bestFit="1" customWidth="1"/>
    <col min="8" max="9" width="8.36328125" customWidth="1"/>
    <col min="10" max="10" width="8.453125" customWidth="1"/>
    <col min="11" max="37" width="6.36328125" style="14" customWidth="1"/>
    <col min="38" max="38" width="7.6328125" style="14" customWidth="1"/>
    <col min="39" max="40" width="7.1796875" style="14" customWidth="1"/>
    <col min="41" max="62" width="6.36328125" style="14" customWidth="1"/>
  </cols>
  <sheetData>
    <row r="3" spans="1:62" ht="18" customHeight="1" x14ac:dyDescent="0.35">
      <c r="A3" s="16" t="str">
        <f>tblTaskList!N2</f>
        <v>New Garden Shed</v>
      </c>
      <c r="B3" s="16"/>
      <c r="C3" s="26"/>
      <c r="D3" s="26"/>
      <c r="G3" s="23"/>
      <c r="H3" s="62"/>
      <c r="I3" s="62"/>
      <c r="J3" s="54" t="s">
        <v>34</v>
      </c>
      <c r="K3" s="56">
        <f>SUMIFS($I$8:$I$25,$G$8:$G$25,K$7)</f>
        <v>0</v>
      </c>
      <c r="L3" s="57">
        <f t="shared" ref="L3:BJ3" si="0">SUMIFS($I$8:$I$25,$G$8:$G$25,L$7)</f>
        <v>0</v>
      </c>
      <c r="M3" s="57">
        <f t="shared" si="0"/>
        <v>6</v>
      </c>
      <c r="N3" s="57">
        <f t="shared" si="0"/>
        <v>0</v>
      </c>
      <c r="O3" s="57">
        <f t="shared" si="0"/>
        <v>0</v>
      </c>
      <c r="P3" s="57">
        <f t="shared" si="0"/>
        <v>0</v>
      </c>
      <c r="Q3" s="57">
        <f t="shared" si="0"/>
        <v>0</v>
      </c>
      <c r="R3" s="57">
        <f t="shared" si="0"/>
        <v>10</v>
      </c>
      <c r="S3" s="57">
        <f t="shared" si="0"/>
        <v>0</v>
      </c>
      <c r="T3" s="57">
        <f t="shared" si="0"/>
        <v>0</v>
      </c>
      <c r="U3" s="57">
        <f t="shared" si="0"/>
        <v>0</v>
      </c>
      <c r="V3" s="57">
        <f t="shared" si="0"/>
        <v>0</v>
      </c>
      <c r="W3" s="57">
        <f t="shared" si="0"/>
        <v>0</v>
      </c>
      <c r="X3" s="57">
        <f t="shared" si="0"/>
        <v>0</v>
      </c>
      <c r="Y3" s="57">
        <f t="shared" si="0"/>
        <v>0</v>
      </c>
      <c r="Z3" s="57">
        <f t="shared" si="0"/>
        <v>0</v>
      </c>
      <c r="AA3" s="57">
        <f t="shared" si="0"/>
        <v>4</v>
      </c>
      <c r="AB3" s="57">
        <f t="shared" si="0"/>
        <v>0</v>
      </c>
      <c r="AC3" s="57">
        <f t="shared" si="0"/>
        <v>0</v>
      </c>
      <c r="AD3" s="57">
        <f t="shared" si="0"/>
        <v>3</v>
      </c>
      <c r="AE3" s="57">
        <f t="shared" si="0"/>
        <v>5</v>
      </c>
      <c r="AF3" s="57">
        <f t="shared" si="0"/>
        <v>42</v>
      </c>
      <c r="AG3" s="57">
        <f t="shared" si="0"/>
        <v>0</v>
      </c>
      <c r="AH3" s="57">
        <f t="shared" si="0"/>
        <v>0</v>
      </c>
      <c r="AI3" s="57">
        <f t="shared" si="0"/>
        <v>0</v>
      </c>
      <c r="AJ3" s="57">
        <f t="shared" si="0"/>
        <v>0</v>
      </c>
      <c r="AK3" s="57">
        <f t="shared" si="0"/>
        <v>0</v>
      </c>
      <c r="AL3" s="57">
        <f t="shared" si="0"/>
        <v>0</v>
      </c>
      <c r="AM3" s="57">
        <f t="shared" si="0"/>
        <v>0</v>
      </c>
      <c r="AN3" s="57">
        <f t="shared" si="0"/>
        <v>0</v>
      </c>
      <c r="AO3" s="57">
        <f t="shared" si="0"/>
        <v>0</v>
      </c>
      <c r="AP3" s="57">
        <f t="shared" si="0"/>
        <v>0</v>
      </c>
      <c r="AQ3" s="57">
        <f t="shared" si="0"/>
        <v>0</v>
      </c>
      <c r="AR3" s="57">
        <f t="shared" si="0"/>
        <v>0</v>
      </c>
      <c r="AS3" s="57">
        <f t="shared" si="0"/>
        <v>0</v>
      </c>
      <c r="AT3" s="57">
        <f t="shared" si="0"/>
        <v>0</v>
      </c>
      <c r="AU3" s="57">
        <f t="shared" si="0"/>
        <v>0</v>
      </c>
      <c r="AV3" s="57">
        <f t="shared" si="0"/>
        <v>0</v>
      </c>
      <c r="AW3" s="57">
        <f t="shared" si="0"/>
        <v>0</v>
      </c>
      <c r="AX3" s="57">
        <f t="shared" si="0"/>
        <v>0</v>
      </c>
      <c r="AY3" s="57">
        <f t="shared" si="0"/>
        <v>0</v>
      </c>
      <c r="AZ3" s="57">
        <f t="shared" si="0"/>
        <v>0</v>
      </c>
      <c r="BA3" s="57">
        <f t="shared" si="0"/>
        <v>0</v>
      </c>
      <c r="BB3" s="57">
        <f t="shared" si="0"/>
        <v>0</v>
      </c>
      <c r="BC3" s="57">
        <f t="shared" si="0"/>
        <v>0</v>
      </c>
      <c r="BD3" s="57">
        <f t="shared" si="0"/>
        <v>0</v>
      </c>
      <c r="BE3" s="57">
        <f t="shared" si="0"/>
        <v>0</v>
      </c>
      <c r="BF3" s="57">
        <f t="shared" si="0"/>
        <v>0</v>
      </c>
      <c r="BG3" s="57">
        <f t="shared" si="0"/>
        <v>0</v>
      </c>
      <c r="BH3" s="57">
        <f t="shared" si="0"/>
        <v>0</v>
      </c>
      <c r="BI3" s="57">
        <f t="shared" si="0"/>
        <v>0</v>
      </c>
      <c r="BJ3" s="58">
        <f t="shared" si="0"/>
        <v>0</v>
      </c>
    </row>
    <row r="4" spans="1:62" ht="18" customHeight="1" x14ac:dyDescent="0.35">
      <c r="A4" s="16"/>
      <c r="B4" s="16"/>
      <c r="C4" s="26"/>
      <c r="D4" s="26"/>
      <c r="E4" s="17" t="s">
        <v>28</v>
      </c>
      <c r="F4" s="24">
        <f ca="1">TODAY()</f>
        <v>46240</v>
      </c>
      <c r="G4" s="25">
        <f ca="1">WEEKNUM(F4)</f>
        <v>32</v>
      </c>
      <c r="H4" s="63"/>
      <c r="I4" s="63"/>
      <c r="J4" s="55" t="s">
        <v>36</v>
      </c>
      <c r="K4" s="59">
        <f>SUMIFS($J$8:$J$25,$G$8:$G$25,K$7)</f>
        <v>0</v>
      </c>
      <c r="L4" s="60">
        <f t="shared" ref="L4:BJ4" si="1">SUMIFS($J$8:$J$25,$G$8:$G$25,L$7)</f>
        <v>0</v>
      </c>
      <c r="M4" s="60">
        <f t="shared" si="1"/>
        <v>300</v>
      </c>
      <c r="N4" s="60">
        <f t="shared" si="1"/>
        <v>0</v>
      </c>
      <c r="O4" s="60">
        <f t="shared" si="1"/>
        <v>0</v>
      </c>
      <c r="P4" s="60">
        <f t="shared" si="1"/>
        <v>0</v>
      </c>
      <c r="Q4" s="60">
        <f t="shared" si="1"/>
        <v>100</v>
      </c>
      <c r="R4" s="60">
        <f t="shared" si="1"/>
        <v>8500</v>
      </c>
      <c r="S4" s="60">
        <f t="shared" si="1"/>
        <v>0</v>
      </c>
      <c r="T4" s="60">
        <f t="shared" si="1"/>
        <v>0</v>
      </c>
      <c r="U4" s="60">
        <f t="shared" si="1"/>
        <v>0</v>
      </c>
      <c r="V4" s="60">
        <f t="shared" si="1"/>
        <v>0</v>
      </c>
      <c r="W4" s="60">
        <f t="shared" si="1"/>
        <v>0</v>
      </c>
      <c r="X4" s="60">
        <f t="shared" si="1"/>
        <v>0</v>
      </c>
      <c r="Y4" s="60">
        <f t="shared" si="1"/>
        <v>0</v>
      </c>
      <c r="Z4" s="60">
        <f t="shared" si="1"/>
        <v>0</v>
      </c>
      <c r="AA4" s="60">
        <f t="shared" si="1"/>
        <v>350</v>
      </c>
      <c r="AB4" s="60">
        <f t="shared" si="1"/>
        <v>0</v>
      </c>
      <c r="AC4" s="60">
        <f t="shared" si="1"/>
        <v>0</v>
      </c>
      <c r="AD4" s="60">
        <f t="shared" si="1"/>
        <v>700</v>
      </c>
      <c r="AE4" s="60">
        <f t="shared" si="1"/>
        <v>100</v>
      </c>
      <c r="AF4" s="60">
        <f t="shared" si="1"/>
        <v>8000</v>
      </c>
      <c r="AG4" s="60">
        <f t="shared" si="1"/>
        <v>750</v>
      </c>
      <c r="AH4" s="60">
        <f t="shared" si="1"/>
        <v>0</v>
      </c>
      <c r="AI4" s="60">
        <f t="shared" si="1"/>
        <v>0</v>
      </c>
      <c r="AJ4" s="60">
        <f t="shared" si="1"/>
        <v>0</v>
      </c>
      <c r="AK4" s="60">
        <f t="shared" si="1"/>
        <v>0</v>
      </c>
      <c r="AL4" s="60">
        <f t="shared" si="1"/>
        <v>0</v>
      </c>
      <c r="AM4" s="60">
        <f t="shared" si="1"/>
        <v>0</v>
      </c>
      <c r="AN4" s="60">
        <f t="shared" si="1"/>
        <v>0</v>
      </c>
      <c r="AO4" s="60">
        <f t="shared" si="1"/>
        <v>0</v>
      </c>
      <c r="AP4" s="60">
        <f t="shared" si="1"/>
        <v>0</v>
      </c>
      <c r="AQ4" s="60">
        <f t="shared" si="1"/>
        <v>0</v>
      </c>
      <c r="AR4" s="60">
        <f t="shared" si="1"/>
        <v>0</v>
      </c>
      <c r="AS4" s="60">
        <f t="shared" si="1"/>
        <v>0</v>
      </c>
      <c r="AT4" s="60">
        <f t="shared" si="1"/>
        <v>0</v>
      </c>
      <c r="AU4" s="60">
        <f t="shared" si="1"/>
        <v>0</v>
      </c>
      <c r="AV4" s="60">
        <f t="shared" si="1"/>
        <v>0</v>
      </c>
      <c r="AW4" s="60">
        <f t="shared" si="1"/>
        <v>0</v>
      </c>
      <c r="AX4" s="60">
        <f t="shared" si="1"/>
        <v>0</v>
      </c>
      <c r="AY4" s="60">
        <f t="shared" si="1"/>
        <v>0</v>
      </c>
      <c r="AZ4" s="60">
        <f t="shared" si="1"/>
        <v>0</v>
      </c>
      <c r="BA4" s="60">
        <f t="shared" si="1"/>
        <v>0</v>
      </c>
      <c r="BB4" s="60">
        <f t="shared" si="1"/>
        <v>0</v>
      </c>
      <c r="BC4" s="60">
        <f t="shared" si="1"/>
        <v>0</v>
      </c>
      <c r="BD4" s="60">
        <f t="shared" si="1"/>
        <v>0</v>
      </c>
      <c r="BE4" s="60">
        <f t="shared" si="1"/>
        <v>0</v>
      </c>
      <c r="BF4" s="60">
        <f t="shared" si="1"/>
        <v>0</v>
      </c>
      <c r="BG4" s="60">
        <f t="shared" si="1"/>
        <v>0</v>
      </c>
      <c r="BH4" s="60">
        <f t="shared" si="1"/>
        <v>0</v>
      </c>
      <c r="BI4" s="60">
        <f t="shared" si="1"/>
        <v>0</v>
      </c>
      <c r="BJ4" s="61">
        <f t="shared" si="1"/>
        <v>0</v>
      </c>
    </row>
    <row r="5" spans="1:62" ht="18" customHeight="1" x14ac:dyDescent="0.35">
      <c r="A5" s="16"/>
      <c r="B5" s="16"/>
      <c r="C5" s="26"/>
      <c r="D5" s="26"/>
      <c r="E5" s="17" t="s">
        <v>32</v>
      </c>
      <c r="F5" s="24" t="str">
        <f>INDEX(tblBudget[Start Date],1)</f>
        <v>01.06.2026</v>
      </c>
      <c r="G5" s="14">
        <v>1</v>
      </c>
      <c r="H5" s="14"/>
      <c r="I5" s="14"/>
      <c r="J5" s="14"/>
      <c r="K5" s="21">
        <f>DATE(RIGHT($F$5,4),MID($F$5,4,2),LEFT($F$5,2))+K$7*7</f>
        <v>46181</v>
      </c>
      <c r="L5" s="15">
        <f>DATE(RIGHT($F$5,4),MID($F$5,4,2),LEFT($F$5,2))+L$7*7</f>
        <v>46188</v>
      </c>
      <c r="M5" s="15">
        <f>DATE(RIGHT($F$5,4),MID($F$5,4,2),LEFT($F$5,2))+M$7*7</f>
        <v>46195</v>
      </c>
      <c r="N5" s="15">
        <f>DATE(RIGHT($F$5,4),MID($F$5,4,2),LEFT($F$5,2))+N$7*7</f>
        <v>46202</v>
      </c>
      <c r="O5" s="15">
        <f>DATE(RIGHT($F$5,4),MID($F$5,4,2),LEFT($F$5,2))+O$7*7</f>
        <v>46209</v>
      </c>
      <c r="P5" s="15">
        <f>DATE(RIGHT($F$5,4),MID($F$5,4,2),LEFT($F$5,2))+P$7*7</f>
        <v>46216</v>
      </c>
      <c r="Q5" s="15">
        <f>DATE(RIGHT($F$5,4),MID($F$5,4,2),LEFT($F$5,2))+Q$7*7</f>
        <v>46223</v>
      </c>
      <c r="R5" s="15">
        <f>DATE(RIGHT($F$5,4),MID($F$5,4,2),LEFT($F$5,2))+R$7*7</f>
        <v>46230</v>
      </c>
      <c r="S5" s="15">
        <f>DATE(RIGHT($F$5,4),MID($F$5,4,2),LEFT($F$5,2))+S$7*7</f>
        <v>46237</v>
      </c>
      <c r="T5" s="15">
        <f>DATE(RIGHT($F$5,4),MID($F$5,4,2),LEFT($F$5,2))+T$7*7</f>
        <v>46244</v>
      </c>
      <c r="U5" s="15">
        <f>DATE(RIGHT($F$5,4),MID($F$5,4,2),LEFT($F$5,2))+U$7*7</f>
        <v>46251</v>
      </c>
      <c r="V5" s="15">
        <f>DATE(RIGHT($F$5,4),MID($F$5,4,2),LEFT($F$5,2))+V$7*7</f>
        <v>46258</v>
      </c>
      <c r="W5" s="15">
        <f>DATE(RIGHT($F$5,4),MID($F$5,4,2),LEFT($F$5,2))+W$7*7</f>
        <v>46265</v>
      </c>
      <c r="X5" s="15">
        <f>DATE(RIGHT($F$5,4),MID($F$5,4,2),LEFT($F$5,2))+X$7*7</f>
        <v>46272</v>
      </c>
      <c r="Y5" s="15">
        <f>DATE(RIGHT($F$5,4),MID($F$5,4,2),LEFT($F$5,2))+Y$7*7</f>
        <v>46279</v>
      </c>
      <c r="Z5" s="15">
        <f>DATE(RIGHT($F$5,4),MID($F$5,4,2),LEFT($F$5,2))+Z$7*7</f>
        <v>46286</v>
      </c>
      <c r="AA5" s="15">
        <f>DATE(RIGHT($F$5,4),MID($F$5,4,2),LEFT($F$5,2))+AA$7*7</f>
        <v>46293</v>
      </c>
      <c r="AB5" s="15">
        <f>DATE(RIGHT($F$5,4),MID($F$5,4,2),LEFT($F$5,2))+AB$7*7</f>
        <v>46300</v>
      </c>
      <c r="AC5" s="15">
        <f>DATE(RIGHT($F$5,4),MID($F$5,4,2),LEFT($F$5,2))+AC$7*7</f>
        <v>46307</v>
      </c>
      <c r="AD5" s="15">
        <f>DATE(RIGHT($F$5,4),MID($F$5,4,2),LEFT($F$5,2))+AD$7*7</f>
        <v>46314</v>
      </c>
      <c r="AE5" s="15">
        <f>DATE(RIGHT($F$5,4),MID($F$5,4,2),LEFT($F$5,2))+AE$7*7</f>
        <v>46321</v>
      </c>
      <c r="AF5" s="15">
        <f>DATE(RIGHT($F$5,4),MID($F$5,4,2),LEFT($F$5,2))+AF$7*7</f>
        <v>46328</v>
      </c>
      <c r="AG5" s="15">
        <f>DATE(RIGHT($F$5,4),MID($F$5,4,2),LEFT($F$5,2))+AG$7*7</f>
        <v>46335</v>
      </c>
      <c r="AH5" s="15">
        <f>DATE(RIGHT($F$5,4),MID($F$5,4,2),LEFT($F$5,2))+AH$7*7</f>
        <v>46342</v>
      </c>
      <c r="AI5" s="15">
        <f>DATE(RIGHT($F$5,4),MID($F$5,4,2),LEFT($F$5,2))+AI$7*7</f>
        <v>46349</v>
      </c>
      <c r="AJ5" s="15">
        <f>DATE(RIGHT($F$5,4),MID($F$5,4,2),LEFT($F$5,2))+AJ$7*7</f>
        <v>46356</v>
      </c>
      <c r="AK5" s="15">
        <f>DATE(RIGHT($F$5,4),MID($F$5,4,2),LEFT($F$5,2))+AK$7*7</f>
        <v>46363</v>
      </c>
      <c r="AL5" s="15">
        <f>DATE(RIGHT($F$5,4),MID($F$5,4,2),LEFT($F$5,2))+AL$7*7</f>
        <v>46370</v>
      </c>
      <c r="AM5" s="15">
        <f>DATE(RIGHT($F$5,4),MID($F$5,4,2),LEFT($F$5,2))+AM$7*7</f>
        <v>46377</v>
      </c>
      <c r="AN5" s="15">
        <f>DATE(RIGHT($F$5,4),MID($F$5,4,2),LEFT($F$5,2))+AN$7*7</f>
        <v>46384</v>
      </c>
      <c r="AO5" s="15">
        <f>DATE(RIGHT($F$5,4),MID($F$5,4,2),LEFT($F$5,2))+AO$7*7</f>
        <v>46391</v>
      </c>
      <c r="AP5" s="15">
        <f>DATE(RIGHT($F$5,4),MID($F$5,4,2),LEFT($F$5,2))+AP$7*7</f>
        <v>46398</v>
      </c>
      <c r="AQ5" s="15">
        <f>DATE(RIGHT($F$5,4),MID($F$5,4,2),LEFT($F$5,2))+AQ$7*7</f>
        <v>46405</v>
      </c>
      <c r="AR5" s="15">
        <f>DATE(RIGHT($F$5,4),MID($F$5,4,2),LEFT($F$5,2))+AR$7*7</f>
        <v>46412</v>
      </c>
      <c r="AS5" s="15">
        <f>DATE(RIGHT($F$5,4),MID($F$5,4,2),LEFT($F$5,2))+AS$7*7</f>
        <v>46419</v>
      </c>
      <c r="AT5" s="15">
        <f>DATE(RIGHT($F$5,4),MID($F$5,4,2),LEFT($F$5,2))+AT$7*7</f>
        <v>46426</v>
      </c>
      <c r="AU5" s="15">
        <f>DATE(RIGHT($F$5,4),MID($F$5,4,2),LEFT($F$5,2))+AU$7*7</f>
        <v>46433</v>
      </c>
      <c r="AV5" s="15">
        <f>DATE(RIGHT($F$5,4),MID($F$5,4,2),LEFT($F$5,2))+AV$7*7</f>
        <v>46440</v>
      </c>
      <c r="AW5" s="15">
        <f>DATE(RIGHT($F$5,4),MID($F$5,4,2),LEFT($F$5,2))+AW$7*7</f>
        <v>46447</v>
      </c>
      <c r="AX5" s="15">
        <f>DATE(RIGHT($F$5,4),MID($F$5,4,2),LEFT($F$5,2))+AX$7*7</f>
        <v>46454</v>
      </c>
      <c r="AY5" s="15">
        <f>DATE(RIGHT($F$5,4),MID($F$5,4,2),LEFT($F$5,2))+AY$7*7</f>
        <v>46461</v>
      </c>
      <c r="AZ5" s="15">
        <f>DATE(RIGHT($F$5,4),MID($F$5,4,2),LEFT($F$5,2))+AZ$7*7</f>
        <v>46468</v>
      </c>
      <c r="BA5" s="15">
        <f>DATE(RIGHT($F$5,4),MID($F$5,4,2),LEFT($F$5,2))+BA$7*7</f>
        <v>46475</v>
      </c>
      <c r="BB5" s="15">
        <f>DATE(RIGHT($F$5,4),MID($F$5,4,2),LEFT($F$5,2))+BB$7*7</f>
        <v>46482</v>
      </c>
      <c r="BC5" s="15">
        <f>DATE(RIGHT($F$5,4),MID($F$5,4,2),LEFT($F$5,2))+BC$7*7</f>
        <v>46489</v>
      </c>
      <c r="BD5" s="15">
        <f>DATE(RIGHT($F$5,4),MID($F$5,4,2),LEFT($F$5,2))+BD$7*7</f>
        <v>46496</v>
      </c>
      <c r="BE5" s="15">
        <f>DATE(RIGHT($F$5,4),MID($F$5,4,2),LEFT($F$5,2))+BE$7*7</f>
        <v>46503</v>
      </c>
      <c r="BF5" s="15">
        <f>DATE(RIGHT($F$5,4),MID($F$5,4,2),LEFT($F$5,2))+BF$7*7</f>
        <v>46510</v>
      </c>
      <c r="BG5" s="15">
        <f>DATE(RIGHT($F$5,4),MID($F$5,4,2),LEFT($F$5,2))+BG$7*7</f>
        <v>46517</v>
      </c>
      <c r="BH5" s="15">
        <f>DATE(RIGHT($F$5,4),MID($F$5,4,2),LEFT($F$5,2))+BH$7*7</f>
        <v>46524</v>
      </c>
      <c r="BI5" s="15">
        <f>DATE(RIGHT($F$5,4),MID($F$5,4,2),LEFT($F$5,2))+BI$7*7</f>
        <v>46531</v>
      </c>
      <c r="BJ5" s="15">
        <f>DATE(RIGHT($F$5,4),MID($F$5,4,2),LEFT($F$5,2))+BJ$7*7</f>
        <v>46538</v>
      </c>
    </row>
    <row r="6" spans="1:62" x14ac:dyDescent="0.35">
      <c r="E6" s="17" t="s">
        <v>33</v>
      </c>
      <c r="F6" s="18">
        <f>_xlfn.XLOOKUP(G6,K7:BJ7,K5:BJ5,"na",0,1)</f>
        <v>46356</v>
      </c>
      <c r="G6" s="19" cm="1">
        <f t="array" ref="G6">_xlfn.AGGREGATE(14,6,($G$8:$G$24+$B$8:$B$24)/($A$8:$A$24="Yes"),1)</f>
        <v>26</v>
      </c>
      <c r="H6" s="19"/>
      <c r="I6" s="19">
        <f>SUM(_xlfn.ANCHORARRAY(I8))</f>
        <v>70</v>
      </c>
      <c r="J6" s="51">
        <f>SUM(_xlfn.ANCHORARRAY(J8))</f>
        <v>18800</v>
      </c>
      <c r="K6" s="22">
        <f>WEEKNUM(K5)</f>
        <v>24</v>
      </c>
      <c r="L6" s="19">
        <f t="shared" ref="L6:BJ6" si="2">WEEKNUM(L5)</f>
        <v>25</v>
      </c>
      <c r="M6" s="19">
        <f t="shared" si="2"/>
        <v>26</v>
      </c>
      <c r="N6" s="19">
        <f t="shared" si="2"/>
        <v>27</v>
      </c>
      <c r="O6" s="19">
        <f t="shared" si="2"/>
        <v>28</v>
      </c>
      <c r="P6" s="19">
        <f t="shared" si="2"/>
        <v>29</v>
      </c>
      <c r="Q6" s="19">
        <f t="shared" si="2"/>
        <v>30</v>
      </c>
      <c r="R6" s="19">
        <f t="shared" si="2"/>
        <v>31</v>
      </c>
      <c r="S6" s="19">
        <f t="shared" si="2"/>
        <v>32</v>
      </c>
      <c r="T6" s="19">
        <f t="shared" si="2"/>
        <v>33</v>
      </c>
      <c r="U6" s="19">
        <f t="shared" si="2"/>
        <v>34</v>
      </c>
      <c r="V6" s="19">
        <f t="shared" si="2"/>
        <v>35</v>
      </c>
      <c r="W6" s="19">
        <f t="shared" si="2"/>
        <v>36</v>
      </c>
      <c r="X6" s="19">
        <f t="shared" si="2"/>
        <v>37</v>
      </c>
      <c r="Y6" s="19">
        <f t="shared" si="2"/>
        <v>38</v>
      </c>
      <c r="Z6" s="19">
        <f t="shared" si="2"/>
        <v>39</v>
      </c>
      <c r="AA6" s="19">
        <f t="shared" si="2"/>
        <v>40</v>
      </c>
      <c r="AB6" s="19">
        <f t="shared" si="2"/>
        <v>41</v>
      </c>
      <c r="AC6" s="19">
        <f t="shared" si="2"/>
        <v>42</v>
      </c>
      <c r="AD6" s="19">
        <f t="shared" si="2"/>
        <v>43</v>
      </c>
      <c r="AE6" s="19">
        <f t="shared" si="2"/>
        <v>44</v>
      </c>
      <c r="AF6" s="19">
        <f t="shared" si="2"/>
        <v>45</v>
      </c>
      <c r="AG6" s="19">
        <f t="shared" si="2"/>
        <v>46</v>
      </c>
      <c r="AH6" s="19">
        <f t="shared" si="2"/>
        <v>47</v>
      </c>
      <c r="AI6" s="19">
        <f t="shared" si="2"/>
        <v>48</v>
      </c>
      <c r="AJ6" s="19">
        <f t="shared" si="2"/>
        <v>49</v>
      </c>
      <c r="AK6" s="19">
        <f t="shared" si="2"/>
        <v>50</v>
      </c>
      <c r="AL6" s="19">
        <f t="shared" si="2"/>
        <v>51</v>
      </c>
      <c r="AM6" s="19">
        <f t="shared" si="2"/>
        <v>52</v>
      </c>
      <c r="AN6" s="19">
        <f t="shared" si="2"/>
        <v>53</v>
      </c>
      <c r="AO6" s="19">
        <f t="shared" si="2"/>
        <v>2</v>
      </c>
      <c r="AP6" s="19">
        <f t="shared" si="2"/>
        <v>3</v>
      </c>
      <c r="AQ6" s="19">
        <f t="shared" si="2"/>
        <v>4</v>
      </c>
      <c r="AR6" s="19">
        <f t="shared" si="2"/>
        <v>5</v>
      </c>
      <c r="AS6" s="19">
        <f t="shared" si="2"/>
        <v>6</v>
      </c>
      <c r="AT6" s="19">
        <f t="shared" si="2"/>
        <v>7</v>
      </c>
      <c r="AU6" s="19">
        <f t="shared" si="2"/>
        <v>8</v>
      </c>
      <c r="AV6" s="19">
        <f t="shared" si="2"/>
        <v>9</v>
      </c>
      <c r="AW6" s="19">
        <f t="shared" si="2"/>
        <v>10</v>
      </c>
      <c r="AX6" s="19">
        <f t="shared" si="2"/>
        <v>11</v>
      </c>
      <c r="AY6" s="19">
        <f t="shared" si="2"/>
        <v>12</v>
      </c>
      <c r="AZ6" s="19">
        <f t="shared" si="2"/>
        <v>13</v>
      </c>
      <c r="BA6" s="19">
        <f t="shared" si="2"/>
        <v>14</v>
      </c>
      <c r="BB6" s="19">
        <f t="shared" si="2"/>
        <v>15</v>
      </c>
      <c r="BC6" s="19">
        <f t="shared" si="2"/>
        <v>16</v>
      </c>
      <c r="BD6" s="19">
        <f t="shared" si="2"/>
        <v>17</v>
      </c>
      <c r="BE6" s="19">
        <f t="shared" si="2"/>
        <v>18</v>
      </c>
      <c r="BF6" s="19">
        <f t="shared" si="2"/>
        <v>19</v>
      </c>
      <c r="BG6" s="19">
        <f t="shared" si="2"/>
        <v>20</v>
      </c>
      <c r="BH6" s="19">
        <f t="shared" si="2"/>
        <v>21</v>
      </c>
      <c r="BI6" s="19">
        <f t="shared" si="2"/>
        <v>22</v>
      </c>
      <c r="BJ6" s="19">
        <f t="shared" si="2"/>
        <v>23</v>
      </c>
    </row>
    <row r="7" spans="1:62" x14ac:dyDescent="0.35">
      <c r="A7" s="30" t="s">
        <v>119</v>
      </c>
      <c r="B7" s="1" t="s">
        <v>118</v>
      </c>
      <c r="C7" s="1" t="s">
        <v>122</v>
      </c>
      <c r="D7" s="1" t="s">
        <v>123</v>
      </c>
      <c r="E7" s="1" t="s">
        <v>111</v>
      </c>
      <c r="F7" s="1" t="s">
        <v>114</v>
      </c>
      <c r="G7" s="29" t="s">
        <v>120</v>
      </c>
      <c r="H7" s="29" t="s">
        <v>126</v>
      </c>
      <c r="I7" s="29" t="s">
        <v>34</v>
      </c>
      <c r="J7" s="29" t="s">
        <v>36</v>
      </c>
      <c r="K7" s="28">
        <v>1</v>
      </c>
      <c r="L7" s="29">
        <v>2</v>
      </c>
      <c r="M7" s="29">
        <v>3</v>
      </c>
      <c r="N7" s="29">
        <v>4</v>
      </c>
      <c r="O7" s="29">
        <v>5</v>
      </c>
      <c r="P7" s="29">
        <v>6</v>
      </c>
      <c r="Q7" s="29">
        <v>7</v>
      </c>
      <c r="R7" s="29">
        <v>8</v>
      </c>
      <c r="S7" s="29">
        <v>9</v>
      </c>
      <c r="T7" s="29">
        <v>10</v>
      </c>
      <c r="U7" s="29">
        <v>11</v>
      </c>
      <c r="V7" s="29">
        <v>12</v>
      </c>
      <c r="W7" s="29">
        <v>13</v>
      </c>
      <c r="X7" s="29">
        <v>14</v>
      </c>
      <c r="Y7" s="29">
        <v>15</v>
      </c>
      <c r="Z7" s="29">
        <v>16</v>
      </c>
      <c r="AA7" s="29">
        <v>17</v>
      </c>
      <c r="AB7" s="29">
        <v>18</v>
      </c>
      <c r="AC7" s="29">
        <v>19</v>
      </c>
      <c r="AD7" s="29">
        <v>20</v>
      </c>
      <c r="AE7" s="29">
        <v>21</v>
      </c>
      <c r="AF7" s="29">
        <v>22</v>
      </c>
      <c r="AG7" s="29">
        <v>23</v>
      </c>
      <c r="AH7" s="29">
        <v>24</v>
      </c>
      <c r="AI7" s="29">
        <v>25</v>
      </c>
      <c r="AJ7" s="29">
        <v>26</v>
      </c>
      <c r="AK7" s="29">
        <v>27</v>
      </c>
      <c r="AL7" s="29">
        <v>28</v>
      </c>
      <c r="AM7" s="29">
        <v>29</v>
      </c>
      <c r="AN7" s="29">
        <v>30</v>
      </c>
      <c r="AO7" s="29">
        <v>31</v>
      </c>
      <c r="AP7" s="29">
        <v>32</v>
      </c>
      <c r="AQ7" s="29">
        <v>33</v>
      </c>
      <c r="AR7" s="29">
        <v>34</v>
      </c>
      <c r="AS7" s="29">
        <v>35</v>
      </c>
      <c r="AT7" s="29">
        <v>36</v>
      </c>
      <c r="AU7" s="29">
        <v>37</v>
      </c>
      <c r="AV7" s="29">
        <v>38</v>
      </c>
      <c r="AW7" s="29">
        <v>39</v>
      </c>
      <c r="AX7" s="29">
        <v>40</v>
      </c>
      <c r="AY7" s="29">
        <v>41</v>
      </c>
      <c r="AZ7" s="29">
        <v>42</v>
      </c>
      <c r="BA7" s="29">
        <v>43</v>
      </c>
      <c r="BB7" s="29">
        <v>44</v>
      </c>
      <c r="BC7" s="29">
        <v>45</v>
      </c>
      <c r="BD7" s="29">
        <v>46</v>
      </c>
      <c r="BE7" s="29">
        <v>47</v>
      </c>
      <c r="BF7" s="29">
        <v>48</v>
      </c>
      <c r="BG7" s="29">
        <v>49</v>
      </c>
      <c r="BH7" s="29">
        <v>50</v>
      </c>
      <c r="BI7" s="29">
        <v>51</v>
      </c>
      <c r="BJ7" s="29">
        <v>52</v>
      </c>
    </row>
    <row r="8" spans="1:62" x14ac:dyDescent="0.35">
      <c r="A8" s="32" t="str" cm="1">
        <f t="array" ref="A8:A25">tblTaskList[IsInCriticalPath]</f>
        <v>Yes</v>
      </c>
      <c r="B8" s="27" cm="1">
        <f t="array" ref="B8:B25">tblTaskList[Duration (Weeks)]</f>
        <v>6</v>
      </c>
      <c r="C8" s="40" cm="1">
        <f t="array" ref="C8:C25">tblTaskList[Progress]</f>
        <v>1</v>
      </c>
      <c r="D8" s="44">
        <f>IF(OR($C8&lt;=0,$G8=""),0,IF($B8=0,$G8,$G8+ROUNDUP($B8*$C8,0)-1))</f>
        <v>6</v>
      </c>
      <c r="E8" s="33" t="str" cm="1">
        <f t="array" ref="E8:E25">tblTaskList[Task Name]</f>
        <v>Planning permission</v>
      </c>
      <c r="F8" s="34" t="str" cm="1">
        <f t="array" ref="F8:F25">tblTaskList[Resource]</f>
        <v>FE</v>
      </c>
      <c r="G8" s="35">
        <f>IF($A8="Yes",1,"")</f>
        <v>1</v>
      </c>
      <c r="H8" s="35" cm="1">
        <f t="array" ref="H8:H25">tblTaskList[Finish wk]</f>
        <v>6</v>
      </c>
      <c r="I8" s="35" cm="1">
        <f t="array" ref="I8:I25">tblTaskList[Hours]</f>
        <v>0</v>
      </c>
      <c r="J8" s="52" cm="1">
        <f t="array" ref="J8:J25">tblTaskList[Cost]</f>
        <v>0</v>
      </c>
      <c r="K8" s="45" t="str">
        <f>IF(AND($D8&gt;0,K$7=$D8),"●","")</f>
        <v/>
      </c>
      <c r="L8" s="45" t="str">
        <f t="shared" ref="L8:AA23" si="3">IF(AND($D8&gt;0,L$7=$D8),"●","")</f>
        <v/>
      </c>
      <c r="M8" s="45" t="str">
        <f t="shared" si="3"/>
        <v/>
      </c>
      <c r="N8" s="45" t="str">
        <f t="shared" si="3"/>
        <v/>
      </c>
      <c r="O8" s="45" t="str">
        <f t="shared" si="3"/>
        <v/>
      </c>
      <c r="P8" s="45" t="str">
        <f t="shared" si="3"/>
        <v>●</v>
      </c>
      <c r="Q8" s="45" t="str">
        <f t="shared" si="3"/>
        <v/>
      </c>
      <c r="R8" s="45" t="str">
        <f t="shared" si="3"/>
        <v/>
      </c>
      <c r="S8" s="45" t="str">
        <f t="shared" si="3"/>
        <v/>
      </c>
      <c r="T8" s="45" t="str">
        <f t="shared" si="3"/>
        <v/>
      </c>
      <c r="U8" s="45" t="str">
        <f t="shared" si="3"/>
        <v/>
      </c>
      <c r="V8" s="45" t="str">
        <f t="shared" si="3"/>
        <v/>
      </c>
      <c r="W8" s="45" t="str">
        <f t="shared" si="3"/>
        <v/>
      </c>
      <c r="X8" s="45" t="str">
        <f t="shared" si="3"/>
        <v/>
      </c>
      <c r="Y8" s="45" t="str">
        <f t="shared" si="3"/>
        <v/>
      </c>
      <c r="Z8" s="45" t="str">
        <f t="shared" si="3"/>
        <v/>
      </c>
      <c r="AA8" s="45" t="str">
        <f t="shared" si="3"/>
        <v/>
      </c>
      <c r="AB8" s="45" t="str">
        <f t="shared" ref="AB8:AQ23" si="4">IF(AND($D8&gt;0,AB$7=$D8),"●","")</f>
        <v/>
      </c>
      <c r="AC8" s="45" t="str">
        <f t="shared" si="4"/>
        <v/>
      </c>
      <c r="AD8" s="45" t="str">
        <f t="shared" si="4"/>
        <v/>
      </c>
      <c r="AE8" s="45" t="str">
        <f t="shared" si="4"/>
        <v/>
      </c>
      <c r="AF8" s="45" t="str">
        <f t="shared" si="4"/>
        <v/>
      </c>
      <c r="AG8" s="45" t="str">
        <f t="shared" si="4"/>
        <v/>
      </c>
      <c r="AH8" s="45" t="str">
        <f t="shared" si="4"/>
        <v/>
      </c>
      <c r="AI8" s="45" t="str">
        <f t="shared" si="4"/>
        <v/>
      </c>
      <c r="AJ8" s="45" t="str">
        <f t="shared" si="4"/>
        <v/>
      </c>
      <c r="AK8" s="45" t="str">
        <f t="shared" si="4"/>
        <v/>
      </c>
      <c r="AL8" s="45" t="str">
        <f t="shared" si="4"/>
        <v/>
      </c>
      <c r="AM8" s="45" t="str">
        <f t="shared" si="4"/>
        <v/>
      </c>
      <c r="AN8" s="45" t="str">
        <f t="shared" si="4"/>
        <v/>
      </c>
      <c r="AO8" s="45" t="str">
        <f t="shared" si="4"/>
        <v/>
      </c>
      <c r="AP8" s="45" t="str">
        <f t="shared" si="4"/>
        <v/>
      </c>
      <c r="AQ8" s="45" t="str">
        <f t="shared" si="4"/>
        <v/>
      </c>
      <c r="AR8" s="45" t="str">
        <f t="shared" ref="AR8:BG23" si="5">IF(AND($D8&gt;0,AR$7=$D8),"●","")</f>
        <v/>
      </c>
      <c r="AS8" s="45" t="str">
        <f t="shared" si="5"/>
        <v/>
      </c>
      <c r="AT8" s="45" t="str">
        <f t="shared" si="5"/>
        <v/>
      </c>
      <c r="AU8" s="45" t="str">
        <f t="shared" si="5"/>
        <v/>
      </c>
      <c r="AV8" s="45" t="str">
        <f t="shared" si="5"/>
        <v/>
      </c>
      <c r="AW8" s="45" t="str">
        <f t="shared" si="5"/>
        <v/>
      </c>
      <c r="AX8" s="45" t="str">
        <f t="shared" si="5"/>
        <v/>
      </c>
      <c r="AY8" s="45" t="str">
        <f t="shared" si="5"/>
        <v/>
      </c>
      <c r="AZ8" s="45" t="str">
        <f t="shared" si="5"/>
        <v/>
      </c>
      <c r="BA8" s="45" t="str">
        <f t="shared" si="5"/>
        <v/>
      </c>
      <c r="BB8" s="45" t="str">
        <f t="shared" si="5"/>
        <v/>
      </c>
      <c r="BC8" s="45" t="str">
        <f t="shared" si="5"/>
        <v/>
      </c>
      <c r="BD8" s="45" t="str">
        <f t="shared" si="5"/>
        <v/>
      </c>
      <c r="BE8" s="45" t="str">
        <f t="shared" si="5"/>
        <v/>
      </c>
      <c r="BF8" s="45" t="str">
        <f t="shared" si="5"/>
        <v/>
      </c>
      <c r="BG8" s="45" t="str">
        <f t="shared" si="5"/>
        <v/>
      </c>
      <c r="BH8" s="45" t="str">
        <f t="shared" ref="BH8:BJ25" si="6">IF(AND($D8&gt;0,BH$7=$D8),"●","")</f>
        <v/>
      </c>
      <c r="BI8" s="45" t="str">
        <f t="shared" si="6"/>
        <v/>
      </c>
      <c r="BJ8" s="46" t="str">
        <f t="shared" si="6"/>
        <v/>
      </c>
    </row>
    <row r="9" spans="1:62" x14ac:dyDescent="0.35">
      <c r="A9" s="32" t="str">
        <v>Yes</v>
      </c>
      <c r="B9" s="27">
        <v>10</v>
      </c>
      <c r="C9" s="40">
        <v>0.2</v>
      </c>
      <c r="D9" s="44">
        <f t="shared" ref="D9:D25" si="7">IF(OR($C9&lt;=0,$G9=""),0,IF($B9=0,$G9,$G9+ROUNDUP($B9*$C9,0)-1))</f>
        <v>8</v>
      </c>
      <c r="E9" s="33" t="str">
        <v>Wait for planning permission</v>
      </c>
      <c r="F9" s="34" t="str">
        <v>FE</v>
      </c>
      <c r="G9" s="35">
        <f>IF($A9="Yes",SUMIF($A$8:$A8,"Yes",$B$8:$B8)+1,"")</f>
        <v>7</v>
      </c>
      <c r="H9" s="35">
        <v>16</v>
      </c>
      <c r="I9" s="35">
        <v>0</v>
      </c>
      <c r="J9" s="52">
        <v>100</v>
      </c>
      <c r="K9" s="45" t="str">
        <f t="shared" ref="K9:Z24" si="8">IF(AND($D9&gt;0,K$7=$D9),"●","")</f>
        <v/>
      </c>
      <c r="L9" s="45" t="str">
        <f t="shared" si="3"/>
        <v/>
      </c>
      <c r="M9" s="45" t="str">
        <f t="shared" si="3"/>
        <v/>
      </c>
      <c r="N9" s="45" t="str">
        <f t="shared" si="3"/>
        <v/>
      </c>
      <c r="O9" s="45" t="str">
        <f t="shared" si="3"/>
        <v/>
      </c>
      <c r="P9" s="45" t="str">
        <f t="shared" si="3"/>
        <v/>
      </c>
      <c r="Q9" s="45" t="str">
        <f t="shared" si="3"/>
        <v/>
      </c>
      <c r="R9" s="45" t="str">
        <f t="shared" si="3"/>
        <v>●</v>
      </c>
      <c r="S9" s="45" t="str">
        <f t="shared" si="3"/>
        <v/>
      </c>
      <c r="T9" s="45" t="str">
        <f t="shared" si="3"/>
        <v/>
      </c>
      <c r="U9" s="45" t="str">
        <f t="shared" si="3"/>
        <v/>
      </c>
      <c r="V9" s="45" t="str">
        <f t="shared" si="3"/>
        <v/>
      </c>
      <c r="W9" s="45" t="str">
        <f t="shared" si="3"/>
        <v/>
      </c>
      <c r="X9" s="45" t="str">
        <f t="shared" si="3"/>
        <v/>
      </c>
      <c r="Y9" s="45" t="str">
        <f t="shared" si="3"/>
        <v/>
      </c>
      <c r="Z9" s="45" t="str">
        <f t="shared" si="3"/>
        <v/>
      </c>
      <c r="AA9" s="45" t="str">
        <f t="shared" si="3"/>
        <v/>
      </c>
      <c r="AB9" s="45" t="str">
        <f t="shared" si="4"/>
        <v/>
      </c>
      <c r="AC9" s="45" t="str">
        <f t="shared" si="4"/>
        <v/>
      </c>
      <c r="AD9" s="45" t="str">
        <f t="shared" si="4"/>
        <v/>
      </c>
      <c r="AE9" s="45" t="str">
        <f t="shared" si="4"/>
        <v/>
      </c>
      <c r="AF9" s="45" t="str">
        <f t="shared" si="4"/>
        <v/>
      </c>
      <c r="AG9" s="45" t="str">
        <f t="shared" si="4"/>
        <v/>
      </c>
      <c r="AH9" s="45" t="str">
        <f t="shared" si="4"/>
        <v/>
      </c>
      <c r="AI9" s="45" t="str">
        <f t="shared" si="4"/>
        <v/>
      </c>
      <c r="AJ9" s="45" t="str">
        <f t="shared" si="4"/>
        <v/>
      </c>
      <c r="AK9" s="45" t="str">
        <f t="shared" si="4"/>
        <v/>
      </c>
      <c r="AL9" s="45" t="str">
        <f t="shared" si="4"/>
        <v/>
      </c>
      <c r="AM9" s="45" t="str">
        <f t="shared" si="4"/>
        <v/>
      </c>
      <c r="AN9" s="45" t="str">
        <f t="shared" si="4"/>
        <v/>
      </c>
      <c r="AO9" s="45" t="str">
        <f t="shared" si="4"/>
        <v/>
      </c>
      <c r="AP9" s="45" t="str">
        <f t="shared" si="4"/>
        <v/>
      </c>
      <c r="AQ9" s="45" t="str">
        <f t="shared" si="4"/>
        <v/>
      </c>
      <c r="AR9" s="45" t="str">
        <f t="shared" si="5"/>
        <v/>
      </c>
      <c r="AS9" s="45" t="str">
        <f t="shared" si="5"/>
        <v/>
      </c>
      <c r="AT9" s="45" t="str">
        <f t="shared" si="5"/>
        <v/>
      </c>
      <c r="AU9" s="45" t="str">
        <f t="shared" si="5"/>
        <v/>
      </c>
      <c r="AV9" s="45" t="str">
        <f t="shared" si="5"/>
        <v/>
      </c>
      <c r="AW9" s="45" t="str">
        <f t="shared" si="5"/>
        <v/>
      </c>
      <c r="AX9" s="45" t="str">
        <f t="shared" si="5"/>
        <v/>
      </c>
      <c r="AY9" s="45" t="str">
        <f t="shared" si="5"/>
        <v/>
      </c>
      <c r="AZ9" s="45" t="str">
        <f t="shared" si="5"/>
        <v/>
      </c>
      <c r="BA9" s="45" t="str">
        <f t="shared" si="5"/>
        <v/>
      </c>
      <c r="BB9" s="45" t="str">
        <f t="shared" si="5"/>
        <v/>
      </c>
      <c r="BC9" s="45" t="str">
        <f t="shared" si="5"/>
        <v/>
      </c>
      <c r="BD9" s="45" t="str">
        <f t="shared" si="5"/>
        <v/>
      </c>
      <c r="BE9" s="45" t="str">
        <f t="shared" si="5"/>
        <v/>
      </c>
      <c r="BF9" s="45" t="str">
        <f t="shared" si="5"/>
        <v/>
      </c>
      <c r="BG9" s="45" t="str">
        <f t="shared" si="5"/>
        <v/>
      </c>
      <c r="BH9" s="45" t="str">
        <f t="shared" si="6"/>
        <v/>
      </c>
      <c r="BI9" s="45" t="str">
        <f t="shared" si="6"/>
        <v/>
      </c>
      <c r="BJ9" s="46" t="str">
        <f t="shared" si="6"/>
        <v/>
      </c>
    </row>
    <row r="10" spans="1:62" x14ac:dyDescent="0.35">
      <c r="A10" s="32" t="str">
        <v>Yes</v>
      </c>
      <c r="B10" s="27">
        <v>1</v>
      </c>
      <c r="C10" s="40">
        <v>0</v>
      </c>
      <c r="D10" s="44">
        <f t="shared" si="7"/>
        <v>0</v>
      </c>
      <c r="E10" s="33" t="str">
        <v>Dig trench</v>
      </c>
      <c r="F10" s="34" t="str">
        <v>NN</v>
      </c>
      <c r="G10" s="35">
        <f>IF($A10="Yes",SUMIF($A$8:$A9,"Yes",$B$8:$B9)+1,"")</f>
        <v>17</v>
      </c>
      <c r="H10" s="35">
        <v>17</v>
      </c>
      <c r="I10" s="35">
        <v>4</v>
      </c>
      <c r="J10" s="52">
        <v>350</v>
      </c>
      <c r="K10" s="45" t="str">
        <f t="shared" si="8"/>
        <v/>
      </c>
      <c r="L10" s="45" t="str">
        <f t="shared" si="3"/>
        <v/>
      </c>
      <c r="M10" s="45" t="str">
        <f t="shared" si="3"/>
        <v/>
      </c>
      <c r="N10" s="45" t="str">
        <f t="shared" si="3"/>
        <v/>
      </c>
      <c r="O10" s="45" t="str">
        <f t="shared" si="3"/>
        <v/>
      </c>
      <c r="P10" s="45" t="str">
        <f t="shared" si="3"/>
        <v/>
      </c>
      <c r="Q10" s="45" t="str">
        <f t="shared" si="3"/>
        <v/>
      </c>
      <c r="R10" s="45" t="str">
        <f t="shared" si="3"/>
        <v/>
      </c>
      <c r="S10" s="45" t="str">
        <f t="shared" si="3"/>
        <v/>
      </c>
      <c r="T10" s="45" t="str">
        <f t="shared" si="3"/>
        <v/>
      </c>
      <c r="U10" s="45" t="str">
        <f t="shared" si="3"/>
        <v/>
      </c>
      <c r="V10" s="45" t="str">
        <f t="shared" si="3"/>
        <v/>
      </c>
      <c r="W10" s="45" t="str">
        <f t="shared" si="3"/>
        <v/>
      </c>
      <c r="X10" s="45" t="str">
        <f t="shared" si="3"/>
        <v/>
      </c>
      <c r="Y10" s="45" t="str">
        <f t="shared" si="3"/>
        <v/>
      </c>
      <c r="Z10" s="45" t="str">
        <f t="shared" si="3"/>
        <v/>
      </c>
      <c r="AA10" s="45" t="str">
        <f t="shared" si="3"/>
        <v/>
      </c>
      <c r="AB10" s="45" t="str">
        <f t="shared" si="4"/>
        <v/>
      </c>
      <c r="AC10" s="45" t="str">
        <f t="shared" si="4"/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  <c r="AO10" s="45" t="str">
        <f t="shared" si="4"/>
        <v/>
      </c>
      <c r="AP10" s="45" t="str">
        <f t="shared" si="4"/>
        <v/>
      </c>
      <c r="AQ10" s="45" t="str">
        <f t="shared" si="4"/>
        <v/>
      </c>
      <c r="AR10" s="45" t="str">
        <f t="shared" si="5"/>
        <v/>
      </c>
      <c r="AS10" s="45" t="str">
        <f t="shared" si="5"/>
        <v/>
      </c>
      <c r="AT10" s="45" t="str">
        <f t="shared" si="5"/>
        <v/>
      </c>
      <c r="AU10" s="45" t="str">
        <f t="shared" si="5"/>
        <v/>
      </c>
      <c r="AV10" s="45" t="str">
        <f t="shared" si="5"/>
        <v/>
      </c>
      <c r="AW10" s="45" t="str">
        <f t="shared" si="5"/>
        <v/>
      </c>
      <c r="AX10" s="45" t="str">
        <f t="shared" si="5"/>
        <v/>
      </c>
      <c r="AY10" s="45" t="str">
        <f t="shared" si="5"/>
        <v/>
      </c>
      <c r="AZ10" s="45" t="str">
        <f t="shared" si="5"/>
        <v/>
      </c>
      <c r="BA10" s="45" t="str">
        <f t="shared" si="5"/>
        <v/>
      </c>
      <c r="BB10" s="45" t="str">
        <f t="shared" si="5"/>
        <v/>
      </c>
      <c r="BC10" s="45" t="str">
        <f t="shared" si="5"/>
        <v/>
      </c>
      <c r="BD10" s="45" t="str">
        <f t="shared" si="5"/>
        <v/>
      </c>
      <c r="BE10" s="45" t="str">
        <f t="shared" si="5"/>
        <v/>
      </c>
      <c r="BF10" s="45" t="str">
        <f t="shared" si="5"/>
        <v/>
      </c>
      <c r="BG10" s="45" t="str">
        <f t="shared" si="5"/>
        <v/>
      </c>
      <c r="BH10" s="45" t="str">
        <f t="shared" si="6"/>
        <v/>
      </c>
      <c r="BI10" s="45" t="str">
        <f t="shared" si="6"/>
        <v/>
      </c>
      <c r="BJ10" s="46" t="str">
        <f t="shared" si="6"/>
        <v/>
      </c>
    </row>
    <row r="11" spans="1:62" x14ac:dyDescent="0.35">
      <c r="A11" s="32" t="str">
        <v>Yes</v>
      </c>
      <c r="B11" s="27">
        <v>2</v>
      </c>
      <c r="C11" s="40">
        <v>0</v>
      </c>
      <c r="D11" s="44">
        <f t="shared" si="7"/>
        <v>0</v>
      </c>
      <c r="E11" s="33" t="str">
        <v>Hire digger</v>
      </c>
      <c r="F11" s="34" t="str">
        <v>FE</v>
      </c>
      <c r="G11" s="35">
        <f>IF($A11="Yes",SUMIF($A$8:$A10,"Yes",$B$8:$B10)+1,"")</f>
        <v>18</v>
      </c>
      <c r="H11" s="35">
        <v>19</v>
      </c>
      <c r="I11" s="35">
        <v>0</v>
      </c>
      <c r="J11" s="52">
        <v>0</v>
      </c>
      <c r="K11" s="45" t="str">
        <f t="shared" si="8"/>
        <v/>
      </c>
      <c r="L11" s="45" t="str">
        <f t="shared" si="3"/>
        <v/>
      </c>
      <c r="M11" s="45" t="str">
        <f t="shared" si="3"/>
        <v/>
      </c>
      <c r="N11" s="45" t="str">
        <f t="shared" si="3"/>
        <v/>
      </c>
      <c r="O11" s="45" t="str">
        <f t="shared" si="3"/>
        <v/>
      </c>
      <c r="P11" s="45" t="str">
        <f t="shared" si="3"/>
        <v/>
      </c>
      <c r="Q11" s="45" t="str">
        <f t="shared" si="3"/>
        <v/>
      </c>
      <c r="R11" s="45" t="str">
        <f t="shared" si="3"/>
        <v/>
      </c>
      <c r="S11" s="45" t="str">
        <f t="shared" si="3"/>
        <v/>
      </c>
      <c r="T11" s="45" t="str">
        <f t="shared" si="3"/>
        <v/>
      </c>
      <c r="U11" s="45" t="str">
        <f t="shared" si="3"/>
        <v/>
      </c>
      <c r="V11" s="45" t="str">
        <f t="shared" si="3"/>
        <v/>
      </c>
      <c r="W11" s="45" t="str">
        <f t="shared" si="3"/>
        <v/>
      </c>
      <c r="X11" s="45" t="str">
        <f t="shared" si="3"/>
        <v/>
      </c>
      <c r="Y11" s="45" t="str">
        <f t="shared" si="3"/>
        <v/>
      </c>
      <c r="Z11" s="45" t="str">
        <f t="shared" si="3"/>
        <v/>
      </c>
      <c r="AA11" s="45" t="str">
        <f t="shared" si="3"/>
        <v/>
      </c>
      <c r="AB11" s="45" t="str">
        <f t="shared" si="4"/>
        <v/>
      </c>
      <c r="AC11" s="45" t="str">
        <f t="shared" si="4"/>
        <v/>
      </c>
      <c r="AD11" s="45" t="str">
        <f t="shared" si="4"/>
        <v/>
      </c>
      <c r="AE11" s="45" t="str">
        <f t="shared" si="4"/>
        <v/>
      </c>
      <c r="AF11" s="45" t="str">
        <f t="shared" si="4"/>
        <v/>
      </c>
      <c r="AG11" s="45" t="str">
        <f t="shared" si="4"/>
        <v/>
      </c>
      <c r="AH11" s="45" t="str">
        <f t="shared" si="4"/>
        <v/>
      </c>
      <c r="AI11" s="45" t="str">
        <f t="shared" si="4"/>
        <v/>
      </c>
      <c r="AJ11" s="45" t="str">
        <f t="shared" si="4"/>
        <v/>
      </c>
      <c r="AK11" s="45" t="str">
        <f t="shared" si="4"/>
        <v/>
      </c>
      <c r="AL11" s="45" t="str">
        <f t="shared" si="4"/>
        <v/>
      </c>
      <c r="AM11" s="45" t="str">
        <f t="shared" si="4"/>
        <v/>
      </c>
      <c r="AN11" s="45" t="str">
        <f t="shared" si="4"/>
        <v/>
      </c>
      <c r="AO11" s="45" t="str">
        <f t="shared" si="4"/>
        <v/>
      </c>
      <c r="AP11" s="45" t="str">
        <f t="shared" si="4"/>
        <v/>
      </c>
      <c r="AQ11" s="45" t="str">
        <f t="shared" si="4"/>
        <v/>
      </c>
      <c r="AR11" s="45" t="str">
        <f t="shared" si="5"/>
        <v/>
      </c>
      <c r="AS11" s="45" t="str">
        <f t="shared" si="5"/>
        <v/>
      </c>
      <c r="AT11" s="45" t="str">
        <f t="shared" si="5"/>
        <v/>
      </c>
      <c r="AU11" s="45" t="str">
        <f t="shared" si="5"/>
        <v/>
      </c>
      <c r="AV11" s="45" t="str">
        <f t="shared" si="5"/>
        <v/>
      </c>
      <c r="AW11" s="45" t="str">
        <f t="shared" si="5"/>
        <v/>
      </c>
      <c r="AX11" s="45" t="str">
        <f t="shared" si="5"/>
        <v/>
      </c>
      <c r="AY11" s="45" t="str">
        <f t="shared" si="5"/>
        <v/>
      </c>
      <c r="AZ11" s="45" t="str">
        <f t="shared" si="5"/>
        <v/>
      </c>
      <c r="BA11" s="45" t="str">
        <f t="shared" si="5"/>
        <v/>
      </c>
      <c r="BB11" s="45" t="str">
        <f t="shared" si="5"/>
        <v/>
      </c>
      <c r="BC11" s="45" t="str">
        <f t="shared" si="5"/>
        <v/>
      </c>
      <c r="BD11" s="45" t="str">
        <f t="shared" si="5"/>
        <v/>
      </c>
      <c r="BE11" s="45" t="str">
        <f t="shared" si="5"/>
        <v/>
      </c>
      <c r="BF11" s="45" t="str">
        <f t="shared" si="5"/>
        <v/>
      </c>
      <c r="BG11" s="45" t="str">
        <f t="shared" si="5"/>
        <v/>
      </c>
      <c r="BH11" s="45" t="str">
        <f t="shared" si="6"/>
        <v/>
      </c>
      <c r="BI11" s="45" t="str">
        <f t="shared" si="6"/>
        <v/>
      </c>
      <c r="BJ11" s="46" t="str">
        <f t="shared" si="6"/>
        <v/>
      </c>
    </row>
    <row r="12" spans="1:62" x14ac:dyDescent="0.35">
      <c r="A12" s="32" t="str">
        <v>Yes</v>
      </c>
      <c r="B12" s="27">
        <v>1</v>
      </c>
      <c r="C12" s="40">
        <v>0</v>
      </c>
      <c r="D12" s="44">
        <f t="shared" si="7"/>
        <v>0</v>
      </c>
      <c r="E12" s="33" t="str">
        <v>Fill with concrete</v>
      </c>
      <c r="F12" s="34" t="str">
        <v>NN</v>
      </c>
      <c r="G12" s="35">
        <f>IF($A12="Yes",SUMIF($A$8:$A11,"Yes",$B$8:$B11)+1,"")</f>
        <v>20</v>
      </c>
      <c r="H12" s="35">
        <v>20</v>
      </c>
      <c r="I12" s="35">
        <v>3</v>
      </c>
      <c r="J12" s="52">
        <v>700</v>
      </c>
      <c r="K12" s="45" t="str">
        <f t="shared" si="8"/>
        <v/>
      </c>
      <c r="L12" s="45" t="str">
        <f t="shared" si="3"/>
        <v/>
      </c>
      <c r="M12" s="45" t="str">
        <f t="shared" si="3"/>
        <v/>
      </c>
      <c r="N12" s="45" t="str">
        <f t="shared" si="3"/>
        <v/>
      </c>
      <c r="O12" s="45" t="str">
        <f t="shared" si="3"/>
        <v/>
      </c>
      <c r="P12" s="45" t="str">
        <f t="shared" si="3"/>
        <v/>
      </c>
      <c r="Q12" s="45" t="str">
        <f t="shared" si="3"/>
        <v/>
      </c>
      <c r="R12" s="45" t="str">
        <f t="shared" si="3"/>
        <v/>
      </c>
      <c r="S12" s="45" t="str">
        <f t="shared" si="3"/>
        <v/>
      </c>
      <c r="T12" s="45" t="str">
        <f t="shared" si="3"/>
        <v/>
      </c>
      <c r="U12" s="45" t="str">
        <f t="shared" si="3"/>
        <v/>
      </c>
      <c r="V12" s="45" t="str">
        <f t="shared" si="3"/>
        <v/>
      </c>
      <c r="W12" s="45" t="str">
        <f t="shared" si="3"/>
        <v/>
      </c>
      <c r="X12" s="45" t="str">
        <f t="shared" si="3"/>
        <v/>
      </c>
      <c r="Y12" s="45" t="str">
        <f t="shared" si="3"/>
        <v/>
      </c>
      <c r="Z12" s="45" t="str">
        <f t="shared" si="3"/>
        <v/>
      </c>
      <c r="AA12" s="45" t="str">
        <f t="shared" si="3"/>
        <v/>
      </c>
      <c r="AB12" s="45" t="str">
        <f t="shared" si="4"/>
        <v/>
      </c>
      <c r="AC12" s="45" t="str">
        <f t="shared" si="4"/>
        <v/>
      </c>
      <c r="AD12" s="45" t="str">
        <f t="shared" si="4"/>
        <v/>
      </c>
      <c r="AE12" s="45" t="str">
        <f t="shared" si="4"/>
        <v/>
      </c>
      <c r="AF12" s="45" t="str">
        <f t="shared" si="4"/>
        <v/>
      </c>
      <c r="AG12" s="45" t="str">
        <f t="shared" si="4"/>
        <v/>
      </c>
      <c r="AH12" s="45" t="str">
        <f t="shared" si="4"/>
        <v/>
      </c>
      <c r="AI12" s="45" t="str">
        <f t="shared" si="4"/>
        <v/>
      </c>
      <c r="AJ12" s="45" t="str">
        <f t="shared" si="4"/>
        <v/>
      </c>
      <c r="AK12" s="45" t="str">
        <f t="shared" si="4"/>
        <v/>
      </c>
      <c r="AL12" s="45" t="str">
        <f t="shared" si="4"/>
        <v/>
      </c>
      <c r="AM12" s="45" t="str">
        <f t="shared" si="4"/>
        <v/>
      </c>
      <c r="AN12" s="45" t="str">
        <f t="shared" si="4"/>
        <v/>
      </c>
      <c r="AO12" s="45" t="str">
        <f t="shared" si="4"/>
        <v/>
      </c>
      <c r="AP12" s="45" t="str">
        <f t="shared" si="4"/>
        <v/>
      </c>
      <c r="AQ12" s="45" t="str">
        <f t="shared" si="4"/>
        <v/>
      </c>
      <c r="AR12" s="45" t="str">
        <f t="shared" si="5"/>
        <v/>
      </c>
      <c r="AS12" s="45" t="str">
        <f t="shared" si="5"/>
        <v/>
      </c>
      <c r="AT12" s="45" t="str">
        <f t="shared" si="5"/>
        <v/>
      </c>
      <c r="AU12" s="45" t="str">
        <f t="shared" si="5"/>
        <v/>
      </c>
      <c r="AV12" s="45" t="str">
        <f t="shared" si="5"/>
        <v/>
      </c>
      <c r="AW12" s="45" t="str">
        <f t="shared" si="5"/>
        <v/>
      </c>
      <c r="AX12" s="45" t="str">
        <f t="shared" si="5"/>
        <v/>
      </c>
      <c r="AY12" s="45" t="str">
        <f t="shared" si="5"/>
        <v/>
      </c>
      <c r="AZ12" s="45" t="str">
        <f t="shared" si="5"/>
        <v/>
      </c>
      <c r="BA12" s="45" t="str">
        <f t="shared" si="5"/>
        <v/>
      </c>
      <c r="BB12" s="45" t="str">
        <f t="shared" si="5"/>
        <v/>
      </c>
      <c r="BC12" s="45" t="str">
        <f t="shared" si="5"/>
        <v/>
      </c>
      <c r="BD12" s="45" t="str">
        <f t="shared" si="5"/>
        <v/>
      </c>
      <c r="BE12" s="45" t="str">
        <f t="shared" si="5"/>
        <v/>
      </c>
      <c r="BF12" s="45" t="str">
        <f t="shared" si="5"/>
        <v/>
      </c>
      <c r="BG12" s="45" t="str">
        <f t="shared" si="5"/>
        <v/>
      </c>
      <c r="BH12" s="45" t="str">
        <f t="shared" si="6"/>
        <v/>
      </c>
      <c r="BI12" s="45" t="str">
        <f t="shared" si="6"/>
        <v/>
      </c>
      <c r="BJ12" s="46" t="str">
        <f t="shared" si="6"/>
        <v/>
      </c>
    </row>
    <row r="13" spans="1:62" x14ac:dyDescent="0.35">
      <c r="A13" s="32" t="str">
        <v>Yes</v>
      </c>
      <c r="B13" s="27">
        <v>1</v>
      </c>
      <c r="C13" s="40">
        <v>0</v>
      </c>
      <c r="D13" s="44">
        <f t="shared" si="7"/>
        <v>0</v>
      </c>
      <c r="E13" s="33" t="str">
        <v>Level the base</v>
      </c>
      <c r="F13" s="34" t="str">
        <v>NN</v>
      </c>
      <c r="G13" s="35">
        <f>IF($A13="Yes",SUMIF($A$8:$A12,"Yes",$B$8:$B12)+1,"")</f>
        <v>21</v>
      </c>
      <c r="H13" s="35">
        <v>21</v>
      </c>
      <c r="I13" s="35">
        <v>5</v>
      </c>
      <c r="J13" s="52">
        <v>100</v>
      </c>
      <c r="K13" s="45" t="str">
        <f t="shared" si="8"/>
        <v/>
      </c>
      <c r="L13" s="45" t="str">
        <f t="shared" si="3"/>
        <v/>
      </c>
      <c r="M13" s="45" t="str">
        <f t="shared" si="3"/>
        <v/>
      </c>
      <c r="N13" s="45" t="str">
        <f t="shared" si="3"/>
        <v/>
      </c>
      <c r="O13" s="45" t="str">
        <f t="shared" si="3"/>
        <v/>
      </c>
      <c r="P13" s="45" t="str">
        <f t="shared" si="3"/>
        <v/>
      </c>
      <c r="Q13" s="45" t="str">
        <f t="shared" si="3"/>
        <v/>
      </c>
      <c r="R13" s="45" t="str">
        <f t="shared" si="3"/>
        <v/>
      </c>
      <c r="S13" s="45" t="str">
        <f t="shared" si="3"/>
        <v/>
      </c>
      <c r="T13" s="45" t="str">
        <f t="shared" si="3"/>
        <v/>
      </c>
      <c r="U13" s="45" t="str">
        <f t="shared" si="3"/>
        <v/>
      </c>
      <c r="V13" s="45" t="str">
        <f t="shared" si="3"/>
        <v/>
      </c>
      <c r="W13" s="45" t="str">
        <f t="shared" si="3"/>
        <v/>
      </c>
      <c r="X13" s="45" t="str">
        <f t="shared" si="3"/>
        <v/>
      </c>
      <c r="Y13" s="45" t="str">
        <f t="shared" si="3"/>
        <v/>
      </c>
      <c r="Z13" s="45" t="str">
        <f t="shared" si="3"/>
        <v/>
      </c>
      <c r="AA13" s="45" t="str">
        <f t="shared" si="3"/>
        <v/>
      </c>
      <c r="AB13" s="45" t="str">
        <f t="shared" si="4"/>
        <v/>
      </c>
      <c r="AC13" s="45" t="str">
        <f t="shared" si="4"/>
        <v/>
      </c>
      <c r="AD13" s="45" t="str">
        <f t="shared" si="4"/>
        <v/>
      </c>
      <c r="AE13" s="45" t="str">
        <f t="shared" si="4"/>
        <v/>
      </c>
      <c r="AF13" s="45" t="str">
        <f t="shared" si="4"/>
        <v/>
      </c>
      <c r="AG13" s="45" t="str">
        <f t="shared" si="4"/>
        <v/>
      </c>
      <c r="AH13" s="45" t="str">
        <f t="shared" si="4"/>
        <v/>
      </c>
      <c r="AI13" s="45" t="str">
        <f t="shared" si="4"/>
        <v/>
      </c>
      <c r="AJ13" s="45" t="str">
        <f t="shared" si="4"/>
        <v/>
      </c>
      <c r="AK13" s="45" t="str">
        <f t="shared" si="4"/>
        <v/>
      </c>
      <c r="AL13" s="45" t="str">
        <f t="shared" si="4"/>
        <v/>
      </c>
      <c r="AM13" s="45" t="str">
        <f t="shared" si="4"/>
        <v/>
      </c>
      <c r="AN13" s="45" t="str">
        <f t="shared" si="4"/>
        <v/>
      </c>
      <c r="AO13" s="45" t="str">
        <f t="shared" si="4"/>
        <v/>
      </c>
      <c r="AP13" s="45" t="str">
        <f t="shared" si="4"/>
        <v/>
      </c>
      <c r="AQ13" s="45" t="str">
        <f t="shared" si="4"/>
        <v/>
      </c>
      <c r="AR13" s="45" t="str">
        <f t="shared" si="5"/>
        <v/>
      </c>
      <c r="AS13" s="45" t="str">
        <f t="shared" si="5"/>
        <v/>
      </c>
      <c r="AT13" s="45" t="str">
        <f t="shared" si="5"/>
        <v/>
      </c>
      <c r="AU13" s="45" t="str">
        <f t="shared" si="5"/>
        <v/>
      </c>
      <c r="AV13" s="45" t="str">
        <f t="shared" si="5"/>
        <v/>
      </c>
      <c r="AW13" s="45" t="str">
        <f t="shared" si="5"/>
        <v/>
      </c>
      <c r="AX13" s="45" t="str">
        <f t="shared" si="5"/>
        <v/>
      </c>
      <c r="AY13" s="45" t="str">
        <f t="shared" si="5"/>
        <v/>
      </c>
      <c r="AZ13" s="45" t="str">
        <f t="shared" si="5"/>
        <v/>
      </c>
      <c r="BA13" s="45" t="str">
        <f t="shared" si="5"/>
        <v/>
      </c>
      <c r="BB13" s="45" t="str">
        <f t="shared" si="5"/>
        <v/>
      </c>
      <c r="BC13" s="45" t="str">
        <f t="shared" si="5"/>
        <v/>
      </c>
      <c r="BD13" s="45" t="str">
        <f t="shared" si="5"/>
        <v/>
      </c>
      <c r="BE13" s="45" t="str">
        <f t="shared" si="5"/>
        <v/>
      </c>
      <c r="BF13" s="45" t="str">
        <f t="shared" si="5"/>
        <v/>
      </c>
      <c r="BG13" s="45" t="str">
        <f t="shared" si="5"/>
        <v/>
      </c>
      <c r="BH13" s="45" t="str">
        <f t="shared" si="6"/>
        <v/>
      </c>
      <c r="BI13" s="45" t="str">
        <f t="shared" si="6"/>
        <v/>
      </c>
      <c r="BJ13" s="46" t="str">
        <f t="shared" si="6"/>
        <v/>
      </c>
    </row>
    <row r="14" spans="1:62" x14ac:dyDescent="0.35">
      <c r="A14" s="32" t="str">
        <v>Yes</v>
      </c>
      <c r="B14" s="27">
        <v>4</v>
      </c>
      <c r="C14" s="40">
        <v>0</v>
      </c>
      <c r="D14" s="44">
        <f t="shared" si="7"/>
        <v>0</v>
      </c>
      <c r="E14" s="33" t="str">
        <v>the Finish</v>
      </c>
      <c r="F14" s="34" t="str">
        <v>FE</v>
      </c>
      <c r="G14" s="35">
        <f>IF($A14="Yes",SUMIF($A$8:$A13,"Yes",$B$8:$B13)+1,"")</f>
        <v>22</v>
      </c>
      <c r="H14" s="35">
        <v>25</v>
      </c>
      <c r="I14" s="35">
        <v>34</v>
      </c>
      <c r="J14" s="52">
        <v>8000</v>
      </c>
      <c r="K14" s="45" t="str">
        <f t="shared" si="8"/>
        <v/>
      </c>
      <c r="L14" s="45" t="str">
        <f t="shared" si="3"/>
        <v/>
      </c>
      <c r="M14" s="45" t="str">
        <f t="shared" si="3"/>
        <v/>
      </c>
      <c r="N14" s="45" t="str">
        <f t="shared" si="3"/>
        <v/>
      </c>
      <c r="O14" s="45" t="str">
        <f t="shared" si="3"/>
        <v/>
      </c>
      <c r="P14" s="45" t="str">
        <f t="shared" si="3"/>
        <v/>
      </c>
      <c r="Q14" s="45" t="str">
        <f t="shared" si="3"/>
        <v/>
      </c>
      <c r="R14" s="45" t="str">
        <f t="shared" si="3"/>
        <v/>
      </c>
      <c r="S14" s="45" t="str">
        <f t="shared" si="3"/>
        <v/>
      </c>
      <c r="T14" s="45" t="str">
        <f t="shared" si="3"/>
        <v/>
      </c>
      <c r="U14" s="45" t="str">
        <f t="shared" si="3"/>
        <v/>
      </c>
      <c r="V14" s="45" t="str">
        <f t="shared" si="3"/>
        <v/>
      </c>
      <c r="W14" s="45" t="str">
        <f t="shared" si="3"/>
        <v/>
      </c>
      <c r="X14" s="45" t="str">
        <f t="shared" si="3"/>
        <v/>
      </c>
      <c r="Y14" s="45" t="str">
        <f t="shared" si="3"/>
        <v/>
      </c>
      <c r="Z14" s="45" t="str">
        <f t="shared" si="3"/>
        <v/>
      </c>
      <c r="AA14" s="45" t="str">
        <f t="shared" si="3"/>
        <v/>
      </c>
      <c r="AB14" s="45" t="str">
        <f t="shared" si="4"/>
        <v/>
      </c>
      <c r="AC14" s="45" t="str">
        <f t="shared" si="4"/>
        <v/>
      </c>
      <c r="AD14" s="45" t="str">
        <f t="shared" si="4"/>
        <v/>
      </c>
      <c r="AE14" s="45" t="str">
        <f t="shared" si="4"/>
        <v/>
      </c>
      <c r="AF14" s="45" t="str">
        <f t="shared" si="4"/>
        <v/>
      </c>
      <c r="AG14" s="45" t="str">
        <f t="shared" si="4"/>
        <v/>
      </c>
      <c r="AH14" s="45" t="str">
        <f t="shared" si="4"/>
        <v/>
      </c>
      <c r="AI14" s="45" t="str">
        <f t="shared" si="4"/>
        <v/>
      </c>
      <c r="AJ14" s="45" t="str">
        <f t="shared" si="4"/>
        <v/>
      </c>
      <c r="AK14" s="45" t="str">
        <f t="shared" si="4"/>
        <v/>
      </c>
      <c r="AL14" s="45" t="str">
        <f t="shared" si="4"/>
        <v/>
      </c>
      <c r="AM14" s="45" t="str">
        <f t="shared" si="4"/>
        <v/>
      </c>
      <c r="AN14" s="45" t="str">
        <f t="shared" si="4"/>
        <v/>
      </c>
      <c r="AO14" s="45" t="str">
        <f t="shared" si="4"/>
        <v/>
      </c>
      <c r="AP14" s="45" t="str">
        <f t="shared" si="4"/>
        <v/>
      </c>
      <c r="AQ14" s="45" t="str">
        <f t="shared" si="4"/>
        <v/>
      </c>
      <c r="AR14" s="45" t="str">
        <f t="shared" si="5"/>
        <v/>
      </c>
      <c r="AS14" s="45" t="str">
        <f t="shared" si="5"/>
        <v/>
      </c>
      <c r="AT14" s="45" t="str">
        <f t="shared" si="5"/>
        <v/>
      </c>
      <c r="AU14" s="45" t="str">
        <f t="shared" si="5"/>
        <v/>
      </c>
      <c r="AV14" s="45" t="str">
        <f t="shared" si="5"/>
        <v/>
      </c>
      <c r="AW14" s="45" t="str">
        <f t="shared" si="5"/>
        <v/>
      </c>
      <c r="AX14" s="45" t="str">
        <f t="shared" si="5"/>
        <v/>
      </c>
      <c r="AY14" s="45" t="str">
        <f t="shared" si="5"/>
        <v/>
      </c>
      <c r="AZ14" s="45" t="str">
        <f t="shared" si="5"/>
        <v/>
      </c>
      <c r="BA14" s="45" t="str">
        <f t="shared" si="5"/>
        <v/>
      </c>
      <c r="BB14" s="45" t="str">
        <f t="shared" si="5"/>
        <v/>
      </c>
      <c r="BC14" s="45" t="str">
        <f t="shared" si="5"/>
        <v/>
      </c>
      <c r="BD14" s="45" t="str">
        <f t="shared" si="5"/>
        <v/>
      </c>
      <c r="BE14" s="45" t="str">
        <f t="shared" si="5"/>
        <v/>
      </c>
      <c r="BF14" s="45" t="str">
        <f t="shared" si="5"/>
        <v/>
      </c>
      <c r="BG14" s="45" t="str">
        <f t="shared" si="5"/>
        <v/>
      </c>
      <c r="BH14" s="45" t="str">
        <f t="shared" si="6"/>
        <v/>
      </c>
      <c r="BI14" s="45" t="str">
        <f t="shared" si="6"/>
        <v/>
      </c>
      <c r="BJ14" s="46" t="str">
        <f t="shared" si="6"/>
        <v/>
      </c>
    </row>
    <row r="15" spans="1:62" x14ac:dyDescent="0.35">
      <c r="A15" s="32" t="str">
        <v>Yes</v>
      </c>
      <c r="B15" s="27">
        <v>0</v>
      </c>
      <c r="C15" s="40">
        <v>0</v>
      </c>
      <c r="D15" s="44">
        <f t="shared" si="7"/>
        <v>0</v>
      </c>
      <c r="E15" s="33" t="str">
        <v>Delivery</v>
      </c>
      <c r="F15" s="34" t="str">
        <v>NN</v>
      </c>
      <c r="G15" s="35">
        <v>22</v>
      </c>
      <c r="H15" s="35">
        <v>22</v>
      </c>
      <c r="I15" s="35">
        <v>0</v>
      </c>
      <c r="J15" s="52">
        <v>0</v>
      </c>
      <c r="K15" s="45" t="str">
        <f t="shared" si="8"/>
        <v/>
      </c>
      <c r="L15" s="45" t="str">
        <f t="shared" si="3"/>
        <v/>
      </c>
      <c r="M15" s="45" t="str">
        <f t="shared" si="3"/>
        <v/>
      </c>
      <c r="N15" s="45" t="str">
        <f t="shared" si="3"/>
        <v/>
      </c>
      <c r="O15" s="45" t="str">
        <f t="shared" si="3"/>
        <v/>
      </c>
      <c r="P15" s="45" t="str">
        <f t="shared" si="3"/>
        <v/>
      </c>
      <c r="Q15" s="45" t="str">
        <f t="shared" si="3"/>
        <v/>
      </c>
      <c r="R15" s="45" t="str">
        <f t="shared" si="3"/>
        <v/>
      </c>
      <c r="S15" s="45" t="str">
        <f t="shared" si="3"/>
        <v/>
      </c>
      <c r="T15" s="45" t="str">
        <f t="shared" si="3"/>
        <v/>
      </c>
      <c r="U15" s="45" t="str">
        <f t="shared" si="3"/>
        <v/>
      </c>
      <c r="V15" s="45" t="str">
        <f t="shared" si="3"/>
        <v/>
      </c>
      <c r="W15" s="45" t="str">
        <f t="shared" si="3"/>
        <v/>
      </c>
      <c r="X15" s="45" t="str">
        <f t="shared" si="3"/>
        <v/>
      </c>
      <c r="Y15" s="45" t="str">
        <f t="shared" si="3"/>
        <v/>
      </c>
      <c r="Z15" s="45" t="str">
        <f t="shared" si="3"/>
        <v/>
      </c>
      <c r="AA15" s="45" t="str">
        <f t="shared" si="3"/>
        <v/>
      </c>
      <c r="AB15" s="45" t="str">
        <f t="shared" si="4"/>
        <v/>
      </c>
      <c r="AC15" s="45" t="str">
        <f t="shared" si="4"/>
        <v/>
      </c>
      <c r="AD15" s="45" t="str">
        <f t="shared" si="4"/>
        <v/>
      </c>
      <c r="AE15" s="45" t="str">
        <f t="shared" si="4"/>
        <v/>
      </c>
      <c r="AF15" s="45" t="str">
        <f t="shared" si="4"/>
        <v/>
      </c>
      <c r="AG15" s="45" t="str">
        <f t="shared" si="4"/>
        <v/>
      </c>
      <c r="AH15" s="45" t="str">
        <f t="shared" si="4"/>
        <v/>
      </c>
      <c r="AI15" s="45" t="str">
        <f t="shared" si="4"/>
        <v/>
      </c>
      <c r="AJ15" s="45" t="str">
        <f t="shared" si="4"/>
        <v/>
      </c>
      <c r="AK15" s="45" t="str">
        <f t="shared" si="4"/>
        <v/>
      </c>
      <c r="AL15" s="45" t="str">
        <f t="shared" si="4"/>
        <v/>
      </c>
      <c r="AM15" s="45" t="str">
        <f t="shared" si="4"/>
        <v/>
      </c>
      <c r="AN15" s="45" t="str">
        <f t="shared" si="4"/>
        <v/>
      </c>
      <c r="AO15" s="45" t="str">
        <f t="shared" si="4"/>
        <v/>
      </c>
      <c r="AP15" s="45" t="str">
        <f t="shared" si="4"/>
        <v/>
      </c>
      <c r="AQ15" s="45" t="str">
        <f t="shared" si="4"/>
        <v/>
      </c>
      <c r="AR15" s="45" t="str">
        <f t="shared" si="5"/>
        <v/>
      </c>
      <c r="AS15" s="45" t="str">
        <f t="shared" si="5"/>
        <v/>
      </c>
      <c r="AT15" s="45" t="str">
        <f t="shared" si="5"/>
        <v/>
      </c>
      <c r="AU15" s="45" t="str">
        <f t="shared" si="5"/>
        <v/>
      </c>
      <c r="AV15" s="45" t="str">
        <f t="shared" si="5"/>
        <v/>
      </c>
      <c r="AW15" s="45" t="str">
        <f t="shared" si="5"/>
        <v/>
      </c>
      <c r="AX15" s="45" t="str">
        <f t="shared" si="5"/>
        <v/>
      </c>
      <c r="AY15" s="45" t="str">
        <f t="shared" si="5"/>
        <v/>
      </c>
      <c r="AZ15" s="45" t="str">
        <f t="shared" si="5"/>
        <v/>
      </c>
      <c r="BA15" s="45" t="str">
        <f t="shared" si="5"/>
        <v/>
      </c>
      <c r="BB15" s="45" t="str">
        <f t="shared" si="5"/>
        <v/>
      </c>
      <c r="BC15" s="45" t="str">
        <f t="shared" si="5"/>
        <v/>
      </c>
      <c r="BD15" s="45" t="str">
        <f t="shared" si="5"/>
        <v/>
      </c>
      <c r="BE15" s="45" t="str">
        <f t="shared" si="5"/>
        <v/>
      </c>
      <c r="BF15" s="45" t="str">
        <f t="shared" si="5"/>
        <v/>
      </c>
      <c r="BG15" s="45" t="str">
        <f t="shared" si="5"/>
        <v/>
      </c>
      <c r="BH15" s="45" t="str">
        <f t="shared" si="6"/>
        <v/>
      </c>
      <c r="BI15" s="45" t="str">
        <f t="shared" si="6"/>
        <v/>
      </c>
      <c r="BJ15" s="46" t="str">
        <f t="shared" si="6"/>
        <v/>
      </c>
    </row>
    <row r="16" spans="1:62" x14ac:dyDescent="0.35">
      <c r="A16" s="32" t="str">
        <v>Float</v>
      </c>
      <c r="B16" s="27">
        <v>0</v>
      </c>
      <c r="C16" s="40">
        <v>1</v>
      </c>
      <c r="D16" s="44">
        <f t="shared" si="7"/>
        <v>2</v>
      </c>
      <c r="E16" s="33" t="str">
        <v>Check funds</v>
      </c>
      <c r="F16" s="34" t="str">
        <v>FE</v>
      </c>
      <c r="G16" s="35">
        <v>2</v>
      </c>
      <c r="H16" s="35">
        <v>2</v>
      </c>
      <c r="I16" s="35">
        <v>0</v>
      </c>
      <c r="J16" s="52">
        <v>0</v>
      </c>
      <c r="K16" s="45" t="str">
        <f t="shared" si="8"/>
        <v/>
      </c>
      <c r="L16" s="45" t="str">
        <f t="shared" si="3"/>
        <v>●</v>
      </c>
      <c r="M16" s="45" t="str">
        <f t="shared" si="3"/>
        <v/>
      </c>
      <c r="N16" s="45" t="str">
        <f t="shared" si="3"/>
        <v/>
      </c>
      <c r="O16" s="45" t="str">
        <f t="shared" si="3"/>
        <v/>
      </c>
      <c r="P16" s="45" t="str">
        <f t="shared" si="3"/>
        <v/>
      </c>
      <c r="Q16" s="45" t="str">
        <f t="shared" si="3"/>
        <v/>
      </c>
      <c r="R16" s="45" t="str">
        <f t="shared" si="3"/>
        <v/>
      </c>
      <c r="S16" s="45" t="str">
        <f t="shared" si="3"/>
        <v/>
      </c>
      <c r="T16" s="45" t="str">
        <f t="shared" si="3"/>
        <v/>
      </c>
      <c r="U16" s="45" t="str">
        <f t="shared" si="3"/>
        <v/>
      </c>
      <c r="V16" s="45" t="str">
        <f t="shared" si="3"/>
        <v/>
      </c>
      <c r="W16" s="45" t="str">
        <f t="shared" si="3"/>
        <v/>
      </c>
      <c r="X16" s="45" t="str">
        <f t="shared" si="3"/>
        <v/>
      </c>
      <c r="Y16" s="45" t="str">
        <f t="shared" si="3"/>
        <v/>
      </c>
      <c r="Z16" s="45" t="str">
        <f t="shared" si="3"/>
        <v/>
      </c>
      <c r="AA16" s="45" t="str">
        <f t="shared" si="3"/>
        <v/>
      </c>
      <c r="AB16" s="45" t="str">
        <f t="shared" si="4"/>
        <v/>
      </c>
      <c r="AC16" s="45" t="str">
        <f t="shared" si="4"/>
        <v/>
      </c>
      <c r="AD16" s="45" t="str">
        <f t="shared" si="4"/>
        <v/>
      </c>
      <c r="AE16" s="45" t="str">
        <f t="shared" si="4"/>
        <v/>
      </c>
      <c r="AF16" s="45" t="str">
        <f t="shared" si="4"/>
        <v/>
      </c>
      <c r="AG16" s="45" t="str">
        <f t="shared" si="4"/>
        <v/>
      </c>
      <c r="AH16" s="45" t="str">
        <f t="shared" si="4"/>
        <v/>
      </c>
      <c r="AI16" s="45" t="str">
        <f t="shared" si="4"/>
        <v/>
      </c>
      <c r="AJ16" s="45" t="str">
        <f t="shared" si="4"/>
        <v/>
      </c>
      <c r="AK16" s="45" t="str">
        <f t="shared" si="4"/>
        <v/>
      </c>
      <c r="AL16" s="45" t="str">
        <f t="shared" si="4"/>
        <v/>
      </c>
      <c r="AM16" s="45" t="str">
        <f t="shared" si="4"/>
        <v/>
      </c>
      <c r="AN16" s="45" t="str">
        <f t="shared" si="4"/>
        <v/>
      </c>
      <c r="AO16" s="45" t="str">
        <f t="shared" si="4"/>
        <v/>
      </c>
      <c r="AP16" s="45" t="str">
        <f t="shared" si="4"/>
        <v/>
      </c>
      <c r="AQ16" s="45" t="str">
        <f t="shared" si="4"/>
        <v/>
      </c>
      <c r="AR16" s="45" t="str">
        <f t="shared" si="5"/>
        <v/>
      </c>
      <c r="AS16" s="45" t="str">
        <f t="shared" si="5"/>
        <v/>
      </c>
      <c r="AT16" s="45" t="str">
        <f t="shared" si="5"/>
        <v/>
      </c>
      <c r="AU16" s="45" t="str">
        <f t="shared" si="5"/>
        <v/>
      </c>
      <c r="AV16" s="45" t="str">
        <f t="shared" si="5"/>
        <v/>
      </c>
      <c r="AW16" s="45" t="str">
        <f t="shared" si="5"/>
        <v/>
      </c>
      <c r="AX16" s="45" t="str">
        <f t="shared" si="5"/>
        <v/>
      </c>
      <c r="AY16" s="45" t="str">
        <f t="shared" si="5"/>
        <v/>
      </c>
      <c r="AZ16" s="45" t="str">
        <f t="shared" si="5"/>
        <v/>
      </c>
      <c r="BA16" s="45" t="str">
        <f t="shared" si="5"/>
        <v/>
      </c>
      <c r="BB16" s="45" t="str">
        <f t="shared" si="5"/>
        <v/>
      </c>
      <c r="BC16" s="45" t="str">
        <f t="shared" si="5"/>
        <v/>
      </c>
      <c r="BD16" s="45" t="str">
        <f t="shared" si="5"/>
        <v/>
      </c>
      <c r="BE16" s="45" t="str">
        <f t="shared" si="5"/>
        <v/>
      </c>
      <c r="BF16" s="45" t="str">
        <f t="shared" si="5"/>
        <v/>
      </c>
      <c r="BG16" s="45" t="str">
        <f t="shared" si="5"/>
        <v/>
      </c>
      <c r="BH16" s="45" t="str">
        <f t="shared" si="6"/>
        <v/>
      </c>
      <c r="BI16" s="45" t="str">
        <f t="shared" si="6"/>
        <v/>
      </c>
      <c r="BJ16" s="46" t="str">
        <f t="shared" si="6"/>
        <v/>
      </c>
    </row>
    <row r="17" spans="1:62" x14ac:dyDescent="0.35">
      <c r="A17" s="32" t="str">
        <v>Float</v>
      </c>
      <c r="B17" s="27">
        <v>1</v>
      </c>
      <c r="C17" s="40">
        <v>0</v>
      </c>
      <c r="D17" s="44">
        <f t="shared" si="7"/>
        <v>0</v>
      </c>
      <c r="E17" s="33" t="str">
        <v>Demolish old shed</v>
      </c>
      <c r="F17" s="34" t="str">
        <v>NN</v>
      </c>
      <c r="G17" s="35">
        <v>3</v>
      </c>
      <c r="H17" s="35">
        <v>3</v>
      </c>
      <c r="I17" s="35">
        <v>6</v>
      </c>
      <c r="J17" s="52">
        <v>300</v>
      </c>
      <c r="K17" s="45" t="str">
        <f t="shared" si="8"/>
        <v/>
      </c>
      <c r="L17" s="45" t="str">
        <f t="shared" si="3"/>
        <v/>
      </c>
      <c r="M17" s="45" t="str">
        <f t="shared" si="3"/>
        <v/>
      </c>
      <c r="N17" s="45" t="str">
        <f t="shared" si="3"/>
        <v/>
      </c>
      <c r="O17" s="45" t="str">
        <f t="shared" si="3"/>
        <v/>
      </c>
      <c r="P17" s="45" t="str">
        <f t="shared" si="3"/>
        <v/>
      </c>
      <c r="Q17" s="45" t="str">
        <f t="shared" si="3"/>
        <v/>
      </c>
      <c r="R17" s="45" t="str">
        <f t="shared" si="3"/>
        <v/>
      </c>
      <c r="S17" s="45" t="str">
        <f t="shared" si="3"/>
        <v/>
      </c>
      <c r="T17" s="45" t="str">
        <f t="shared" si="3"/>
        <v/>
      </c>
      <c r="U17" s="45" t="str">
        <f t="shared" si="3"/>
        <v/>
      </c>
      <c r="V17" s="45" t="str">
        <f t="shared" si="3"/>
        <v/>
      </c>
      <c r="W17" s="45" t="str">
        <f t="shared" si="3"/>
        <v/>
      </c>
      <c r="X17" s="45" t="str">
        <f t="shared" si="3"/>
        <v/>
      </c>
      <c r="Y17" s="45" t="str">
        <f t="shared" si="3"/>
        <v/>
      </c>
      <c r="Z17" s="45" t="str">
        <f t="shared" si="3"/>
        <v/>
      </c>
      <c r="AA17" s="45" t="str">
        <f t="shared" si="3"/>
        <v/>
      </c>
      <c r="AB17" s="45" t="str">
        <f t="shared" si="4"/>
        <v/>
      </c>
      <c r="AC17" s="45" t="str">
        <f t="shared" si="4"/>
        <v/>
      </c>
      <c r="AD17" s="45" t="str">
        <f t="shared" si="4"/>
        <v/>
      </c>
      <c r="AE17" s="45" t="str">
        <f t="shared" si="4"/>
        <v/>
      </c>
      <c r="AF17" s="45" t="str">
        <f t="shared" si="4"/>
        <v/>
      </c>
      <c r="AG17" s="45" t="str">
        <f t="shared" si="4"/>
        <v/>
      </c>
      <c r="AH17" s="45" t="str">
        <f t="shared" si="4"/>
        <v/>
      </c>
      <c r="AI17" s="45" t="str">
        <f t="shared" si="4"/>
        <v/>
      </c>
      <c r="AJ17" s="45" t="str">
        <f t="shared" si="4"/>
        <v/>
      </c>
      <c r="AK17" s="45" t="str">
        <f t="shared" si="4"/>
        <v/>
      </c>
      <c r="AL17" s="45" t="str">
        <f t="shared" si="4"/>
        <v/>
      </c>
      <c r="AM17" s="45" t="str">
        <f t="shared" si="4"/>
        <v/>
      </c>
      <c r="AN17" s="45" t="str">
        <f t="shared" si="4"/>
        <v/>
      </c>
      <c r="AO17" s="45" t="str">
        <f t="shared" si="4"/>
        <v/>
      </c>
      <c r="AP17" s="45" t="str">
        <f t="shared" si="4"/>
        <v/>
      </c>
      <c r="AQ17" s="45" t="str">
        <f t="shared" si="4"/>
        <v/>
      </c>
      <c r="AR17" s="45" t="str">
        <f t="shared" si="5"/>
        <v/>
      </c>
      <c r="AS17" s="45" t="str">
        <f t="shared" si="5"/>
        <v/>
      </c>
      <c r="AT17" s="45" t="str">
        <f t="shared" si="5"/>
        <v/>
      </c>
      <c r="AU17" s="45" t="str">
        <f t="shared" si="5"/>
        <v/>
      </c>
      <c r="AV17" s="45" t="str">
        <f t="shared" si="5"/>
        <v/>
      </c>
      <c r="AW17" s="45" t="str">
        <f t="shared" si="5"/>
        <v/>
      </c>
      <c r="AX17" s="45" t="str">
        <f t="shared" si="5"/>
        <v/>
      </c>
      <c r="AY17" s="45" t="str">
        <f t="shared" si="5"/>
        <v/>
      </c>
      <c r="AZ17" s="45" t="str">
        <f t="shared" si="5"/>
        <v/>
      </c>
      <c r="BA17" s="45" t="str">
        <f t="shared" si="5"/>
        <v/>
      </c>
      <c r="BB17" s="45" t="str">
        <f t="shared" si="5"/>
        <v/>
      </c>
      <c r="BC17" s="45" t="str">
        <f t="shared" si="5"/>
        <v/>
      </c>
      <c r="BD17" s="45" t="str">
        <f t="shared" si="5"/>
        <v/>
      </c>
      <c r="BE17" s="45" t="str">
        <f t="shared" si="5"/>
        <v/>
      </c>
      <c r="BF17" s="45" t="str">
        <f t="shared" si="5"/>
        <v/>
      </c>
      <c r="BG17" s="45" t="str">
        <f t="shared" si="5"/>
        <v/>
      </c>
      <c r="BH17" s="45" t="str">
        <f t="shared" si="6"/>
        <v/>
      </c>
      <c r="BI17" s="45" t="str">
        <f t="shared" si="6"/>
        <v/>
      </c>
      <c r="BJ17" s="46" t="str">
        <f t="shared" si="6"/>
        <v/>
      </c>
    </row>
    <row r="18" spans="1:62" x14ac:dyDescent="0.35">
      <c r="A18" s="32" t="str">
        <v>Float</v>
      </c>
      <c r="B18" s="27">
        <v>4</v>
      </c>
      <c r="C18" s="40">
        <v>0</v>
      </c>
      <c r="D18" s="44">
        <f t="shared" si="7"/>
        <v>0</v>
      </c>
      <c r="E18" s="33" t="str">
        <v>Cut foliage back</v>
      </c>
      <c r="F18" s="34" t="str">
        <v>NN</v>
      </c>
      <c r="G18" s="35">
        <v>8</v>
      </c>
      <c r="H18" s="35">
        <v>11</v>
      </c>
      <c r="I18" s="35">
        <v>10</v>
      </c>
      <c r="J18" s="52">
        <v>500</v>
      </c>
      <c r="K18" s="45" t="str">
        <f t="shared" si="8"/>
        <v/>
      </c>
      <c r="L18" s="45" t="str">
        <f t="shared" si="3"/>
        <v/>
      </c>
      <c r="M18" s="45" t="str">
        <f t="shared" si="3"/>
        <v/>
      </c>
      <c r="N18" s="45" t="str">
        <f t="shared" si="3"/>
        <v/>
      </c>
      <c r="O18" s="45" t="str">
        <f t="shared" si="3"/>
        <v/>
      </c>
      <c r="P18" s="45" t="str">
        <f t="shared" si="3"/>
        <v/>
      </c>
      <c r="Q18" s="45" t="str">
        <f t="shared" si="3"/>
        <v/>
      </c>
      <c r="R18" s="45" t="str">
        <f t="shared" si="3"/>
        <v/>
      </c>
      <c r="S18" s="45" t="str">
        <f t="shared" si="3"/>
        <v/>
      </c>
      <c r="T18" s="45" t="str">
        <f t="shared" si="3"/>
        <v/>
      </c>
      <c r="U18" s="45" t="str">
        <f t="shared" si="3"/>
        <v/>
      </c>
      <c r="V18" s="45" t="str">
        <f t="shared" si="3"/>
        <v/>
      </c>
      <c r="W18" s="45" t="str">
        <f t="shared" si="3"/>
        <v/>
      </c>
      <c r="X18" s="45" t="str">
        <f t="shared" si="3"/>
        <v/>
      </c>
      <c r="Y18" s="45" t="str">
        <f t="shared" si="3"/>
        <v/>
      </c>
      <c r="Z18" s="45" t="str">
        <f t="shared" si="3"/>
        <v/>
      </c>
      <c r="AA18" s="45" t="str">
        <f t="shared" si="3"/>
        <v/>
      </c>
      <c r="AB18" s="45" t="str">
        <f t="shared" si="4"/>
        <v/>
      </c>
      <c r="AC18" s="45" t="str">
        <f t="shared" si="4"/>
        <v/>
      </c>
      <c r="AD18" s="45" t="str">
        <f t="shared" si="4"/>
        <v/>
      </c>
      <c r="AE18" s="45" t="str">
        <f t="shared" si="4"/>
        <v/>
      </c>
      <c r="AF18" s="45" t="str">
        <f t="shared" si="4"/>
        <v/>
      </c>
      <c r="AG18" s="45" t="str">
        <f t="shared" si="4"/>
        <v/>
      </c>
      <c r="AH18" s="45" t="str">
        <f t="shared" si="4"/>
        <v/>
      </c>
      <c r="AI18" s="45" t="str">
        <f t="shared" si="4"/>
        <v/>
      </c>
      <c r="AJ18" s="45" t="str">
        <f t="shared" si="4"/>
        <v/>
      </c>
      <c r="AK18" s="45" t="str">
        <f t="shared" si="4"/>
        <v/>
      </c>
      <c r="AL18" s="45" t="str">
        <f t="shared" si="4"/>
        <v/>
      </c>
      <c r="AM18" s="45" t="str">
        <f t="shared" si="4"/>
        <v/>
      </c>
      <c r="AN18" s="45" t="str">
        <f t="shared" si="4"/>
        <v/>
      </c>
      <c r="AO18" s="45" t="str">
        <f t="shared" si="4"/>
        <v/>
      </c>
      <c r="AP18" s="45" t="str">
        <f t="shared" si="4"/>
        <v/>
      </c>
      <c r="AQ18" s="45" t="str">
        <f t="shared" si="4"/>
        <v/>
      </c>
      <c r="AR18" s="45" t="str">
        <f t="shared" si="5"/>
        <v/>
      </c>
      <c r="AS18" s="45" t="str">
        <f t="shared" si="5"/>
        <v/>
      </c>
      <c r="AT18" s="45" t="str">
        <f t="shared" si="5"/>
        <v/>
      </c>
      <c r="AU18" s="45" t="str">
        <f t="shared" si="5"/>
        <v/>
      </c>
      <c r="AV18" s="45" t="str">
        <f t="shared" si="5"/>
        <v/>
      </c>
      <c r="AW18" s="45" t="str">
        <f t="shared" si="5"/>
        <v/>
      </c>
      <c r="AX18" s="45" t="str">
        <f t="shared" si="5"/>
        <v/>
      </c>
      <c r="AY18" s="45" t="str">
        <f t="shared" si="5"/>
        <v/>
      </c>
      <c r="AZ18" s="45" t="str">
        <f t="shared" si="5"/>
        <v/>
      </c>
      <c r="BA18" s="45" t="str">
        <f t="shared" si="5"/>
        <v/>
      </c>
      <c r="BB18" s="45" t="str">
        <f t="shared" si="5"/>
        <v/>
      </c>
      <c r="BC18" s="45" t="str">
        <f t="shared" si="5"/>
        <v/>
      </c>
      <c r="BD18" s="45" t="str">
        <f t="shared" si="5"/>
        <v/>
      </c>
      <c r="BE18" s="45" t="str">
        <f t="shared" si="5"/>
        <v/>
      </c>
      <c r="BF18" s="45" t="str">
        <f t="shared" si="5"/>
        <v/>
      </c>
      <c r="BG18" s="45" t="str">
        <f t="shared" si="5"/>
        <v/>
      </c>
      <c r="BH18" s="45" t="str">
        <f t="shared" si="6"/>
        <v/>
      </c>
      <c r="BI18" s="45" t="str">
        <f t="shared" si="6"/>
        <v/>
      </c>
      <c r="BJ18" s="46" t="str">
        <f t="shared" si="6"/>
        <v/>
      </c>
    </row>
    <row r="19" spans="1:62" x14ac:dyDescent="0.35">
      <c r="A19" s="32" t="str">
        <v>Float</v>
      </c>
      <c r="B19" s="27">
        <v>0</v>
      </c>
      <c r="C19" s="40">
        <v>0</v>
      </c>
      <c r="D19" s="44">
        <f t="shared" si="7"/>
        <v>0</v>
      </c>
      <c r="E19" s="33" t="str">
        <v>Connect Power</v>
      </c>
      <c r="F19" s="34" t="str">
        <v>NN</v>
      </c>
      <c r="G19" s="35">
        <v>13</v>
      </c>
      <c r="H19" s="35">
        <v>13</v>
      </c>
      <c r="I19" s="35">
        <v>0</v>
      </c>
      <c r="J19" s="52">
        <v>0</v>
      </c>
      <c r="K19" s="45" t="str">
        <f t="shared" si="8"/>
        <v/>
      </c>
      <c r="L19" s="45" t="str">
        <f t="shared" si="3"/>
        <v/>
      </c>
      <c r="M19" s="45" t="str">
        <f t="shared" si="3"/>
        <v/>
      </c>
      <c r="N19" s="45" t="str">
        <f t="shared" si="3"/>
        <v/>
      </c>
      <c r="O19" s="45" t="str">
        <f t="shared" si="3"/>
        <v/>
      </c>
      <c r="P19" s="45" t="str">
        <f t="shared" si="3"/>
        <v/>
      </c>
      <c r="Q19" s="45" t="str">
        <f t="shared" si="3"/>
        <v/>
      </c>
      <c r="R19" s="45" t="str">
        <f t="shared" si="3"/>
        <v/>
      </c>
      <c r="S19" s="45" t="str">
        <f t="shared" si="3"/>
        <v/>
      </c>
      <c r="T19" s="45" t="str">
        <f t="shared" si="3"/>
        <v/>
      </c>
      <c r="U19" s="45" t="str">
        <f t="shared" si="3"/>
        <v/>
      </c>
      <c r="V19" s="45" t="str">
        <f t="shared" si="3"/>
        <v/>
      </c>
      <c r="W19" s="45" t="str">
        <f t="shared" si="3"/>
        <v/>
      </c>
      <c r="X19" s="45" t="str">
        <f t="shared" si="3"/>
        <v/>
      </c>
      <c r="Y19" s="45" t="str">
        <f t="shared" si="3"/>
        <v/>
      </c>
      <c r="Z19" s="45" t="str">
        <f t="shared" si="3"/>
        <v/>
      </c>
      <c r="AA19" s="45" t="str">
        <f t="shared" si="3"/>
        <v/>
      </c>
      <c r="AB19" s="45" t="str">
        <f t="shared" si="4"/>
        <v/>
      </c>
      <c r="AC19" s="45" t="str">
        <f t="shared" si="4"/>
        <v/>
      </c>
      <c r="AD19" s="45" t="str">
        <f t="shared" si="4"/>
        <v/>
      </c>
      <c r="AE19" s="45" t="str">
        <f t="shared" si="4"/>
        <v/>
      </c>
      <c r="AF19" s="45" t="str">
        <f t="shared" si="4"/>
        <v/>
      </c>
      <c r="AG19" s="45" t="str">
        <f t="shared" si="4"/>
        <v/>
      </c>
      <c r="AH19" s="45" t="str">
        <f t="shared" si="4"/>
        <v/>
      </c>
      <c r="AI19" s="45" t="str">
        <f t="shared" si="4"/>
        <v/>
      </c>
      <c r="AJ19" s="45" t="str">
        <f t="shared" si="4"/>
        <v/>
      </c>
      <c r="AK19" s="45" t="str">
        <f t="shared" si="4"/>
        <v/>
      </c>
      <c r="AL19" s="45" t="str">
        <f t="shared" si="4"/>
        <v/>
      </c>
      <c r="AM19" s="45" t="str">
        <f t="shared" si="4"/>
        <v/>
      </c>
      <c r="AN19" s="45" t="str">
        <f t="shared" si="4"/>
        <v/>
      </c>
      <c r="AO19" s="45" t="str">
        <f t="shared" si="4"/>
        <v/>
      </c>
      <c r="AP19" s="45" t="str">
        <f t="shared" si="4"/>
        <v/>
      </c>
      <c r="AQ19" s="45" t="str">
        <f t="shared" si="4"/>
        <v/>
      </c>
      <c r="AR19" s="45" t="str">
        <f t="shared" si="5"/>
        <v/>
      </c>
      <c r="AS19" s="45" t="str">
        <f t="shared" si="5"/>
        <v/>
      </c>
      <c r="AT19" s="45" t="str">
        <f t="shared" si="5"/>
        <v/>
      </c>
      <c r="AU19" s="45" t="str">
        <f t="shared" si="5"/>
        <v/>
      </c>
      <c r="AV19" s="45" t="str">
        <f t="shared" si="5"/>
        <v/>
      </c>
      <c r="AW19" s="45" t="str">
        <f t="shared" si="5"/>
        <v/>
      </c>
      <c r="AX19" s="45" t="str">
        <f t="shared" si="5"/>
        <v/>
      </c>
      <c r="AY19" s="45" t="str">
        <f t="shared" si="5"/>
        <v/>
      </c>
      <c r="AZ19" s="45" t="str">
        <f t="shared" si="5"/>
        <v/>
      </c>
      <c r="BA19" s="45" t="str">
        <f t="shared" si="5"/>
        <v/>
      </c>
      <c r="BB19" s="45" t="str">
        <f t="shared" si="5"/>
        <v/>
      </c>
      <c r="BC19" s="45" t="str">
        <f t="shared" si="5"/>
        <v/>
      </c>
      <c r="BD19" s="45" t="str">
        <f t="shared" si="5"/>
        <v/>
      </c>
      <c r="BE19" s="45" t="str">
        <f t="shared" si="5"/>
        <v/>
      </c>
      <c r="BF19" s="45" t="str">
        <f t="shared" si="5"/>
        <v/>
      </c>
      <c r="BG19" s="45" t="str">
        <f t="shared" si="5"/>
        <v/>
      </c>
      <c r="BH19" s="45" t="str">
        <f t="shared" si="6"/>
        <v/>
      </c>
      <c r="BI19" s="45" t="str">
        <f t="shared" si="6"/>
        <v/>
      </c>
      <c r="BJ19" s="46" t="str">
        <f t="shared" si="6"/>
        <v/>
      </c>
    </row>
    <row r="20" spans="1:62" x14ac:dyDescent="0.35">
      <c r="A20" s="32" t="str">
        <v>Float</v>
      </c>
      <c r="B20" s="27">
        <v>1</v>
      </c>
      <c r="C20" s="40">
        <v>1</v>
      </c>
      <c r="D20" s="44">
        <f t="shared" si="7"/>
        <v>4</v>
      </c>
      <c r="E20" s="33" t="str">
        <v>Find suppliers</v>
      </c>
      <c r="F20" s="34" t="str">
        <v>FE</v>
      </c>
      <c r="G20" s="35">
        <v>4</v>
      </c>
      <c r="H20" s="35">
        <v>4</v>
      </c>
      <c r="I20" s="35">
        <v>0</v>
      </c>
      <c r="J20" s="52">
        <v>0</v>
      </c>
      <c r="K20" s="45" t="str">
        <f t="shared" si="8"/>
        <v/>
      </c>
      <c r="L20" s="45" t="str">
        <f t="shared" si="3"/>
        <v/>
      </c>
      <c r="M20" s="45" t="str">
        <f t="shared" si="3"/>
        <v/>
      </c>
      <c r="N20" s="45" t="str">
        <f t="shared" si="3"/>
        <v>●</v>
      </c>
      <c r="O20" s="45" t="str">
        <f t="shared" si="3"/>
        <v/>
      </c>
      <c r="P20" s="45" t="str">
        <f t="shared" si="3"/>
        <v/>
      </c>
      <c r="Q20" s="45" t="str">
        <f t="shared" si="3"/>
        <v/>
      </c>
      <c r="R20" s="45" t="str">
        <f t="shared" si="3"/>
        <v/>
      </c>
      <c r="S20" s="45" t="str">
        <f t="shared" si="3"/>
        <v/>
      </c>
      <c r="T20" s="45" t="str">
        <f t="shared" si="3"/>
        <v/>
      </c>
      <c r="U20" s="45" t="str">
        <f t="shared" si="3"/>
        <v/>
      </c>
      <c r="V20" s="45" t="str">
        <f t="shared" si="3"/>
        <v/>
      </c>
      <c r="W20" s="45" t="str">
        <f t="shared" si="3"/>
        <v/>
      </c>
      <c r="X20" s="45" t="str">
        <f t="shared" si="3"/>
        <v/>
      </c>
      <c r="Y20" s="45" t="str">
        <f t="shared" si="3"/>
        <v/>
      </c>
      <c r="Z20" s="45" t="str">
        <f t="shared" si="3"/>
        <v/>
      </c>
      <c r="AA20" s="45" t="str">
        <f t="shared" si="3"/>
        <v/>
      </c>
      <c r="AB20" s="45" t="str">
        <f t="shared" si="4"/>
        <v/>
      </c>
      <c r="AC20" s="45" t="str">
        <f t="shared" si="4"/>
        <v/>
      </c>
      <c r="AD20" s="45" t="str">
        <f t="shared" si="4"/>
        <v/>
      </c>
      <c r="AE20" s="45" t="str">
        <f t="shared" si="4"/>
        <v/>
      </c>
      <c r="AF20" s="45" t="str">
        <f t="shared" si="4"/>
        <v/>
      </c>
      <c r="AG20" s="45" t="str">
        <f t="shared" si="4"/>
        <v/>
      </c>
      <c r="AH20" s="45" t="str">
        <f t="shared" si="4"/>
        <v/>
      </c>
      <c r="AI20" s="45" t="str">
        <f t="shared" si="4"/>
        <v/>
      </c>
      <c r="AJ20" s="45" t="str">
        <f t="shared" si="4"/>
        <v/>
      </c>
      <c r="AK20" s="45" t="str">
        <f t="shared" si="4"/>
        <v/>
      </c>
      <c r="AL20" s="45" t="str">
        <f t="shared" si="4"/>
        <v/>
      </c>
      <c r="AM20" s="45" t="str">
        <f t="shared" si="4"/>
        <v/>
      </c>
      <c r="AN20" s="45" t="str">
        <f t="shared" si="4"/>
        <v/>
      </c>
      <c r="AO20" s="45" t="str">
        <f t="shared" si="4"/>
        <v/>
      </c>
      <c r="AP20" s="45" t="str">
        <f t="shared" si="4"/>
        <v/>
      </c>
      <c r="AQ20" s="45" t="str">
        <f t="shared" si="4"/>
        <v/>
      </c>
      <c r="AR20" s="45" t="str">
        <f t="shared" si="5"/>
        <v/>
      </c>
      <c r="AS20" s="45" t="str">
        <f t="shared" si="5"/>
        <v/>
      </c>
      <c r="AT20" s="45" t="str">
        <f t="shared" si="5"/>
        <v/>
      </c>
      <c r="AU20" s="45" t="str">
        <f t="shared" si="5"/>
        <v/>
      </c>
      <c r="AV20" s="45" t="str">
        <f t="shared" si="5"/>
        <v/>
      </c>
      <c r="AW20" s="45" t="str">
        <f t="shared" si="5"/>
        <v/>
      </c>
      <c r="AX20" s="45" t="str">
        <f t="shared" si="5"/>
        <v/>
      </c>
      <c r="AY20" s="45" t="str">
        <f t="shared" si="5"/>
        <v/>
      </c>
      <c r="AZ20" s="45" t="str">
        <f t="shared" si="5"/>
        <v/>
      </c>
      <c r="BA20" s="45" t="str">
        <f t="shared" si="5"/>
        <v/>
      </c>
      <c r="BB20" s="45" t="str">
        <f t="shared" si="5"/>
        <v/>
      </c>
      <c r="BC20" s="45" t="str">
        <f t="shared" si="5"/>
        <v/>
      </c>
      <c r="BD20" s="45" t="str">
        <f t="shared" si="5"/>
        <v/>
      </c>
      <c r="BE20" s="45" t="str">
        <f t="shared" si="5"/>
        <v/>
      </c>
      <c r="BF20" s="45" t="str">
        <f t="shared" si="5"/>
        <v/>
      </c>
      <c r="BG20" s="45" t="str">
        <f t="shared" si="5"/>
        <v/>
      </c>
      <c r="BH20" s="45" t="str">
        <f t="shared" si="6"/>
        <v/>
      </c>
      <c r="BI20" s="45" t="str">
        <f t="shared" si="6"/>
        <v/>
      </c>
      <c r="BJ20" s="46" t="str">
        <f t="shared" si="6"/>
        <v/>
      </c>
    </row>
    <row r="21" spans="1:62" x14ac:dyDescent="0.35">
      <c r="A21" s="32" t="str">
        <v>Float</v>
      </c>
      <c r="B21" s="27">
        <v>3</v>
      </c>
      <c r="C21" s="40">
        <v>0</v>
      </c>
      <c r="D21" s="44">
        <f t="shared" si="7"/>
        <v>0</v>
      </c>
      <c r="E21" s="33" t="str">
        <v>Get quotes</v>
      </c>
      <c r="F21" s="34" t="str">
        <v>FE</v>
      </c>
      <c r="G21" s="35">
        <v>7</v>
      </c>
      <c r="H21" s="35">
        <v>9</v>
      </c>
      <c r="I21" s="35">
        <v>0</v>
      </c>
      <c r="J21" s="52">
        <v>0</v>
      </c>
      <c r="K21" s="45" t="str">
        <f t="shared" si="8"/>
        <v/>
      </c>
      <c r="L21" s="45" t="str">
        <f t="shared" si="3"/>
        <v/>
      </c>
      <c r="M21" s="45" t="str">
        <f t="shared" si="3"/>
        <v/>
      </c>
      <c r="N21" s="45" t="str">
        <f t="shared" si="3"/>
        <v/>
      </c>
      <c r="O21" s="45" t="str">
        <f t="shared" si="3"/>
        <v/>
      </c>
      <c r="P21" s="45" t="str">
        <f t="shared" si="3"/>
        <v/>
      </c>
      <c r="Q21" s="45" t="str">
        <f t="shared" si="3"/>
        <v/>
      </c>
      <c r="R21" s="45" t="str">
        <f t="shared" si="3"/>
        <v/>
      </c>
      <c r="S21" s="45" t="str">
        <f t="shared" si="3"/>
        <v/>
      </c>
      <c r="T21" s="45" t="str">
        <f t="shared" si="3"/>
        <v/>
      </c>
      <c r="U21" s="45" t="str">
        <f t="shared" si="3"/>
        <v/>
      </c>
      <c r="V21" s="45" t="str">
        <f t="shared" si="3"/>
        <v/>
      </c>
      <c r="W21" s="45" t="str">
        <f t="shared" si="3"/>
        <v/>
      </c>
      <c r="X21" s="45" t="str">
        <f t="shared" si="3"/>
        <v/>
      </c>
      <c r="Y21" s="45" t="str">
        <f t="shared" si="3"/>
        <v/>
      </c>
      <c r="Z21" s="45" t="str">
        <f t="shared" si="3"/>
        <v/>
      </c>
      <c r="AA21" s="45" t="str">
        <f t="shared" si="3"/>
        <v/>
      </c>
      <c r="AB21" s="45" t="str">
        <f t="shared" si="4"/>
        <v/>
      </c>
      <c r="AC21" s="45" t="str">
        <f t="shared" si="4"/>
        <v/>
      </c>
      <c r="AD21" s="45" t="str">
        <f t="shared" si="4"/>
        <v/>
      </c>
      <c r="AE21" s="45" t="str">
        <f t="shared" si="4"/>
        <v/>
      </c>
      <c r="AF21" s="45" t="str">
        <f t="shared" si="4"/>
        <v/>
      </c>
      <c r="AG21" s="45" t="str">
        <f t="shared" si="4"/>
        <v/>
      </c>
      <c r="AH21" s="45" t="str">
        <f t="shared" si="4"/>
        <v/>
      </c>
      <c r="AI21" s="45" t="str">
        <f t="shared" si="4"/>
        <v/>
      </c>
      <c r="AJ21" s="45" t="str">
        <f t="shared" si="4"/>
        <v/>
      </c>
      <c r="AK21" s="45" t="str">
        <f t="shared" si="4"/>
        <v/>
      </c>
      <c r="AL21" s="45" t="str">
        <f t="shared" si="4"/>
        <v/>
      </c>
      <c r="AM21" s="45" t="str">
        <f t="shared" si="4"/>
        <v/>
      </c>
      <c r="AN21" s="45" t="str">
        <f t="shared" si="4"/>
        <v/>
      </c>
      <c r="AO21" s="45" t="str">
        <f t="shared" si="4"/>
        <v/>
      </c>
      <c r="AP21" s="45" t="str">
        <f t="shared" si="4"/>
        <v/>
      </c>
      <c r="AQ21" s="45" t="str">
        <f t="shared" si="4"/>
        <v/>
      </c>
      <c r="AR21" s="45" t="str">
        <f t="shared" si="5"/>
        <v/>
      </c>
      <c r="AS21" s="45" t="str">
        <f t="shared" si="5"/>
        <v/>
      </c>
      <c r="AT21" s="45" t="str">
        <f t="shared" si="5"/>
        <v/>
      </c>
      <c r="AU21" s="45" t="str">
        <f t="shared" si="5"/>
        <v/>
      </c>
      <c r="AV21" s="45" t="str">
        <f t="shared" si="5"/>
        <v/>
      </c>
      <c r="AW21" s="45" t="str">
        <f t="shared" si="5"/>
        <v/>
      </c>
      <c r="AX21" s="45" t="str">
        <f t="shared" si="5"/>
        <v/>
      </c>
      <c r="AY21" s="45" t="str">
        <f t="shared" si="5"/>
        <v/>
      </c>
      <c r="AZ21" s="45" t="str">
        <f t="shared" si="5"/>
        <v/>
      </c>
      <c r="BA21" s="45" t="str">
        <f t="shared" si="5"/>
        <v/>
      </c>
      <c r="BB21" s="45" t="str">
        <f t="shared" si="5"/>
        <v/>
      </c>
      <c r="BC21" s="45" t="str">
        <f t="shared" si="5"/>
        <v/>
      </c>
      <c r="BD21" s="45" t="str">
        <f t="shared" si="5"/>
        <v/>
      </c>
      <c r="BE21" s="45" t="str">
        <f t="shared" si="5"/>
        <v/>
      </c>
      <c r="BF21" s="45" t="str">
        <f t="shared" si="5"/>
        <v/>
      </c>
      <c r="BG21" s="45" t="str">
        <f t="shared" si="5"/>
        <v/>
      </c>
      <c r="BH21" s="45" t="str">
        <f t="shared" si="6"/>
        <v/>
      </c>
      <c r="BI21" s="45" t="str">
        <f t="shared" si="6"/>
        <v/>
      </c>
      <c r="BJ21" s="46" t="str">
        <f t="shared" si="6"/>
        <v/>
      </c>
    </row>
    <row r="22" spans="1:62" x14ac:dyDescent="0.35">
      <c r="A22" s="32" t="str">
        <v>Float</v>
      </c>
      <c r="B22" s="27">
        <v>0</v>
      </c>
      <c r="C22" s="40">
        <v>0</v>
      </c>
      <c r="D22" s="44">
        <f t="shared" si="7"/>
        <v>0</v>
      </c>
      <c r="E22" s="33" t="str">
        <v>Buy the shed</v>
      </c>
      <c r="F22" s="34" t="str">
        <v>FE</v>
      </c>
      <c r="G22" s="35">
        <v>8</v>
      </c>
      <c r="H22" s="35">
        <v>8</v>
      </c>
      <c r="I22" s="35">
        <v>0</v>
      </c>
      <c r="J22" s="52">
        <v>8000</v>
      </c>
      <c r="K22" s="45" t="str">
        <f t="shared" si="8"/>
        <v/>
      </c>
      <c r="L22" s="45" t="str">
        <f t="shared" si="3"/>
        <v/>
      </c>
      <c r="M22" s="45" t="str">
        <f t="shared" si="3"/>
        <v/>
      </c>
      <c r="N22" s="45" t="str">
        <f t="shared" si="3"/>
        <v/>
      </c>
      <c r="O22" s="45" t="str">
        <f t="shared" si="3"/>
        <v/>
      </c>
      <c r="P22" s="45" t="str">
        <f t="shared" si="3"/>
        <v/>
      </c>
      <c r="Q22" s="45" t="str">
        <f t="shared" si="3"/>
        <v/>
      </c>
      <c r="R22" s="45" t="str">
        <f t="shared" si="3"/>
        <v/>
      </c>
      <c r="S22" s="45" t="str">
        <f t="shared" si="3"/>
        <v/>
      </c>
      <c r="T22" s="45" t="str">
        <f t="shared" si="3"/>
        <v/>
      </c>
      <c r="U22" s="45" t="str">
        <f t="shared" si="3"/>
        <v/>
      </c>
      <c r="V22" s="45" t="str">
        <f t="shared" si="3"/>
        <v/>
      </c>
      <c r="W22" s="45" t="str">
        <f t="shared" si="3"/>
        <v/>
      </c>
      <c r="X22" s="45" t="str">
        <f t="shared" si="3"/>
        <v/>
      </c>
      <c r="Y22" s="45" t="str">
        <f t="shared" si="3"/>
        <v/>
      </c>
      <c r="Z22" s="45" t="str">
        <f t="shared" si="3"/>
        <v/>
      </c>
      <c r="AA22" s="45" t="str">
        <f t="shared" si="3"/>
        <v/>
      </c>
      <c r="AB22" s="45" t="str">
        <f t="shared" si="4"/>
        <v/>
      </c>
      <c r="AC22" s="45" t="str">
        <f t="shared" si="4"/>
        <v/>
      </c>
      <c r="AD22" s="45" t="str">
        <f t="shared" si="4"/>
        <v/>
      </c>
      <c r="AE22" s="45" t="str">
        <f t="shared" si="4"/>
        <v/>
      </c>
      <c r="AF22" s="45" t="str">
        <f t="shared" si="4"/>
        <v/>
      </c>
      <c r="AG22" s="45" t="str">
        <f t="shared" si="4"/>
        <v/>
      </c>
      <c r="AH22" s="45" t="str">
        <f t="shared" si="4"/>
        <v/>
      </c>
      <c r="AI22" s="45" t="str">
        <f t="shared" si="4"/>
        <v/>
      </c>
      <c r="AJ22" s="45" t="str">
        <f t="shared" si="4"/>
        <v/>
      </c>
      <c r="AK22" s="45" t="str">
        <f t="shared" si="4"/>
        <v/>
      </c>
      <c r="AL22" s="45" t="str">
        <f t="shared" si="4"/>
        <v/>
      </c>
      <c r="AM22" s="45" t="str">
        <f t="shared" si="4"/>
        <v/>
      </c>
      <c r="AN22" s="45" t="str">
        <f t="shared" si="4"/>
        <v/>
      </c>
      <c r="AO22" s="45" t="str">
        <f t="shared" si="4"/>
        <v/>
      </c>
      <c r="AP22" s="45" t="str">
        <f t="shared" si="4"/>
        <v/>
      </c>
      <c r="AQ22" s="45" t="str">
        <f t="shared" si="4"/>
        <v/>
      </c>
      <c r="AR22" s="45" t="str">
        <f t="shared" si="5"/>
        <v/>
      </c>
      <c r="AS22" s="45" t="str">
        <f t="shared" si="5"/>
        <v/>
      </c>
      <c r="AT22" s="45" t="str">
        <f t="shared" si="5"/>
        <v/>
      </c>
      <c r="AU22" s="45" t="str">
        <f t="shared" si="5"/>
        <v/>
      </c>
      <c r="AV22" s="45" t="str">
        <f t="shared" si="5"/>
        <v/>
      </c>
      <c r="AW22" s="45" t="str">
        <f t="shared" si="5"/>
        <v/>
      </c>
      <c r="AX22" s="45" t="str">
        <f t="shared" si="5"/>
        <v/>
      </c>
      <c r="AY22" s="45" t="str">
        <f t="shared" si="5"/>
        <v/>
      </c>
      <c r="AZ22" s="45" t="str">
        <f t="shared" si="5"/>
        <v/>
      </c>
      <c r="BA22" s="45" t="str">
        <f t="shared" si="5"/>
        <v/>
      </c>
      <c r="BB22" s="45" t="str">
        <f t="shared" si="5"/>
        <v/>
      </c>
      <c r="BC22" s="45" t="str">
        <f t="shared" si="5"/>
        <v/>
      </c>
      <c r="BD22" s="45" t="str">
        <f t="shared" si="5"/>
        <v/>
      </c>
      <c r="BE22" s="45" t="str">
        <f t="shared" si="5"/>
        <v/>
      </c>
      <c r="BF22" s="45" t="str">
        <f t="shared" si="5"/>
        <v/>
      </c>
      <c r="BG22" s="45" t="str">
        <f t="shared" si="5"/>
        <v/>
      </c>
      <c r="BH22" s="45" t="str">
        <f t="shared" si="6"/>
        <v/>
      </c>
      <c r="BI22" s="45" t="str">
        <f t="shared" si="6"/>
        <v/>
      </c>
      <c r="BJ22" s="46" t="str">
        <f t="shared" si="6"/>
        <v/>
      </c>
    </row>
    <row r="23" spans="1:62" x14ac:dyDescent="0.35">
      <c r="A23" s="32" t="str">
        <v>Float</v>
      </c>
      <c r="B23" s="27">
        <v>6</v>
      </c>
      <c r="C23" s="40">
        <v>0</v>
      </c>
      <c r="D23" s="44">
        <f t="shared" si="7"/>
        <v>0</v>
      </c>
      <c r="E23" s="33" t="str">
        <v>Wait for Delivery</v>
      </c>
      <c r="F23" s="34" t="str">
        <v>FE</v>
      </c>
      <c r="G23" s="35">
        <v>7</v>
      </c>
      <c r="H23" s="35">
        <v>12</v>
      </c>
      <c r="I23" s="35">
        <v>0</v>
      </c>
      <c r="J23" s="52">
        <v>0</v>
      </c>
      <c r="K23" s="45" t="str">
        <f t="shared" si="8"/>
        <v/>
      </c>
      <c r="L23" s="45" t="str">
        <f t="shared" si="3"/>
        <v/>
      </c>
      <c r="M23" s="45" t="str">
        <f t="shared" si="3"/>
        <v/>
      </c>
      <c r="N23" s="45" t="str">
        <f t="shared" si="3"/>
        <v/>
      </c>
      <c r="O23" s="45" t="str">
        <f t="shared" si="3"/>
        <v/>
      </c>
      <c r="P23" s="45" t="str">
        <f t="shared" si="3"/>
        <v/>
      </c>
      <c r="Q23" s="45" t="str">
        <f t="shared" si="3"/>
        <v/>
      </c>
      <c r="R23" s="45" t="str">
        <f t="shared" si="3"/>
        <v/>
      </c>
      <c r="S23" s="45" t="str">
        <f t="shared" si="3"/>
        <v/>
      </c>
      <c r="T23" s="45" t="str">
        <f t="shared" si="3"/>
        <v/>
      </c>
      <c r="U23" s="45" t="str">
        <f t="shared" si="3"/>
        <v/>
      </c>
      <c r="V23" s="45" t="str">
        <f t="shared" si="3"/>
        <v/>
      </c>
      <c r="W23" s="45" t="str">
        <f t="shared" si="3"/>
        <v/>
      </c>
      <c r="X23" s="45" t="str">
        <f t="shared" si="3"/>
        <v/>
      </c>
      <c r="Y23" s="45" t="str">
        <f t="shared" si="3"/>
        <v/>
      </c>
      <c r="Z23" s="45" t="str">
        <f t="shared" si="3"/>
        <v/>
      </c>
      <c r="AA23" s="45" t="str">
        <f t="shared" ref="AA23:AP25" si="9">IF(AND($D23&gt;0,AA$7=$D23),"●","")</f>
        <v/>
      </c>
      <c r="AB23" s="45" t="str">
        <f t="shared" si="4"/>
        <v/>
      </c>
      <c r="AC23" s="45" t="str">
        <f t="shared" si="4"/>
        <v/>
      </c>
      <c r="AD23" s="45" t="str">
        <f t="shared" si="4"/>
        <v/>
      </c>
      <c r="AE23" s="45" t="str">
        <f t="shared" si="4"/>
        <v/>
      </c>
      <c r="AF23" s="45" t="str">
        <f t="shared" si="4"/>
        <v/>
      </c>
      <c r="AG23" s="45" t="str">
        <f t="shared" si="4"/>
        <v/>
      </c>
      <c r="AH23" s="45" t="str">
        <f t="shared" si="4"/>
        <v/>
      </c>
      <c r="AI23" s="45" t="str">
        <f t="shared" si="4"/>
        <v/>
      </c>
      <c r="AJ23" s="45" t="str">
        <f t="shared" si="4"/>
        <v/>
      </c>
      <c r="AK23" s="45" t="str">
        <f t="shared" si="4"/>
        <v/>
      </c>
      <c r="AL23" s="45" t="str">
        <f t="shared" si="4"/>
        <v/>
      </c>
      <c r="AM23" s="45" t="str">
        <f t="shared" si="4"/>
        <v/>
      </c>
      <c r="AN23" s="45" t="str">
        <f t="shared" si="4"/>
        <v/>
      </c>
      <c r="AO23" s="45" t="str">
        <f t="shared" si="4"/>
        <v/>
      </c>
      <c r="AP23" s="45" t="str">
        <f t="shared" si="4"/>
        <v/>
      </c>
      <c r="AQ23" s="45" t="str">
        <f t="shared" ref="AQ23:BF25" si="10">IF(AND($D23&gt;0,AQ$7=$D23),"●","")</f>
        <v/>
      </c>
      <c r="AR23" s="45" t="str">
        <f t="shared" si="5"/>
        <v/>
      </c>
      <c r="AS23" s="45" t="str">
        <f t="shared" si="5"/>
        <v/>
      </c>
      <c r="AT23" s="45" t="str">
        <f t="shared" si="5"/>
        <v/>
      </c>
      <c r="AU23" s="45" t="str">
        <f t="shared" si="5"/>
        <v/>
      </c>
      <c r="AV23" s="45" t="str">
        <f t="shared" si="5"/>
        <v/>
      </c>
      <c r="AW23" s="45" t="str">
        <f t="shared" si="5"/>
        <v/>
      </c>
      <c r="AX23" s="45" t="str">
        <f t="shared" si="5"/>
        <v/>
      </c>
      <c r="AY23" s="45" t="str">
        <f t="shared" si="5"/>
        <v/>
      </c>
      <c r="AZ23" s="45" t="str">
        <f t="shared" si="5"/>
        <v/>
      </c>
      <c r="BA23" s="45" t="str">
        <f t="shared" si="5"/>
        <v/>
      </c>
      <c r="BB23" s="45" t="str">
        <f t="shared" si="5"/>
        <v/>
      </c>
      <c r="BC23" s="45" t="str">
        <f t="shared" si="5"/>
        <v/>
      </c>
      <c r="BD23" s="45" t="str">
        <f t="shared" si="5"/>
        <v/>
      </c>
      <c r="BE23" s="45" t="str">
        <f t="shared" si="5"/>
        <v/>
      </c>
      <c r="BF23" s="45" t="str">
        <f t="shared" si="5"/>
        <v/>
      </c>
      <c r="BG23" s="45" t="str">
        <f t="shared" ref="BG23:BJ25" si="11">IF(AND($D23&gt;0,BG$7=$D23),"●","")</f>
        <v/>
      </c>
      <c r="BH23" s="45" t="str">
        <f t="shared" si="6"/>
        <v/>
      </c>
      <c r="BI23" s="45" t="str">
        <f t="shared" si="6"/>
        <v/>
      </c>
      <c r="BJ23" s="46" t="str">
        <f t="shared" si="6"/>
        <v/>
      </c>
    </row>
    <row r="24" spans="1:62" x14ac:dyDescent="0.35">
      <c r="A24" s="32" t="str">
        <v>Float</v>
      </c>
      <c r="B24" s="27">
        <v>1</v>
      </c>
      <c r="C24" s="40">
        <v>0</v>
      </c>
      <c r="D24" s="44">
        <f t="shared" si="7"/>
        <v>0</v>
      </c>
      <c r="E24" s="33" t="str">
        <v>Wire down the garden</v>
      </c>
      <c r="F24" s="34" t="str">
        <v>NN</v>
      </c>
      <c r="G24" s="35">
        <v>22</v>
      </c>
      <c r="H24" s="35">
        <v>22</v>
      </c>
      <c r="I24" s="35">
        <v>8</v>
      </c>
      <c r="J24" s="52">
        <v>0</v>
      </c>
      <c r="K24" s="45" t="str">
        <f t="shared" si="8"/>
        <v/>
      </c>
      <c r="L24" s="45" t="str">
        <f t="shared" si="8"/>
        <v/>
      </c>
      <c r="M24" s="45" t="str">
        <f t="shared" si="8"/>
        <v/>
      </c>
      <c r="N24" s="45" t="str">
        <f t="shared" si="8"/>
        <v/>
      </c>
      <c r="O24" s="45" t="str">
        <f t="shared" si="8"/>
        <v/>
      </c>
      <c r="P24" s="45" t="str">
        <f t="shared" si="8"/>
        <v/>
      </c>
      <c r="Q24" s="45" t="str">
        <f t="shared" si="8"/>
        <v/>
      </c>
      <c r="R24" s="45" t="str">
        <f t="shared" si="8"/>
        <v/>
      </c>
      <c r="S24" s="45" t="str">
        <f t="shared" si="8"/>
        <v/>
      </c>
      <c r="T24" s="45" t="str">
        <f t="shared" si="8"/>
        <v/>
      </c>
      <c r="U24" s="45" t="str">
        <f t="shared" si="8"/>
        <v/>
      </c>
      <c r="V24" s="45" t="str">
        <f t="shared" si="8"/>
        <v/>
      </c>
      <c r="W24" s="45" t="str">
        <f t="shared" si="8"/>
        <v/>
      </c>
      <c r="X24" s="45" t="str">
        <f t="shared" si="8"/>
        <v/>
      </c>
      <c r="Y24" s="45" t="str">
        <f t="shared" si="8"/>
        <v/>
      </c>
      <c r="Z24" s="45" t="str">
        <f t="shared" si="8"/>
        <v/>
      </c>
      <c r="AA24" s="45" t="str">
        <f t="shared" si="9"/>
        <v/>
      </c>
      <c r="AB24" s="45" t="str">
        <f t="shared" si="9"/>
        <v/>
      </c>
      <c r="AC24" s="45" t="str">
        <f t="shared" si="9"/>
        <v/>
      </c>
      <c r="AD24" s="45" t="str">
        <f t="shared" si="9"/>
        <v/>
      </c>
      <c r="AE24" s="45" t="str">
        <f t="shared" si="9"/>
        <v/>
      </c>
      <c r="AF24" s="45" t="str">
        <f t="shared" si="9"/>
        <v/>
      </c>
      <c r="AG24" s="45" t="str">
        <f t="shared" si="9"/>
        <v/>
      </c>
      <c r="AH24" s="45" t="str">
        <f t="shared" si="9"/>
        <v/>
      </c>
      <c r="AI24" s="45" t="str">
        <f t="shared" si="9"/>
        <v/>
      </c>
      <c r="AJ24" s="45" t="str">
        <f t="shared" si="9"/>
        <v/>
      </c>
      <c r="AK24" s="45" t="str">
        <f t="shared" si="9"/>
        <v/>
      </c>
      <c r="AL24" s="45" t="str">
        <f t="shared" si="9"/>
        <v/>
      </c>
      <c r="AM24" s="45" t="str">
        <f t="shared" si="9"/>
        <v/>
      </c>
      <c r="AN24" s="45" t="str">
        <f t="shared" si="9"/>
        <v/>
      </c>
      <c r="AO24" s="45" t="str">
        <f t="shared" si="9"/>
        <v/>
      </c>
      <c r="AP24" s="45" t="str">
        <f t="shared" si="9"/>
        <v/>
      </c>
      <c r="AQ24" s="45" t="str">
        <f t="shared" si="10"/>
        <v/>
      </c>
      <c r="AR24" s="45" t="str">
        <f t="shared" si="10"/>
        <v/>
      </c>
      <c r="AS24" s="45" t="str">
        <f t="shared" si="10"/>
        <v/>
      </c>
      <c r="AT24" s="45" t="str">
        <f t="shared" si="10"/>
        <v/>
      </c>
      <c r="AU24" s="45" t="str">
        <f t="shared" si="10"/>
        <v/>
      </c>
      <c r="AV24" s="45" t="str">
        <f t="shared" si="10"/>
        <v/>
      </c>
      <c r="AW24" s="45" t="str">
        <f t="shared" si="10"/>
        <v/>
      </c>
      <c r="AX24" s="45" t="str">
        <f t="shared" si="10"/>
        <v/>
      </c>
      <c r="AY24" s="45" t="str">
        <f t="shared" si="10"/>
        <v/>
      </c>
      <c r="AZ24" s="45" t="str">
        <f t="shared" si="10"/>
        <v/>
      </c>
      <c r="BA24" s="45" t="str">
        <f t="shared" si="10"/>
        <v/>
      </c>
      <c r="BB24" s="45" t="str">
        <f t="shared" si="10"/>
        <v/>
      </c>
      <c r="BC24" s="45" t="str">
        <f t="shared" si="10"/>
        <v/>
      </c>
      <c r="BD24" s="45" t="str">
        <f t="shared" si="10"/>
        <v/>
      </c>
      <c r="BE24" s="45" t="str">
        <f t="shared" si="10"/>
        <v/>
      </c>
      <c r="BF24" s="45" t="str">
        <f t="shared" si="10"/>
        <v/>
      </c>
      <c r="BG24" s="45" t="str">
        <f t="shared" si="11"/>
        <v/>
      </c>
      <c r="BH24" s="45" t="str">
        <f t="shared" si="6"/>
        <v/>
      </c>
      <c r="BI24" s="45" t="str">
        <f t="shared" si="6"/>
        <v/>
      </c>
      <c r="BJ24" s="46" t="str">
        <f t="shared" si="6"/>
        <v/>
      </c>
    </row>
    <row r="25" spans="1:62" x14ac:dyDescent="0.35">
      <c r="A25" s="36" t="str">
        <v>Float</v>
      </c>
      <c r="B25" s="20">
        <v>1</v>
      </c>
      <c r="C25" s="41">
        <v>0</v>
      </c>
      <c r="D25" s="44">
        <f t="shared" si="7"/>
        <v>0</v>
      </c>
      <c r="E25" s="37" t="str">
        <v>Assembly</v>
      </c>
      <c r="F25" s="37" t="str">
        <v>NN</v>
      </c>
      <c r="G25" s="38">
        <v>23</v>
      </c>
      <c r="H25" s="38">
        <v>23</v>
      </c>
      <c r="I25" s="38">
        <v>0</v>
      </c>
      <c r="J25" s="53">
        <v>750</v>
      </c>
      <c r="K25" s="47" t="str">
        <f t="shared" ref="K25:AP25" si="12">IF(AND($D25&gt;0,K$7=$D25),"●","")</f>
        <v/>
      </c>
      <c r="L25" s="47" t="str">
        <f t="shared" si="12"/>
        <v/>
      </c>
      <c r="M25" s="47" t="str">
        <f t="shared" si="12"/>
        <v/>
      </c>
      <c r="N25" s="47" t="str">
        <f t="shared" si="12"/>
        <v/>
      </c>
      <c r="O25" s="47" t="str">
        <f t="shared" si="12"/>
        <v/>
      </c>
      <c r="P25" s="47" t="str">
        <f t="shared" si="12"/>
        <v/>
      </c>
      <c r="Q25" s="47" t="str">
        <f t="shared" si="12"/>
        <v/>
      </c>
      <c r="R25" s="47" t="str">
        <f t="shared" si="12"/>
        <v/>
      </c>
      <c r="S25" s="47" t="str">
        <f t="shared" si="12"/>
        <v/>
      </c>
      <c r="T25" s="47" t="str">
        <f t="shared" si="12"/>
        <v/>
      </c>
      <c r="U25" s="47" t="str">
        <f t="shared" si="12"/>
        <v/>
      </c>
      <c r="V25" s="47" t="str">
        <f t="shared" si="12"/>
        <v/>
      </c>
      <c r="W25" s="47" t="str">
        <f t="shared" si="12"/>
        <v/>
      </c>
      <c r="X25" s="47" t="str">
        <f t="shared" si="12"/>
        <v/>
      </c>
      <c r="Y25" s="47" t="str">
        <f t="shared" si="12"/>
        <v/>
      </c>
      <c r="Z25" s="47" t="str">
        <f t="shared" si="12"/>
        <v/>
      </c>
      <c r="AA25" s="47" t="str">
        <f t="shared" si="9"/>
        <v/>
      </c>
      <c r="AB25" s="47" t="str">
        <f t="shared" si="9"/>
        <v/>
      </c>
      <c r="AC25" s="47" t="str">
        <f t="shared" si="9"/>
        <v/>
      </c>
      <c r="AD25" s="47" t="str">
        <f t="shared" si="9"/>
        <v/>
      </c>
      <c r="AE25" s="47" t="str">
        <f t="shared" si="9"/>
        <v/>
      </c>
      <c r="AF25" s="47" t="str">
        <f t="shared" si="9"/>
        <v/>
      </c>
      <c r="AG25" s="47" t="str">
        <f t="shared" si="9"/>
        <v/>
      </c>
      <c r="AH25" s="47" t="str">
        <f t="shared" si="9"/>
        <v/>
      </c>
      <c r="AI25" s="47" t="str">
        <f t="shared" si="9"/>
        <v/>
      </c>
      <c r="AJ25" s="47" t="str">
        <f t="shared" si="9"/>
        <v/>
      </c>
      <c r="AK25" s="47" t="str">
        <f t="shared" si="9"/>
        <v/>
      </c>
      <c r="AL25" s="47" t="str">
        <f t="shared" si="9"/>
        <v/>
      </c>
      <c r="AM25" s="47" t="str">
        <f t="shared" si="9"/>
        <v/>
      </c>
      <c r="AN25" s="47" t="str">
        <f t="shared" si="9"/>
        <v/>
      </c>
      <c r="AO25" s="47" t="str">
        <f t="shared" si="9"/>
        <v/>
      </c>
      <c r="AP25" s="47" t="str">
        <f t="shared" si="9"/>
        <v/>
      </c>
      <c r="AQ25" s="47" t="str">
        <f t="shared" si="10"/>
        <v/>
      </c>
      <c r="AR25" s="47" t="str">
        <f t="shared" si="10"/>
        <v/>
      </c>
      <c r="AS25" s="47" t="str">
        <f t="shared" si="10"/>
        <v/>
      </c>
      <c r="AT25" s="47" t="str">
        <f t="shared" si="10"/>
        <v/>
      </c>
      <c r="AU25" s="47" t="str">
        <f t="shared" si="10"/>
        <v/>
      </c>
      <c r="AV25" s="47" t="str">
        <f t="shared" si="10"/>
        <v/>
      </c>
      <c r="AW25" s="47" t="str">
        <f t="shared" si="10"/>
        <v/>
      </c>
      <c r="AX25" s="47" t="str">
        <f t="shared" si="10"/>
        <v/>
      </c>
      <c r="AY25" s="47" t="str">
        <f t="shared" si="10"/>
        <v/>
      </c>
      <c r="AZ25" s="47" t="str">
        <f t="shared" si="10"/>
        <v/>
      </c>
      <c r="BA25" s="47" t="str">
        <f t="shared" si="10"/>
        <v/>
      </c>
      <c r="BB25" s="47" t="str">
        <f t="shared" si="10"/>
        <v/>
      </c>
      <c r="BC25" s="47" t="str">
        <f t="shared" si="10"/>
        <v/>
      </c>
      <c r="BD25" s="47" t="str">
        <f t="shared" si="10"/>
        <v/>
      </c>
      <c r="BE25" s="47" t="str">
        <f t="shared" si="10"/>
        <v/>
      </c>
      <c r="BF25" s="47" t="str">
        <f t="shared" si="10"/>
        <v/>
      </c>
      <c r="BG25" s="47" t="str">
        <f t="shared" si="11"/>
        <v/>
      </c>
      <c r="BH25" s="47" t="str">
        <f t="shared" si="6"/>
        <v/>
      </c>
      <c r="BI25" s="47" t="str">
        <f t="shared" si="6"/>
        <v/>
      </c>
      <c r="BJ25" s="48" t="str">
        <f t="shared" si="6"/>
        <v/>
      </c>
    </row>
    <row r="26" spans="1:62" x14ac:dyDescent="0.35">
      <c r="A26" s="32"/>
      <c r="B26" s="27"/>
      <c r="C26" s="27"/>
      <c r="D26" s="27"/>
      <c r="E26" s="49" t="s">
        <v>124</v>
      </c>
      <c r="F26" s="34"/>
      <c r="G26" s="34"/>
      <c r="H26" s="34"/>
      <c r="I26" s="34"/>
      <c r="J26" s="34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39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</row>
    <row r="27" spans="1:62" x14ac:dyDescent="0.35">
      <c r="A27" s="32"/>
      <c r="B27" s="27"/>
      <c r="C27" s="27"/>
      <c r="D27" s="27"/>
      <c r="F27" s="34"/>
      <c r="G27" s="34"/>
      <c r="H27" s="34"/>
      <c r="I27" s="34"/>
      <c r="J27" s="34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</row>
  </sheetData>
  <mergeCells count="3">
    <mergeCell ref="A3:B5"/>
    <mergeCell ref="H3:I3"/>
    <mergeCell ref="H4:I4"/>
  </mergeCells>
  <conditionalFormatting sqref="K6:BJ25">
    <cfRule type="expression" dxfId="11" priority="4">
      <formula>K$6=$G$4</formula>
    </cfRule>
  </conditionalFormatting>
  <conditionalFormatting sqref="K8:BJ25">
    <cfRule type="expression" dxfId="10" priority="5">
      <formula>AND($A8="Yes",ISNUMBER($G8),$B8&gt;0,K$7&gt;=$G8,K$7&lt;$G8+$B8)</formula>
    </cfRule>
    <cfRule type="expression" dxfId="9" priority="6">
      <formula>AND($A8&lt;&gt;"Yes",ISNUMBER($G8),$B8&gt;0,K$7&gt;=$G8,K$7&lt;$G8+$B8)</formula>
    </cfRule>
    <cfRule type="expression" dxfId="8" priority="7">
      <formula>AND(ISNUMBER($G8),$B8=0,K$7=$G8)</formula>
    </cfRule>
  </conditionalFormatting>
  <conditionalFormatting sqref="K5:BJ25">
    <cfRule type="expression" dxfId="7" priority="3">
      <formula>K$7=$G$6</formula>
    </cfRule>
  </conditionalFormatting>
  <conditionalFormatting sqref="C8:C25">
    <cfRule type="colorScale" priority="1">
      <colorScale>
        <cfvo type="min"/>
        <cfvo type="percentile" val="50"/>
        <cfvo type="max"/>
        <color rgb="FFFEE2E3"/>
        <color rgb="FFFFFFCC"/>
        <color theme="9" tint="0.79998168889431442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87A52-7CF1-4499-8993-DA6CFAA8E874}">
  <dimension ref="A1:C1"/>
  <sheetViews>
    <sheetView tabSelected="1" workbookViewId="0">
      <selection activeCell="A2" sqref="A2"/>
    </sheetView>
  </sheetViews>
  <sheetFormatPr defaultRowHeight="14.5" x14ac:dyDescent="0.35"/>
  <sheetData>
    <row r="1" spans="1:3" x14ac:dyDescent="0.35">
      <c r="A1" t="s">
        <v>29</v>
      </c>
      <c r="B1" t="s">
        <v>133</v>
      </c>
      <c r="C1" t="s">
        <v>134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3443F8-470D-4587-BBD5-DBA103B736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Init</vt:lpstr>
      <vt:lpstr>tblTaskList</vt:lpstr>
      <vt:lpstr>Gantt-frame</vt:lpstr>
      <vt:lpstr>EVM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Ellingsen</dc:creator>
  <cp:lastModifiedBy>Frank Ellingsen</cp:lastModifiedBy>
  <dcterms:created xsi:type="dcterms:W3CDTF">2026-08-05T12:33:58Z</dcterms:created>
  <dcterms:modified xsi:type="dcterms:W3CDTF">2026-08-06T15:22:41Z</dcterms:modified>
</cp:coreProperties>
</file>