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frank\Desktop\Project Mng\"/>
    </mc:Choice>
  </mc:AlternateContent>
  <xr:revisionPtr revIDLastSave="0" documentId="13_ncr:1_{E951B7E0-AD89-4EE3-B39A-DA86FB324B10}" xr6:coauthVersionLast="47" xr6:coauthVersionMax="47" xr10:uidLastSave="{00000000-0000-0000-0000-000000000000}"/>
  <bookViews>
    <workbookView xWindow="0" yWindow="240" windowWidth="19360" windowHeight="10480" firstSheet="2" activeTab="2" xr2:uid="{79640705-5E62-4082-BDB0-733FD396CD49}"/>
  </bookViews>
  <sheets>
    <sheet name="Overview" sheetId="2" r:id="rId1"/>
    <sheet name="1. Define Project" sheetId="3" r:id="rId2"/>
    <sheet name="2. List Tasks" sheetId="4" r:id="rId3"/>
    <sheet name="Swimlane" sheetId="5" r:id="rId4"/>
    <sheet name="3. Dependencies" sheetId="6" r:id="rId5"/>
    <sheet name="Sheet7" sheetId="7" r:id="rId6"/>
    <sheet name="Sheet8" sheetId="8" r:id="rId7"/>
    <sheet name="Sheet9" sheetId="9" r:id="rId8"/>
    <sheet name="Sheet10" sheetId="10" r:id="rId9"/>
    <sheet name="Sheet11" sheetId="11" r:id="rId10"/>
    <sheet name="Sheet12" sheetId="12" r:id="rId11"/>
    <sheet name="Sheet13" sheetId="13" r:id="rId12"/>
  </sheets>
  <calcPr calcId="191029"/>
  <pivotCaches>
    <pivotCache cacheId="11"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6" i="6" l="1" a="1"/>
  <c r="G36" i="6" s="1"/>
  <c r="F36" i="6" a="1"/>
  <c r="F36" i="6" s="1"/>
  <c r="E36" i="6" a="1"/>
  <c r="E36" i="6" s="1"/>
  <c r="D36" i="6" a="1"/>
  <c r="D36" i="6" s="1"/>
  <c r="C36" i="6" a="1"/>
  <c r="C36" i="6" s="1"/>
  <c r="B36" i="6" a="1"/>
  <c r="B36" i="6" s="1"/>
  <c r="G35" i="6" a="1"/>
  <c r="G35" i="6" s="1"/>
  <c r="F35" i="6" a="1"/>
  <c r="F35" i="6" s="1"/>
  <c r="E35" i="6" a="1"/>
  <c r="E35" i="6" s="1"/>
  <c r="D35" i="6" a="1"/>
  <c r="D35" i="6" s="1"/>
  <c r="C35" i="6" a="1"/>
  <c r="C35" i="6" s="1"/>
  <c r="B35" i="6" a="1"/>
  <c r="B35" i="6" s="1"/>
  <c r="G34" i="6" a="1"/>
  <c r="G34" i="6" s="1"/>
  <c r="F34" i="6" a="1"/>
  <c r="F34" i="6" s="1"/>
  <c r="E34" i="6" a="1"/>
  <c r="E34" i="6"/>
  <c r="D34" i="6" a="1"/>
  <c r="D34" i="6"/>
  <c r="C34" i="6" a="1"/>
  <c r="C34" i="6" s="1"/>
  <c r="B34" i="6" a="1"/>
  <c r="B34" i="6" s="1"/>
  <c r="G33" i="6" a="1"/>
  <c r="G33" i="6" s="1"/>
  <c r="F33" i="6" a="1"/>
  <c r="F33" i="6" s="1"/>
  <c r="E33" i="6" a="1"/>
  <c r="E33" i="6" s="1"/>
  <c r="D33" i="6" a="1"/>
  <c r="D33" i="6" s="1"/>
  <c r="C33" i="6" a="1"/>
  <c r="C33" i="6" s="1"/>
  <c r="B33" i="6" a="1"/>
  <c r="B33" i="6" s="1"/>
  <c r="G32" i="6" a="1"/>
  <c r="G32" i="6" s="1"/>
  <c r="F32" i="6" a="1"/>
  <c r="F32" i="6" s="1"/>
  <c r="E32" i="6" a="1"/>
  <c r="E32" i="6"/>
  <c r="D32" i="6" a="1"/>
  <c r="D32" i="6"/>
  <c r="C32" i="6" a="1"/>
  <c r="C32" i="6"/>
  <c r="B32" i="6" a="1"/>
  <c r="B32" i="6"/>
  <c r="G31" i="6" a="1"/>
  <c r="G31" i="6"/>
  <c r="F31" i="6" a="1"/>
  <c r="F31" i="6"/>
  <c r="E31" i="6" a="1"/>
  <c r="E31" i="6"/>
  <c r="D31" i="6" a="1"/>
  <c r="D31" i="6" s="1"/>
  <c r="C31" i="6" a="1"/>
  <c r="C31" i="6" s="1"/>
  <c r="B31" i="6" a="1"/>
  <c r="B31" i="6" s="1"/>
  <c r="M42" i="6"/>
  <c r="M43" i="6"/>
  <c r="M44" i="6"/>
  <c r="M45" i="6"/>
  <c r="M46" i="6"/>
  <c r="M47" i="6"/>
  <c r="M48" i="6"/>
  <c r="M49" i="6"/>
  <c r="M50" i="6"/>
  <c r="M51" i="6"/>
  <c r="M52" i="6"/>
  <c r="M53" i="6"/>
  <c r="M54" i="6"/>
  <c r="M55" i="6"/>
  <c r="M56" i="6"/>
  <c r="M57" i="6"/>
  <c r="M58" i="6"/>
  <c r="M59" i="6"/>
  <c r="M60" i="6"/>
  <c r="M61" i="6"/>
  <c r="M62" i="6"/>
  <c r="M63" i="6"/>
  <c r="M64" i="6"/>
  <c r="M65" i="6"/>
  <c r="M66" i="6"/>
  <c r="M67" i="6"/>
  <c r="L42" i="6"/>
  <c r="L43" i="6"/>
  <c r="L44" i="6"/>
  <c r="L45" i="6"/>
  <c r="L46" i="6"/>
  <c r="L47" i="6"/>
  <c r="L48" i="6"/>
  <c r="L49" i="6"/>
  <c r="L50" i="6"/>
  <c r="L51" i="6"/>
  <c r="L52" i="6"/>
  <c r="L53" i="6"/>
  <c r="L54" i="6"/>
  <c r="L55" i="6"/>
  <c r="L56" i="6"/>
  <c r="L57" i="6"/>
  <c r="L58" i="6"/>
  <c r="L59" i="6"/>
  <c r="L60" i="6"/>
  <c r="L61" i="6"/>
  <c r="L62" i="6"/>
  <c r="L63" i="6"/>
  <c r="L64" i="6"/>
  <c r="L65" i="6"/>
  <c r="L66" i="6"/>
  <c r="L67" i="6"/>
  <c r="K44" i="6"/>
  <c r="K46" i="6"/>
  <c r="K47" i="6"/>
  <c r="K50" i="6"/>
  <c r="K51" i="6"/>
  <c r="J54" i="6" s="1"/>
  <c r="K54" i="6" s="1"/>
  <c r="J55" i="6" s="1"/>
  <c r="K55" i="6" s="1"/>
  <c r="K52" i="6"/>
  <c r="K63" i="6"/>
  <c r="J42" i="6"/>
  <c r="K42" i="6" s="1"/>
  <c r="J43" i="6" s="1"/>
  <c r="K43" i="6" s="1"/>
  <c r="J44" i="6"/>
  <c r="J45" i="6"/>
  <c r="K45" i="6" s="1"/>
  <c r="J46" i="6"/>
  <c r="J47" i="6"/>
  <c r="J48" i="6"/>
  <c r="K48" i="6" s="1"/>
  <c r="J49" i="6"/>
  <c r="K49" i="6" s="1"/>
  <c r="J50" i="6"/>
  <c r="J51" i="6"/>
  <c r="J52" i="6"/>
  <c r="J53" i="6"/>
  <c r="K53" i="6" s="1"/>
  <c r="J56" i="6"/>
  <c r="K56" i="6" s="1"/>
  <c r="J57" i="6"/>
  <c r="K57" i="6" s="1"/>
  <c r="J58" i="6" s="1"/>
  <c r="K58" i="6" s="1"/>
  <c r="J59" i="6" s="1"/>
  <c r="K59" i="6" s="1"/>
  <c r="J60" i="6" s="1"/>
  <c r="K60" i="6" s="1"/>
  <c r="J61" i="6" s="1"/>
  <c r="K61" i="6" s="1"/>
  <c r="J62" i="6" s="1"/>
  <c r="K62" i="6" s="1"/>
  <c r="J65" i="6" s="1"/>
  <c r="K65" i="6" s="1"/>
  <c r="J66" i="6" s="1"/>
  <c r="K66" i="6" s="1"/>
  <c r="J67" i="6" s="1"/>
  <c r="K67" i="6" s="1"/>
  <c r="J63" i="6"/>
  <c r="J64" i="6"/>
  <c r="K64" i="6" s="1"/>
  <c r="I42" i="6"/>
  <c r="I43" i="6"/>
  <c r="I44" i="6"/>
  <c r="I45" i="6"/>
  <c r="I46" i="6"/>
  <c r="I47" i="6"/>
  <c r="I48" i="6"/>
  <c r="I49" i="6"/>
  <c r="I50" i="6"/>
  <c r="I51" i="6"/>
  <c r="I52" i="6"/>
  <c r="I53" i="6"/>
  <c r="I54" i="6"/>
  <c r="I55" i="6" s="1"/>
  <c r="I56" i="6"/>
  <c r="I57" i="6"/>
  <c r="I58" i="6"/>
  <c r="I59" i="6"/>
  <c r="I60" i="6" s="1"/>
  <c r="I61" i="6" s="1"/>
  <c r="I62" i="6" s="1"/>
  <c r="I65" i="6" s="1"/>
  <c r="I66" i="6" s="1"/>
  <c r="I67" i="6" s="1"/>
  <c r="I63" i="6"/>
  <c r="I64" i="6"/>
  <c r="K10" i="4"/>
  <c r="K11" i="4"/>
  <c r="K12" i="4"/>
  <c r="K13" i="4"/>
  <c r="K14" i="4"/>
  <c r="K15" i="4"/>
  <c r="K16" i="4"/>
  <c r="K17" i="4"/>
  <c r="K19" i="4"/>
  <c r="K20" i="4"/>
  <c r="K21" i="4"/>
  <c r="K22" i="4"/>
  <c r="K23" i="4"/>
  <c r="K24" i="4"/>
  <c r="K25" i="4"/>
  <c r="K26" i="4"/>
  <c r="K27" i="4"/>
  <c r="K28" i="4"/>
  <c r="K30" i="4"/>
  <c r="K31" i="4"/>
  <c r="K32" i="4"/>
  <c r="K33" i="4"/>
  <c r="K35" i="4"/>
  <c r="K36" i="4"/>
  <c r="K37" i="4"/>
  <c r="K38" i="4"/>
  <c r="K39" i="4"/>
  <c r="K41" i="4"/>
  <c r="K42" i="4"/>
  <c r="K43" i="4"/>
  <c r="I18" i="4"/>
  <c r="I34" i="4"/>
  <c r="I40" i="4"/>
  <c r="I29" i="4"/>
  <c r="I9" i="4"/>
  <c r="I12" i="4"/>
  <c r="D8" i="5" a="1"/>
  <c r="D8" i="5" s="1"/>
  <c r="D9" i="5" a="1"/>
  <c r="D9" i="5" s="1"/>
  <c r="D10" i="5" a="1"/>
  <c r="D10" i="5" s="1"/>
  <c r="D11" i="5" a="1"/>
  <c r="D11" i="5" s="1"/>
  <c r="D12" i="5" a="1"/>
  <c r="D12" i="5" s="1"/>
  <c r="D13" i="5" a="1"/>
  <c r="D13" i="5" s="1"/>
  <c r="D14" i="5" a="1"/>
  <c r="D14" i="5" s="1"/>
  <c r="D15" i="5" a="1"/>
  <c r="D15" i="5" s="1"/>
  <c r="D16" i="5" a="1"/>
  <c r="D16" i="5" s="1"/>
  <c r="D17" i="5" a="1"/>
  <c r="D17" i="5" s="1"/>
  <c r="D18" i="5" a="1"/>
  <c r="D18" i="5" s="1"/>
  <c r="D19" i="5" a="1"/>
  <c r="D19" i="5" s="1"/>
  <c r="D20" i="5" a="1"/>
  <c r="D20" i="5" s="1"/>
  <c r="D21" i="5" a="1"/>
  <c r="D21" i="5" s="1"/>
  <c r="D22" i="5" a="1"/>
  <c r="D22" i="5" s="1"/>
  <c r="D23" i="5" a="1"/>
  <c r="D23" i="5" s="1"/>
  <c r="D24" i="5" a="1"/>
  <c r="D24" i="5" s="1"/>
  <c r="D25" i="5" a="1"/>
  <c r="D25" i="5" s="1"/>
  <c r="D26" i="5" a="1"/>
  <c r="D26" i="5" s="1"/>
  <c r="D27" i="5" a="1"/>
  <c r="D27" i="5" s="1"/>
  <c r="D28" i="5" a="1"/>
  <c r="D28" i="5" s="1"/>
  <c r="D29" i="5" a="1"/>
  <c r="D29" i="5" s="1"/>
  <c r="D30" i="5" a="1"/>
  <c r="D30" i="5" s="1"/>
  <c r="D31" i="5" a="1"/>
  <c r="D31" i="5" s="1"/>
  <c r="D32" i="5" a="1"/>
  <c r="D32" i="5" s="1"/>
  <c r="D33" i="5" a="1"/>
  <c r="D33" i="5" s="1"/>
  <c r="D34" i="5" a="1"/>
  <c r="D34" i="5" s="1"/>
  <c r="D35" i="5" a="1"/>
  <c r="D35" i="5" s="1"/>
  <c r="D36" i="5" a="1"/>
  <c r="D36" i="5" s="1"/>
  <c r="D37" i="5" a="1"/>
  <c r="D37" i="5" s="1"/>
  <c r="D38" i="5" a="1"/>
  <c r="D38" i="5" s="1"/>
  <c r="D39" i="5" a="1"/>
  <c r="D39" i="5" s="1"/>
  <c r="D40" i="5" a="1"/>
  <c r="D40" i="5" s="1"/>
  <c r="D41" i="5" a="1"/>
  <c r="D41" i="5" s="1"/>
  <c r="D42" i="5" a="1"/>
  <c r="D42" i="5" s="1"/>
  <c r="D43" i="5" a="1"/>
  <c r="D43" i="5" s="1"/>
  <c r="D44" i="5" a="1"/>
  <c r="D44" i="5" s="1"/>
  <c r="D45" i="5" a="1"/>
  <c r="D45" i="5" s="1"/>
  <c r="D46" i="5" a="1"/>
  <c r="D46" i="5" s="1"/>
  <c r="D47" i="5" a="1"/>
  <c r="D47" i="5" s="1"/>
  <c r="D48" i="5" a="1"/>
  <c r="D48" i="5" s="1"/>
  <c r="D49" i="5" a="1"/>
  <c r="D49" i="5" s="1"/>
  <c r="D50" i="5" a="1"/>
  <c r="D50" i="5" s="1"/>
  <c r="D51" i="5" a="1"/>
  <c r="D51" i="5" s="1"/>
  <c r="D52" i="5" a="1"/>
  <c r="D52" i="5" s="1"/>
  <c r="D53" i="5" a="1"/>
  <c r="D53" i="5" s="1"/>
  <c r="D54" i="5" a="1"/>
  <c r="D54" i="5" s="1"/>
  <c r="D55" i="5" a="1"/>
  <c r="D55" i="5" s="1"/>
  <c r="D56" i="5" a="1"/>
  <c r="D56" i="5" s="1"/>
  <c r="D57" i="5" a="1"/>
  <c r="D57" i="5" s="1"/>
  <c r="D58" i="5" a="1"/>
  <c r="D58" i="5" s="1"/>
  <c r="D59" i="5" a="1"/>
  <c r="D59" i="5" s="1"/>
  <c r="D60" i="5" a="1"/>
  <c r="D60" i="5" s="1"/>
  <c r="D61" i="5" a="1"/>
  <c r="D61" i="5" s="1"/>
  <c r="D62" i="5" a="1"/>
  <c r="D62" i="5" s="1"/>
  <c r="D63" i="5" a="1"/>
  <c r="D63" i="5" s="1"/>
  <c r="D64" i="5" a="1"/>
  <c r="D64" i="5" s="1"/>
  <c r="D65" i="5" a="1"/>
  <c r="D65" i="5" s="1"/>
  <c r="D66" i="5" a="1"/>
  <c r="D66" i="5" s="1"/>
  <c r="D67" i="5" a="1"/>
  <c r="D67" i="5" s="1"/>
  <c r="D68" i="5" a="1"/>
  <c r="D68" i="5" s="1"/>
  <c r="D69" i="5" a="1"/>
  <c r="D69" i="5" s="1"/>
  <c r="D70" i="5" a="1"/>
  <c r="D70" i="5" s="1"/>
  <c r="D71" i="5" a="1"/>
  <c r="D71" i="5" s="1"/>
  <c r="D72" i="5" a="1"/>
  <c r="D72" i="5" s="1"/>
  <c r="D73" i="5" a="1"/>
  <c r="D73" i="5" s="1"/>
  <c r="D74" i="5" a="1"/>
  <c r="D74" i="5" s="1"/>
  <c r="D75" i="5" a="1"/>
  <c r="D75" i="5" s="1"/>
  <c r="D76" i="5" a="1"/>
  <c r="D76" i="5" s="1"/>
  <c r="D77" i="5" a="1"/>
  <c r="D77" i="5" s="1"/>
  <c r="D78" i="5" a="1"/>
  <c r="D78" i="5" s="1"/>
  <c r="D79" i="5" a="1"/>
  <c r="D79" i="5" s="1"/>
  <c r="D80" i="5" a="1"/>
  <c r="D80" i="5" s="1"/>
  <c r="D81" i="5" a="1"/>
  <c r="D81" i="5" s="1"/>
  <c r="D82" i="5" a="1"/>
  <c r="D82" i="5" s="1"/>
  <c r="D83" i="5" a="1"/>
  <c r="D83" i="5" s="1"/>
  <c r="D84" i="5" a="1"/>
  <c r="D84" i="5" s="1"/>
  <c r="D85" i="5" a="1"/>
  <c r="D85" i="5" s="1"/>
  <c r="D86" i="5" a="1"/>
  <c r="D86" i="5" s="1"/>
  <c r="D87" i="5" a="1"/>
  <c r="D87" i="5" s="1"/>
  <c r="D88" i="5" a="1"/>
  <c r="D88" i="5" s="1"/>
  <c r="D89" i="5" a="1"/>
  <c r="D89" i="5" s="1"/>
  <c r="D90" i="5" a="1"/>
  <c r="D90" i="5" s="1"/>
  <c r="D91" i="5" a="1"/>
  <c r="D91" i="5" s="1"/>
  <c r="D92" i="5" a="1"/>
  <c r="D92" i="5" s="1"/>
  <c r="D93" i="5" a="1"/>
  <c r="D93" i="5" s="1"/>
  <c r="D94" i="5" a="1"/>
  <c r="D94" i="5" s="1"/>
  <c r="D95" i="5" a="1"/>
  <c r="D95" i="5" s="1"/>
  <c r="D96" i="5" a="1"/>
  <c r="D96" i="5" s="1"/>
  <c r="D97" i="5" a="1"/>
  <c r="D97" i="5" s="1"/>
  <c r="D98" i="5" a="1"/>
  <c r="D98" i="5" s="1"/>
  <c r="D99" i="5" a="1"/>
  <c r="D99" i="5" s="1"/>
  <c r="D100" i="5" a="1"/>
  <c r="D100" i="5" s="1"/>
  <c r="D101" i="5" a="1"/>
  <c r="D101" i="5" s="1"/>
  <c r="D102" i="5" a="1"/>
  <c r="D102" i="5" s="1"/>
  <c r="D103" i="5" a="1"/>
  <c r="D103" i="5" s="1"/>
  <c r="D104" i="5" a="1"/>
  <c r="D104" i="5" s="1"/>
  <c r="D105" i="5" a="1"/>
  <c r="D105" i="5" s="1"/>
  <c r="D106" i="5" a="1"/>
  <c r="D106" i="5" s="1"/>
  <c r="D107" i="5" a="1"/>
  <c r="D107" i="5" s="1"/>
  <c r="A8" i="5" a="1"/>
  <c r="A8" i="5" s="1"/>
  <c r="B8" i="5" a="1"/>
  <c r="B8" i="5" s="1"/>
  <c r="C8" i="5" a="1"/>
  <c r="C8" i="5" s="1"/>
  <c r="A9" i="5" a="1"/>
  <c r="A9" i="5" s="1"/>
  <c r="B9" i="5" a="1"/>
  <c r="B9" i="5" s="1"/>
  <c r="C9" i="5" a="1"/>
  <c r="C9" i="5" s="1"/>
  <c r="A10" i="5" a="1"/>
  <c r="A10" i="5" s="1"/>
  <c r="B10" i="5" a="1"/>
  <c r="B10" i="5" s="1"/>
  <c r="C10" i="5" a="1"/>
  <c r="C10" i="5" s="1"/>
  <c r="A11" i="5" a="1"/>
  <c r="A11" i="5" s="1"/>
  <c r="B11" i="5" a="1"/>
  <c r="B11" i="5" s="1"/>
  <c r="C11" i="5" a="1"/>
  <c r="C11" i="5" s="1"/>
  <c r="A12" i="5" a="1"/>
  <c r="A12" i="5" s="1"/>
  <c r="B12" i="5" a="1"/>
  <c r="B12" i="5" s="1"/>
  <c r="C12" i="5" a="1"/>
  <c r="C12" i="5" s="1"/>
  <c r="A13" i="5" a="1"/>
  <c r="A13" i="5" s="1"/>
  <c r="B13" i="5" a="1"/>
  <c r="B13" i="5" s="1"/>
  <c r="C13" i="5" a="1"/>
  <c r="C13" i="5" s="1"/>
  <c r="A14" i="5" a="1"/>
  <c r="A14" i="5" s="1"/>
  <c r="B14" i="5" a="1"/>
  <c r="B14" i="5" s="1"/>
  <c r="C14" i="5" a="1"/>
  <c r="C14" i="5" s="1"/>
  <c r="A15" i="5" a="1"/>
  <c r="A15" i="5" s="1"/>
  <c r="B15" i="5" a="1"/>
  <c r="B15" i="5" s="1"/>
  <c r="C15" i="5" a="1"/>
  <c r="C15" i="5" s="1"/>
  <c r="A16" i="5" a="1"/>
  <c r="A16" i="5" s="1"/>
  <c r="B16" i="5" a="1"/>
  <c r="B16" i="5" s="1"/>
  <c r="C16" i="5" a="1"/>
  <c r="C16" i="5" s="1"/>
  <c r="A17" i="5" a="1"/>
  <c r="A17" i="5" s="1"/>
  <c r="B17" i="5" a="1"/>
  <c r="B17" i="5" s="1"/>
  <c r="C17" i="5" a="1"/>
  <c r="C17" i="5" s="1"/>
  <c r="A18" i="5" a="1"/>
  <c r="A18" i="5" s="1"/>
  <c r="B18" i="5" a="1"/>
  <c r="B18" i="5" s="1"/>
  <c r="C18" i="5" a="1"/>
  <c r="C18" i="5" s="1"/>
  <c r="A19" i="5" a="1"/>
  <c r="A19" i="5" s="1"/>
  <c r="B19" i="5" a="1"/>
  <c r="B19" i="5" s="1"/>
  <c r="C19" i="5" a="1"/>
  <c r="C19" i="5" s="1"/>
  <c r="A20" i="5" a="1"/>
  <c r="A20" i="5" s="1"/>
  <c r="B20" i="5" a="1"/>
  <c r="B20" i="5" s="1"/>
  <c r="C20" i="5" a="1"/>
  <c r="C20" i="5" s="1"/>
  <c r="A21" i="5" a="1"/>
  <c r="A21" i="5" s="1"/>
  <c r="B21" i="5" a="1"/>
  <c r="B21" i="5" s="1"/>
  <c r="C21" i="5" a="1"/>
  <c r="C21" i="5" s="1"/>
  <c r="A22" i="5" a="1"/>
  <c r="A22" i="5" s="1"/>
  <c r="B22" i="5" a="1"/>
  <c r="B22" i="5" s="1"/>
  <c r="C22" i="5" a="1"/>
  <c r="C22" i="5" s="1"/>
  <c r="A23" i="5" a="1"/>
  <c r="A23" i="5" s="1"/>
  <c r="B23" i="5" a="1"/>
  <c r="B23" i="5" s="1"/>
  <c r="C23" i="5" a="1"/>
  <c r="C23" i="5" s="1"/>
  <c r="A24" i="5" a="1"/>
  <c r="A24" i="5" s="1"/>
  <c r="B24" i="5" a="1"/>
  <c r="B24" i="5" s="1"/>
  <c r="C24" i="5" a="1"/>
  <c r="C24" i="5" s="1"/>
  <c r="A25" i="5" a="1"/>
  <c r="A25" i="5" s="1"/>
  <c r="B25" i="5" a="1"/>
  <c r="B25" i="5" s="1"/>
  <c r="C25" i="5" a="1"/>
  <c r="C25" i="5" s="1"/>
  <c r="A26" i="5" a="1"/>
  <c r="A26" i="5" s="1"/>
  <c r="B26" i="5" a="1"/>
  <c r="B26" i="5" s="1"/>
  <c r="C26" i="5" a="1"/>
  <c r="C26" i="5" s="1"/>
  <c r="A27" i="5" a="1"/>
  <c r="A27" i="5" s="1"/>
  <c r="B27" i="5" a="1"/>
  <c r="B27" i="5" s="1"/>
  <c r="C27" i="5" a="1"/>
  <c r="C27" i="5" s="1"/>
  <c r="A28" i="5" a="1"/>
  <c r="A28" i="5" s="1"/>
  <c r="B28" i="5" a="1"/>
  <c r="B28" i="5" s="1"/>
  <c r="C28" i="5" a="1"/>
  <c r="C28" i="5" s="1"/>
  <c r="A29" i="5" a="1"/>
  <c r="A29" i="5" s="1"/>
  <c r="B29" i="5" a="1"/>
  <c r="B29" i="5" s="1"/>
  <c r="C29" i="5" a="1"/>
  <c r="C29" i="5" s="1"/>
  <c r="A30" i="5" a="1"/>
  <c r="A30" i="5" s="1"/>
  <c r="B30" i="5" a="1"/>
  <c r="B30" i="5" s="1"/>
  <c r="C30" i="5" a="1"/>
  <c r="C30" i="5" s="1"/>
  <c r="A31" i="5" a="1"/>
  <c r="A31" i="5" s="1"/>
  <c r="B31" i="5" a="1"/>
  <c r="B31" i="5" s="1"/>
  <c r="C31" i="5" a="1"/>
  <c r="C31" i="5" s="1"/>
  <c r="A32" i="5" a="1"/>
  <c r="A32" i="5" s="1"/>
  <c r="B32" i="5" a="1"/>
  <c r="B32" i="5" s="1"/>
  <c r="C32" i="5" a="1"/>
  <c r="C32" i="5" s="1"/>
  <c r="A33" i="5" a="1"/>
  <c r="A33" i="5" s="1"/>
  <c r="B33" i="5" a="1"/>
  <c r="B33" i="5" s="1"/>
  <c r="C33" i="5" a="1"/>
  <c r="C33" i="5" s="1"/>
  <c r="A34" i="5" a="1"/>
  <c r="A34" i="5" s="1"/>
  <c r="AD34" i="5" s="1"/>
  <c r="B34" i="5" a="1"/>
  <c r="B34" i="5" s="1"/>
  <c r="C34" i="5" a="1"/>
  <c r="C34" i="5" s="1"/>
  <c r="A35" i="5" a="1"/>
  <c r="A35" i="5" s="1"/>
  <c r="AC35" i="5" s="1"/>
  <c r="B35" i="5" a="1"/>
  <c r="B35" i="5" s="1"/>
  <c r="C35" i="5" a="1"/>
  <c r="C35" i="5" s="1"/>
  <c r="A36" i="5" a="1"/>
  <c r="A36" i="5" s="1"/>
  <c r="N36" i="5" s="1"/>
  <c r="B36" i="5" a="1"/>
  <c r="B36" i="5" s="1"/>
  <c r="C36" i="5" a="1"/>
  <c r="C36" i="5" s="1"/>
  <c r="A37" i="5" a="1"/>
  <c r="A37" i="5" s="1"/>
  <c r="M37" i="5" s="1"/>
  <c r="B37" i="5" a="1"/>
  <c r="B37" i="5" s="1"/>
  <c r="C37" i="5" a="1"/>
  <c r="C37" i="5" s="1"/>
  <c r="A38" i="5" a="1"/>
  <c r="A38" i="5" s="1"/>
  <c r="M38" i="5" s="1"/>
  <c r="B38" i="5" a="1"/>
  <c r="B38" i="5" s="1"/>
  <c r="C38" i="5" a="1"/>
  <c r="C38" i="5" s="1"/>
  <c r="A39" i="5" a="1"/>
  <c r="A39" i="5" s="1"/>
  <c r="B39" i="5" a="1"/>
  <c r="B39" i="5" s="1"/>
  <c r="C39" i="5" a="1"/>
  <c r="C39" i="5" s="1"/>
  <c r="A40" i="5" a="1"/>
  <c r="A40" i="5" s="1"/>
  <c r="M40" i="5" s="1"/>
  <c r="B40" i="5" a="1"/>
  <c r="B40" i="5" s="1"/>
  <c r="C40" i="5" a="1"/>
  <c r="C40" i="5" s="1"/>
  <c r="A41" i="5" a="1"/>
  <c r="A41" i="5" s="1"/>
  <c r="B41" i="5" a="1"/>
  <c r="B41" i="5" s="1"/>
  <c r="C41" i="5" a="1"/>
  <c r="C41" i="5" s="1"/>
  <c r="A42" i="5" a="1"/>
  <c r="A42" i="5" s="1"/>
  <c r="AD42" i="5" s="1"/>
  <c r="B42" i="5" a="1"/>
  <c r="B42" i="5" s="1"/>
  <c r="C42" i="5" a="1"/>
  <c r="C42" i="5" s="1"/>
  <c r="A43" i="5" a="1"/>
  <c r="A43" i="5" s="1"/>
  <c r="AC43" i="5" s="1"/>
  <c r="B43" i="5" a="1"/>
  <c r="B43" i="5" s="1"/>
  <c r="C43" i="5" a="1"/>
  <c r="C43" i="5" s="1"/>
  <c r="A44" i="5" a="1"/>
  <c r="A44" i="5" s="1"/>
  <c r="N44" i="5" s="1"/>
  <c r="B44" i="5" a="1"/>
  <c r="B44" i="5" s="1"/>
  <c r="C44" i="5" a="1"/>
  <c r="C44" i="5" s="1"/>
  <c r="A45" i="5" a="1"/>
  <c r="A45" i="5" s="1"/>
  <c r="M45" i="5" s="1"/>
  <c r="B45" i="5" a="1"/>
  <c r="B45" i="5" s="1"/>
  <c r="C45" i="5" a="1"/>
  <c r="C45" i="5" s="1"/>
  <c r="A46" i="5" a="1"/>
  <c r="A46" i="5" s="1"/>
  <c r="M46" i="5" s="1"/>
  <c r="B46" i="5" a="1"/>
  <c r="B46" i="5" s="1"/>
  <c r="C46" i="5" a="1"/>
  <c r="C46" i="5" s="1"/>
  <c r="A47" i="5" a="1"/>
  <c r="A47" i="5" s="1"/>
  <c r="B47" i="5" a="1"/>
  <c r="B47" i="5" s="1"/>
  <c r="C47" i="5" a="1"/>
  <c r="C47" i="5" s="1"/>
  <c r="A48" i="5" a="1"/>
  <c r="A48" i="5" s="1"/>
  <c r="M48" i="5" s="1"/>
  <c r="B48" i="5" a="1"/>
  <c r="B48" i="5" s="1"/>
  <c r="C48" i="5" a="1"/>
  <c r="C48" i="5" s="1"/>
  <c r="A49" i="5" a="1"/>
  <c r="A49" i="5" s="1"/>
  <c r="AF49" i="5" s="1"/>
  <c r="B49" i="5" a="1"/>
  <c r="B49" i="5" s="1"/>
  <c r="C49" i="5" a="1"/>
  <c r="C49" i="5" s="1"/>
  <c r="A50" i="5" a="1"/>
  <c r="A50" i="5" s="1"/>
  <c r="O50" i="5" s="1"/>
  <c r="B50" i="5" a="1"/>
  <c r="B50" i="5" s="1"/>
  <c r="C50" i="5" a="1"/>
  <c r="C50" i="5" s="1"/>
  <c r="A51" i="5" a="1"/>
  <c r="A51" i="5" s="1"/>
  <c r="H51" i="5" s="1"/>
  <c r="B51" i="5" a="1"/>
  <c r="B51" i="5" s="1"/>
  <c r="C51" i="5" a="1"/>
  <c r="C51" i="5" s="1"/>
  <c r="A52" i="5" a="1"/>
  <c r="A52" i="5" s="1"/>
  <c r="AK52" i="5" s="1"/>
  <c r="B52" i="5" a="1"/>
  <c r="B52" i="5" s="1"/>
  <c r="C52" i="5" a="1"/>
  <c r="C52" i="5" s="1"/>
  <c r="A53" i="5" a="1"/>
  <c r="A53" i="5" s="1"/>
  <c r="L53" i="5" s="1"/>
  <c r="B53" i="5" a="1"/>
  <c r="B53" i="5" s="1"/>
  <c r="C53" i="5" a="1"/>
  <c r="C53" i="5" s="1"/>
  <c r="A54" i="5" a="1"/>
  <c r="A54" i="5" s="1"/>
  <c r="P54" i="5" s="1"/>
  <c r="B54" i="5" a="1"/>
  <c r="B54" i="5" s="1"/>
  <c r="C54" i="5" a="1"/>
  <c r="C54" i="5" s="1"/>
  <c r="A55" i="5" a="1"/>
  <c r="A55" i="5" s="1"/>
  <c r="B55" i="5" a="1"/>
  <c r="B55" i="5" s="1"/>
  <c r="C55" i="5" a="1"/>
  <c r="C55" i="5" s="1"/>
  <c r="A56" i="5" a="1"/>
  <c r="A56" i="5" s="1"/>
  <c r="B56" i="5" a="1"/>
  <c r="B56" i="5" s="1"/>
  <c r="C56" i="5" a="1"/>
  <c r="C56" i="5" s="1"/>
  <c r="A57" i="5" a="1"/>
  <c r="A57" i="5" s="1"/>
  <c r="B57" i="5" a="1"/>
  <c r="B57" i="5" s="1"/>
  <c r="C57" i="5" a="1"/>
  <c r="C57" i="5" s="1"/>
  <c r="A58" i="5" a="1"/>
  <c r="A58" i="5" s="1"/>
  <c r="B58" i="5" a="1"/>
  <c r="B58" i="5" s="1"/>
  <c r="C58" i="5" a="1"/>
  <c r="C58" i="5" s="1"/>
  <c r="A59" i="5" a="1"/>
  <c r="A59" i="5" s="1"/>
  <c r="B59" i="5" a="1"/>
  <c r="B59" i="5" s="1"/>
  <c r="C59" i="5" a="1"/>
  <c r="C59" i="5" s="1"/>
  <c r="A60" i="5" a="1"/>
  <c r="A60" i="5" s="1"/>
  <c r="B60" i="5" a="1"/>
  <c r="B60" i="5" s="1"/>
  <c r="C60" i="5" a="1"/>
  <c r="C60" i="5" s="1"/>
  <c r="A61" i="5" a="1"/>
  <c r="A61" i="5" s="1"/>
  <c r="B61" i="5" a="1"/>
  <c r="B61" i="5" s="1"/>
  <c r="C61" i="5" a="1"/>
  <c r="C61" i="5" s="1"/>
  <c r="A62" i="5" a="1"/>
  <c r="A62" i="5" s="1"/>
  <c r="B62" i="5" a="1"/>
  <c r="B62" i="5" s="1"/>
  <c r="C62" i="5" a="1"/>
  <c r="C62" i="5" s="1"/>
  <c r="A63" i="5" a="1"/>
  <c r="A63" i="5" s="1"/>
  <c r="B63" i="5" a="1"/>
  <c r="B63" i="5" s="1"/>
  <c r="C63" i="5" a="1"/>
  <c r="C63" i="5" s="1"/>
  <c r="A64" i="5" a="1"/>
  <c r="A64" i="5" s="1"/>
  <c r="B64" i="5" a="1"/>
  <c r="B64" i="5" s="1"/>
  <c r="C64" i="5" a="1"/>
  <c r="C64" i="5" s="1"/>
  <c r="A65" i="5" a="1"/>
  <c r="A65" i="5" s="1"/>
  <c r="B65" i="5" a="1"/>
  <c r="B65" i="5" s="1"/>
  <c r="C65" i="5" a="1"/>
  <c r="C65" i="5" s="1"/>
  <c r="A66" i="5" a="1"/>
  <c r="A66" i="5" s="1"/>
  <c r="B66" i="5" a="1"/>
  <c r="B66" i="5" s="1"/>
  <c r="C66" i="5" a="1"/>
  <c r="C66" i="5" s="1"/>
  <c r="A67" i="5" a="1"/>
  <c r="A67" i="5" s="1"/>
  <c r="B67" i="5" a="1"/>
  <c r="B67" i="5" s="1"/>
  <c r="C67" i="5" a="1"/>
  <c r="C67" i="5" s="1"/>
  <c r="A68" i="5" a="1"/>
  <c r="A68" i="5" s="1"/>
  <c r="B68" i="5" a="1"/>
  <c r="B68" i="5" s="1"/>
  <c r="C68" i="5" a="1"/>
  <c r="C68" i="5" s="1"/>
  <c r="A69" i="5" a="1"/>
  <c r="A69" i="5" s="1"/>
  <c r="B69" i="5" a="1"/>
  <c r="B69" i="5" s="1"/>
  <c r="C69" i="5" a="1"/>
  <c r="C69" i="5" s="1"/>
  <c r="A70" i="5" a="1"/>
  <c r="A70" i="5" s="1"/>
  <c r="B70" i="5" a="1"/>
  <c r="B70" i="5" s="1"/>
  <c r="C70" i="5" a="1"/>
  <c r="C70" i="5" s="1"/>
  <c r="A71" i="5" a="1"/>
  <c r="A71" i="5" s="1"/>
  <c r="B71" i="5" a="1"/>
  <c r="B71" i="5" s="1"/>
  <c r="C71" i="5" a="1"/>
  <c r="C71" i="5" s="1"/>
  <c r="A72" i="5" a="1"/>
  <c r="A72" i="5" s="1"/>
  <c r="B72" i="5" a="1"/>
  <c r="B72" i="5" s="1"/>
  <c r="C72" i="5" a="1"/>
  <c r="C72" i="5" s="1"/>
  <c r="A73" i="5" a="1"/>
  <c r="A73" i="5" s="1"/>
  <c r="B73" i="5" a="1"/>
  <c r="B73" i="5" s="1"/>
  <c r="C73" i="5" a="1"/>
  <c r="C73" i="5" s="1"/>
  <c r="A74" i="5" a="1"/>
  <c r="A74" i="5" s="1"/>
  <c r="B74" i="5" a="1"/>
  <c r="B74" i="5" s="1"/>
  <c r="C74" i="5" a="1"/>
  <c r="C74" i="5" s="1"/>
  <c r="A75" i="5" a="1"/>
  <c r="A75" i="5" s="1"/>
  <c r="B75" i="5" a="1"/>
  <c r="B75" i="5" s="1"/>
  <c r="C75" i="5" a="1"/>
  <c r="C75" i="5" s="1"/>
  <c r="A76" i="5" a="1"/>
  <c r="A76" i="5" s="1"/>
  <c r="B76" i="5" a="1"/>
  <c r="B76" i="5" s="1"/>
  <c r="C76" i="5" a="1"/>
  <c r="C76" i="5" s="1"/>
  <c r="A77" i="5" a="1"/>
  <c r="A77" i="5" s="1"/>
  <c r="B77" i="5" a="1"/>
  <c r="B77" i="5" s="1"/>
  <c r="C77" i="5" a="1"/>
  <c r="C77" i="5" s="1"/>
  <c r="A78" i="5" a="1"/>
  <c r="A78" i="5" s="1"/>
  <c r="B78" i="5" a="1"/>
  <c r="B78" i="5" s="1"/>
  <c r="C78" i="5" a="1"/>
  <c r="C78" i="5" s="1"/>
  <c r="A79" i="5" a="1"/>
  <c r="A79" i="5" s="1"/>
  <c r="B79" i="5" a="1"/>
  <c r="B79" i="5" s="1"/>
  <c r="C79" i="5" a="1"/>
  <c r="C79" i="5" s="1"/>
  <c r="A80" i="5" a="1"/>
  <c r="A80" i="5" s="1"/>
  <c r="B80" i="5" a="1"/>
  <c r="B80" i="5" s="1"/>
  <c r="C80" i="5" a="1"/>
  <c r="C80" i="5" s="1"/>
  <c r="A81" i="5" a="1"/>
  <c r="A81" i="5" s="1"/>
  <c r="B81" i="5" a="1"/>
  <c r="B81" i="5" s="1"/>
  <c r="C81" i="5" a="1"/>
  <c r="C81" i="5" s="1"/>
  <c r="A82" i="5" a="1"/>
  <c r="A82" i="5" s="1"/>
  <c r="B82" i="5" a="1"/>
  <c r="B82" i="5" s="1"/>
  <c r="C82" i="5" a="1"/>
  <c r="C82" i="5" s="1"/>
  <c r="A83" i="5" a="1"/>
  <c r="A83" i="5" s="1"/>
  <c r="B83" i="5" a="1"/>
  <c r="B83" i="5" s="1"/>
  <c r="C83" i="5" a="1"/>
  <c r="C83" i="5" s="1"/>
  <c r="A84" i="5" a="1"/>
  <c r="A84" i="5" s="1"/>
  <c r="B84" i="5" a="1"/>
  <c r="B84" i="5" s="1"/>
  <c r="C84" i="5" a="1"/>
  <c r="C84" i="5" s="1"/>
  <c r="A85" i="5" a="1"/>
  <c r="A85" i="5" s="1"/>
  <c r="B85" i="5" a="1"/>
  <c r="B85" i="5" s="1"/>
  <c r="C85" i="5" a="1"/>
  <c r="C85" i="5" s="1"/>
  <c r="A86" i="5" a="1"/>
  <c r="A86" i="5" s="1"/>
  <c r="B86" i="5" a="1"/>
  <c r="B86" i="5" s="1"/>
  <c r="C86" i="5" a="1"/>
  <c r="C86" i="5" s="1"/>
  <c r="A87" i="5" a="1"/>
  <c r="A87" i="5" s="1"/>
  <c r="B87" i="5" a="1"/>
  <c r="B87" i="5" s="1"/>
  <c r="C87" i="5" a="1"/>
  <c r="C87" i="5" s="1"/>
  <c r="A88" i="5" a="1"/>
  <c r="A88" i="5" s="1"/>
  <c r="B88" i="5" a="1"/>
  <c r="B88" i="5" s="1"/>
  <c r="C88" i="5" a="1"/>
  <c r="C88" i="5" s="1"/>
  <c r="A89" i="5" a="1"/>
  <c r="A89" i="5" s="1"/>
  <c r="B89" i="5" a="1"/>
  <c r="B89" i="5" s="1"/>
  <c r="C89" i="5" a="1"/>
  <c r="C89" i="5" s="1"/>
  <c r="A90" i="5" a="1"/>
  <c r="A90" i="5" s="1"/>
  <c r="B90" i="5" a="1"/>
  <c r="B90" i="5" s="1"/>
  <c r="C90" i="5" a="1"/>
  <c r="C90" i="5" s="1"/>
  <c r="A91" i="5" a="1"/>
  <c r="A91" i="5" s="1"/>
  <c r="B91" i="5" a="1"/>
  <c r="B91" i="5" s="1"/>
  <c r="C91" i="5" a="1"/>
  <c r="C91" i="5" s="1"/>
  <c r="A92" i="5" a="1"/>
  <c r="A92" i="5" s="1"/>
  <c r="B92" i="5" a="1"/>
  <c r="B92" i="5" s="1"/>
  <c r="C92" i="5" a="1"/>
  <c r="C92" i="5" s="1"/>
  <c r="A93" i="5" a="1"/>
  <c r="A93" i="5" s="1"/>
  <c r="B93" i="5" a="1"/>
  <c r="B93" i="5" s="1"/>
  <c r="C93" i="5" a="1"/>
  <c r="C93" i="5" s="1"/>
  <c r="A94" i="5" a="1"/>
  <c r="A94" i="5" s="1"/>
  <c r="B94" i="5" a="1"/>
  <c r="B94" i="5" s="1"/>
  <c r="C94" i="5" a="1"/>
  <c r="C94" i="5" s="1"/>
  <c r="A95" i="5" a="1"/>
  <c r="A95" i="5" s="1"/>
  <c r="B95" i="5" a="1"/>
  <c r="B95" i="5" s="1"/>
  <c r="C95" i="5" a="1"/>
  <c r="C95" i="5" s="1"/>
  <c r="A96" i="5" a="1"/>
  <c r="A96" i="5" s="1"/>
  <c r="B96" i="5" a="1"/>
  <c r="B96" i="5" s="1"/>
  <c r="C96" i="5" a="1"/>
  <c r="C96" i="5" s="1"/>
  <c r="A97" i="5" a="1"/>
  <c r="A97" i="5" s="1"/>
  <c r="B97" i="5" a="1"/>
  <c r="B97" i="5" s="1"/>
  <c r="C97" i="5" a="1"/>
  <c r="C97" i="5" s="1"/>
  <c r="A98" i="5" a="1"/>
  <c r="A98" i="5" s="1"/>
  <c r="B98" i="5" a="1"/>
  <c r="B98" i="5" s="1"/>
  <c r="C98" i="5" a="1"/>
  <c r="C98" i="5" s="1"/>
  <c r="A99" i="5" a="1"/>
  <c r="A99" i="5" s="1"/>
  <c r="B99" i="5" a="1"/>
  <c r="B99" i="5" s="1"/>
  <c r="C99" i="5" a="1"/>
  <c r="C99" i="5" s="1"/>
  <c r="A100" i="5" a="1"/>
  <c r="A100" i="5" s="1"/>
  <c r="B100" i="5" a="1"/>
  <c r="B100" i="5" s="1"/>
  <c r="C100" i="5" a="1"/>
  <c r="C100" i="5" s="1"/>
  <c r="A101" i="5" a="1"/>
  <c r="A101" i="5" s="1"/>
  <c r="B101" i="5" a="1"/>
  <c r="B101" i="5" s="1"/>
  <c r="C101" i="5" a="1"/>
  <c r="C101" i="5" s="1"/>
  <c r="A102" i="5" a="1"/>
  <c r="A102" i="5" s="1"/>
  <c r="B102" i="5" a="1"/>
  <c r="B102" i="5" s="1"/>
  <c r="C102" i="5" a="1"/>
  <c r="C102" i="5" s="1"/>
  <c r="A103" i="5" a="1"/>
  <c r="A103" i="5" s="1"/>
  <c r="B103" i="5" a="1"/>
  <c r="B103" i="5" s="1"/>
  <c r="C103" i="5" a="1"/>
  <c r="C103" i="5" s="1"/>
  <c r="A104" i="5" a="1"/>
  <c r="A104" i="5" s="1"/>
  <c r="B104" i="5" a="1"/>
  <c r="B104" i="5" s="1"/>
  <c r="C104" i="5" a="1"/>
  <c r="C104" i="5" s="1"/>
  <c r="A105" i="5" a="1"/>
  <c r="A105" i="5" s="1"/>
  <c r="B105" i="5" a="1"/>
  <c r="B105" i="5" s="1"/>
  <c r="C105" i="5" a="1"/>
  <c r="C105" i="5" s="1"/>
  <c r="A106" i="5" a="1"/>
  <c r="A106" i="5" s="1"/>
  <c r="B106" i="5" a="1"/>
  <c r="B106" i="5" s="1"/>
  <c r="C106" i="5" a="1"/>
  <c r="C106" i="5" s="1"/>
  <c r="A107" i="5" a="1"/>
  <c r="A107" i="5" s="1"/>
  <c r="B107" i="5" a="1"/>
  <c r="B107" i="5" s="1"/>
  <c r="C107" i="5" a="1"/>
  <c r="C107" i="5" s="1"/>
  <c r="I6" i="4"/>
  <c r="H6" i="4"/>
  <c r="E6" i="4"/>
  <c r="E13" i="5" l="1"/>
  <c r="H106" i="5"/>
  <c r="P106" i="5"/>
  <c r="X106" i="5"/>
  <c r="AF106" i="5"/>
  <c r="O106" i="5"/>
  <c r="W106" i="5"/>
  <c r="AE106" i="5"/>
  <c r="AM106" i="5"/>
  <c r="I106" i="5"/>
  <c r="S106" i="5"/>
  <c r="AC106" i="5"/>
  <c r="R106" i="5"/>
  <c r="AB106" i="5"/>
  <c r="AL106" i="5"/>
  <c r="J106" i="5"/>
  <c r="V106" i="5"/>
  <c r="AJ106" i="5"/>
  <c r="K106" i="5"/>
  <c r="Y106" i="5"/>
  <c r="AK106" i="5"/>
  <c r="L106" i="5"/>
  <c r="Z106" i="5"/>
  <c r="M106" i="5"/>
  <c r="AA106" i="5"/>
  <c r="N106" i="5"/>
  <c r="AD106" i="5"/>
  <c r="Q106" i="5"/>
  <c r="AG106" i="5"/>
  <c r="T106" i="5"/>
  <c r="AH106" i="5"/>
  <c r="U106" i="5"/>
  <c r="AI106" i="5"/>
  <c r="G101" i="5"/>
  <c r="I101" i="5"/>
  <c r="Q101" i="5"/>
  <c r="Y101" i="5"/>
  <c r="AG101" i="5"/>
  <c r="J101" i="5"/>
  <c r="R101" i="5"/>
  <c r="Z101" i="5"/>
  <c r="AH101" i="5"/>
  <c r="K101" i="5"/>
  <c r="S101" i="5"/>
  <c r="AA101" i="5"/>
  <c r="AI101" i="5"/>
  <c r="H101" i="5"/>
  <c r="P101" i="5"/>
  <c r="X101" i="5"/>
  <c r="AF101" i="5"/>
  <c r="L101" i="5"/>
  <c r="AB101" i="5"/>
  <c r="M101" i="5"/>
  <c r="AC101" i="5"/>
  <c r="T101" i="5"/>
  <c r="AJ101" i="5"/>
  <c r="W101" i="5"/>
  <c r="AM101" i="5"/>
  <c r="N101" i="5"/>
  <c r="O101" i="5"/>
  <c r="U101" i="5"/>
  <c r="AL101" i="5"/>
  <c r="V101" i="5"/>
  <c r="AD101" i="5"/>
  <c r="AE101" i="5"/>
  <c r="AK101" i="5"/>
  <c r="E107" i="5"/>
  <c r="H107" i="5"/>
  <c r="P107" i="5"/>
  <c r="X107" i="5"/>
  <c r="AF107" i="5"/>
  <c r="O107" i="5"/>
  <c r="W107" i="5"/>
  <c r="AE107" i="5"/>
  <c r="AM107" i="5"/>
  <c r="I107" i="5"/>
  <c r="S107" i="5"/>
  <c r="AC107" i="5"/>
  <c r="R107" i="5"/>
  <c r="AB107" i="5"/>
  <c r="AL107" i="5"/>
  <c r="T107" i="5"/>
  <c r="AH107" i="5"/>
  <c r="U107" i="5"/>
  <c r="AI107" i="5"/>
  <c r="J107" i="5"/>
  <c r="V107" i="5"/>
  <c r="AJ107" i="5"/>
  <c r="K107" i="5"/>
  <c r="Y107" i="5"/>
  <c r="AK107" i="5"/>
  <c r="L107" i="5"/>
  <c r="Z107" i="5"/>
  <c r="M107" i="5"/>
  <c r="AA107" i="5"/>
  <c r="N107" i="5"/>
  <c r="AD107" i="5"/>
  <c r="Q107" i="5"/>
  <c r="AG107" i="5"/>
  <c r="H102" i="5"/>
  <c r="P102" i="5"/>
  <c r="X102" i="5"/>
  <c r="AF102" i="5"/>
  <c r="O102" i="5"/>
  <c r="W102" i="5"/>
  <c r="AE102" i="5"/>
  <c r="AM102" i="5"/>
  <c r="I102" i="5"/>
  <c r="S102" i="5"/>
  <c r="AC102" i="5"/>
  <c r="R102" i="5"/>
  <c r="AB102" i="5"/>
  <c r="AL102" i="5"/>
  <c r="J102" i="5"/>
  <c r="V102" i="5"/>
  <c r="AJ102" i="5"/>
  <c r="K102" i="5"/>
  <c r="Y102" i="5"/>
  <c r="AK102" i="5"/>
  <c r="L102" i="5"/>
  <c r="Z102" i="5"/>
  <c r="M102" i="5"/>
  <c r="AA102" i="5"/>
  <c r="N102" i="5"/>
  <c r="AD102" i="5"/>
  <c r="Q102" i="5"/>
  <c r="AG102" i="5"/>
  <c r="T102" i="5"/>
  <c r="AH102" i="5"/>
  <c r="U102" i="5"/>
  <c r="AI102" i="5"/>
  <c r="I92" i="5"/>
  <c r="Q92" i="5"/>
  <c r="Y92" i="5"/>
  <c r="AG92" i="5"/>
  <c r="J92" i="5"/>
  <c r="R92" i="5"/>
  <c r="Z92" i="5"/>
  <c r="AH92" i="5"/>
  <c r="K92" i="5"/>
  <c r="S92" i="5"/>
  <c r="AA92" i="5"/>
  <c r="AI92" i="5"/>
  <c r="H92" i="5"/>
  <c r="P92" i="5"/>
  <c r="X92" i="5"/>
  <c r="AF92" i="5"/>
  <c r="L92" i="5"/>
  <c r="AB92" i="5"/>
  <c r="M92" i="5"/>
  <c r="AC92" i="5"/>
  <c r="T92" i="5"/>
  <c r="AJ92" i="5"/>
  <c r="W92" i="5"/>
  <c r="AM92" i="5"/>
  <c r="N92" i="5"/>
  <c r="O92" i="5"/>
  <c r="U92" i="5"/>
  <c r="AL92" i="5"/>
  <c r="V92" i="5"/>
  <c r="AD92" i="5"/>
  <c r="AE92" i="5"/>
  <c r="AK92" i="5"/>
  <c r="L84" i="5"/>
  <c r="T84" i="5"/>
  <c r="AB84" i="5"/>
  <c r="AJ84" i="5"/>
  <c r="K84" i="5"/>
  <c r="S84" i="5"/>
  <c r="AA84" i="5"/>
  <c r="AI84" i="5"/>
  <c r="Q84" i="5"/>
  <c r="AC84" i="5"/>
  <c r="AM84" i="5"/>
  <c r="H84" i="5"/>
  <c r="R84" i="5"/>
  <c r="AD84" i="5"/>
  <c r="I84" i="5"/>
  <c r="U84" i="5"/>
  <c r="AE84" i="5"/>
  <c r="P84" i="5"/>
  <c r="Z84" i="5"/>
  <c r="AL84" i="5"/>
  <c r="J84" i="5"/>
  <c r="AF84" i="5"/>
  <c r="M84" i="5"/>
  <c r="AG84" i="5"/>
  <c r="V84" i="5"/>
  <c r="Y84" i="5"/>
  <c r="AH84" i="5"/>
  <c r="AK84" i="5"/>
  <c r="X84" i="5"/>
  <c r="N84" i="5"/>
  <c r="O84" i="5"/>
  <c r="W84" i="5"/>
  <c r="N71" i="5"/>
  <c r="V71" i="5"/>
  <c r="AD71" i="5"/>
  <c r="AL71" i="5"/>
  <c r="M71" i="5"/>
  <c r="U71" i="5"/>
  <c r="AC71" i="5"/>
  <c r="AK71" i="5"/>
  <c r="K71" i="5"/>
  <c r="W71" i="5"/>
  <c r="AG71" i="5"/>
  <c r="L71" i="5"/>
  <c r="X71" i="5"/>
  <c r="AH71" i="5"/>
  <c r="O71" i="5"/>
  <c r="Y71" i="5"/>
  <c r="AI71" i="5"/>
  <c r="P71" i="5"/>
  <c r="Z71" i="5"/>
  <c r="AJ71" i="5"/>
  <c r="Q71" i="5"/>
  <c r="AA71" i="5"/>
  <c r="AM71" i="5"/>
  <c r="H71" i="5"/>
  <c r="R71" i="5"/>
  <c r="AB71" i="5"/>
  <c r="I71" i="5"/>
  <c r="S71" i="5"/>
  <c r="AE71" i="5"/>
  <c r="J71" i="5"/>
  <c r="T71" i="5"/>
  <c r="AF71" i="5"/>
  <c r="H63" i="5"/>
  <c r="P63" i="5"/>
  <c r="X63" i="5"/>
  <c r="AF63" i="5"/>
  <c r="O63" i="5"/>
  <c r="I63" i="5"/>
  <c r="S63" i="5"/>
  <c r="AB63" i="5"/>
  <c r="AK63" i="5"/>
  <c r="R63" i="5"/>
  <c r="AA63" i="5"/>
  <c r="AJ63" i="5"/>
  <c r="N63" i="5"/>
  <c r="AC63" i="5"/>
  <c r="Q63" i="5"/>
  <c r="AD63" i="5"/>
  <c r="T63" i="5"/>
  <c r="AE63" i="5"/>
  <c r="U63" i="5"/>
  <c r="AG63" i="5"/>
  <c r="J63" i="5"/>
  <c r="V63" i="5"/>
  <c r="AH63" i="5"/>
  <c r="K63" i="5"/>
  <c r="W63" i="5"/>
  <c r="AI63" i="5"/>
  <c r="L63" i="5"/>
  <c r="Y63" i="5"/>
  <c r="AL63" i="5"/>
  <c r="M63" i="5"/>
  <c r="Z63" i="5"/>
  <c r="AM63" i="5"/>
  <c r="H55" i="5"/>
  <c r="P55" i="5"/>
  <c r="X55" i="5"/>
  <c r="AF55" i="5"/>
  <c r="O55" i="5"/>
  <c r="W55" i="5"/>
  <c r="AE55" i="5"/>
  <c r="AM55" i="5"/>
  <c r="I55" i="5"/>
  <c r="S55" i="5"/>
  <c r="AC55" i="5"/>
  <c r="R55" i="5"/>
  <c r="AB55" i="5"/>
  <c r="AL55" i="5"/>
  <c r="N55" i="5"/>
  <c r="AD55" i="5"/>
  <c r="Q55" i="5"/>
  <c r="AG55" i="5"/>
  <c r="T55" i="5"/>
  <c r="AH55" i="5"/>
  <c r="U55" i="5"/>
  <c r="AI55" i="5"/>
  <c r="J55" i="5"/>
  <c r="V55" i="5"/>
  <c r="AJ55" i="5"/>
  <c r="K55" i="5"/>
  <c r="Y55" i="5"/>
  <c r="AK55" i="5"/>
  <c r="L55" i="5"/>
  <c r="Z55" i="5"/>
  <c r="M55" i="5"/>
  <c r="AA55" i="5"/>
  <c r="I47" i="5"/>
  <c r="Q47" i="5"/>
  <c r="Y47" i="5"/>
  <c r="AG47" i="5"/>
  <c r="J47" i="5"/>
  <c r="R47" i="5"/>
  <c r="Z47" i="5"/>
  <c r="AH47" i="5"/>
  <c r="K47" i="5"/>
  <c r="S47" i="5"/>
  <c r="AA47" i="5"/>
  <c r="AI47" i="5"/>
  <c r="H47" i="5"/>
  <c r="P47" i="5"/>
  <c r="X47" i="5"/>
  <c r="AF47" i="5"/>
  <c r="T47" i="5"/>
  <c r="AJ47" i="5"/>
  <c r="U47" i="5"/>
  <c r="AK47" i="5"/>
  <c r="V47" i="5"/>
  <c r="AL47" i="5"/>
  <c r="W47" i="5"/>
  <c r="AM47" i="5"/>
  <c r="L47" i="5"/>
  <c r="AB47" i="5"/>
  <c r="O47" i="5"/>
  <c r="AE47" i="5"/>
  <c r="I39" i="5"/>
  <c r="Q39" i="5"/>
  <c r="Y39" i="5"/>
  <c r="AG39" i="5"/>
  <c r="J39" i="5"/>
  <c r="R39" i="5"/>
  <c r="Z39" i="5"/>
  <c r="AH39" i="5"/>
  <c r="K39" i="5"/>
  <c r="S39" i="5"/>
  <c r="AA39" i="5"/>
  <c r="AI39" i="5"/>
  <c r="H39" i="5"/>
  <c r="P39" i="5"/>
  <c r="X39" i="5"/>
  <c r="AF39" i="5"/>
  <c r="T39" i="5"/>
  <c r="AJ39" i="5"/>
  <c r="U39" i="5"/>
  <c r="AK39" i="5"/>
  <c r="V39" i="5"/>
  <c r="AL39" i="5"/>
  <c r="W39" i="5"/>
  <c r="AM39" i="5"/>
  <c r="L39" i="5"/>
  <c r="AB39" i="5"/>
  <c r="O39" i="5"/>
  <c r="AE39" i="5"/>
  <c r="E23" i="5"/>
  <c r="E31" i="5"/>
  <c r="AD54" i="5"/>
  <c r="T54" i="5"/>
  <c r="H54" i="5"/>
  <c r="AD53" i="5"/>
  <c r="T53" i="5"/>
  <c r="V51" i="5"/>
  <c r="AJ49" i="5"/>
  <c r="N48" i="5"/>
  <c r="N46" i="5"/>
  <c r="N42" i="5"/>
  <c r="N40" i="5"/>
  <c r="N38" i="5"/>
  <c r="N34" i="5"/>
  <c r="I97" i="5"/>
  <c r="Q97" i="5"/>
  <c r="Y97" i="5"/>
  <c r="AG97" i="5"/>
  <c r="J97" i="5"/>
  <c r="R97" i="5"/>
  <c r="Z97" i="5"/>
  <c r="AH97" i="5"/>
  <c r="K97" i="5"/>
  <c r="S97" i="5"/>
  <c r="AA97" i="5"/>
  <c r="AI97" i="5"/>
  <c r="H97" i="5"/>
  <c r="P97" i="5"/>
  <c r="X97" i="5"/>
  <c r="AF97" i="5"/>
  <c r="L97" i="5"/>
  <c r="AB97" i="5"/>
  <c r="M97" i="5"/>
  <c r="AC97" i="5"/>
  <c r="T97" i="5"/>
  <c r="AJ97" i="5"/>
  <c r="W97" i="5"/>
  <c r="AM97" i="5"/>
  <c r="N97" i="5"/>
  <c r="O97" i="5"/>
  <c r="U97" i="5"/>
  <c r="AL97" i="5"/>
  <c r="V97" i="5"/>
  <c r="AD97" i="5"/>
  <c r="AE97" i="5"/>
  <c r="AK97" i="5"/>
  <c r="L89" i="5"/>
  <c r="T89" i="5"/>
  <c r="AB89" i="5"/>
  <c r="AJ89" i="5"/>
  <c r="K89" i="5"/>
  <c r="S89" i="5"/>
  <c r="AA89" i="5"/>
  <c r="AI89" i="5"/>
  <c r="Q89" i="5"/>
  <c r="AC89" i="5"/>
  <c r="AM89" i="5"/>
  <c r="H89" i="5"/>
  <c r="R89" i="5"/>
  <c r="AD89" i="5"/>
  <c r="I89" i="5"/>
  <c r="U89" i="5"/>
  <c r="AE89" i="5"/>
  <c r="P89" i="5"/>
  <c r="Z89" i="5"/>
  <c r="AL89" i="5"/>
  <c r="V89" i="5"/>
  <c r="W89" i="5"/>
  <c r="J89" i="5"/>
  <c r="AF89" i="5"/>
  <c r="O89" i="5"/>
  <c r="AK89" i="5"/>
  <c r="M89" i="5"/>
  <c r="AH89" i="5"/>
  <c r="N89" i="5"/>
  <c r="X89" i="5"/>
  <c r="Y89" i="5"/>
  <c r="AG89" i="5"/>
  <c r="L81" i="5"/>
  <c r="T81" i="5"/>
  <c r="AB81" i="5"/>
  <c r="AJ81" i="5"/>
  <c r="K81" i="5"/>
  <c r="S81" i="5"/>
  <c r="AA81" i="5"/>
  <c r="AI81" i="5"/>
  <c r="Q81" i="5"/>
  <c r="AC81" i="5"/>
  <c r="AM81" i="5"/>
  <c r="H81" i="5"/>
  <c r="R81" i="5"/>
  <c r="AD81" i="5"/>
  <c r="I81" i="5"/>
  <c r="U81" i="5"/>
  <c r="AE81" i="5"/>
  <c r="P81" i="5"/>
  <c r="Z81" i="5"/>
  <c r="AL81" i="5"/>
  <c r="V81" i="5"/>
  <c r="W81" i="5"/>
  <c r="J81" i="5"/>
  <c r="AF81" i="5"/>
  <c r="O81" i="5"/>
  <c r="AK81" i="5"/>
  <c r="M81" i="5"/>
  <c r="N81" i="5"/>
  <c r="X81" i="5"/>
  <c r="AH81" i="5"/>
  <c r="Y81" i="5"/>
  <c r="AG81" i="5"/>
  <c r="N76" i="5"/>
  <c r="V76" i="5"/>
  <c r="AD76" i="5"/>
  <c r="AL76" i="5"/>
  <c r="O76" i="5"/>
  <c r="X76" i="5"/>
  <c r="AG76" i="5"/>
  <c r="P76" i="5"/>
  <c r="Y76" i="5"/>
  <c r="AH76" i="5"/>
  <c r="H76" i="5"/>
  <c r="Q76" i="5"/>
  <c r="Z76" i="5"/>
  <c r="AI76" i="5"/>
  <c r="I76" i="5"/>
  <c r="R76" i="5"/>
  <c r="AA76" i="5"/>
  <c r="AJ76" i="5"/>
  <c r="J76" i="5"/>
  <c r="S76" i="5"/>
  <c r="AB76" i="5"/>
  <c r="AK76" i="5"/>
  <c r="K76" i="5"/>
  <c r="T76" i="5"/>
  <c r="AC76" i="5"/>
  <c r="AM76" i="5"/>
  <c r="L76" i="5"/>
  <c r="U76" i="5"/>
  <c r="AE76" i="5"/>
  <c r="M76" i="5"/>
  <c r="W76" i="5"/>
  <c r="AF76" i="5"/>
  <c r="H68" i="5"/>
  <c r="P68" i="5"/>
  <c r="X68" i="5"/>
  <c r="AF68" i="5"/>
  <c r="N68" i="5"/>
  <c r="W68" i="5"/>
  <c r="AG68" i="5"/>
  <c r="M68" i="5"/>
  <c r="V68" i="5"/>
  <c r="AE68" i="5"/>
  <c r="O68" i="5"/>
  <c r="AA68" i="5"/>
  <c r="AL68" i="5"/>
  <c r="Q68" i="5"/>
  <c r="AB68" i="5"/>
  <c r="AM68" i="5"/>
  <c r="R68" i="5"/>
  <c r="AC68" i="5"/>
  <c r="S68" i="5"/>
  <c r="AD68" i="5"/>
  <c r="I68" i="5"/>
  <c r="T68" i="5"/>
  <c r="AH68" i="5"/>
  <c r="J68" i="5"/>
  <c r="U68" i="5"/>
  <c r="AI68" i="5"/>
  <c r="K68" i="5"/>
  <c r="Y68" i="5"/>
  <c r="AJ68" i="5"/>
  <c r="L68" i="5"/>
  <c r="Z68" i="5"/>
  <c r="AK68" i="5"/>
  <c r="H60" i="5"/>
  <c r="P60" i="5"/>
  <c r="X60" i="5"/>
  <c r="AF60" i="5"/>
  <c r="O60" i="5"/>
  <c r="W60" i="5"/>
  <c r="AE60" i="5"/>
  <c r="AM60" i="5"/>
  <c r="I60" i="5"/>
  <c r="S60" i="5"/>
  <c r="AC60" i="5"/>
  <c r="R60" i="5"/>
  <c r="AB60" i="5"/>
  <c r="AL60" i="5"/>
  <c r="L60" i="5"/>
  <c r="Z60" i="5"/>
  <c r="M60" i="5"/>
  <c r="AA60" i="5"/>
  <c r="N60" i="5"/>
  <c r="AD60" i="5"/>
  <c r="Q60" i="5"/>
  <c r="AG60" i="5"/>
  <c r="T60" i="5"/>
  <c r="AH60" i="5"/>
  <c r="U60" i="5"/>
  <c r="AI60" i="5"/>
  <c r="J60" i="5"/>
  <c r="V60" i="5"/>
  <c r="AJ60" i="5"/>
  <c r="K60" i="5"/>
  <c r="Y60" i="5"/>
  <c r="AK60" i="5"/>
  <c r="I52" i="5"/>
  <c r="Q52" i="5"/>
  <c r="Y52" i="5"/>
  <c r="AG52" i="5"/>
  <c r="J52" i="5"/>
  <c r="R52" i="5"/>
  <c r="Z52" i="5"/>
  <c r="K52" i="5"/>
  <c r="S52" i="5"/>
  <c r="AA52" i="5"/>
  <c r="T52" i="5"/>
  <c r="AE52" i="5"/>
  <c r="U52" i="5"/>
  <c r="AF52" i="5"/>
  <c r="H52" i="5"/>
  <c r="V52" i="5"/>
  <c r="AH52" i="5"/>
  <c r="L52" i="5"/>
  <c r="W52" i="5"/>
  <c r="M52" i="5"/>
  <c r="X52" i="5"/>
  <c r="AJ52" i="5"/>
  <c r="P52" i="5"/>
  <c r="AD52" i="5"/>
  <c r="AM52" i="5"/>
  <c r="I44" i="5"/>
  <c r="Q44" i="5"/>
  <c r="Y44" i="5"/>
  <c r="AG44" i="5"/>
  <c r="J44" i="5"/>
  <c r="R44" i="5"/>
  <c r="Z44" i="5"/>
  <c r="AH44" i="5"/>
  <c r="K44" i="5"/>
  <c r="S44" i="5"/>
  <c r="AA44" i="5"/>
  <c r="AI44" i="5"/>
  <c r="H44" i="5"/>
  <c r="P44" i="5"/>
  <c r="X44" i="5"/>
  <c r="AF44" i="5"/>
  <c r="T44" i="5"/>
  <c r="AJ44" i="5"/>
  <c r="U44" i="5"/>
  <c r="AK44" i="5"/>
  <c r="V44" i="5"/>
  <c r="AL44" i="5"/>
  <c r="W44" i="5"/>
  <c r="AM44" i="5"/>
  <c r="L44" i="5"/>
  <c r="AB44" i="5"/>
  <c r="O44" i="5"/>
  <c r="AE44" i="5"/>
  <c r="I36" i="5"/>
  <c r="Q36" i="5"/>
  <c r="Y36" i="5"/>
  <c r="AG36" i="5"/>
  <c r="J36" i="5"/>
  <c r="R36" i="5"/>
  <c r="Z36" i="5"/>
  <c r="AH36" i="5"/>
  <c r="K36" i="5"/>
  <c r="S36" i="5"/>
  <c r="AA36" i="5"/>
  <c r="AI36" i="5"/>
  <c r="H36" i="5"/>
  <c r="P36" i="5"/>
  <c r="X36" i="5"/>
  <c r="AF36" i="5"/>
  <c r="T36" i="5"/>
  <c r="AJ36" i="5"/>
  <c r="U36" i="5"/>
  <c r="AK36" i="5"/>
  <c r="V36" i="5"/>
  <c r="AL36" i="5"/>
  <c r="W36" i="5"/>
  <c r="AM36" i="5"/>
  <c r="L36" i="5"/>
  <c r="AB36" i="5"/>
  <c r="O36" i="5"/>
  <c r="AE36" i="5"/>
  <c r="AM54" i="5"/>
  <c r="AC54" i="5"/>
  <c r="S54" i="5"/>
  <c r="AM53" i="5"/>
  <c r="AC53" i="5"/>
  <c r="S53" i="5"/>
  <c r="AI52" i="5"/>
  <c r="U51" i="5"/>
  <c r="M44" i="5"/>
  <c r="M42" i="5"/>
  <c r="M36" i="5"/>
  <c r="M34" i="5"/>
  <c r="F104" i="5"/>
  <c r="H104" i="5"/>
  <c r="P104" i="5"/>
  <c r="X104" i="5"/>
  <c r="AF104" i="5"/>
  <c r="O104" i="5"/>
  <c r="W104" i="5"/>
  <c r="AE104" i="5"/>
  <c r="AM104" i="5"/>
  <c r="I104" i="5"/>
  <c r="S104" i="5"/>
  <c r="AC104" i="5"/>
  <c r="R104" i="5"/>
  <c r="AB104" i="5"/>
  <c r="AL104" i="5"/>
  <c r="N104" i="5"/>
  <c r="AD104" i="5"/>
  <c r="Q104" i="5"/>
  <c r="AG104" i="5"/>
  <c r="T104" i="5"/>
  <c r="AH104" i="5"/>
  <c r="U104" i="5"/>
  <c r="AI104" i="5"/>
  <c r="J104" i="5"/>
  <c r="V104" i="5"/>
  <c r="AJ104" i="5"/>
  <c r="K104" i="5"/>
  <c r="Y104" i="5"/>
  <c r="AK104" i="5"/>
  <c r="L104" i="5"/>
  <c r="Z104" i="5"/>
  <c r="M104" i="5"/>
  <c r="AA104" i="5"/>
  <c r="I99" i="5"/>
  <c r="Q99" i="5"/>
  <c r="Y99" i="5"/>
  <c r="AG99" i="5"/>
  <c r="J99" i="5"/>
  <c r="R99" i="5"/>
  <c r="Z99" i="5"/>
  <c r="AH99" i="5"/>
  <c r="K99" i="5"/>
  <c r="S99" i="5"/>
  <c r="AA99" i="5"/>
  <c r="AI99" i="5"/>
  <c r="H99" i="5"/>
  <c r="P99" i="5"/>
  <c r="X99" i="5"/>
  <c r="AF99" i="5"/>
  <c r="L99" i="5"/>
  <c r="AB99" i="5"/>
  <c r="M99" i="5"/>
  <c r="AC99" i="5"/>
  <c r="T99" i="5"/>
  <c r="AJ99" i="5"/>
  <c r="W99" i="5"/>
  <c r="AM99" i="5"/>
  <c r="N99" i="5"/>
  <c r="O99" i="5"/>
  <c r="U99" i="5"/>
  <c r="AL99" i="5"/>
  <c r="V99" i="5"/>
  <c r="AD99" i="5"/>
  <c r="AE99" i="5"/>
  <c r="AK99" i="5"/>
  <c r="I94" i="5"/>
  <c r="Q94" i="5"/>
  <c r="Y94" i="5"/>
  <c r="AG94" i="5"/>
  <c r="J94" i="5"/>
  <c r="R94" i="5"/>
  <c r="Z94" i="5"/>
  <c r="AH94" i="5"/>
  <c r="K94" i="5"/>
  <c r="S94" i="5"/>
  <c r="AA94" i="5"/>
  <c r="AI94" i="5"/>
  <c r="H94" i="5"/>
  <c r="P94" i="5"/>
  <c r="X94" i="5"/>
  <c r="AF94" i="5"/>
  <c r="L94" i="5"/>
  <c r="AB94" i="5"/>
  <c r="M94" i="5"/>
  <c r="AC94" i="5"/>
  <c r="T94" i="5"/>
  <c r="AJ94" i="5"/>
  <c r="W94" i="5"/>
  <c r="AM94" i="5"/>
  <c r="N94" i="5"/>
  <c r="O94" i="5"/>
  <c r="U94" i="5"/>
  <c r="AL94" i="5"/>
  <c r="V94" i="5"/>
  <c r="AD94" i="5"/>
  <c r="AE94" i="5"/>
  <c r="AK94" i="5"/>
  <c r="L86" i="5"/>
  <c r="T86" i="5"/>
  <c r="AB86" i="5"/>
  <c r="AJ86" i="5"/>
  <c r="K86" i="5"/>
  <c r="S86" i="5"/>
  <c r="AA86" i="5"/>
  <c r="AI86" i="5"/>
  <c r="Q86" i="5"/>
  <c r="AC86" i="5"/>
  <c r="AM86" i="5"/>
  <c r="H86" i="5"/>
  <c r="R86" i="5"/>
  <c r="AD86" i="5"/>
  <c r="I86" i="5"/>
  <c r="U86" i="5"/>
  <c r="AE86" i="5"/>
  <c r="P86" i="5"/>
  <c r="Z86" i="5"/>
  <c r="AL86" i="5"/>
  <c r="J86" i="5"/>
  <c r="AF86" i="5"/>
  <c r="M86" i="5"/>
  <c r="AG86" i="5"/>
  <c r="V86" i="5"/>
  <c r="Y86" i="5"/>
  <c r="N86" i="5"/>
  <c r="O86" i="5"/>
  <c r="W86" i="5"/>
  <c r="X86" i="5"/>
  <c r="AH86" i="5"/>
  <c r="AK86" i="5"/>
  <c r="E73" i="5"/>
  <c r="N73" i="5"/>
  <c r="V73" i="5"/>
  <c r="AD73" i="5"/>
  <c r="AL73" i="5"/>
  <c r="M73" i="5"/>
  <c r="U73" i="5"/>
  <c r="AC73" i="5"/>
  <c r="AK73" i="5"/>
  <c r="K73" i="5"/>
  <c r="W73" i="5"/>
  <c r="AG73" i="5"/>
  <c r="L73" i="5"/>
  <c r="X73" i="5"/>
  <c r="AH73" i="5"/>
  <c r="O73" i="5"/>
  <c r="Y73" i="5"/>
  <c r="AI73" i="5"/>
  <c r="P73" i="5"/>
  <c r="Z73" i="5"/>
  <c r="AJ73" i="5"/>
  <c r="Q73" i="5"/>
  <c r="AA73" i="5"/>
  <c r="AM73" i="5"/>
  <c r="H73" i="5"/>
  <c r="R73" i="5"/>
  <c r="AB73" i="5"/>
  <c r="I73" i="5"/>
  <c r="S73" i="5"/>
  <c r="AE73" i="5"/>
  <c r="J73" i="5"/>
  <c r="T73" i="5"/>
  <c r="AF73" i="5"/>
  <c r="H65" i="5"/>
  <c r="P65" i="5"/>
  <c r="X65" i="5"/>
  <c r="AF65" i="5"/>
  <c r="J65" i="5"/>
  <c r="S65" i="5"/>
  <c r="AB65" i="5"/>
  <c r="AK65" i="5"/>
  <c r="I65" i="5"/>
  <c r="R65" i="5"/>
  <c r="AA65" i="5"/>
  <c r="AJ65" i="5"/>
  <c r="M65" i="5"/>
  <c r="Y65" i="5"/>
  <c r="AL65" i="5"/>
  <c r="N65" i="5"/>
  <c r="Z65" i="5"/>
  <c r="AM65" i="5"/>
  <c r="O65" i="5"/>
  <c r="AC65" i="5"/>
  <c r="Q65" i="5"/>
  <c r="AD65" i="5"/>
  <c r="T65" i="5"/>
  <c r="AE65" i="5"/>
  <c r="U65" i="5"/>
  <c r="AG65" i="5"/>
  <c r="K65" i="5"/>
  <c r="V65" i="5"/>
  <c r="AH65" i="5"/>
  <c r="L65" i="5"/>
  <c r="W65" i="5"/>
  <c r="AI65" i="5"/>
  <c r="H57" i="5"/>
  <c r="P57" i="5"/>
  <c r="X57" i="5"/>
  <c r="AF57" i="5"/>
  <c r="O57" i="5"/>
  <c r="W57" i="5"/>
  <c r="AE57" i="5"/>
  <c r="AM57" i="5"/>
  <c r="I57" i="5"/>
  <c r="S57" i="5"/>
  <c r="AC57" i="5"/>
  <c r="R57" i="5"/>
  <c r="AB57" i="5"/>
  <c r="AL57" i="5"/>
  <c r="J57" i="5"/>
  <c r="V57" i="5"/>
  <c r="AJ57" i="5"/>
  <c r="K57" i="5"/>
  <c r="Y57" i="5"/>
  <c r="AK57" i="5"/>
  <c r="L57" i="5"/>
  <c r="Z57" i="5"/>
  <c r="M57" i="5"/>
  <c r="AA57" i="5"/>
  <c r="N57" i="5"/>
  <c r="AD57" i="5"/>
  <c r="Q57" i="5"/>
  <c r="AG57" i="5"/>
  <c r="T57" i="5"/>
  <c r="AH57" i="5"/>
  <c r="U57" i="5"/>
  <c r="AI57" i="5"/>
  <c r="E49" i="5"/>
  <c r="I49" i="5"/>
  <c r="Q49" i="5"/>
  <c r="Y49" i="5"/>
  <c r="AG49" i="5"/>
  <c r="J49" i="5"/>
  <c r="R49" i="5"/>
  <c r="Z49" i="5"/>
  <c r="AH49" i="5"/>
  <c r="K49" i="5"/>
  <c r="S49" i="5"/>
  <c r="AA49" i="5"/>
  <c r="AI49" i="5"/>
  <c r="M49" i="5"/>
  <c r="X49" i="5"/>
  <c r="AL49" i="5"/>
  <c r="N49" i="5"/>
  <c r="AB49" i="5"/>
  <c r="AM49" i="5"/>
  <c r="O49" i="5"/>
  <c r="AC49" i="5"/>
  <c r="P49" i="5"/>
  <c r="AD49" i="5"/>
  <c r="T49" i="5"/>
  <c r="AE49" i="5"/>
  <c r="L49" i="5"/>
  <c r="W49" i="5"/>
  <c r="AK49" i="5"/>
  <c r="I41" i="5"/>
  <c r="Q41" i="5"/>
  <c r="Y41" i="5"/>
  <c r="AG41" i="5"/>
  <c r="J41" i="5"/>
  <c r="R41" i="5"/>
  <c r="Z41" i="5"/>
  <c r="AH41" i="5"/>
  <c r="K41" i="5"/>
  <c r="S41" i="5"/>
  <c r="AA41" i="5"/>
  <c r="AI41" i="5"/>
  <c r="H41" i="5"/>
  <c r="P41" i="5"/>
  <c r="X41" i="5"/>
  <c r="AF41" i="5"/>
  <c r="T41" i="5"/>
  <c r="AJ41" i="5"/>
  <c r="U41" i="5"/>
  <c r="AK41" i="5"/>
  <c r="V41" i="5"/>
  <c r="AL41" i="5"/>
  <c r="W41" i="5"/>
  <c r="AM41" i="5"/>
  <c r="L41" i="5"/>
  <c r="AB41" i="5"/>
  <c r="O41" i="5"/>
  <c r="AE41" i="5"/>
  <c r="E9" i="5"/>
  <c r="AL54" i="5"/>
  <c r="AB54" i="5"/>
  <c r="AL53" i="5"/>
  <c r="AB53" i="5"/>
  <c r="O53" i="5"/>
  <c r="AC52" i="5"/>
  <c r="V49" i="5"/>
  <c r="AD47" i="5"/>
  <c r="AD45" i="5"/>
  <c r="AD43" i="5"/>
  <c r="AD41" i="5"/>
  <c r="AD39" i="5"/>
  <c r="AD37" i="5"/>
  <c r="AD35" i="5"/>
  <c r="E91" i="5"/>
  <c r="I91" i="5"/>
  <c r="Q91" i="5"/>
  <c r="Y91" i="5"/>
  <c r="AG91" i="5"/>
  <c r="J91" i="5"/>
  <c r="R91" i="5"/>
  <c r="Z91" i="5"/>
  <c r="AH91" i="5"/>
  <c r="K91" i="5"/>
  <c r="S91" i="5"/>
  <c r="AA91" i="5"/>
  <c r="AI91" i="5"/>
  <c r="H91" i="5"/>
  <c r="P91" i="5"/>
  <c r="X91" i="5"/>
  <c r="AF91" i="5"/>
  <c r="L91" i="5"/>
  <c r="AB91" i="5"/>
  <c r="M91" i="5"/>
  <c r="AC91" i="5"/>
  <c r="T91" i="5"/>
  <c r="AJ91" i="5"/>
  <c r="W91" i="5"/>
  <c r="AM91" i="5"/>
  <c r="N91" i="5"/>
  <c r="O91" i="5"/>
  <c r="U91" i="5"/>
  <c r="AL91" i="5"/>
  <c r="V91" i="5"/>
  <c r="AD91" i="5"/>
  <c r="AE91" i="5"/>
  <c r="AK91" i="5"/>
  <c r="L83" i="5"/>
  <c r="T83" i="5"/>
  <c r="AB83" i="5"/>
  <c r="AJ83" i="5"/>
  <c r="K83" i="5"/>
  <c r="S83" i="5"/>
  <c r="AA83" i="5"/>
  <c r="AI83" i="5"/>
  <c r="Q83" i="5"/>
  <c r="AC83" i="5"/>
  <c r="AM83" i="5"/>
  <c r="H83" i="5"/>
  <c r="R83" i="5"/>
  <c r="AD83" i="5"/>
  <c r="I83" i="5"/>
  <c r="U83" i="5"/>
  <c r="AE83" i="5"/>
  <c r="P83" i="5"/>
  <c r="Z83" i="5"/>
  <c r="AL83" i="5"/>
  <c r="V83" i="5"/>
  <c r="W83" i="5"/>
  <c r="J83" i="5"/>
  <c r="AF83" i="5"/>
  <c r="O83" i="5"/>
  <c r="AK83" i="5"/>
  <c r="X83" i="5"/>
  <c r="Y83" i="5"/>
  <c r="AG83" i="5"/>
  <c r="N83" i="5"/>
  <c r="M83" i="5"/>
  <c r="AH83" i="5"/>
  <c r="N78" i="5"/>
  <c r="V78" i="5"/>
  <c r="AD78" i="5"/>
  <c r="AL78" i="5"/>
  <c r="O78" i="5"/>
  <c r="X78" i="5"/>
  <c r="AG78" i="5"/>
  <c r="P78" i="5"/>
  <c r="Y78" i="5"/>
  <c r="AH78" i="5"/>
  <c r="H78" i="5"/>
  <c r="Q78" i="5"/>
  <c r="Z78" i="5"/>
  <c r="AI78" i="5"/>
  <c r="I78" i="5"/>
  <c r="R78" i="5"/>
  <c r="AA78" i="5"/>
  <c r="AJ78" i="5"/>
  <c r="J78" i="5"/>
  <c r="S78" i="5"/>
  <c r="AB78" i="5"/>
  <c r="AK78" i="5"/>
  <c r="K78" i="5"/>
  <c r="T78" i="5"/>
  <c r="AC78" i="5"/>
  <c r="AM78" i="5"/>
  <c r="L78" i="5"/>
  <c r="U78" i="5"/>
  <c r="AE78" i="5"/>
  <c r="M78" i="5"/>
  <c r="W78" i="5"/>
  <c r="AF78" i="5"/>
  <c r="H70" i="5"/>
  <c r="N70" i="5"/>
  <c r="V70" i="5"/>
  <c r="AD70" i="5"/>
  <c r="AL70" i="5"/>
  <c r="M70" i="5"/>
  <c r="U70" i="5"/>
  <c r="AC70" i="5"/>
  <c r="AK70" i="5"/>
  <c r="K70" i="5"/>
  <c r="W70" i="5"/>
  <c r="AG70" i="5"/>
  <c r="L70" i="5"/>
  <c r="X70" i="5"/>
  <c r="AH70" i="5"/>
  <c r="O70" i="5"/>
  <c r="Y70" i="5"/>
  <c r="AI70" i="5"/>
  <c r="P70" i="5"/>
  <c r="Z70" i="5"/>
  <c r="AJ70" i="5"/>
  <c r="Q70" i="5"/>
  <c r="AA70" i="5"/>
  <c r="AM70" i="5"/>
  <c r="R70" i="5"/>
  <c r="AB70" i="5"/>
  <c r="I70" i="5"/>
  <c r="S70" i="5"/>
  <c r="AE70" i="5"/>
  <c r="J70" i="5"/>
  <c r="T70" i="5"/>
  <c r="AF70" i="5"/>
  <c r="F62" i="5"/>
  <c r="H62" i="5"/>
  <c r="P62" i="5"/>
  <c r="X62" i="5"/>
  <c r="AF62" i="5"/>
  <c r="O62" i="5"/>
  <c r="W62" i="5"/>
  <c r="AE62" i="5"/>
  <c r="AM62" i="5"/>
  <c r="I62" i="5"/>
  <c r="S62" i="5"/>
  <c r="AC62" i="5"/>
  <c r="R62" i="5"/>
  <c r="AB62" i="5"/>
  <c r="AL62" i="5"/>
  <c r="T62" i="5"/>
  <c r="AH62" i="5"/>
  <c r="U62" i="5"/>
  <c r="AI62" i="5"/>
  <c r="J62" i="5"/>
  <c r="V62" i="5"/>
  <c r="AJ62" i="5"/>
  <c r="K62" i="5"/>
  <c r="Y62" i="5"/>
  <c r="AK62" i="5"/>
  <c r="L62" i="5"/>
  <c r="Z62" i="5"/>
  <c r="M62" i="5"/>
  <c r="AA62" i="5"/>
  <c r="N62" i="5"/>
  <c r="AD62" i="5"/>
  <c r="Q62" i="5"/>
  <c r="AG62" i="5"/>
  <c r="J54" i="5"/>
  <c r="R54" i="5"/>
  <c r="Z54" i="5"/>
  <c r="AH54" i="5"/>
  <c r="I54" i="5"/>
  <c r="Q54" i="5"/>
  <c r="Y54" i="5"/>
  <c r="AG54" i="5"/>
  <c r="F46" i="5"/>
  <c r="I46" i="5"/>
  <c r="Q46" i="5"/>
  <c r="Y46" i="5"/>
  <c r="AG46" i="5"/>
  <c r="J46" i="5"/>
  <c r="R46" i="5"/>
  <c r="Z46" i="5"/>
  <c r="AH46" i="5"/>
  <c r="K46" i="5"/>
  <c r="S46" i="5"/>
  <c r="AA46" i="5"/>
  <c r="AI46" i="5"/>
  <c r="H46" i="5"/>
  <c r="P46" i="5"/>
  <c r="X46" i="5"/>
  <c r="AF46" i="5"/>
  <c r="T46" i="5"/>
  <c r="AJ46" i="5"/>
  <c r="U46" i="5"/>
  <c r="AK46" i="5"/>
  <c r="V46" i="5"/>
  <c r="AL46" i="5"/>
  <c r="W46" i="5"/>
  <c r="AM46" i="5"/>
  <c r="L46" i="5"/>
  <c r="AB46" i="5"/>
  <c r="O46" i="5"/>
  <c r="AE46" i="5"/>
  <c r="I38" i="5"/>
  <c r="Q38" i="5"/>
  <c r="Y38" i="5"/>
  <c r="AG38" i="5"/>
  <c r="J38" i="5"/>
  <c r="R38" i="5"/>
  <c r="Z38" i="5"/>
  <c r="AH38" i="5"/>
  <c r="K38" i="5"/>
  <c r="S38" i="5"/>
  <c r="AA38" i="5"/>
  <c r="AI38" i="5"/>
  <c r="H38" i="5"/>
  <c r="P38" i="5"/>
  <c r="X38" i="5"/>
  <c r="AF38" i="5"/>
  <c r="T38" i="5"/>
  <c r="AJ38" i="5"/>
  <c r="U38" i="5"/>
  <c r="AK38" i="5"/>
  <c r="V38" i="5"/>
  <c r="AL38" i="5"/>
  <c r="W38" i="5"/>
  <c r="AM38" i="5"/>
  <c r="L38" i="5"/>
  <c r="AB38" i="5"/>
  <c r="O38" i="5"/>
  <c r="AE38" i="5"/>
  <c r="AK54" i="5"/>
  <c r="AA54" i="5"/>
  <c r="O54" i="5"/>
  <c r="AK53" i="5"/>
  <c r="AA53" i="5"/>
  <c r="N53" i="5"/>
  <c r="AB52" i="5"/>
  <c r="AM50" i="5"/>
  <c r="U49" i="5"/>
  <c r="AC47" i="5"/>
  <c r="AC45" i="5"/>
  <c r="AC41" i="5"/>
  <c r="AC39" i="5"/>
  <c r="AC37" i="5"/>
  <c r="I96" i="5"/>
  <c r="Q96" i="5"/>
  <c r="Y96" i="5"/>
  <c r="AG96" i="5"/>
  <c r="J96" i="5"/>
  <c r="R96" i="5"/>
  <c r="Z96" i="5"/>
  <c r="AH96" i="5"/>
  <c r="K96" i="5"/>
  <c r="S96" i="5"/>
  <c r="AA96" i="5"/>
  <c r="AI96" i="5"/>
  <c r="H96" i="5"/>
  <c r="P96" i="5"/>
  <c r="X96" i="5"/>
  <c r="AF96" i="5"/>
  <c r="L96" i="5"/>
  <c r="AB96" i="5"/>
  <c r="M96" i="5"/>
  <c r="AC96" i="5"/>
  <c r="T96" i="5"/>
  <c r="AJ96" i="5"/>
  <c r="W96" i="5"/>
  <c r="AM96" i="5"/>
  <c r="N96" i="5"/>
  <c r="O96" i="5"/>
  <c r="U96" i="5"/>
  <c r="AL96" i="5"/>
  <c r="V96" i="5"/>
  <c r="AD96" i="5"/>
  <c r="AE96" i="5"/>
  <c r="AK96" i="5"/>
  <c r="L88" i="5"/>
  <c r="T88" i="5"/>
  <c r="AB88" i="5"/>
  <c r="AJ88" i="5"/>
  <c r="K88" i="5"/>
  <c r="S88" i="5"/>
  <c r="AA88" i="5"/>
  <c r="AI88" i="5"/>
  <c r="Q88" i="5"/>
  <c r="AC88" i="5"/>
  <c r="AM88" i="5"/>
  <c r="H88" i="5"/>
  <c r="R88" i="5"/>
  <c r="AD88" i="5"/>
  <c r="I88" i="5"/>
  <c r="U88" i="5"/>
  <c r="AE88" i="5"/>
  <c r="P88" i="5"/>
  <c r="Z88" i="5"/>
  <c r="AL88" i="5"/>
  <c r="J88" i="5"/>
  <c r="AF88" i="5"/>
  <c r="M88" i="5"/>
  <c r="AG88" i="5"/>
  <c r="V88" i="5"/>
  <c r="Y88" i="5"/>
  <c r="AH88" i="5"/>
  <c r="AK88" i="5"/>
  <c r="X88" i="5"/>
  <c r="N88" i="5"/>
  <c r="O88" i="5"/>
  <c r="W88" i="5"/>
  <c r="L80" i="5"/>
  <c r="T80" i="5"/>
  <c r="AB80" i="5"/>
  <c r="AJ80" i="5"/>
  <c r="M80" i="5"/>
  <c r="U80" i="5"/>
  <c r="N80" i="5"/>
  <c r="V80" i="5"/>
  <c r="O80" i="5"/>
  <c r="W80" i="5"/>
  <c r="H80" i="5"/>
  <c r="P80" i="5"/>
  <c r="X80" i="5"/>
  <c r="I80" i="5"/>
  <c r="Q80" i="5"/>
  <c r="Y80" i="5"/>
  <c r="J80" i="5"/>
  <c r="R80" i="5"/>
  <c r="Z80" i="5"/>
  <c r="K80" i="5"/>
  <c r="S80" i="5"/>
  <c r="AA80" i="5"/>
  <c r="AI80" i="5"/>
  <c r="AC80" i="5"/>
  <c r="AM80" i="5"/>
  <c r="AD80" i="5"/>
  <c r="AE80" i="5"/>
  <c r="AL80" i="5"/>
  <c r="AF80" i="5"/>
  <c r="AG80" i="5"/>
  <c r="AH80" i="5"/>
  <c r="AK80" i="5"/>
  <c r="E75" i="5"/>
  <c r="N75" i="5"/>
  <c r="V75" i="5"/>
  <c r="AD75" i="5"/>
  <c r="AL75" i="5"/>
  <c r="J75" i="5"/>
  <c r="S75" i="5"/>
  <c r="AB75" i="5"/>
  <c r="AK75" i="5"/>
  <c r="K75" i="5"/>
  <c r="T75" i="5"/>
  <c r="AC75" i="5"/>
  <c r="AM75" i="5"/>
  <c r="L75" i="5"/>
  <c r="U75" i="5"/>
  <c r="AE75" i="5"/>
  <c r="M75" i="5"/>
  <c r="W75" i="5"/>
  <c r="AF75" i="5"/>
  <c r="O75" i="5"/>
  <c r="X75" i="5"/>
  <c r="AG75" i="5"/>
  <c r="P75" i="5"/>
  <c r="Y75" i="5"/>
  <c r="AH75" i="5"/>
  <c r="H75" i="5"/>
  <c r="Q75" i="5"/>
  <c r="Z75" i="5"/>
  <c r="AI75" i="5"/>
  <c r="I75" i="5"/>
  <c r="R75" i="5"/>
  <c r="AA75" i="5"/>
  <c r="AJ75" i="5"/>
  <c r="H67" i="5"/>
  <c r="P67" i="5"/>
  <c r="X67" i="5"/>
  <c r="AF67" i="5"/>
  <c r="J67" i="5"/>
  <c r="S67" i="5"/>
  <c r="AB67" i="5"/>
  <c r="AK67" i="5"/>
  <c r="I67" i="5"/>
  <c r="R67" i="5"/>
  <c r="AA67" i="5"/>
  <c r="AJ67" i="5"/>
  <c r="K67" i="5"/>
  <c r="V67" i="5"/>
  <c r="AH67" i="5"/>
  <c r="L67" i="5"/>
  <c r="W67" i="5"/>
  <c r="AI67" i="5"/>
  <c r="M67" i="5"/>
  <c r="Y67" i="5"/>
  <c r="AL67" i="5"/>
  <c r="N67" i="5"/>
  <c r="Z67" i="5"/>
  <c r="AM67" i="5"/>
  <c r="O67" i="5"/>
  <c r="AC67" i="5"/>
  <c r="Q67" i="5"/>
  <c r="AD67" i="5"/>
  <c r="T67" i="5"/>
  <c r="AE67" i="5"/>
  <c r="U67" i="5"/>
  <c r="AG67" i="5"/>
  <c r="F59" i="5"/>
  <c r="H59" i="5"/>
  <c r="P59" i="5"/>
  <c r="X59" i="5"/>
  <c r="AF59" i="5"/>
  <c r="O59" i="5"/>
  <c r="W59" i="5"/>
  <c r="AE59" i="5"/>
  <c r="AM59" i="5"/>
  <c r="I59" i="5"/>
  <c r="S59" i="5"/>
  <c r="AC59" i="5"/>
  <c r="R59" i="5"/>
  <c r="AB59" i="5"/>
  <c r="AL59" i="5"/>
  <c r="N59" i="5"/>
  <c r="AD59" i="5"/>
  <c r="Q59" i="5"/>
  <c r="AG59" i="5"/>
  <c r="T59" i="5"/>
  <c r="AH59" i="5"/>
  <c r="U59" i="5"/>
  <c r="AI59" i="5"/>
  <c r="J59" i="5"/>
  <c r="V59" i="5"/>
  <c r="AJ59" i="5"/>
  <c r="K59" i="5"/>
  <c r="Y59" i="5"/>
  <c r="AK59" i="5"/>
  <c r="L59" i="5"/>
  <c r="Z59" i="5"/>
  <c r="M59" i="5"/>
  <c r="AA59" i="5"/>
  <c r="I51" i="5"/>
  <c r="Q51" i="5"/>
  <c r="Y51" i="5"/>
  <c r="AG51" i="5"/>
  <c r="J51" i="5"/>
  <c r="R51" i="5"/>
  <c r="Z51" i="5"/>
  <c r="AH51" i="5"/>
  <c r="K51" i="5"/>
  <c r="S51" i="5"/>
  <c r="AA51" i="5"/>
  <c r="AI51" i="5"/>
  <c r="M51" i="5"/>
  <c r="X51" i="5"/>
  <c r="AL51" i="5"/>
  <c r="N51" i="5"/>
  <c r="AB51" i="5"/>
  <c r="AM51" i="5"/>
  <c r="O51" i="5"/>
  <c r="AC51" i="5"/>
  <c r="P51" i="5"/>
  <c r="AD51" i="5"/>
  <c r="T51" i="5"/>
  <c r="AE51" i="5"/>
  <c r="L51" i="5"/>
  <c r="W51" i="5"/>
  <c r="AK51" i="5"/>
  <c r="I43" i="5"/>
  <c r="Q43" i="5"/>
  <c r="Y43" i="5"/>
  <c r="AG43" i="5"/>
  <c r="J43" i="5"/>
  <c r="R43" i="5"/>
  <c r="Z43" i="5"/>
  <c r="AH43" i="5"/>
  <c r="K43" i="5"/>
  <c r="S43" i="5"/>
  <c r="AA43" i="5"/>
  <c r="AI43" i="5"/>
  <c r="H43" i="5"/>
  <c r="P43" i="5"/>
  <c r="X43" i="5"/>
  <c r="AF43" i="5"/>
  <c r="T43" i="5"/>
  <c r="AJ43" i="5"/>
  <c r="U43" i="5"/>
  <c r="AK43" i="5"/>
  <c r="V43" i="5"/>
  <c r="AL43" i="5"/>
  <c r="W43" i="5"/>
  <c r="AM43" i="5"/>
  <c r="L43" i="5"/>
  <c r="AB43" i="5"/>
  <c r="O43" i="5"/>
  <c r="AE43" i="5"/>
  <c r="E43" i="5"/>
  <c r="I35" i="5"/>
  <c r="Q35" i="5"/>
  <c r="Y35" i="5"/>
  <c r="AG35" i="5"/>
  <c r="J35" i="5"/>
  <c r="R35" i="5"/>
  <c r="Z35" i="5"/>
  <c r="AH35" i="5"/>
  <c r="K35" i="5"/>
  <c r="S35" i="5"/>
  <c r="AA35" i="5"/>
  <c r="AI35" i="5"/>
  <c r="H35" i="5"/>
  <c r="P35" i="5"/>
  <c r="X35" i="5"/>
  <c r="AF35" i="5"/>
  <c r="T35" i="5"/>
  <c r="AJ35" i="5"/>
  <c r="U35" i="5"/>
  <c r="AK35" i="5"/>
  <c r="V35" i="5"/>
  <c r="AL35" i="5"/>
  <c r="W35" i="5"/>
  <c r="AM35" i="5"/>
  <c r="L35" i="5"/>
  <c r="AB35" i="5"/>
  <c r="O35" i="5"/>
  <c r="AE35" i="5"/>
  <c r="AJ54" i="5"/>
  <c r="X54" i="5"/>
  <c r="N54" i="5"/>
  <c r="AJ53" i="5"/>
  <c r="X53" i="5"/>
  <c r="M53" i="5"/>
  <c r="O52" i="5"/>
  <c r="AC50" i="5"/>
  <c r="H49" i="5"/>
  <c r="N47" i="5"/>
  <c r="N45" i="5"/>
  <c r="N43" i="5"/>
  <c r="N41" i="5"/>
  <c r="N39" i="5"/>
  <c r="N37" i="5"/>
  <c r="N35" i="5"/>
  <c r="I93" i="5"/>
  <c r="Q93" i="5"/>
  <c r="Y93" i="5"/>
  <c r="AG93" i="5"/>
  <c r="J93" i="5"/>
  <c r="R93" i="5"/>
  <c r="Z93" i="5"/>
  <c r="AH93" i="5"/>
  <c r="K93" i="5"/>
  <c r="S93" i="5"/>
  <c r="AA93" i="5"/>
  <c r="AI93" i="5"/>
  <c r="H93" i="5"/>
  <c r="P93" i="5"/>
  <c r="X93" i="5"/>
  <c r="AF93" i="5"/>
  <c r="L93" i="5"/>
  <c r="AB93" i="5"/>
  <c r="M93" i="5"/>
  <c r="AC93" i="5"/>
  <c r="T93" i="5"/>
  <c r="AJ93" i="5"/>
  <c r="W93" i="5"/>
  <c r="AM93" i="5"/>
  <c r="N93" i="5"/>
  <c r="O93" i="5"/>
  <c r="U93" i="5"/>
  <c r="AL93" i="5"/>
  <c r="V93" i="5"/>
  <c r="AD93" i="5"/>
  <c r="AE93" i="5"/>
  <c r="AK93" i="5"/>
  <c r="G85" i="5"/>
  <c r="L85" i="5"/>
  <c r="T85" i="5"/>
  <c r="AB85" i="5"/>
  <c r="AJ85" i="5"/>
  <c r="K85" i="5"/>
  <c r="S85" i="5"/>
  <c r="AA85" i="5"/>
  <c r="AI85" i="5"/>
  <c r="Q85" i="5"/>
  <c r="AC85" i="5"/>
  <c r="AM85" i="5"/>
  <c r="H85" i="5"/>
  <c r="R85" i="5"/>
  <c r="AD85" i="5"/>
  <c r="I85" i="5"/>
  <c r="U85" i="5"/>
  <c r="AE85" i="5"/>
  <c r="P85" i="5"/>
  <c r="Z85" i="5"/>
  <c r="AL85" i="5"/>
  <c r="V85" i="5"/>
  <c r="W85" i="5"/>
  <c r="J85" i="5"/>
  <c r="AF85" i="5"/>
  <c r="O85" i="5"/>
  <c r="AK85" i="5"/>
  <c r="M85" i="5"/>
  <c r="AH85" i="5"/>
  <c r="N85" i="5"/>
  <c r="X85" i="5"/>
  <c r="Y85" i="5"/>
  <c r="AG85" i="5"/>
  <c r="N72" i="5"/>
  <c r="V72" i="5"/>
  <c r="AD72" i="5"/>
  <c r="AL72" i="5"/>
  <c r="M72" i="5"/>
  <c r="U72" i="5"/>
  <c r="AC72" i="5"/>
  <c r="AK72" i="5"/>
  <c r="K72" i="5"/>
  <c r="W72" i="5"/>
  <c r="AG72" i="5"/>
  <c r="L72" i="5"/>
  <c r="X72" i="5"/>
  <c r="AH72" i="5"/>
  <c r="O72" i="5"/>
  <c r="Y72" i="5"/>
  <c r="AI72" i="5"/>
  <c r="P72" i="5"/>
  <c r="Z72" i="5"/>
  <c r="AJ72" i="5"/>
  <c r="Q72" i="5"/>
  <c r="AA72" i="5"/>
  <c r="AM72" i="5"/>
  <c r="H72" i="5"/>
  <c r="R72" i="5"/>
  <c r="AB72" i="5"/>
  <c r="I72" i="5"/>
  <c r="S72" i="5"/>
  <c r="AE72" i="5"/>
  <c r="J72" i="5"/>
  <c r="T72" i="5"/>
  <c r="AF72" i="5"/>
  <c r="F64" i="5"/>
  <c r="H64" i="5"/>
  <c r="P64" i="5"/>
  <c r="X64" i="5"/>
  <c r="AF64" i="5"/>
  <c r="N64" i="5"/>
  <c r="W64" i="5"/>
  <c r="AG64" i="5"/>
  <c r="M64" i="5"/>
  <c r="V64" i="5"/>
  <c r="AE64" i="5"/>
  <c r="I64" i="5"/>
  <c r="T64" i="5"/>
  <c r="AH64" i="5"/>
  <c r="J64" i="5"/>
  <c r="U64" i="5"/>
  <c r="AI64" i="5"/>
  <c r="K64" i="5"/>
  <c r="Y64" i="5"/>
  <c r="AJ64" i="5"/>
  <c r="L64" i="5"/>
  <c r="Z64" i="5"/>
  <c r="AK64" i="5"/>
  <c r="O64" i="5"/>
  <c r="AA64" i="5"/>
  <c r="AL64" i="5"/>
  <c r="Q64" i="5"/>
  <c r="AB64" i="5"/>
  <c r="AM64" i="5"/>
  <c r="R64" i="5"/>
  <c r="AC64" i="5"/>
  <c r="S64" i="5"/>
  <c r="AD64" i="5"/>
  <c r="H56" i="5"/>
  <c r="P56" i="5"/>
  <c r="X56" i="5"/>
  <c r="AF56" i="5"/>
  <c r="O56" i="5"/>
  <c r="W56" i="5"/>
  <c r="AE56" i="5"/>
  <c r="AM56" i="5"/>
  <c r="I56" i="5"/>
  <c r="S56" i="5"/>
  <c r="AC56" i="5"/>
  <c r="R56" i="5"/>
  <c r="AB56" i="5"/>
  <c r="AL56" i="5"/>
  <c r="L56" i="5"/>
  <c r="Z56" i="5"/>
  <c r="M56" i="5"/>
  <c r="AA56" i="5"/>
  <c r="N56" i="5"/>
  <c r="AD56" i="5"/>
  <c r="Q56" i="5"/>
  <c r="AG56" i="5"/>
  <c r="T56" i="5"/>
  <c r="AH56" i="5"/>
  <c r="U56" i="5"/>
  <c r="AI56" i="5"/>
  <c r="J56" i="5"/>
  <c r="V56" i="5"/>
  <c r="AJ56" i="5"/>
  <c r="K56" i="5"/>
  <c r="Y56" i="5"/>
  <c r="AK56" i="5"/>
  <c r="I48" i="5"/>
  <c r="Q48" i="5"/>
  <c r="Y48" i="5"/>
  <c r="AG48" i="5"/>
  <c r="J48" i="5"/>
  <c r="R48" i="5"/>
  <c r="Z48" i="5"/>
  <c r="AH48" i="5"/>
  <c r="K48" i="5"/>
  <c r="S48" i="5"/>
  <c r="AA48" i="5"/>
  <c r="AI48" i="5"/>
  <c r="H48" i="5"/>
  <c r="P48" i="5"/>
  <c r="T48" i="5"/>
  <c r="AE48" i="5"/>
  <c r="U48" i="5"/>
  <c r="AF48" i="5"/>
  <c r="V48" i="5"/>
  <c r="AJ48" i="5"/>
  <c r="W48" i="5"/>
  <c r="AK48" i="5"/>
  <c r="L48" i="5"/>
  <c r="X48" i="5"/>
  <c r="AL48" i="5"/>
  <c r="O48" i="5"/>
  <c r="AD48" i="5"/>
  <c r="I40" i="5"/>
  <c r="Q40" i="5"/>
  <c r="Y40" i="5"/>
  <c r="AG40" i="5"/>
  <c r="J40" i="5"/>
  <c r="R40" i="5"/>
  <c r="Z40" i="5"/>
  <c r="AH40" i="5"/>
  <c r="K40" i="5"/>
  <c r="S40" i="5"/>
  <c r="AA40" i="5"/>
  <c r="AI40" i="5"/>
  <c r="H40" i="5"/>
  <c r="P40" i="5"/>
  <c r="X40" i="5"/>
  <c r="AF40" i="5"/>
  <c r="T40" i="5"/>
  <c r="AJ40" i="5"/>
  <c r="U40" i="5"/>
  <c r="AK40" i="5"/>
  <c r="V40" i="5"/>
  <c r="AL40" i="5"/>
  <c r="W40" i="5"/>
  <c r="AM40" i="5"/>
  <c r="L40" i="5"/>
  <c r="AB40" i="5"/>
  <c r="O40" i="5"/>
  <c r="AE40" i="5"/>
  <c r="AI54" i="5"/>
  <c r="W54" i="5"/>
  <c r="M54" i="5"/>
  <c r="AI53" i="5"/>
  <c r="W53" i="5"/>
  <c r="N52" i="5"/>
  <c r="AB50" i="5"/>
  <c r="AM48" i="5"/>
  <c r="M47" i="5"/>
  <c r="M43" i="5"/>
  <c r="M41" i="5"/>
  <c r="M39" i="5"/>
  <c r="M35" i="5"/>
  <c r="I98" i="5"/>
  <c r="Q98" i="5"/>
  <c r="Y98" i="5"/>
  <c r="AG98" i="5"/>
  <c r="J98" i="5"/>
  <c r="R98" i="5"/>
  <c r="Z98" i="5"/>
  <c r="AH98" i="5"/>
  <c r="K98" i="5"/>
  <c r="S98" i="5"/>
  <c r="AA98" i="5"/>
  <c r="AI98" i="5"/>
  <c r="H98" i="5"/>
  <c r="P98" i="5"/>
  <c r="X98" i="5"/>
  <c r="AF98" i="5"/>
  <c r="L98" i="5"/>
  <c r="AB98" i="5"/>
  <c r="M98" i="5"/>
  <c r="AC98" i="5"/>
  <c r="T98" i="5"/>
  <c r="AJ98" i="5"/>
  <c r="W98" i="5"/>
  <c r="AM98" i="5"/>
  <c r="N98" i="5"/>
  <c r="O98" i="5"/>
  <c r="U98" i="5"/>
  <c r="AL98" i="5"/>
  <c r="V98" i="5"/>
  <c r="AD98" i="5"/>
  <c r="AE98" i="5"/>
  <c r="AK98" i="5"/>
  <c r="L90" i="5"/>
  <c r="K90" i="5"/>
  <c r="Q90" i="5"/>
  <c r="Y90" i="5"/>
  <c r="AG90" i="5"/>
  <c r="H90" i="5"/>
  <c r="R90" i="5"/>
  <c r="Z90" i="5"/>
  <c r="AH90" i="5"/>
  <c r="I90" i="5"/>
  <c r="S90" i="5"/>
  <c r="AA90" i="5"/>
  <c r="AI90" i="5"/>
  <c r="P90" i="5"/>
  <c r="X90" i="5"/>
  <c r="AF90" i="5"/>
  <c r="J90" i="5"/>
  <c r="AB90" i="5"/>
  <c r="M90" i="5"/>
  <c r="AC90" i="5"/>
  <c r="T90" i="5"/>
  <c r="AJ90" i="5"/>
  <c r="W90" i="5"/>
  <c r="AM90" i="5"/>
  <c r="N90" i="5"/>
  <c r="O90" i="5"/>
  <c r="U90" i="5"/>
  <c r="AL90" i="5"/>
  <c r="V90" i="5"/>
  <c r="AD90" i="5"/>
  <c r="AE90" i="5"/>
  <c r="AK90" i="5"/>
  <c r="L82" i="5"/>
  <c r="T82" i="5"/>
  <c r="AB82" i="5"/>
  <c r="AJ82" i="5"/>
  <c r="K82" i="5"/>
  <c r="S82" i="5"/>
  <c r="AA82" i="5"/>
  <c r="AI82" i="5"/>
  <c r="Q82" i="5"/>
  <c r="AC82" i="5"/>
  <c r="AM82" i="5"/>
  <c r="H82" i="5"/>
  <c r="R82" i="5"/>
  <c r="AD82" i="5"/>
  <c r="I82" i="5"/>
  <c r="U82" i="5"/>
  <c r="AE82" i="5"/>
  <c r="P82" i="5"/>
  <c r="Z82" i="5"/>
  <c r="AL82" i="5"/>
  <c r="J82" i="5"/>
  <c r="AF82" i="5"/>
  <c r="M82" i="5"/>
  <c r="AG82" i="5"/>
  <c r="V82" i="5"/>
  <c r="Y82" i="5"/>
  <c r="N82" i="5"/>
  <c r="O82" i="5"/>
  <c r="W82" i="5"/>
  <c r="X82" i="5"/>
  <c r="AH82" i="5"/>
  <c r="AK82" i="5"/>
  <c r="G77" i="5"/>
  <c r="N77" i="5"/>
  <c r="V77" i="5"/>
  <c r="AD77" i="5"/>
  <c r="AL77" i="5"/>
  <c r="J77" i="5"/>
  <c r="S77" i="5"/>
  <c r="AB77" i="5"/>
  <c r="AK77" i="5"/>
  <c r="K77" i="5"/>
  <c r="T77" i="5"/>
  <c r="AC77" i="5"/>
  <c r="AM77" i="5"/>
  <c r="L77" i="5"/>
  <c r="U77" i="5"/>
  <c r="AE77" i="5"/>
  <c r="M77" i="5"/>
  <c r="W77" i="5"/>
  <c r="AF77" i="5"/>
  <c r="O77" i="5"/>
  <c r="X77" i="5"/>
  <c r="AG77" i="5"/>
  <c r="P77" i="5"/>
  <c r="Y77" i="5"/>
  <c r="AH77" i="5"/>
  <c r="H77" i="5"/>
  <c r="Q77" i="5"/>
  <c r="Z77" i="5"/>
  <c r="AI77" i="5"/>
  <c r="I77" i="5"/>
  <c r="R77" i="5"/>
  <c r="AA77" i="5"/>
  <c r="AJ77" i="5"/>
  <c r="H69" i="5"/>
  <c r="P69" i="5"/>
  <c r="X69" i="5"/>
  <c r="AF69" i="5"/>
  <c r="J69" i="5"/>
  <c r="S69" i="5"/>
  <c r="AB69" i="5"/>
  <c r="AK69" i="5"/>
  <c r="I69" i="5"/>
  <c r="R69" i="5"/>
  <c r="AA69" i="5"/>
  <c r="AJ69" i="5"/>
  <c r="T69" i="5"/>
  <c r="AE69" i="5"/>
  <c r="U69" i="5"/>
  <c r="AG69" i="5"/>
  <c r="K69" i="5"/>
  <c r="V69" i="5"/>
  <c r="AH69" i="5"/>
  <c r="L69" i="5"/>
  <c r="W69" i="5"/>
  <c r="AI69" i="5"/>
  <c r="M69" i="5"/>
  <c r="Y69" i="5"/>
  <c r="AL69" i="5"/>
  <c r="N69" i="5"/>
  <c r="Z69" i="5"/>
  <c r="AM69" i="5"/>
  <c r="O69" i="5"/>
  <c r="AC69" i="5"/>
  <c r="Q69" i="5"/>
  <c r="AD69" i="5"/>
  <c r="G61" i="5"/>
  <c r="H61" i="5"/>
  <c r="P61" i="5"/>
  <c r="X61" i="5"/>
  <c r="AF61" i="5"/>
  <c r="O61" i="5"/>
  <c r="W61" i="5"/>
  <c r="AE61" i="5"/>
  <c r="AM61" i="5"/>
  <c r="I61" i="5"/>
  <c r="S61" i="5"/>
  <c r="AC61" i="5"/>
  <c r="R61" i="5"/>
  <c r="AB61" i="5"/>
  <c r="AL61" i="5"/>
  <c r="J61" i="5"/>
  <c r="V61" i="5"/>
  <c r="AJ61" i="5"/>
  <c r="K61" i="5"/>
  <c r="Y61" i="5"/>
  <c r="AK61" i="5"/>
  <c r="L61" i="5"/>
  <c r="Z61" i="5"/>
  <c r="M61" i="5"/>
  <c r="AA61" i="5"/>
  <c r="N61" i="5"/>
  <c r="AD61" i="5"/>
  <c r="Q61" i="5"/>
  <c r="AG61" i="5"/>
  <c r="T61" i="5"/>
  <c r="AH61" i="5"/>
  <c r="U61" i="5"/>
  <c r="AI61" i="5"/>
  <c r="I53" i="5"/>
  <c r="Q53" i="5"/>
  <c r="H53" i="5"/>
  <c r="R53" i="5"/>
  <c r="Z53" i="5"/>
  <c r="AH53" i="5"/>
  <c r="J53" i="5"/>
  <c r="P53" i="5"/>
  <c r="Y53" i="5"/>
  <c r="AG53" i="5"/>
  <c r="I45" i="5"/>
  <c r="Q45" i="5"/>
  <c r="Y45" i="5"/>
  <c r="AG45" i="5"/>
  <c r="J45" i="5"/>
  <c r="R45" i="5"/>
  <c r="Z45" i="5"/>
  <c r="AH45" i="5"/>
  <c r="K45" i="5"/>
  <c r="S45" i="5"/>
  <c r="AA45" i="5"/>
  <c r="AI45" i="5"/>
  <c r="H45" i="5"/>
  <c r="P45" i="5"/>
  <c r="X45" i="5"/>
  <c r="AF45" i="5"/>
  <c r="T45" i="5"/>
  <c r="AJ45" i="5"/>
  <c r="U45" i="5"/>
  <c r="AK45" i="5"/>
  <c r="V45" i="5"/>
  <c r="AL45" i="5"/>
  <c r="W45" i="5"/>
  <c r="AM45" i="5"/>
  <c r="L45" i="5"/>
  <c r="AB45" i="5"/>
  <c r="O45" i="5"/>
  <c r="AE45" i="5"/>
  <c r="I37" i="5"/>
  <c r="Q37" i="5"/>
  <c r="Y37" i="5"/>
  <c r="AG37" i="5"/>
  <c r="J37" i="5"/>
  <c r="R37" i="5"/>
  <c r="Z37" i="5"/>
  <c r="AH37" i="5"/>
  <c r="K37" i="5"/>
  <c r="S37" i="5"/>
  <c r="AA37" i="5"/>
  <c r="AI37" i="5"/>
  <c r="H37" i="5"/>
  <c r="P37" i="5"/>
  <c r="X37" i="5"/>
  <c r="AF37" i="5"/>
  <c r="T37" i="5"/>
  <c r="AJ37" i="5"/>
  <c r="U37" i="5"/>
  <c r="AK37" i="5"/>
  <c r="V37" i="5"/>
  <c r="AL37" i="5"/>
  <c r="W37" i="5"/>
  <c r="AM37" i="5"/>
  <c r="L37" i="5"/>
  <c r="AB37" i="5"/>
  <c r="O37" i="5"/>
  <c r="AE37" i="5"/>
  <c r="E29" i="5"/>
  <c r="E21" i="5"/>
  <c r="AF54" i="5"/>
  <c r="V54" i="5"/>
  <c r="L54" i="5"/>
  <c r="AF53" i="5"/>
  <c r="V53" i="5"/>
  <c r="K53" i="5"/>
  <c r="AJ51" i="5"/>
  <c r="AC48" i="5"/>
  <c r="AD46" i="5"/>
  <c r="AD44" i="5"/>
  <c r="AD40" i="5"/>
  <c r="AD38" i="5"/>
  <c r="AD36" i="5"/>
  <c r="H103" i="5"/>
  <c r="P103" i="5"/>
  <c r="X103" i="5"/>
  <c r="AF103" i="5"/>
  <c r="O103" i="5"/>
  <c r="W103" i="5"/>
  <c r="AE103" i="5"/>
  <c r="AM103" i="5"/>
  <c r="I103" i="5"/>
  <c r="S103" i="5"/>
  <c r="AC103" i="5"/>
  <c r="R103" i="5"/>
  <c r="AB103" i="5"/>
  <c r="AL103" i="5"/>
  <c r="T103" i="5"/>
  <c r="AH103" i="5"/>
  <c r="U103" i="5"/>
  <c r="AI103" i="5"/>
  <c r="J103" i="5"/>
  <c r="V103" i="5"/>
  <c r="AJ103" i="5"/>
  <c r="K103" i="5"/>
  <c r="Y103" i="5"/>
  <c r="AK103" i="5"/>
  <c r="L103" i="5"/>
  <c r="Z103" i="5"/>
  <c r="M103" i="5"/>
  <c r="AA103" i="5"/>
  <c r="N103" i="5"/>
  <c r="AD103" i="5"/>
  <c r="Q103" i="5"/>
  <c r="AG103" i="5"/>
  <c r="E105" i="5"/>
  <c r="H105" i="5"/>
  <c r="P105" i="5"/>
  <c r="X105" i="5"/>
  <c r="AF105" i="5"/>
  <c r="O105" i="5"/>
  <c r="W105" i="5"/>
  <c r="AE105" i="5"/>
  <c r="AM105" i="5"/>
  <c r="I105" i="5"/>
  <c r="S105" i="5"/>
  <c r="AC105" i="5"/>
  <c r="R105" i="5"/>
  <c r="AB105" i="5"/>
  <c r="AL105" i="5"/>
  <c r="L105" i="5"/>
  <c r="Z105" i="5"/>
  <c r="M105" i="5"/>
  <c r="AA105" i="5"/>
  <c r="N105" i="5"/>
  <c r="AD105" i="5"/>
  <c r="Q105" i="5"/>
  <c r="AG105" i="5"/>
  <c r="T105" i="5"/>
  <c r="AH105" i="5"/>
  <c r="U105" i="5"/>
  <c r="AI105" i="5"/>
  <c r="J105" i="5"/>
  <c r="V105" i="5"/>
  <c r="AJ105" i="5"/>
  <c r="K105" i="5"/>
  <c r="Y105" i="5"/>
  <c r="AK105" i="5"/>
  <c r="I100" i="5"/>
  <c r="Q100" i="5"/>
  <c r="Y100" i="5"/>
  <c r="AG100" i="5"/>
  <c r="J100" i="5"/>
  <c r="R100" i="5"/>
  <c r="Z100" i="5"/>
  <c r="AH100" i="5"/>
  <c r="K100" i="5"/>
  <c r="S100" i="5"/>
  <c r="AA100" i="5"/>
  <c r="AI100" i="5"/>
  <c r="H100" i="5"/>
  <c r="P100" i="5"/>
  <c r="X100" i="5"/>
  <c r="AF100" i="5"/>
  <c r="L100" i="5"/>
  <c r="AB100" i="5"/>
  <c r="M100" i="5"/>
  <c r="AC100" i="5"/>
  <c r="T100" i="5"/>
  <c r="AJ100" i="5"/>
  <c r="W100" i="5"/>
  <c r="AM100" i="5"/>
  <c r="N100" i="5"/>
  <c r="O100" i="5"/>
  <c r="U100" i="5"/>
  <c r="AL100" i="5"/>
  <c r="V100" i="5"/>
  <c r="AD100" i="5"/>
  <c r="AE100" i="5"/>
  <c r="AK100" i="5"/>
  <c r="I95" i="5"/>
  <c r="Q95" i="5"/>
  <c r="Y95" i="5"/>
  <c r="AG95" i="5"/>
  <c r="J95" i="5"/>
  <c r="R95" i="5"/>
  <c r="Z95" i="5"/>
  <c r="AH95" i="5"/>
  <c r="K95" i="5"/>
  <c r="S95" i="5"/>
  <c r="AA95" i="5"/>
  <c r="AI95" i="5"/>
  <c r="H95" i="5"/>
  <c r="P95" i="5"/>
  <c r="X95" i="5"/>
  <c r="AF95" i="5"/>
  <c r="L95" i="5"/>
  <c r="AB95" i="5"/>
  <c r="M95" i="5"/>
  <c r="AC95" i="5"/>
  <c r="T95" i="5"/>
  <c r="AJ95" i="5"/>
  <c r="W95" i="5"/>
  <c r="AM95" i="5"/>
  <c r="N95" i="5"/>
  <c r="O95" i="5"/>
  <c r="U95" i="5"/>
  <c r="AL95" i="5"/>
  <c r="V95" i="5"/>
  <c r="AD95" i="5"/>
  <c r="AE95" i="5"/>
  <c r="AK95" i="5"/>
  <c r="L87" i="5"/>
  <c r="T87" i="5"/>
  <c r="AB87" i="5"/>
  <c r="AJ87" i="5"/>
  <c r="K87" i="5"/>
  <c r="S87" i="5"/>
  <c r="AA87" i="5"/>
  <c r="AI87" i="5"/>
  <c r="Q87" i="5"/>
  <c r="AC87" i="5"/>
  <c r="AM87" i="5"/>
  <c r="H87" i="5"/>
  <c r="R87" i="5"/>
  <c r="AD87" i="5"/>
  <c r="I87" i="5"/>
  <c r="U87" i="5"/>
  <c r="AE87" i="5"/>
  <c r="P87" i="5"/>
  <c r="Z87" i="5"/>
  <c r="AL87" i="5"/>
  <c r="V87" i="5"/>
  <c r="W87" i="5"/>
  <c r="J87" i="5"/>
  <c r="AF87" i="5"/>
  <c r="O87" i="5"/>
  <c r="AK87" i="5"/>
  <c r="X87" i="5"/>
  <c r="Y87" i="5"/>
  <c r="AG87" i="5"/>
  <c r="N87" i="5"/>
  <c r="AH87" i="5"/>
  <c r="M87" i="5"/>
  <c r="N79" i="5"/>
  <c r="V79" i="5"/>
  <c r="J79" i="5"/>
  <c r="S79" i="5"/>
  <c r="AB79" i="5"/>
  <c r="AJ79" i="5"/>
  <c r="K79" i="5"/>
  <c r="T79" i="5"/>
  <c r="AC79" i="5"/>
  <c r="AK79" i="5"/>
  <c r="L79" i="5"/>
  <c r="U79" i="5"/>
  <c r="AD79" i="5"/>
  <c r="AL79" i="5"/>
  <c r="M79" i="5"/>
  <c r="W79" i="5"/>
  <c r="AE79" i="5"/>
  <c r="AM79" i="5"/>
  <c r="O79" i="5"/>
  <c r="X79" i="5"/>
  <c r="AF79" i="5"/>
  <c r="P79" i="5"/>
  <c r="Y79" i="5"/>
  <c r="AG79" i="5"/>
  <c r="H79" i="5"/>
  <c r="Q79" i="5"/>
  <c r="Z79" i="5"/>
  <c r="AH79" i="5"/>
  <c r="I79" i="5"/>
  <c r="R79" i="5"/>
  <c r="AA79" i="5"/>
  <c r="AI79" i="5"/>
  <c r="N74" i="5"/>
  <c r="V74" i="5"/>
  <c r="AD74" i="5"/>
  <c r="AL74" i="5"/>
  <c r="M74" i="5"/>
  <c r="U74" i="5"/>
  <c r="AC74" i="5"/>
  <c r="K74" i="5"/>
  <c r="W74" i="5"/>
  <c r="AG74" i="5"/>
  <c r="L74" i="5"/>
  <c r="X74" i="5"/>
  <c r="AH74" i="5"/>
  <c r="O74" i="5"/>
  <c r="Y74" i="5"/>
  <c r="AI74" i="5"/>
  <c r="P74" i="5"/>
  <c r="Z74" i="5"/>
  <c r="AJ74" i="5"/>
  <c r="Q74" i="5"/>
  <c r="AA74" i="5"/>
  <c r="AK74" i="5"/>
  <c r="H74" i="5"/>
  <c r="R74" i="5"/>
  <c r="AB74" i="5"/>
  <c r="AM74" i="5"/>
  <c r="I74" i="5"/>
  <c r="S74" i="5"/>
  <c r="AE74" i="5"/>
  <c r="J74" i="5"/>
  <c r="T74" i="5"/>
  <c r="AF74" i="5"/>
  <c r="H66" i="5"/>
  <c r="P66" i="5"/>
  <c r="X66" i="5"/>
  <c r="AF66" i="5"/>
  <c r="N66" i="5"/>
  <c r="W66" i="5"/>
  <c r="AG66" i="5"/>
  <c r="M66" i="5"/>
  <c r="V66" i="5"/>
  <c r="AE66" i="5"/>
  <c r="R66" i="5"/>
  <c r="AC66" i="5"/>
  <c r="S66" i="5"/>
  <c r="AD66" i="5"/>
  <c r="I66" i="5"/>
  <c r="T66" i="5"/>
  <c r="AH66" i="5"/>
  <c r="J66" i="5"/>
  <c r="U66" i="5"/>
  <c r="AI66" i="5"/>
  <c r="K66" i="5"/>
  <c r="Y66" i="5"/>
  <c r="AJ66" i="5"/>
  <c r="L66" i="5"/>
  <c r="Z66" i="5"/>
  <c r="AK66" i="5"/>
  <c r="O66" i="5"/>
  <c r="AA66" i="5"/>
  <c r="AL66" i="5"/>
  <c r="Q66" i="5"/>
  <c r="AB66" i="5"/>
  <c r="AM66" i="5"/>
  <c r="H58" i="5"/>
  <c r="P58" i="5"/>
  <c r="X58" i="5"/>
  <c r="AF58" i="5"/>
  <c r="O58" i="5"/>
  <c r="W58" i="5"/>
  <c r="AE58" i="5"/>
  <c r="AM58" i="5"/>
  <c r="I58" i="5"/>
  <c r="S58" i="5"/>
  <c r="AC58" i="5"/>
  <c r="R58" i="5"/>
  <c r="AB58" i="5"/>
  <c r="AL58" i="5"/>
  <c r="T58" i="5"/>
  <c r="AH58" i="5"/>
  <c r="U58" i="5"/>
  <c r="AI58" i="5"/>
  <c r="J58" i="5"/>
  <c r="V58" i="5"/>
  <c r="AJ58" i="5"/>
  <c r="K58" i="5"/>
  <c r="Y58" i="5"/>
  <c r="AK58" i="5"/>
  <c r="L58" i="5"/>
  <c r="Z58" i="5"/>
  <c r="M58" i="5"/>
  <c r="AA58" i="5"/>
  <c r="N58" i="5"/>
  <c r="AD58" i="5"/>
  <c r="Q58" i="5"/>
  <c r="AG58" i="5"/>
  <c r="I50" i="5"/>
  <c r="Q50" i="5"/>
  <c r="Y50" i="5"/>
  <c r="AG50" i="5"/>
  <c r="J50" i="5"/>
  <c r="R50" i="5"/>
  <c r="Z50" i="5"/>
  <c r="AH50" i="5"/>
  <c r="K50" i="5"/>
  <c r="S50" i="5"/>
  <c r="AA50" i="5"/>
  <c r="AI50" i="5"/>
  <c r="T50" i="5"/>
  <c r="AE50" i="5"/>
  <c r="U50" i="5"/>
  <c r="AF50" i="5"/>
  <c r="H50" i="5"/>
  <c r="V50" i="5"/>
  <c r="AJ50" i="5"/>
  <c r="L50" i="5"/>
  <c r="W50" i="5"/>
  <c r="AK50" i="5"/>
  <c r="M50" i="5"/>
  <c r="X50" i="5"/>
  <c r="AL50" i="5"/>
  <c r="P50" i="5"/>
  <c r="AD50" i="5"/>
  <c r="I42" i="5"/>
  <c r="Q42" i="5"/>
  <c r="Y42" i="5"/>
  <c r="AG42" i="5"/>
  <c r="J42" i="5"/>
  <c r="R42" i="5"/>
  <c r="Z42" i="5"/>
  <c r="AH42" i="5"/>
  <c r="K42" i="5"/>
  <c r="S42" i="5"/>
  <c r="AA42" i="5"/>
  <c r="AI42" i="5"/>
  <c r="H42" i="5"/>
  <c r="P42" i="5"/>
  <c r="X42" i="5"/>
  <c r="AF42" i="5"/>
  <c r="T42" i="5"/>
  <c r="AJ42" i="5"/>
  <c r="U42" i="5"/>
  <c r="AK42" i="5"/>
  <c r="V42" i="5"/>
  <c r="AL42" i="5"/>
  <c r="W42" i="5"/>
  <c r="AM42" i="5"/>
  <c r="L42" i="5"/>
  <c r="AB42" i="5"/>
  <c r="O42" i="5"/>
  <c r="AE42" i="5"/>
  <c r="I34" i="5"/>
  <c r="Q34" i="5"/>
  <c r="Y34" i="5"/>
  <c r="AG34" i="5"/>
  <c r="J34" i="5"/>
  <c r="R34" i="5"/>
  <c r="Z34" i="5"/>
  <c r="AH34" i="5"/>
  <c r="K34" i="5"/>
  <c r="S34" i="5"/>
  <c r="AA34" i="5"/>
  <c r="AI34" i="5"/>
  <c r="H34" i="5"/>
  <c r="P34" i="5"/>
  <c r="X34" i="5"/>
  <c r="AF34" i="5"/>
  <c r="T34" i="5"/>
  <c r="AJ34" i="5"/>
  <c r="U34" i="5"/>
  <c r="AK34" i="5"/>
  <c r="V34" i="5"/>
  <c r="AL34" i="5"/>
  <c r="W34" i="5"/>
  <c r="AM34" i="5"/>
  <c r="L34" i="5"/>
  <c r="AB34" i="5"/>
  <c r="O34" i="5"/>
  <c r="AE34" i="5"/>
  <c r="AE54" i="5"/>
  <c r="U54" i="5"/>
  <c r="K54" i="5"/>
  <c r="AE53" i="5"/>
  <c r="U53" i="5"/>
  <c r="AL52" i="5"/>
  <c r="AF51" i="5"/>
  <c r="N50" i="5"/>
  <c r="AB48" i="5"/>
  <c r="AC46" i="5"/>
  <c r="AC44" i="5"/>
  <c r="AC42" i="5"/>
  <c r="AC40" i="5"/>
  <c r="AC38" i="5"/>
  <c r="AC36" i="5"/>
  <c r="AC34" i="5"/>
  <c r="F38" i="5"/>
  <c r="G37" i="5"/>
  <c r="G59" i="5"/>
  <c r="G35" i="5"/>
  <c r="E59" i="5"/>
  <c r="E35" i="5"/>
  <c r="G53" i="5"/>
  <c r="F48" i="5"/>
  <c r="G43" i="5"/>
  <c r="E95" i="5"/>
  <c r="F95" i="5"/>
  <c r="G95" i="5"/>
  <c r="E87" i="5"/>
  <c r="F87" i="5"/>
  <c r="G87" i="5"/>
  <c r="F83" i="5"/>
  <c r="E98" i="5"/>
  <c r="F98" i="5"/>
  <c r="G98" i="5"/>
  <c r="E88" i="5"/>
  <c r="G88" i="5"/>
  <c r="E60" i="5"/>
  <c r="F60" i="5"/>
  <c r="G60" i="5"/>
  <c r="E40" i="5"/>
  <c r="G40" i="5"/>
  <c r="E32" i="5"/>
  <c r="E24" i="5"/>
  <c r="E16" i="5"/>
  <c r="E8" i="5"/>
  <c r="F96" i="5"/>
  <c r="F107" i="5"/>
  <c r="E100" i="5"/>
  <c r="F100" i="5"/>
  <c r="G100" i="5"/>
  <c r="G86" i="5"/>
  <c r="E86" i="5"/>
  <c r="G102" i="5"/>
  <c r="E102" i="5"/>
  <c r="E93" i="5"/>
  <c r="F93" i="5"/>
  <c r="F81" i="5"/>
  <c r="G81" i="5"/>
  <c r="G70" i="5"/>
  <c r="E70" i="5"/>
  <c r="F65" i="5"/>
  <c r="G65" i="5"/>
  <c r="E50" i="5"/>
  <c r="F50" i="5"/>
  <c r="G50" i="5"/>
  <c r="E45" i="5"/>
  <c r="F45" i="5"/>
  <c r="F94" i="5"/>
  <c r="G83" i="5"/>
  <c r="G51" i="5"/>
  <c r="E41" i="5"/>
  <c r="E72" i="5"/>
  <c r="G72" i="5"/>
  <c r="F67" i="5"/>
  <c r="G62" i="5"/>
  <c r="E62" i="5"/>
  <c r="F57" i="5"/>
  <c r="G57" i="5"/>
  <c r="E52" i="5"/>
  <c r="F52" i="5"/>
  <c r="G52" i="5"/>
  <c r="E42" i="5"/>
  <c r="F42" i="5"/>
  <c r="G42" i="5"/>
  <c r="E34" i="5"/>
  <c r="F34" i="5"/>
  <c r="G34" i="5"/>
  <c r="E26" i="5"/>
  <c r="E18" i="5"/>
  <c r="G93" i="5"/>
  <c r="E83" i="5"/>
  <c r="F72" i="5"/>
  <c r="E51" i="5"/>
  <c r="F40" i="5"/>
  <c r="E90" i="5"/>
  <c r="F90" i="5"/>
  <c r="G90" i="5"/>
  <c r="E106" i="5"/>
  <c r="F106" i="5"/>
  <c r="G106" i="5"/>
  <c r="F97" i="5"/>
  <c r="G97" i="5"/>
  <c r="E85" i="5"/>
  <c r="F85" i="5"/>
  <c r="G78" i="5"/>
  <c r="E78" i="5"/>
  <c r="E76" i="5"/>
  <c r="F76" i="5"/>
  <c r="G76" i="5"/>
  <c r="G54" i="5"/>
  <c r="E54" i="5"/>
  <c r="E47" i="5"/>
  <c r="F47" i="5"/>
  <c r="G47" i="5"/>
  <c r="F102" i="5"/>
  <c r="G91" i="5"/>
  <c r="E81" i="5"/>
  <c r="F70" i="5"/>
  <c r="E15" i="5"/>
  <c r="E74" i="5"/>
  <c r="F74" i="5"/>
  <c r="G74" i="5"/>
  <c r="E104" i="5"/>
  <c r="G104" i="5"/>
  <c r="F99" i="5"/>
  <c r="E92" i="5"/>
  <c r="F92" i="5"/>
  <c r="G92" i="5"/>
  <c r="E80" i="5"/>
  <c r="G80" i="5"/>
  <c r="E69" i="5"/>
  <c r="F69" i="5"/>
  <c r="E64" i="5"/>
  <c r="G64" i="5"/>
  <c r="F80" i="5"/>
  <c r="G69" i="5"/>
  <c r="F89" i="5"/>
  <c r="G89" i="5"/>
  <c r="E71" i="5"/>
  <c r="F71" i="5"/>
  <c r="G71" i="5"/>
  <c r="E66" i="5"/>
  <c r="F66" i="5"/>
  <c r="G66" i="5"/>
  <c r="E61" i="5"/>
  <c r="F61" i="5"/>
  <c r="E56" i="5"/>
  <c r="G56" i="5"/>
  <c r="F49" i="5"/>
  <c r="G49" i="5"/>
  <c r="F41" i="5"/>
  <c r="G41" i="5"/>
  <c r="E33" i="5"/>
  <c r="E25" i="5"/>
  <c r="G99" i="5"/>
  <c r="E89" i="5"/>
  <c r="F78" i="5"/>
  <c r="G67" i="5"/>
  <c r="E57" i="5"/>
  <c r="E101" i="5"/>
  <c r="F101" i="5"/>
  <c r="E96" i="5"/>
  <c r="G96" i="5"/>
  <c r="E82" i="5"/>
  <c r="F82" i="5"/>
  <c r="G82" i="5"/>
  <c r="F75" i="5"/>
  <c r="F73" i="5"/>
  <c r="G73" i="5"/>
  <c r="F51" i="5"/>
  <c r="G46" i="5"/>
  <c r="E46" i="5"/>
  <c r="E99" i="5"/>
  <c r="F88" i="5"/>
  <c r="E67" i="5"/>
  <c r="F56" i="5"/>
  <c r="G45" i="5"/>
  <c r="F8" i="5"/>
  <c r="G94" i="5"/>
  <c r="E94" i="5"/>
  <c r="E103" i="5"/>
  <c r="F103" i="5"/>
  <c r="G103" i="5"/>
  <c r="E84" i="5"/>
  <c r="F84" i="5"/>
  <c r="G84" i="5"/>
  <c r="F105" i="5"/>
  <c r="G105" i="5"/>
  <c r="F91" i="5"/>
  <c r="E79" i="5"/>
  <c r="F79" i="5"/>
  <c r="G79" i="5"/>
  <c r="E77" i="5"/>
  <c r="F77" i="5"/>
  <c r="E68" i="5"/>
  <c r="F68" i="5"/>
  <c r="G68" i="5"/>
  <c r="E63" i="5"/>
  <c r="F63" i="5"/>
  <c r="G63" i="5"/>
  <c r="E11" i="5"/>
  <c r="G107" i="5"/>
  <c r="E97" i="5"/>
  <c r="F86" i="5"/>
  <c r="G75" i="5"/>
  <c r="E65" i="5"/>
  <c r="F54" i="5"/>
  <c r="G48" i="5"/>
  <c r="F43" i="5"/>
  <c r="E38" i="5"/>
  <c r="F35" i="5"/>
  <c r="E30" i="5"/>
  <c r="E22" i="5"/>
  <c r="E14" i="5"/>
  <c r="G58" i="5"/>
  <c r="F53" i="5"/>
  <c r="E48" i="5"/>
  <c r="F37" i="5"/>
  <c r="E28" i="5"/>
  <c r="E20" i="5"/>
  <c r="E12" i="5"/>
  <c r="F58" i="5"/>
  <c r="G55" i="5"/>
  <c r="E53" i="5"/>
  <c r="G39" i="5"/>
  <c r="E37" i="5"/>
  <c r="E27" i="5"/>
  <c r="E19" i="5"/>
  <c r="E58" i="5"/>
  <c r="F55" i="5"/>
  <c r="G44" i="5"/>
  <c r="F39" i="5"/>
  <c r="G36" i="5"/>
  <c r="E55" i="5"/>
  <c r="F44" i="5"/>
  <c r="E39" i="5"/>
  <c r="F36" i="5"/>
  <c r="E17" i="5"/>
  <c r="E10" i="5"/>
  <c r="E44" i="5"/>
  <c r="G38" i="5"/>
  <c r="E36" i="5"/>
  <c r="F9" i="5" l="1"/>
  <c r="G9" i="5" s="1"/>
  <c r="R9" i="5" s="1"/>
  <c r="G8" i="5"/>
  <c r="Q8" i="5" s="1"/>
  <c r="N8" i="5" l="1"/>
  <c r="H8" i="5"/>
  <c r="F10" i="5"/>
  <c r="F11" i="5" s="1"/>
  <c r="X8" i="5"/>
  <c r="AC8" i="5"/>
  <c r="AB8" i="5"/>
  <c r="U9" i="5"/>
  <c r="L9" i="5"/>
  <c r="X9" i="5"/>
  <c r="AK8" i="5"/>
  <c r="K8" i="5"/>
  <c r="AJ8" i="5"/>
  <c r="Y8" i="5"/>
  <c r="AC9" i="5"/>
  <c r="S9" i="5"/>
  <c r="AE9" i="5"/>
  <c r="I8" i="5"/>
  <c r="T8" i="5"/>
  <c r="O8" i="5"/>
  <c r="AI9" i="5"/>
  <c r="N9" i="5"/>
  <c r="W9" i="5"/>
  <c r="AM8" i="5"/>
  <c r="J8" i="5"/>
  <c r="V9" i="5"/>
  <c r="M9" i="5"/>
  <c r="K9" i="5"/>
  <c r="Z9" i="5"/>
  <c r="W8" i="5"/>
  <c r="AL8" i="5"/>
  <c r="T9" i="5"/>
  <c r="AA9" i="5"/>
  <c r="I9" i="5"/>
  <c r="AD9" i="5"/>
  <c r="Y9" i="5"/>
  <c r="AK9" i="5"/>
  <c r="AJ9" i="5"/>
  <c r="H9" i="5"/>
  <c r="Z8" i="5"/>
  <c r="M8" i="5"/>
  <c r="J9" i="5"/>
  <c r="O9" i="5"/>
  <c r="AM9" i="5"/>
  <c r="P9" i="5"/>
  <c r="L8" i="5"/>
  <c r="AD8" i="5"/>
  <c r="AA8" i="5"/>
  <c r="AL9" i="5"/>
  <c r="AB9" i="5"/>
  <c r="AF9" i="5"/>
  <c r="AE8" i="5"/>
  <c r="V8" i="5"/>
  <c r="U8" i="5"/>
  <c r="AF8" i="5"/>
  <c r="P8" i="5"/>
  <c r="AI8" i="5"/>
  <c r="S8" i="5"/>
  <c r="AH8" i="5"/>
  <c r="R8" i="5"/>
  <c r="AG8" i="5"/>
  <c r="AG9" i="5"/>
  <c r="Q9" i="5"/>
  <c r="AH9" i="5"/>
  <c r="G10" i="5" l="1"/>
  <c r="AL10" i="5" s="1"/>
  <c r="AM10" i="5"/>
  <c r="AA10" i="5"/>
  <c r="Q10" i="5"/>
  <c r="Z10" i="5"/>
  <c r="W10" i="5"/>
  <c r="G11" i="5"/>
  <c r="U11" i="5" s="1"/>
  <c r="F12" i="5"/>
  <c r="L10" i="5" l="1"/>
  <c r="Y10" i="5"/>
  <c r="P10" i="5"/>
  <c r="AI10" i="5"/>
  <c r="K10" i="5"/>
  <c r="O10" i="5"/>
  <c r="AK10" i="5"/>
  <c r="H10" i="5"/>
  <c r="AC10" i="5"/>
  <c r="AE10" i="5"/>
  <c r="AH10" i="5"/>
  <c r="AG10" i="5"/>
  <c r="M10" i="5"/>
  <c r="X10" i="5"/>
  <c r="J10" i="5"/>
  <c r="AD10" i="5"/>
  <c r="I10" i="5"/>
  <c r="AJ10" i="5"/>
  <c r="AF10" i="5"/>
  <c r="S10" i="5"/>
  <c r="T10" i="5"/>
  <c r="AB10" i="5"/>
  <c r="U10" i="5"/>
  <c r="N10" i="5"/>
  <c r="R10" i="5"/>
  <c r="V10" i="5"/>
  <c r="N11" i="5"/>
  <c r="Y11" i="5"/>
  <c r="I11" i="5"/>
  <c r="L11" i="5"/>
  <c r="AD11" i="5"/>
  <c r="AA11" i="5"/>
  <c r="AE11" i="5"/>
  <c r="X11" i="5"/>
  <c r="K11" i="5"/>
  <c r="O11" i="5"/>
  <c r="H11" i="5"/>
  <c r="AB11" i="5"/>
  <c r="AH11" i="5"/>
  <c r="AC11" i="5"/>
  <c r="V11" i="5"/>
  <c r="S11" i="5"/>
  <c r="M11" i="5"/>
  <c r="T11" i="5"/>
  <c r="R11" i="5"/>
  <c r="Q11" i="5"/>
  <c r="AJ11" i="5"/>
  <c r="AG11" i="5"/>
  <c r="AI11" i="5"/>
  <c r="AL11" i="5"/>
  <c r="P11" i="5"/>
  <c r="AM11" i="5"/>
  <c r="W11" i="5"/>
  <c r="AF11" i="5"/>
  <c r="J11" i="5"/>
  <c r="AK11" i="5"/>
  <c r="Z11" i="5"/>
  <c r="G12" i="5"/>
  <c r="X12" i="5" s="1"/>
  <c r="F13" i="5"/>
  <c r="AH12" i="5" l="1"/>
  <c r="AF12" i="5"/>
  <c r="P12" i="5"/>
  <c r="AL12" i="5"/>
  <c r="AI12" i="5"/>
  <c r="AG12" i="5"/>
  <c r="S12" i="5"/>
  <c r="AJ12" i="5"/>
  <c r="W12" i="5"/>
  <c r="AM12" i="5"/>
  <c r="V12" i="5"/>
  <c r="AC12" i="5"/>
  <c r="AK12" i="5"/>
  <c r="J12" i="5"/>
  <c r="I12" i="5"/>
  <c r="AB12" i="5"/>
  <c r="Y12" i="5"/>
  <c r="L12" i="5"/>
  <c r="U12" i="5"/>
  <c r="T12" i="5"/>
  <c r="R12" i="5"/>
  <c r="Q12" i="5"/>
  <c r="M12" i="5"/>
  <c r="Z12" i="5"/>
  <c r="N12" i="5"/>
  <c r="AA12" i="5"/>
  <c r="K12" i="5"/>
  <c r="AD12" i="5"/>
  <c r="H12" i="5"/>
  <c r="AE12" i="5"/>
  <c r="O12" i="5"/>
  <c r="G13" i="5"/>
  <c r="AE13" i="5" s="1"/>
  <c r="F14" i="5"/>
  <c r="Y13" i="5" l="1"/>
  <c r="N13" i="5"/>
  <c r="AC13" i="5"/>
  <c r="W13" i="5"/>
  <c r="AB13" i="5"/>
  <c r="T13" i="5"/>
  <c r="Q13" i="5"/>
  <c r="S13" i="5"/>
  <c r="P13" i="5"/>
  <c r="K13" i="5"/>
  <c r="M13" i="5"/>
  <c r="AM13" i="5"/>
  <c r="AD13" i="5"/>
  <c r="X13" i="5"/>
  <c r="Z13" i="5"/>
  <c r="AH13" i="5"/>
  <c r="V13" i="5"/>
  <c r="L13" i="5"/>
  <c r="J13" i="5"/>
  <c r="AL13" i="5"/>
  <c r="AJ13" i="5"/>
  <c r="AK13" i="5"/>
  <c r="R13" i="5"/>
  <c r="I13" i="5"/>
  <c r="AI13" i="5"/>
  <c r="AG13" i="5"/>
  <c r="AA13" i="5"/>
  <c r="H13" i="5"/>
  <c r="U13" i="5"/>
  <c r="O13" i="5"/>
  <c r="AF13" i="5"/>
  <c r="G14" i="5"/>
  <c r="H14" i="5" s="1"/>
  <c r="F15" i="5"/>
  <c r="AG14" i="5" l="1"/>
  <c r="AF14" i="5"/>
  <c r="AJ14" i="5"/>
  <c r="R14" i="5"/>
  <c r="J14" i="5"/>
  <c r="Z14" i="5"/>
  <c r="W14" i="5"/>
  <c r="P14" i="5"/>
  <c r="V14" i="5"/>
  <c r="AH14" i="5"/>
  <c r="U14" i="5"/>
  <c r="AK14" i="5"/>
  <c r="S14" i="5"/>
  <c r="AI14" i="5"/>
  <c r="AC14" i="5"/>
  <c r="AM14" i="5"/>
  <c r="AL14" i="5"/>
  <c r="AB14" i="5"/>
  <c r="Y14" i="5"/>
  <c r="L14" i="5"/>
  <c r="I14" i="5"/>
  <c r="Q14" i="5"/>
  <c r="M14" i="5"/>
  <c r="T14" i="5"/>
  <c r="AA14" i="5"/>
  <c r="N14" i="5"/>
  <c r="K14" i="5"/>
  <c r="AD14" i="5"/>
  <c r="AE14" i="5"/>
  <c r="O14" i="5"/>
  <c r="X14" i="5"/>
  <c r="F16" i="5"/>
  <c r="G15" i="5"/>
  <c r="J15" i="5" s="1"/>
  <c r="AG15" i="5" l="1"/>
  <c r="N15" i="5"/>
  <c r="X15" i="5"/>
  <c r="H15" i="5"/>
  <c r="S15" i="5"/>
  <c r="I15" i="5"/>
  <c r="O15" i="5"/>
  <c r="V15" i="5"/>
  <c r="AB15" i="5"/>
  <c r="AH15" i="5"/>
  <c r="AI15" i="5"/>
  <c r="L15" i="5"/>
  <c r="AJ15" i="5"/>
  <c r="AC15" i="5"/>
  <c r="K15" i="5"/>
  <c r="AA15" i="5"/>
  <c r="AE15" i="5"/>
  <c r="AL15" i="5"/>
  <c r="Y15" i="5"/>
  <c r="AD15" i="5"/>
  <c r="T15" i="5"/>
  <c r="R15" i="5"/>
  <c r="Q15" i="5"/>
  <c r="M15" i="5"/>
  <c r="AM15" i="5"/>
  <c r="W15" i="5"/>
  <c r="AF15" i="5"/>
  <c r="P15" i="5"/>
  <c r="AK15" i="5"/>
  <c r="Z15" i="5"/>
  <c r="U15" i="5"/>
  <c r="F17" i="5"/>
  <c r="G16" i="5"/>
  <c r="W16" i="5" s="1"/>
  <c r="K16" i="5" l="1"/>
  <c r="M16" i="5"/>
  <c r="AD16" i="5"/>
  <c r="T16" i="5"/>
  <c r="N16" i="5"/>
  <c r="R16" i="5"/>
  <c r="AA16" i="5"/>
  <c r="Q16" i="5"/>
  <c r="AJ16" i="5"/>
  <c r="AG16" i="5"/>
  <c r="U16" i="5"/>
  <c r="J16" i="5"/>
  <c r="AK16" i="5"/>
  <c r="Z16" i="5"/>
  <c r="O16" i="5"/>
  <c r="X16" i="5"/>
  <c r="H16" i="5"/>
  <c r="AE16" i="5"/>
  <c r="L16" i="5"/>
  <c r="I16" i="5"/>
  <c r="AB16" i="5"/>
  <c r="Y16" i="5"/>
  <c r="AC16" i="5"/>
  <c r="AH16" i="5"/>
  <c r="AL16" i="5"/>
  <c r="V16" i="5"/>
  <c r="AI16" i="5"/>
  <c r="S16" i="5"/>
  <c r="AF16" i="5"/>
  <c r="P16" i="5"/>
  <c r="AM16" i="5"/>
  <c r="F18" i="5"/>
  <c r="G17" i="5"/>
  <c r="X17" i="5" s="1"/>
  <c r="AH17" i="5" l="1"/>
  <c r="W17" i="5"/>
  <c r="M17" i="5"/>
  <c r="AJ17" i="5"/>
  <c r="AM17" i="5"/>
  <c r="Q17" i="5"/>
  <c r="AD17" i="5"/>
  <c r="V17" i="5"/>
  <c r="Z17" i="5"/>
  <c r="K17" i="5"/>
  <c r="P17" i="5"/>
  <c r="R17" i="5"/>
  <c r="AC17" i="5"/>
  <c r="U17" i="5"/>
  <c r="AK17" i="5"/>
  <c r="AA17" i="5"/>
  <c r="AL17" i="5"/>
  <c r="AI17" i="5"/>
  <c r="T17" i="5"/>
  <c r="AG17" i="5"/>
  <c r="AF17" i="5"/>
  <c r="N17" i="5"/>
  <c r="S17" i="5"/>
  <c r="J17" i="5"/>
  <c r="I17" i="5"/>
  <c r="AB17" i="5"/>
  <c r="Y17" i="5"/>
  <c r="L17" i="5"/>
  <c r="H17" i="5"/>
  <c r="AE17" i="5"/>
  <c r="O17" i="5"/>
  <c r="G18" i="5"/>
  <c r="AE18" i="5" s="1"/>
  <c r="F19" i="5"/>
  <c r="Z18" i="5" l="1"/>
  <c r="N18" i="5"/>
  <c r="AH18" i="5"/>
  <c r="AM18" i="5"/>
  <c r="J18" i="5"/>
  <c r="Y18" i="5"/>
  <c r="X18" i="5"/>
  <c r="R18" i="5"/>
  <c r="Q18" i="5"/>
  <c r="AA18" i="5"/>
  <c r="P18" i="5"/>
  <c r="AG18" i="5"/>
  <c r="U18" i="5"/>
  <c r="K18" i="5"/>
  <c r="AL18" i="5"/>
  <c r="I18" i="5"/>
  <c r="V18" i="5"/>
  <c r="H18" i="5"/>
  <c r="O18" i="5"/>
  <c r="T18" i="5"/>
  <c r="AF18" i="5"/>
  <c r="M18" i="5"/>
  <c r="L18" i="5"/>
  <c r="W18" i="5"/>
  <c r="AD18" i="5"/>
  <c r="AK18" i="5"/>
  <c r="AI18" i="5"/>
  <c r="AB18" i="5"/>
  <c r="S18" i="5"/>
  <c r="AC18" i="5"/>
  <c r="AJ18" i="5"/>
  <c r="G19" i="5"/>
  <c r="AF19" i="5" s="1"/>
  <c r="F20" i="5"/>
  <c r="K19" i="5" l="1"/>
  <c r="AL19" i="5"/>
  <c r="R19" i="5"/>
  <c r="AC19" i="5"/>
  <c r="Y19" i="5"/>
  <c r="M19" i="5"/>
  <c r="AA19" i="5"/>
  <c r="AB19" i="5"/>
  <c r="J19" i="5"/>
  <c r="I19" i="5"/>
  <c r="AD19" i="5"/>
  <c r="U19" i="5"/>
  <c r="X19" i="5"/>
  <c r="H19" i="5"/>
  <c r="AE19" i="5"/>
  <c r="O19" i="5"/>
  <c r="AH19" i="5"/>
  <c r="AG19" i="5"/>
  <c r="V19" i="5"/>
  <c r="AJ19" i="5"/>
  <c r="AK19" i="5"/>
  <c r="L19" i="5"/>
  <c r="Q19" i="5"/>
  <c r="T19" i="5"/>
  <c r="AI19" i="5"/>
  <c r="S19" i="5"/>
  <c r="N19" i="5"/>
  <c r="Z19" i="5"/>
  <c r="P19" i="5"/>
  <c r="AM19" i="5"/>
  <c r="W19" i="5"/>
  <c r="F21" i="5"/>
  <c r="G20" i="5"/>
  <c r="AF20" i="5" s="1"/>
  <c r="R20" i="5" l="1"/>
  <c r="H20" i="5"/>
  <c r="Q20" i="5"/>
  <c r="T20" i="5"/>
  <c r="AJ20" i="5"/>
  <c r="AI20" i="5"/>
  <c r="Z20" i="5"/>
  <c r="AD20" i="5"/>
  <c r="J20" i="5"/>
  <c r="AG20" i="5"/>
  <c r="S20" i="5"/>
  <c r="Y20" i="5"/>
  <c r="N20" i="5"/>
  <c r="M20" i="5"/>
  <c r="AB20" i="5"/>
  <c r="V20" i="5"/>
  <c r="AH20" i="5"/>
  <c r="L20" i="5"/>
  <c r="AA20" i="5"/>
  <c r="K20" i="5"/>
  <c r="I20" i="5"/>
  <c r="AE20" i="5"/>
  <c r="O20" i="5"/>
  <c r="X20" i="5"/>
  <c r="AL20" i="5"/>
  <c r="AC20" i="5"/>
  <c r="AK20" i="5"/>
  <c r="U20" i="5"/>
  <c r="P20" i="5"/>
  <c r="AM20" i="5"/>
  <c r="W20" i="5"/>
  <c r="G21" i="5"/>
  <c r="O21" i="5" s="1"/>
  <c r="F22" i="5"/>
  <c r="AA21" i="5" l="1"/>
  <c r="R21" i="5"/>
  <c r="W21" i="5"/>
  <c r="V21" i="5"/>
  <c r="I21" i="5"/>
  <c r="AL21" i="5"/>
  <c r="J21" i="5"/>
  <c r="AK21" i="5"/>
  <c r="X21" i="5"/>
  <c r="U21" i="5"/>
  <c r="N21" i="5"/>
  <c r="Y21" i="5"/>
  <c r="H21" i="5"/>
  <c r="AH21" i="5"/>
  <c r="AM21" i="5"/>
  <c r="K21" i="5"/>
  <c r="AE21" i="5"/>
  <c r="AI21" i="5"/>
  <c r="T21" i="5"/>
  <c r="AC21" i="5"/>
  <c r="AF21" i="5"/>
  <c r="P21" i="5"/>
  <c r="AB21" i="5"/>
  <c r="AJ21" i="5"/>
  <c r="L21" i="5"/>
  <c r="M21" i="5"/>
  <c r="AD21" i="5"/>
  <c r="Q21" i="5"/>
  <c r="AG21" i="5"/>
  <c r="Z21" i="5"/>
  <c r="S21" i="5"/>
  <c r="G22" i="5"/>
  <c r="AE22" i="5" s="1"/>
  <c r="F23" i="5"/>
  <c r="W22" i="5" l="1"/>
  <c r="AI22" i="5"/>
  <c r="AL22" i="5"/>
  <c r="U22" i="5"/>
  <c r="N22" i="5"/>
  <c r="V22" i="5"/>
  <c r="L22" i="5"/>
  <c r="K22" i="5"/>
  <c r="Y22" i="5"/>
  <c r="M22" i="5"/>
  <c r="S22" i="5"/>
  <c r="AJ22" i="5"/>
  <c r="R22" i="5"/>
  <c r="AK22" i="5"/>
  <c r="Q22" i="5"/>
  <c r="AM22" i="5"/>
  <c r="AF22" i="5"/>
  <c r="AD22" i="5"/>
  <c r="AC22" i="5"/>
  <c r="AG22" i="5"/>
  <c r="P22" i="5"/>
  <c r="AB22" i="5"/>
  <c r="J22" i="5"/>
  <c r="AH22" i="5"/>
  <c r="I22" i="5"/>
  <c r="Z22" i="5"/>
  <c r="H22" i="5"/>
  <c r="AA22" i="5"/>
  <c r="O22" i="5"/>
  <c r="X22" i="5"/>
  <c r="T22" i="5"/>
  <c r="F24" i="5"/>
  <c r="G23" i="5"/>
  <c r="W23" i="5" s="1"/>
  <c r="AL23" i="5" l="1"/>
  <c r="M23" i="5"/>
  <c r="AK23" i="5"/>
  <c r="AH23" i="5"/>
  <c r="AG23" i="5"/>
  <c r="L23" i="5"/>
  <c r="V23" i="5"/>
  <c r="N23" i="5"/>
  <c r="AJ23" i="5"/>
  <c r="T23" i="5"/>
  <c r="AI23" i="5"/>
  <c r="AD23" i="5"/>
  <c r="H23" i="5"/>
  <c r="Q23" i="5"/>
  <c r="R23" i="5"/>
  <c r="Z23" i="5"/>
  <c r="AC23" i="5"/>
  <c r="U23" i="5"/>
  <c r="J23" i="5"/>
  <c r="AE23" i="5"/>
  <c r="AB23" i="5"/>
  <c r="Y23" i="5"/>
  <c r="X23" i="5"/>
  <c r="O23" i="5"/>
  <c r="AA23" i="5"/>
  <c r="P23" i="5"/>
  <c r="I23" i="5"/>
  <c r="AF23" i="5"/>
  <c r="S23" i="5"/>
  <c r="K23" i="5"/>
  <c r="AM23" i="5"/>
  <c r="G24" i="5"/>
  <c r="AI24" i="5" s="1"/>
  <c r="F25" i="5"/>
  <c r="AL24" i="5" l="1"/>
  <c r="H24" i="5"/>
  <c r="N24" i="5"/>
  <c r="K24" i="5"/>
  <c r="M24" i="5"/>
  <c r="Y24" i="5"/>
  <c r="AD24" i="5"/>
  <c r="AM24" i="5"/>
  <c r="W24" i="5"/>
  <c r="V24" i="5"/>
  <c r="AB24" i="5"/>
  <c r="J24" i="5"/>
  <c r="AH24" i="5"/>
  <c r="P24" i="5"/>
  <c r="Z24" i="5"/>
  <c r="AA24" i="5"/>
  <c r="I24" i="5"/>
  <c r="U24" i="5"/>
  <c r="AE24" i="5"/>
  <c r="S24" i="5"/>
  <c r="AF24" i="5"/>
  <c r="O24" i="5"/>
  <c r="AG24" i="5"/>
  <c r="AC24" i="5"/>
  <c r="X24" i="5"/>
  <c r="Q24" i="5"/>
  <c r="T24" i="5"/>
  <c r="AK24" i="5"/>
  <c r="L24" i="5"/>
  <c r="AJ24" i="5"/>
  <c r="R24" i="5"/>
  <c r="G25" i="5"/>
  <c r="N25" i="5" s="1"/>
  <c r="F26" i="5"/>
  <c r="Q25" i="5" l="1"/>
  <c r="AB25" i="5"/>
  <c r="AA25" i="5"/>
  <c r="U25" i="5"/>
  <c r="X25" i="5"/>
  <c r="AH25" i="5"/>
  <c r="AF25" i="5"/>
  <c r="O25" i="5"/>
  <c r="AD25" i="5"/>
  <c r="AI25" i="5"/>
  <c r="AE25" i="5"/>
  <c r="AK25" i="5"/>
  <c r="Y25" i="5"/>
  <c r="R25" i="5"/>
  <c r="K25" i="5"/>
  <c r="Z25" i="5"/>
  <c r="W25" i="5"/>
  <c r="AC25" i="5"/>
  <c r="AJ25" i="5"/>
  <c r="AM25" i="5"/>
  <c r="P25" i="5"/>
  <c r="M25" i="5"/>
  <c r="I25" i="5"/>
  <c r="S25" i="5"/>
  <c r="AL25" i="5"/>
  <c r="J25" i="5"/>
  <c r="AG25" i="5"/>
  <c r="H25" i="5"/>
  <c r="V25" i="5"/>
  <c r="T25" i="5"/>
  <c r="L25" i="5"/>
  <c r="G26" i="5"/>
  <c r="V26" i="5" s="1"/>
  <c r="F27" i="5"/>
  <c r="AF26" i="5" l="1"/>
  <c r="Q26" i="5"/>
  <c r="AL26" i="5"/>
  <c r="P26" i="5"/>
  <c r="U26" i="5"/>
  <c r="AM26" i="5"/>
  <c r="R26" i="5"/>
  <c r="K26" i="5"/>
  <c r="AH26" i="5"/>
  <c r="AK26" i="5"/>
  <c r="AJ26" i="5"/>
  <c r="M26" i="5"/>
  <c r="L26" i="5"/>
  <c r="N26" i="5"/>
  <c r="S26" i="5"/>
  <c r="W26" i="5"/>
  <c r="AE26" i="5"/>
  <c r="Z26" i="5"/>
  <c r="T26" i="5"/>
  <c r="AA26" i="5"/>
  <c r="AI26" i="5"/>
  <c r="AC26" i="5"/>
  <c r="AG26" i="5"/>
  <c r="I26" i="5"/>
  <c r="AD26" i="5"/>
  <c r="J26" i="5"/>
  <c r="Y26" i="5"/>
  <c r="O26" i="5"/>
  <c r="AB26" i="5"/>
  <c r="H26" i="5"/>
  <c r="X26" i="5"/>
  <c r="G27" i="5"/>
  <c r="AM27" i="5" s="1"/>
  <c r="F28" i="5"/>
  <c r="W27" i="5" l="1"/>
  <c r="AC27" i="5"/>
  <c r="U27" i="5"/>
  <c r="M27" i="5"/>
  <c r="AI27" i="5"/>
  <c r="N27" i="5"/>
  <c r="AG27" i="5"/>
  <c r="V27" i="5"/>
  <c r="L27" i="5"/>
  <c r="AH27" i="5"/>
  <c r="AE27" i="5"/>
  <c r="AJ27" i="5"/>
  <c r="H27" i="5"/>
  <c r="O27" i="5"/>
  <c r="T27" i="5"/>
  <c r="AB27" i="5"/>
  <c r="J27" i="5"/>
  <c r="AL27" i="5"/>
  <c r="Y27" i="5"/>
  <c r="Z27" i="5"/>
  <c r="AD27" i="5"/>
  <c r="Q27" i="5"/>
  <c r="P27" i="5"/>
  <c r="R27" i="5"/>
  <c r="AK27" i="5"/>
  <c r="AA27" i="5"/>
  <c r="I27" i="5"/>
  <c r="X27" i="5"/>
  <c r="AF27" i="5"/>
  <c r="S27" i="5"/>
  <c r="K27" i="5"/>
  <c r="F29" i="5"/>
  <c r="G28" i="5"/>
  <c r="M28" i="5" s="1"/>
  <c r="AD28" i="5" l="1"/>
  <c r="J28" i="5"/>
  <c r="Z28" i="5"/>
  <c r="V28" i="5"/>
  <c r="O28" i="5"/>
  <c r="U28" i="5"/>
  <c r="AC28" i="5"/>
  <c r="T28" i="5"/>
  <c r="AL28" i="5"/>
  <c r="Y28" i="5"/>
  <c r="AH28" i="5"/>
  <c r="P28" i="5"/>
  <c r="N28" i="5"/>
  <c r="AB28" i="5"/>
  <c r="AF28" i="5"/>
  <c r="AI28" i="5"/>
  <c r="S28" i="5"/>
  <c r="AG28" i="5"/>
  <c r="AE28" i="5"/>
  <c r="W28" i="5"/>
  <c r="L28" i="5"/>
  <c r="X28" i="5"/>
  <c r="AK28" i="5"/>
  <c r="H28" i="5"/>
  <c r="K28" i="5"/>
  <c r="R28" i="5"/>
  <c r="AA28" i="5"/>
  <c r="Q28" i="5"/>
  <c r="AJ28" i="5"/>
  <c r="AM28" i="5"/>
  <c r="I28" i="5"/>
  <c r="G29" i="5"/>
  <c r="AG29" i="5" s="1"/>
  <c r="F30" i="5"/>
  <c r="O29" i="5" l="1"/>
  <c r="T29" i="5"/>
  <c r="H29" i="5"/>
  <c r="K29" i="5"/>
  <c r="Z29" i="5"/>
  <c r="AF29" i="5"/>
  <c r="J29" i="5"/>
  <c r="R29" i="5"/>
  <c r="Y29" i="5"/>
  <c r="V29" i="5"/>
  <c r="M29" i="5"/>
  <c r="AJ29" i="5"/>
  <c r="U29" i="5"/>
  <c r="X29" i="5"/>
  <c r="S29" i="5"/>
  <c r="L29" i="5"/>
  <c r="AL29" i="5"/>
  <c r="P29" i="5"/>
  <c r="AE29" i="5"/>
  <c r="AK29" i="5"/>
  <c r="I29" i="5"/>
  <c r="N29" i="5"/>
  <c r="AA29" i="5"/>
  <c r="AB29" i="5"/>
  <c r="AM29" i="5"/>
  <c r="AD29" i="5"/>
  <c r="AH29" i="5"/>
  <c r="AI29" i="5"/>
  <c r="W29" i="5"/>
  <c r="Q29" i="5"/>
  <c r="AC29" i="5"/>
  <c r="G30" i="5"/>
  <c r="AM30" i="5" s="1"/>
  <c r="F31" i="5"/>
  <c r="V30" i="5" l="1"/>
  <c r="AA30" i="5"/>
  <c r="K30" i="5"/>
  <c r="P30" i="5"/>
  <c r="O30" i="5"/>
  <c r="L30" i="5"/>
  <c r="Z30" i="5"/>
  <c r="R30" i="5"/>
  <c r="U30" i="5"/>
  <c r="T30" i="5"/>
  <c r="H30" i="5"/>
  <c r="Y30" i="5"/>
  <c r="N30" i="5"/>
  <c r="J30" i="5"/>
  <c r="M30" i="5"/>
  <c r="AF30" i="5"/>
  <c r="AE30" i="5"/>
  <c r="AB30" i="5"/>
  <c r="AH30" i="5"/>
  <c r="AC30" i="5"/>
  <c r="AK30" i="5"/>
  <c r="S30" i="5"/>
  <c r="W30" i="5"/>
  <c r="AD30" i="5"/>
  <c r="AG30" i="5"/>
  <c r="Q30" i="5"/>
  <c r="X30" i="5"/>
  <c r="I30" i="5"/>
  <c r="AL30" i="5"/>
  <c r="AI30" i="5"/>
  <c r="AJ30" i="5"/>
  <c r="G31" i="5"/>
  <c r="K31" i="5" s="1"/>
  <c r="F32" i="5"/>
  <c r="O31" i="5" l="1"/>
  <c r="U31" i="5"/>
  <c r="AJ31" i="5"/>
  <c r="Q31" i="5"/>
  <c r="R31" i="5"/>
  <c r="P31" i="5"/>
  <c r="H31" i="5"/>
  <c r="V31" i="5"/>
  <c r="S31" i="5"/>
  <c r="J31" i="5"/>
  <c r="I31" i="5"/>
  <c r="AI31" i="5"/>
  <c r="AM31" i="5"/>
  <c r="AG31" i="5"/>
  <c r="AF31" i="5"/>
  <c r="N31" i="5"/>
  <c r="AH31" i="5"/>
  <c r="AD31" i="5"/>
  <c r="W31" i="5"/>
  <c r="AA31" i="5"/>
  <c r="M31" i="5"/>
  <c r="Y31" i="5"/>
  <c r="L31" i="5"/>
  <c r="X31" i="5"/>
  <c r="AC31" i="5"/>
  <c r="T31" i="5"/>
  <c r="Z31" i="5"/>
  <c r="AE31" i="5"/>
  <c r="AL31" i="5"/>
  <c r="AK31" i="5"/>
  <c r="AB31" i="5"/>
  <c r="G32" i="5"/>
  <c r="AB32" i="5" s="1"/>
  <c r="F33" i="5"/>
  <c r="AC32" i="5" l="1"/>
  <c r="R32" i="5"/>
  <c r="AF32" i="5"/>
  <c r="AH32" i="5"/>
  <c r="M32" i="5"/>
  <c r="AD32" i="5"/>
  <c r="V32" i="5"/>
  <c r="AG32" i="5"/>
  <c r="O32" i="5"/>
  <c r="S32" i="5"/>
  <c r="AL32" i="5"/>
  <c r="P32" i="5"/>
  <c r="I32" i="5"/>
  <c r="AI32" i="5"/>
  <c r="AM32" i="5"/>
  <c r="H32" i="5"/>
  <c r="AJ32" i="5"/>
  <c r="Q32" i="5"/>
  <c r="U32" i="5"/>
  <c r="AA32" i="5"/>
  <c r="L32" i="5"/>
  <c r="W32" i="5"/>
  <c r="J32" i="5"/>
  <c r="Y32" i="5"/>
  <c r="T32" i="5"/>
  <c r="X32" i="5"/>
  <c r="AE32" i="5"/>
  <c r="N32" i="5"/>
  <c r="K32" i="5"/>
  <c r="Z32" i="5"/>
  <c r="AK32" i="5"/>
  <c r="G33" i="5"/>
  <c r="Z33" i="5" s="1"/>
  <c r="AL33" i="5" l="1"/>
  <c r="AG33" i="5"/>
  <c r="S33" i="5"/>
  <c r="AI33" i="5"/>
  <c r="AJ33" i="5"/>
  <c r="N33" i="5"/>
  <c r="R33" i="5"/>
  <c r="O33" i="5"/>
  <c r="AC33" i="5"/>
  <c r="AF33" i="5"/>
  <c r="AM33" i="5"/>
  <c r="H33" i="5"/>
  <c r="AH33" i="5"/>
  <c r="M33" i="5"/>
  <c r="V33" i="5"/>
  <c r="U33" i="5"/>
  <c r="J33" i="5"/>
  <c r="AA33" i="5"/>
  <c r="T33" i="5"/>
  <c r="W33" i="5"/>
  <c r="AD33" i="5"/>
  <c r="L33" i="5"/>
  <c r="AE33" i="5"/>
  <c r="Y33" i="5"/>
  <c r="K33" i="5"/>
  <c r="X33" i="5"/>
  <c r="P33" i="5"/>
  <c r="Q33" i="5"/>
  <c r="AK33" i="5"/>
  <c r="AB33" i="5"/>
  <c r="I3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<sst xmlns="http://schemas.openxmlformats.org/spreadsheetml/2006/main" count="649" uniqueCount="298">
  <si>
    <t xml:space="preserve">The 12 Step Process </t>
  </si>
  <si>
    <t>Project Management Fundamentals</t>
  </si>
  <si>
    <t xml:space="preserve">From a hundred years of research and experience the APM and </t>
  </si>
  <si>
    <t xml:space="preserve">PMI invented the ultimate Project Management process. From </t>
  </si>
  <si>
    <t xml:space="preserve">that I’ve distilled their research into a simple and practical 12 </t>
  </si>
  <si>
    <t xml:space="preserve">Step Process. This will work for every project, regardless of size, </t>
  </si>
  <si>
    <t xml:space="preserve">industry or timeframe. </t>
  </si>
  <si>
    <t>by Chris Croft</t>
  </si>
  <si>
    <t xml:space="preserve"> &gt; Step 1 - Define the project </t>
  </si>
  <si>
    <t xml:space="preserve">&gt; Step 3 - Establishing task order </t>
  </si>
  <si>
    <t xml:space="preserve">&gt; Step 4 - Estimating time </t>
  </si>
  <si>
    <t xml:space="preserve">&gt; Step 5 - Margin check &amp; reality check </t>
  </si>
  <si>
    <t xml:space="preserve">&gt; Step 6 - Gantt Chart </t>
  </si>
  <si>
    <t xml:space="preserve">&gt; Step 7 - Resource allocation </t>
  </si>
  <si>
    <t xml:space="preserve">&gt; Step 8 - Predicting &amp; reducing risk </t>
  </si>
  <si>
    <t xml:space="preserve">&gt; Step 9 - Monitoring progress </t>
  </si>
  <si>
    <t xml:space="preserve">&gt; Step 10 - Monitoring cost </t>
  </si>
  <si>
    <t xml:space="preserve">&gt; Step 11 - Adjusting the plan </t>
  </si>
  <si>
    <t>&gt; Step 12 - Review &amp; lessons</t>
  </si>
  <si>
    <t>Scope</t>
  </si>
  <si>
    <t>In Scope</t>
  </si>
  <si>
    <t>New Garden Shed</t>
  </si>
  <si>
    <t>Electricity</t>
  </si>
  <si>
    <t>Plumbing</t>
  </si>
  <si>
    <t>Project Definition — Database-Ready Setup</t>
  </si>
  <si>
    <t>Use one row for the project header and separate child rows for repeating items like scope. This keeps the data clean for Excel tables, Power Query, CSV export, and relational database import.</t>
  </si>
  <si>
    <t>Recommended structure</t>
  </si>
  <si>
    <t>ProjectID</t>
  </si>
  <si>
    <t>ProjectName</t>
  </si>
  <si>
    <t>ProjectOwner</t>
  </si>
  <si>
    <t>CreatedDate</t>
  </si>
  <si>
    <t>Version</t>
  </si>
  <si>
    <t>Status</t>
  </si>
  <si>
    <t>PRJ-001</t>
  </si>
  <si>
    <t>Frank Ellingsen</t>
  </si>
  <si>
    <t>2026-08-04T22:00:00.000Z</t>
  </si>
  <si>
    <t>Draft</t>
  </si>
  <si>
    <t>ScopeType</t>
  </si>
  <si>
    <t>ScopeItem</t>
  </si>
  <si>
    <t>Priority</t>
  </si>
  <si>
    <t>DecisionStatus</t>
  </si>
  <si>
    <t>SourceNote</t>
  </si>
  <si>
    <t>High</t>
  </si>
  <si>
    <t>Approved</t>
  </si>
  <si>
    <t>Migrated from original B5 value</t>
  </si>
  <si>
    <t>Out of Scope</t>
  </si>
  <si>
    <t>Migrated from original B7 value</t>
  </si>
  <si>
    <t>Rule</t>
  </si>
  <si>
    <t>Recommendation</t>
  </si>
  <si>
    <t>Reason</t>
  </si>
  <si>
    <t>Use stable IDs</t>
  </si>
  <si>
    <t>Use ProjectID, not project name, as the primary key</t>
  </si>
  <si>
    <t>Names change; IDs remain reliable for database joins</t>
  </si>
  <si>
    <t>Separate repeating data</t>
  </si>
  <si>
    <t>Put scope items in tblProjectScope, one item per row</t>
  </si>
  <si>
    <t>Avoids comma-separated lists and supports one-to-many database relationships</t>
  </si>
  <si>
    <t>Keep atomic fields</t>
  </si>
  <si>
    <t>Do not combine owner, date, budget, and notes in one cell</t>
  </si>
  <si>
    <t>Databases import and validate one value per field best</t>
  </si>
  <si>
    <t>Use consistent values</t>
  </si>
  <si>
    <t>Use controlled values such as Draft, Approved, In Scope, Out of Scope</t>
  </si>
  <si>
    <t>Reduces cleanup and prevents spelling variants</t>
  </si>
  <si>
    <t>Avoid merged cells in tables</t>
  </si>
  <si>
    <t>Keep merged cells only in titles, never inside import tables</t>
  </si>
  <si>
    <t>Merged cells break many import and transformation tools</t>
  </si>
  <si>
    <t>Add audit fields</t>
  </si>
  <si>
    <t>Keep Version, CreatedDate, DataSource, and ImportKey</t>
  </si>
  <si>
    <t>Helps identify changed records during future imports</t>
  </si>
  <si>
    <t>Cost</t>
  </si>
  <si>
    <t>Time</t>
  </si>
  <si>
    <t>Start Date</t>
  </si>
  <si>
    <t>End Date</t>
  </si>
  <si>
    <t>06.01.2026</t>
  </si>
  <si>
    <t>10.31.2026</t>
  </si>
  <si>
    <t>Budget</t>
  </si>
  <si>
    <t>TaskGroup</t>
  </si>
  <si>
    <t>TaskName</t>
  </si>
  <si>
    <t>CaptureStatus</t>
  </si>
  <si>
    <t>Planning</t>
  </si>
  <si>
    <t>Yes</t>
  </si>
  <si>
    <t>Field</t>
  </si>
  <si>
    <t>How to use it</t>
  </si>
  <si>
    <t>Database note</t>
  </si>
  <si>
    <t>Draft, Reviewed, Approved, or Removed</t>
  </si>
  <si>
    <t>Step 2 — Work Breakdown Structure</t>
  </si>
  <si>
    <t>Your task brainstorm is now captured as a hierarchical WBS. Summary rows keep the structure readable; work-package rows are the actual tasks that can later receive order, duration, resources, and cost.</t>
  </si>
  <si>
    <t>WBS summary</t>
  </si>
  <si>
    <t>Total WBS rows</t>
  </si>
  <si>
    <t>Work packages</t>
  </si>
  <si>
    <t>WBSCode</t>
  </si>
  <si>
    <t>ParentWBSCode</t>
  </si>
  <si>
    <t>WBSLevel</t>
  </si>
  <si>
    <t>IsWorkPackage</t>
  </si>
  <si>
    <t>No</t>
  </si>
  <si>
    <t>Check can I get planning?</t>
  </si>
  <si>
    <t>Apply for and get planning permission</t>
  </si>
  <si>
    <t>Prepare site</t>
  </si>
  <si>
    <t>Demolish old shed</t>
  </si>
  <si>
    <t>Cut back all the foliage</t>
  </si>
  <si>
    <t>Tree surgeon to trim branches above area</t>
  </si>
  <si>
    <t>Put a power wire down the garden</t>
  </si>
  <si>
    <t>Connect power</t>
  </si>
  <si>
    <t>Buying</t>
  </si>
  <si>
    <t>Check funds</t>
  </si>
  <si>
    <t>Shed</t>
  </si>
  <si>
    <t>3.2.1</t>
  </si>
  <si>
    <t>Research - talk to friends</t>
  </si>
  <si>
    <t>3.2.2</t>
  </si>
  <si>
    <t>Find shed suppliers</t>
  </si>
  <si>
    <t>3.2.3</t>
  </si>
  <si>
    <t>Get quotes</t>
  </si>
  <si>
    <t>3.2.4</t>
  </si>
  <si>
    <t>See a finished one</t>
  </si>
  <si>
    <t>3.2.5</t>
  </si>
  <si>
    <t>Choose - place the order</t>
  </si>
  <si>
    <t>3.2.6</t>
  </si>
  <si>
    <t>Wait for delivery</t>
  </si>
  <si>
    <t>Other stuff</t>
  </si>
  <si>
    <t>3.3.1</t>
  </si>
  <si>
    <t>Buy furniture</t>
  </si>
  <si>
    <t>Foundations</t>
  </si>
  <si>
    <t>Hire Digger</t>
  </si>
  <si>
    <t>Dig foundation trenches</t>
  </si>
  <si>
    <t>Fill with concrete</t>
  </si>
  <si>
    <t>Level the base</t>
  </si>
  <si>
    <t>Assembly of structure</t>
  </si>
  <si>
    <t>Delivery</t>
  </si>
  <si>
    <t>Assembly</t>
  </si>
  <si>
    <t>Painting</t>
  </si>
  <si>
    <t>5.3.1</t>
  </si>
  <si>
    <t>Inside</t>
  </si>
  <si>
    <t>5.3.2</t>
  </si>
  <si>
    <t>External</t>
  </si>
  <si>
    <t>Installing stuff</t>
  </si>
  <si>
    <t>Install Furniture</t>
  </si>
  <si>
    <t>Set up computers</t>
  </si>
  <si>
    <t>Set up music system</t>
  </si>
  <si>
    <t>Hierarchical code such as 3.2.5</t>
  </si>
  <si>
    <t>Stable key for hierarchy/order import</t>
  </si>
  <si>
    <t>Immediate parent code, blank for top-level groups</t>
  </si>
  <si>
    <t>Supports parent-child database relationships</t>
  </si>
  <si>
    <t>1 for major group, 2 for child, 3 for sub-child</t>
  </si>
  <si>
    <t>Useful for indentation and filtering</t>
  </si>
  <si>
    <t>Main grouping for easy filtering</t>
  </si>
  <si>
    <t>Can become a lookup/category table</t>
  </si>
  <si>
    <t>The WBS element or task name</t>
  </si>
  <si>
    <t>One row per WBS element</t>
  </si>
  <si>
    <t>Yes means it is an actionable task; No means summary/group row</t>
  </si>
  <si>
    <t>Import only Yes rows into execution schedule if needed</t>
  </si>
  <si>
    <t>Keeps review state without deleting history</t>
  </si>
  <si>
    <t>&gt; Step 2 - List the tasks | Level of granularity</t>
  </si>
  <si>
    <t>Identify Key Driver</t>
  </si>
  <si>
    <t>Level of granularity</t>
  </si>
  <si>
    <t>Time in Weeks</t>
  </si>
  <si>
    <t>Project Tasks Swimlane — by TaskGroup</t>
  </si>
  <si>
    <t>Linked to tblProjectTasks. Enter numeric values in tblProjectTasks[Time in Weeks] to replace the placeholder bars. Current status: 26 work packages; 26 durations blank.</t>
  </si>
  <si>
    <t>Blank durations</t>
  </si>
  <si>
    <t>Visible horizon</t>
  </si>
  <si>
    <t>32 weeks</t>
  </si>
  <si>
    <t>Placeholder symbol</t>
  </si>
  <si>
    <t>◇ = 1 week assumed</t>
  </si>
  <si>
    <t>Chart Weeks</t>
  </si>
  <si>
    <t>Start Week</t>
  </si>
  <si>
    <t>End Week</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</si>
  <si>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</si>
  <si>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</si>
  <si>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</si>
  <si>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</si>
  <si>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</si>
  <si>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</si>
  <si>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</si>
  <si>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</si>
  <si>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</si>
  <si>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</si>
  <si>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</si>
  <si>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</si>
  <si>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</si>
  <si>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</si>
  <si>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</si>
  <si>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</si>
  <si>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</si>
  <si>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</si>
  <si>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</si>
  <si>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</si>
  <si>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</si>
  <si>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</si>
  <si>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</si>
  <si>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</si>
  <si>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</si>
  <si>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</si>
  <si>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</si>
  <si>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</si>
  <si>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</si>
  <si>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</si>
  <si>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</si>
  <si>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</si>
  <si>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Elapsed Time in Weeks</t>
  </si>
  <si>
    <t>Row Labels</t>
  </si>
  <si>
    <t>Grand Total</t>
  </si>
  <si>
    <t>Sum of Elapsed Time in Weeks</t>
  </si>
  <si>
    <t>Start-Week</t>
  </si>
  <si>
    <t>End-Week</t>
  </si>
  <si>
    <t>Clear the space in the garden</t>
  </si>
  <si>
    <t>Cut foliage back</t>
  </si>
  <si>
    <t>Tree surgeon</t>
  </si>
  <si>
    <t>Dig trench</t>
  </si>
  <si>
    <t>Hire digger</t>
  </si>
  <si>
    <t>Buy the shed</t>
  </si>
  <si>
    <t>Find suppliers</t>
  </si>
  <si>
    <t>Ask friends</t>
  </si>
  <si>
    <t>Choose (event)</t>
  </si>
  <si>
    <t>Delivery time</t>
  </si>
  <si>
    <t>Install shed</t>
  </si>
  <si>
    <t>Delivery (event)</t>
  </si>
  <si>
    <t>Wire down the garden</t>
  </si>
  <si>
    <t>Connect power (event)</t>
  </si>
  <si>
    <t>Put in the furniture</t>
  </si>
  <si>
    <t>Install music system</t>
  </si>
  <si>
    <t>Painting outside</t>
  </si>
  <si>
    <t>Painting inside</t>
  </si>
  <si>
    <t>Legal</t>
  </si>
  <si>
    <t>Check if I need planning permission</t>
  </si>
  <si>
    <t>Wait for planning permission</t>
  </si>
  <si>
    <t>Check I’ve got enough mone</t>
  </si>
  <si>
    <t>Elapsed weeks</t>
  </si>
  <si>
    <t>Check I’ve got enough funds</t>
  </si>
  <si>
    <t>Task List</t>
  </si>
  <si>
    <t>Step 3 — Post-it Dependency Sorting Board</t>
  </si>
  <si>
    <t>Simulate an unsorted wall of task notes, then sort them horizontally by dependency level and vertically by independent workstream. The table underneath keeps the result database-ready for later critical-path calculations.</t>
  </si>
  <si>
    <t>1) Unsorted post-it pile — copied from current work packages</t>
  </si>
  <si>
    <t>2.2
Cut back all the foliage
2 weeks</t>
  </si>
  <si>
    <t>3.1
Check funds
1 week</t>
  </si>
  <si>
    <t>3.3.1
Buy furniture
2 weeks</t>
  </si>
  <si>
    <t>1.2
Apply for and get planning permission
10 weeks</t>
  </si>
  <si>
    <t>4.4
Level the base
1 week</t>
  </si>
  <si>
    <t>3.2.3
Get quotes
3 weeks</t>
  </si>
  <si>
    <t>4.2
Dig foundation trenches
1 week</t>
  </si>
  <si>
    <t>2.4
Put a power wire down the garden
? weeks</t>
  </si>
  <si>
    <t>5.3.1
Inside
1 week</t>
  </si>
  <si>
    <t>3.2.5
Choose - place the order
? weeks</t>
  </si>
  <si>
    <t>5.1
Delivery
6 weeks</t>
  </si>
  <si>
    <t>2.3
Tree surgeon to trim branches above area
? weeks</t>
  </si>
  <si>
    <t>6.1
Install Furniture
1 week</t>
  </si>
  <si>
    <t>3.2.1
Research - talk to friends
3 weeks</t>
  </si>
  <si>
    <t>6.3
Set up music system
1 week</t>
  </si>
  <si>
    <t>4.1
Hire Digger
2 weeks</t>
  </si>
  <si>
    <t>1.1
Check can I get planning?
6 weeks</t>
  </si>
  <si>
    <t>5.3.2
External
2 weeks</t>
  </si>
  <si>
    <t>3.2.4
See a finished one
1 week</t>
  </si>
  <si>
    <t>6.2
Set up computers
1 week</t>
  </si>
  <si>
    <t>3.2.2
Find shed suppliers
1 week</t>
  </si>
  <si>
    <t>4.3
Fill with concrete
2 weeks</t>
  </si>
  <si>
    <t>2.1
Demolish old shed
1 week</t>
  </si>
  <si>
    <t>5.2
Assembly
1 week</t>
  </si>
  <si>
    <t>2.5
Connect power
? weeks</t>
  </si>
  <si>
    <t>3.2.6
Wait for delivery
6 weeks</t>
  </si>
  <si>
    <t>2) Sorted board — horizontal = dependency level, vertical = independent lane</t>
  </si>
  <si>
    <t>Lane</t>
  </si>
  <si>
    <t>Level 0</t>
  </si>
  <si>
    <t>Level 1</t>
  </si>
  <si>
    <t>Level 2</t>
  </si>
  <si>
    <t>Level 3</t>
  </si>
  <si>
    <t>Level 4</t>
  </si>
  <si>
    <t>Level 5+</t>
  </si>
  <si>
    <t>01 Planning / approvals</t>
  </si>
  <si>
    <t>02 Site preparation</t>
  </si>
  <si>
    <t>03 Buying / supplier choice</t>
  </si>
  <si>
    <t>04 Foundations</t>
  </si>
  <si>
    <t>05 Build / finish</t>
  </si>
  <si>
    <t>06 Utilities / fit-out</t>
  </si>
  <si>
    <t>3) Database-ready task positions — edit Lane, SuggestedPredecessorWBS, or DurationWeeks here</t>
  </si>
  <si>
    <t>PostItOrder</t>
  </si>
  <si>
    <t>DurationWeeks</t>
  </si>
  <si>
    <t>SuggestedPredecessorWBS</t>
  </si>
  <si>
    <t>DependencyLevel</t>
  </si>
  <si>
    <t>EarliestStart</t>
  </si>
  <si>
    <t>EarliestFinish</t>
  </si>
  <si>
    <t>PostItText</t>
  </si>
  <si>
    <t>CPMReadyFlag</t>
  </si>
  <si>
    <t>07 Other independent stream</t>
  </si>
  <si>
    <t>4) Normalized dependency edge list — this is the structure to use for true critical-path analysis</t>
  </si>
  <si>
    <t>FromWBSCode</t>
  </si>
  <si>
    <t>ToWBSCode</t>
  </si>
  <si>
    <t>DependencyType</t>
  </si>
  <si>
    <t>LagWeeks</t>
  </si>
  <si>
    <t>RelationshipNote</t>
  </si>
  <si>
    <t>Finish-to-Start</t>
  </si>
  <si>
    <t>Planning permission application follows initial planning check</t>
  </si>
  <si>
    <t>Power wire must be in place before connection</t>
  </si>
  <si>
    <t>Choose supplier after identifying suppliers</t>
  </si>
  <si>
    <t>Delivery time follows supplier choice</t>
  </si>
  <si>
    <t>Dig trench before using digger step is confirmed</t>
  </si>
  <si>
    <t>Digger/trench work before concrete</t>
  </si>
  <si>
    <t>Concrete before levelling base</t>
  </si>
  <si>
    <t>Base ready before assembly</t>
  </si>
  <si>
    <t>Furniture after structure</t>
  </si>
  <si>
    <t>Fit-out can depend on interior readiness</t>
  </si>
  <si>
    <t>Electrical install also depends on power connection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</si>
</sst>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8" formatCode="yyyy\-mm\-dd"/>
    <numFmt numFmtId="174" formatCode="_(* #,##0_);_(* \(#,##0\);_(* &quot;-&quot;??_);_(@_)"/>
  </numFmts>
  <fonts count="21"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
      <name val="Aptos Narrow"/>
      <family val="2"/>
      <scheme val="minor"/>
    </font>
    <font>
      <u/>
      <sz val="11"/>
      <color theme="10"/>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b/>
      <sz val="12"/>
      <color rgb="FFFFFFFF"/>
      <name val="Aptos Narrow"/>
      <family val="2"/>
      <scheme val="minor"/>
    </font>
    <font>
      <b/>
      <sz val="11"/>
      <color rgb="FF1F1F1F"/>
      <name val="Aptos Narrow"/>
      <family val="2"/>
      <scheme val="minor"/>
    </font>
    <font>
      <sz val="11"/>
      <color rgb="FF404040"/>
      <name val="Aptos Narrow"/>
      <family val="2"/>
      <scheme val="minor"/>
    </font>
    <font>
      <b/>
      <sz val="9"/>
      <color rgb="FF1F4E78"/>
      <name val="Aptos Narrow"/>
      <family val="2"/>
      <scheme val="minor"/>
    </font>
    <font>
      <sz val="8"/>
      <name val="Aptos Narrow"/>
      <family val="2"/>
      <scheme val="minor"/>
    </font>
    <font>
      <b/>
      <sz val="18"/>
      <color rgb="FFFFFFFF"/>
      <name val="Aptos"/>
      <family val="2"/>
    </font>
    <font>
      <sz val="11"/>
      <color theme="1"/>
      <name val="Aptos"/>
      <family val="2"/>
    </font>
    <font>
      <i/>
      <sz val="11"/>
      <color rgb="FF666666"/>
      <name val="Aptos"/>
      <family val="2"/>
    </font>
    <font>
      <b/>
      <sz val="12"/>
      <color rgb="FFFFFFFF"/>
      <name val="Aptos"/>
      <family val="2"/>
    </font>
    <font>
      <sz val="9"/>
      <color rgb="FF3F3F3F"/>
      <name val="Aptos"/>
      <family val="2"/>
    </font>
    <font>
      <b/>
      <sz val="11"/>
      <color rgb="FFFFFFFF"/>
      <name val="Aptos"/>
      <family val="2"/>
    </font>
    <font>
      <b/>
      <sz val="11"/>
      <color theme="1"/>
      <name val="Aptos"/>
      <family val="2"/>
    </font>
    <font>
      <sz val="8"/>
      <color theme="1"/>
      <name val="Aptos"/>
      <family val="2"/>
    </font>
  </fonts>
  <fills count="15">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rgb="FFD9EAF7"/>
        <bgColor indexed="64"/>
      </patternFill>
    </fill>
    <fill>
      <patternFill patternType="solid">
        <fgColor rgb="FFEAF3F8"/>
        <bgColor indexed="64"/>
      </patternFill>
    </fill>
    <fill>
      <patternFill patternType="solid">
        <fgColor rgb="FFFCE4D6"/>
        <bgColor indexed="64"/>
      </patternFill>
    </fill>
    <fill>
      <patternFill patternType="solid">
        <fgColor rgb="FFE2F0D9"/>
        <bgColor indexed="64"/>
      </patternFill>
    </fill>
    <fill>
      <patternFill patternType="solid">
        <fgColor rgb="FFFFF2CC"/>
        <bgColor indexed="64"/>
      </patternFill>
    </fill>
    <fill>
      <patternFill patternType="solid">
        <fgColor rgb="FFE4DFEC"/>
        <bgColor indexed="64"/>
      </patternFill>
    </fill>
    <fill>
      <patternFill patternType="solid">
        <fgColor rgb="FFDDEBF7"/>
        <bgColor indexed="64"/>
      </patternFill>
    </fill>
    <fill>
      <patternFill patternType="solid">
        <fgColor rgb="FFF8CBAD"/>
        <bgColor indexed="64"/>
      </patternFill>
    </fill>
    <fill>
      <patternFill patternType="solid">
        <fgColor rgb="FFC6E0B4"/>
        <bgColor indexed="64"/>
      </patternFill>
    </fill>
    <fill>
      <patternFill patternType="solid">
        <fgColor rgb="FFD9EAD3"/>
        <bgColor indexed="64"/>
      </patternFill>
    </fill>
    <fill>
      <patternFill patternType="solid">
        <fgColor rgb="FF8064A2"/>
        <bgColor indexed="64"/>
      </patternFill>
    </fill>
  </fills>
  <borders count="19">
    <border>
      <left/>
      <right/>
      <top/>
      <bottom/>
      <diagonal/>
    </border>
    <border>
      <left/>
      <right/>
      <top/>
      <bottom style="thin">
        <color auto="1"/>
      </bottom>
      <diagonal/>
    </border>
    <border>
      <left/>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right style="thin">
        <color auto="1"/>
      </right>
      <top style="thick">
        <color auto="1"/>
      </top>
      <bottom/>
      <diagonal/>
    </border>
    <border>
      <left style="thin">
        <color auto="1"/>
      </left>
      <right style="thin">
        <color auto="1"/>
      </right>
      <top style="thick">
        <color auto="1"/>
      </top>
      <bottom/>
      <diagonal/>
    </border>
  </borders>
  <cellStyleXfs count="3">
    <xf numFmtId="0" fontId="0" fillId="0" borderId="0"/>
    <xf numFmtId="43" fontId="1" fillId="0" borderId="0" applyFont="0" applyFill="0" applyBorder="0" applyAlignment="0" applyProtection="0"/>
    <xf numFmtId="0" fontId="4" fillId="0" borderId="0" applyNumberFormat="0" applyFill="0" applyBorder="0" applyAlignment="0" applyProtection="0"/>
  </cellStyleXfs>
  <cellXfs count="200">
    <xf numFmtId="0" fontId="0" fillId="0" borderId="0" xfId="0"/>
    <xf numFmtId="0" fontId="0" fillId="0" borderId="0" xfId="0" applyAlignment="1">
      <alignment wrapText="1"/>
    </xf>
    <xf numFmtId="0" fontId="2" fillId="0" borderId="0" xfId="0" applyFont="1"/>
    <xf numFmtId="0" fontId="3" fillId="0" borderId="0" xfId="0" applyFont="1"/>
    <xf numFmtId="0" fontId="4" fillId="0" borderId="0" xfId="2"/>
    <xf numFmtId="0" fontId="6" fillId="2" borderId="0" xfId="0" applyFont="1" applyFill="1"/>
    <xf numFmtId="0" fontId="6" fillId="2" borderId="0" xfId="0" applyFont="1" applyFill="1" applyAlignment="1">
      <alignment horizontal="left"/>
    </xf>
    <xf numFmtId="0" fontId="7" fillId="0" borderId="0" xfId="0" applyFont="1" applyAlignment="1">
      <alignment wrapText="1"/>
    </xf>
    <xf numFmtId="0" fontId="8" fillId="3" borderId="0" xfId="0" applyFont="1" applyFill="1"/>
    <xf numFmtId="0" fontId="0" fillId="0" borderId="0" xfId="0"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0" fillId="0" borderId="6" xfId="0" applyBorder="1" applyAlignment="1">
      <alignment horizontal="left"/>
    </xf>
    <xf numFmtId="0" fontId="0" fillId="0" borderId="7" xfId="0" applyBorder="1" applyAlignment="1">
      <alignment horizontal="left"/>
    </xf>
    <xf numFmtId="168" fontId="0" fillId="0" borderId="7" xfId="0" applyNumberFormat="1" applyBorder="1" applyAlignment="1">
      <alignment horizontal="left"/>
    </xf>
    <xf numFmtId="1" fontId="0" fillId="0" borderId="7" xfId="0" applyNumberFormat="1" applyBorder="1" applyAlignment="1">
      <alignment horizontal="left"/>
    </xf>
    <xf numFmtId="0" fontId="0" fillId="0" borderId="8" xfId="0" applyBorder="1" applyAlignment="1">
      <alignment horizontal="left"/>
    </xf>
    <xf numFmtId="0" fontId="0" fillId="0" borderId="6" xfId="0" applyBorder="1"/>
    <xf numFmtId="0" fontId="0" fillId="0" borderId="7" xfId="0" applyBorder="1"/>
    <xf numFmtId="0" fontId="0" fillId="0" borderId="9" xfId="0" applyBorder="1"/>
    <xf numFmtId="0" fontId="0" fillId="0" borderId="10" xfId="0" applyBorder="1"/>
    <xf numFmtId="0" fontId="0" fillId="0" borderId="11" xfId="0" applyBorder="1"/>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0" xfId="0" applyAlignment="1"/>
    <xf numFmtId="0" fontId="8" fillId="3" borderId="0" xfId="0" applyFont="1" applyFill="1"/>
    <xf numFmtId="0" fontId="7" fillId="0" borderId="0" xfId="0" applyFont="1" applyAlignment="1">
      <alignment wrapText="1"/>
    </xf>
    <xf numFmtId="0" fontId="2" fillId="0" borderId="0" xfId="0" applyFont="1" applyBorder="1" applyAlignment="1">
      <alignment horizontal="left"/>
    </xf>
    <xf numFmtId="0" fontId="0" fillId="0" borderId="0" xfId="0" applyBorder="1" applyAlignment="1">
      <alignment horizontal="left"/>
    </xf>
    <xf numFmtId="14" fontId="0" fillId="0" borderId="7" xfId="0" applyNumberFormat="1" applyBorder="1" applyAlignment="1">
      <alignment horizontal="left"/>
    </xf>
    <xf numFmtId="174" fontId="0" fillId="0" borderId="7" xfId="1" applyNumberFormat="1" applyFont="1" applyBorder="1" applyAlignment="1">
      <alignment horizontal="left"/>
    </xf>
    <xf numFmtId="0" fontId="2" fillId="4" borderId="0" xfId="0" applyFont="1" applyFill="1"/>
    <xf numFmtId="0" fontId="9" fillId="4" borderId="10" xfId="0" applyFont="1" applyFill="1" applyBorder="1"/>
    <xf numFmtId="3" fontId="9" fillId="4" borderId="10" xfId="0" applyNumberFormat="1" applyFont="1" applyFill="1" applyBorder="1"/>
    <xf numFmtId="0" fontId="2" fillId="0" borderId="3" xfId="0" applyFont="1" applyBorder="1"/>
    <xf numFmtId="0" fontId="2" fillId="0" borderId="4" xfId="0" applyFont="1" applyBorder="1"/>
    <xf numFmtId="0" fontId="2" fillId="0" borderId="5" xfId="0" applyFont="1" applyBorder="1" applyAlignment="1">
      <alignment wrapText="1"/>
    </xf>
    <xf numFmtId="3" fontId="2" fillId="4" borderId="0" xfId="0" applyNumberFormat="1" applyFont="1" applyFill="1"/>
    <xf numFmtId="0" fontId="2" fillId="5" borderId="9" xfId="0" applyFont="1" applyFill="1" applyBorder="1"/>
    <xf numFmtId="0" fontId="2" fillId="5" borderId="10" xfId="0" applyFont="1" applyFill="1" applyBorder="1"/>
    <xf numFmtId="0" fontId="2" fillId="5" borderId="10" xfId="0" applyFont="1" applyFill="1" applyBorder="1" applyAlignment="1">
      <alignment wrapText="1"/>
    </xf>
    <xf numFmtId="0" fontId="2" fillId="5" borderId="11" xfId="0" applyFont="1" applyFill="1" applyBorder="1"/>
    <xf numFmtId="0" fontId="0" fillId="0" borderId="10" xfId="0" applyBorder="1" applyAlignment="1">
      <alignment wrapText="1" indent="1"/>
    </xf>
    <xf numFmtId="0" fontId="10" fillId="0" borderId="9" xfId="0" applyFont="1" applyBorder="1"/>
    <xf numFmtId="0" fontId="10" fillId="0" borderId="10" xfId="0" applyFont="1" applyBorder="1"/>
    <xf numFmtId="0" fontId="10" fillId="0" borderId="10" xfId="0" applyFont="1" applyBorder="1" applyAlignment="1">
      <alignment wrapText="1" indent="2"/>
    </xf>
    <xf numFmtId="0" fontId="10" fillId="0" borderId="11" xfId="0" applyFont="1" applyBorder="1"/>
    <xf numFmtId="0" fontId="0" fillId="0" borderId="7" xfId="0" applyBorder="1" applyAlignment="1">
      <alignment wrapText="1" indent="1"/>
    </xf>
    <xf numFmtId="0" fontId="2" fillId="0" borderId="0" xfId="0" applyFont="1" applyAlignment="1">
      <alignment horizontal="center" vertical="top"/>
    </xf>
    <xf numFmtId="0" fontId="2" fillId="0" borderId="0" xfId="0" applyFont="1" applyAlignment="1">
      <alignment horizontal="center" vertical="top" wrapText="1"/>
    </xf>
    <xf numFmtId="0" fontId="2" fillId="0" borderId="0" xfId="0" applyFont="1" applyAlignment="1">
      <alignment vertical="top"/>
    </xf>
    <xf numFmtId="0" fontId="0" fillId="0" borderId="0" xfId="0" applyAlignment="1">
      <alignment vertical="top" wrapText="1"/>
    </xf>
    <xf numFmtId="0" fontId="0" fillId="0" borderId="0" xfId="0" applyAlignment="1">
      <alignment horizontal="center"/>
    </xf>
    <xf numFmtId="0" fontId="0" fillId="0" borderId="9" xfId="0" applyBorder="1" applyAlignment="1">
      <alignment vertical="center"/>
    </xf>
    <xf numFmtId="0" fontId="0" fillId="0" borderId="10" xfId="0" applyBorder="1" applyAlignment="1">
      <alignment vertical="center"/>
    </xf>
    <xf numFmtId="0" fontId="0" fillId="0" borderId="10" xfId="0" applyBorder="1" applyAlignment="1">
      <alignment vertical="center" wrapText="1"/>
    </xf>
    <xf numFmtId="1" fontId="0" fillId="0" borderId="10" xfId="0" applyNumberFormat="1" applyBorder="1" applyAlignment="1">
      <alignment vertical="center"/>
    </xf>
    <xf numFmtId="0" fontId="11" fillId="0" borderId="10" xfId="0" applyFont="1" applyBorder="1" applyAlignment="1">
      <alignment horizontal="center"/>
    </xf>
    <xf numFmtId="0" fontId="0" fillId="0" borderId="6" xfId="0" applyBorder="1" applyAlignment="1">
      <alignment vertical="center"/>
    </xf>
    <xf numFmtId="0" fontId="0" fillId="0" borderId="7" xfId="0" applyBorder="1" applyAlignment="1">
      <alignment vertical="center"/>
    </xf>
    <xf numFmtId="0" fontId="0" fillId="0" borderId="7" xfId="0" applyBorder="1" applyAlignment="1">
      <alignment vertical="center" wrapText="1"/>
    </xf>
    <xf numFmtId="1" fontId="0" fillId="0" borderId="7" xfId="0" applyNumberFormat="1" applyBorder="1" applyAlignment="1">
      <alignment vertical="center"/>
    </xf>
    <xf numFmtId="0" fontId="11" fillId="0" borderId="7" xfId="0" applyFont="1" applyBorder="1" applyAlignment="1">
      <alignment horizontal="center"/>
    </xf>
    <xf numFmtId="0" fontId="5" fillId="3" borderId="13" xfId="0" applyFont="1" applyFill="1" applyBorder="1" applyAlignment="1">
      <alignment horizontal="center"/>
    </xf>
    <xf numFmtId="0" fontId="5" fillId="3" borderId="14" xfId="0" applyFont="1" applyFill="1" applyBorder="1" applyAlignment="1">
      <alignment horizontal="center"/>
    </xf>
    <xf numFmtId="1" fontId="5" fillId="3" borderId="14" xfId="0" applyNumberFormat="1" applyFont="1" applyFill="1" applyBorder="1" applyAlignment="1">
      <alignment horizontal="center"/>
    </xf>
    <xf numFmtId="0" fontId="11" fillId="0" borderId="4" xfId="0" applyFont="1" applyBorder="1" applyAlignment="1">
      <alignment horizontal="center"/>
    </xf>
    <xf numFmtId="0" fontId="0" fillId="5" borderId="15" xfId="0" applyFill="1" applyBorder="1" applyAlignment="1">
      <alignment vertical="center"/>
    </xf>
    <xf numFmtId="0" fontId="0" fillId="5" borderId="16" xfId="0" applyFill="1" applyBorder="1" applyAlignment="1">
      <alignment vertical="center"/>
    </xf>
    <xf numFmtId="0" fontId="0" fillId="5" borderId="16" xfId="0" applyFill="1" applyBorder="1" applyAlignment="1">
      <alignment vertical="center" wrapText="1"/>
    </xf>
    <xf numFmtId="1" fontId="0" fillId="5" borderId="16" xfId="0" applyNumberFormat="1" applyFill="1" applyBorder="1" applyAlignment="1">
      <alignment vertical="center"/>
    </xf>
    <xf numFmtId="0" fontId="11" fillId="0" borderId="16" xfId="0" applyFont="1" applyBorder="1" applyAlignment="1">
      <alignment horizontal="center"/>
    </xf>
    <xf numFmtId="0" fontId="0" fillId="6" borderId="9" xfId="0" applyFill="1" applyBorder="1" applyAlignment="1">
      <alignment vertical="center"/>
    </xf>
    <xf numFmtId="0" fontId="0" fillId="6" borderId="10" xfId="0" applyFill="1" applyBorder="1" applyAlignment="1">
      <alignment vertical="center"/>
    </xf>
    <xf numFmtId="0" fontId="0" fillId="6" borderId="10" xfId="0" applyFill="1" applyBorder="1" applyAlignment="1">
      <alignment vertical="center" wrapText="1"/>
    </xf>
    <xf numFmtId="1" fontId="0" fillId="6" borderId="10" xfId="0" applyNumberFormat="1" applyFill="1" applyBorder="1" applyAlignment="1">
      <alignment vertical="center"/>
    </xf>
    <xf numFmtId="0" fontId="0" fillId="5" borderId="13" xfId="0" applyFill="1" applyBorder="1" applyAlignment="1">
      <alignment vertical="center"/>
    </xf>
    <xf numFmtId="0" fontId="0" fillId="5" borderId="14" xfId="0" applyFill="1" applyBorder="1" applyAlignment="1">
      <alignment vertical="center"/>
    </xf>
    <xf numFmtId="0" fontId="0" fillId="5" borderId="14" xfId="0" applyFill="1" applyBorder="1" applyAlignment="1">
      <alignment vertical="center" wrapText="1"/>
    </xf>
    <xf numFmtId="1" fontId="0" fillId="5" borderId="14" xfId="0" applyNumberFormat="1" applyFill="1" applyBorder="1" applyAlignment="1">
      <alignment vertical="center"/>
    </xf>
    <xf numFmtId="0" fontId="11" fillId="0" borderId="14" xfId="0" applyFont="1" applyBorder="1" applyAlignment="1">
      <alignment horizontal="center"/>
    </xf>
    <xf numFmtId="0" fontId="0" fillId="6" borderId="15" xfId="0" applyFill="1" applyBorder="1" applyAlignment="1">
      <alignment vertical="center"/>
    </xf>
    <xf numFmtId="0" fontId="0" fillId="6" borderId="16" xfId="0" applyFill="1" applyBorder="1" applyAlignment="1">
      <alignment vertical="center"/>
    </xf>
    <xf numFmtId="0" fontId="0" fillId="6" borderId="16" xfId="0" applyFill="1" applyBorder="1" applyAlignment="1">
      <alignment vertical="center" wrapText="1"/>
    </xf>
    <xf numFmtId="1" fontId="0" fillId="6" borderId="16" xfId="0" applyNumberFormat="1" applyFill="1" applyBorder="1" applyAlignment="1">
      <alignment vertical="center"/>
    </xf>
    <xf numFmtId="0" fontId="0" fillId="6" borderId="3" xfId="0" applyFill="1" applyBorder="1" applyAlignment="1">
      <alignment vertical="center"/>
    </xf>
    <xf numFmtId="0" fontId="0" fillId="6" borderId="4" xfId="0" applyFill="1" applyBorder="1" applyAlignment="1">
      <alignment vertical="center"/>
    </xf>
    <xf numFmtId="0" fontId="0" fillId="6" borderId="4" xfId="0" applyFill="1" applyBorder="1" applyAlignment="1">
      <alignment vertical="center" wrapText="1"/>
    </xf>
    <xf numFmtId="1" fontId="0" fillId="6" borderId="4" xfId="0" applyNumberFormat="1" applyFill="1" applyBorder="1" applyAlignment="1">
      <alignment vertical="center"/>
    </xf>
    <xf numFmtId="0" fontId="0" fillId="6" borderId="6" xfId="0" applyFill="1" applyBorder="1" applyAlignment="1">
      <alignment vertical="center"/>
    </xf>
    <xf numFmtId="0" fontId="0" fillId="6" borderId="7" xfId="0" applyFill="1" applyBorder="1" applyAlignment="1">
      <alignment vertical="center"/>
    </xf>
    <xf numFmtId="0" fontId="0" fillId="6" borderId="7" xfId="0" applyFill="1" applyBorder="1" applyAlignment="1">
      <alignment vertical="center" wrapText="1"/>
    </xf>
    <xf numFmtId="1" fontId="0" fillId="6" borderId="7" xfId="0" applyNumberFormat="1" applyFill="1" applyBorder="1" applyAlignment="1">
      <alignment vertical="center"/>
    </xf>
    <xf numFmtId="0" fontId="0" fillId="8" borderId="3" xfId="0" applyFill="1" applyBorder="1" applyAlignment="1">
      <alignment vertical="center"/>
    </xf>
    <xf numFmtId="0" fontId="0" fillId="8" borderId="4" xfId="0" applyFill="1" applyBorder="1" applyAlignment="1">
      <alignment vertical="center"/>
    </xf>
    <xf numFmtId="0" fontId="0" fillId="8" borderId="4" xfId="0" applyFill="1" applyBorder="1" applyAlignment="1">
      <alignment vertical="center" wrapText="1"/>
    </xf>
    <xf numFmtId="1" fontId="0" fillId="8" borderId="4" xfId="0" applyNumberFormat="1" applyFill="1" applyBorder="1" applyAlignment="1">
      <alignment vertical="center"/>
    </xf>
    <xf numFmtId="0" fontId="0" fillId="8" borderId="9" xfId="0" applyFill="1" applyBorder="1" applyAlignment="1">
      <alignment vertical="center"/>
    </xf>
    <xf numFmtId="0" fontId="0" fillId="8" borderId="10" xfId="0" applyFill="1" applyBorder="1" applyAlignment="1">
      <alignment vertical="center"/>
    </xf>
    <xf numFmtId="0" fontId="0" fillId="8" borderId="10" xfId="0" applyFill="1" applyBorder="1" applyAlignment="1">
      <alignment vertical="center" wrapText="1"/>
    </xf>
    <xf numFmtId="1" fontId="0" fillId="8" borderId="10" xfId="0" applyNumberFormat="1" applyFill="1" applyBorder="1" applyAlignment="1">
      <alignment vertical="center"/>
    </xf>
    <xf numFmtId="0" fontId="0" fillId="7" borderId="17" xfId="0" applyFill="1" applyBorder="1" applyAlignment="1">
      <alignment vertical="center"/>
    </xf>
    <xf numFmtId="0" fontId="0" fillId="7" borderId="18" xfId="0" applyFill="1" applyBorder="1" applyAlignment="1">
      <alignment vertical="center"/>
    </xf>
    <xf numFmtId="0" fontId="0" fillId="7" borderId="18" xfId="0" applyFill="1" applyBorder="1" applyAlignment="1">
      <alignment vertical="center" wrapText="1"/>
    </xf>
    <xf numFmtId="1" fontId="0" fillId="7" borderId="18" xfId="0" applyNumberFormat="1" applyFill="1" applyBorder="1" applyAlignment="1">
      <alignment vertical="center"/>
    </xf>
    <xf numFmtId="0" fontId="11" fillId="0" borderId="18" xfId="0" applyFont="1" applyBorder="1" applyAlignment="1">
      <alignment horizontal="center"/>
    </xf>
    <xf numFmtId="0" fontId="0" fillId="8" borderId="15" xfId="0" applyFill="1" applyBorder="1" applyAlignment="1">
      <alignment vertical="center"/>
    </xf>
    <xf numFmtId="0" fontId="0" fillId="8" borderId="16" xfId="0" applyFill="1" applyBorder="1" applyAlignment="1">
      <alignment vertical="center"/>
    </xf>
    <xf numFmtId="0" fontId="0" fillId="8" borderId="16" xfId="0" applyFill="1" applyBorder="1" applyAlignment="1">
      <alignment vertical="center" wrapText="1"/>
    </xf>
    <xf numFmtId="1" fontId="0" fillId="8" borderId="16" xfId="0" applyNumberFormat="1" applyFill="1" applyBorder="1" applyAlignment="1">
      <alignment vertical="center"/>
    </xf>
    <xf numFmtId="0" fontId="0" fillId="8" borderId="6" xfId="0" applyFill="1" applyBorder="1" applyAlignment="1">
      <alignment vertical="center"/>
    </xf>
    <xf numFmtId="0" fontId="0" fillId="8" borderId="7" xfId="0" applyFill="1" applyBorder="1" applyAlignment="1">
      <alignment vertical="center"/>
    </xf>
    <xf numFmtId="0" fontId="0" fillId="8" borderId="7" xfId="0" applyFill="1" applyBorder="1" applyAlignment="1">
      <alignment vertical="center" wrapText="1"/>
    </xf>
    <xf numFmtId="1" fontId="0" fillId="8" borderId="7" xfId="0" applyNumberFormat="1" applyFill="1" applyBorder="1" applyAlignment="1">
      <alignment vertical="center"/>
    </xf>
    <xf numFmtId="0" fontId="0" fillId="10" borderId="3" xfId="0" applyFill="1" applyBorder="1" applyAlignment="1">
      <alignment vertical="center"/>
    </xf>
    <xf numFmtId="0" fontId="0" fillId="10" borderId="4" xfId="0" applyFill="1" applyBorder="1" applyAlignment="1">
      <alignment vertical="center"/>
    </xf>
    <xf numFmtId="0" fontId="0" fillId="10" borderId="4" xfId="0" applyFill="1" applyBorder="1" applyAlignment="1">
      <alignment vertical="center" wrapText="1"/>
    </xf>
    <xf numFmtId="1" fontId="0" fillId="10" borderId="4" xfId="0" applyNumberFormat="1" applyFill="1" applyBorder="1" applyAlignment="1">
      <alignment vertical="center"/>
    </xf>
    <xf numFmtId="0" fontId="0" fillId="10" borderId="9" xfId="0" applyFill="1" applyBorder="1" applyAlignment="1">
      <alignment vertical="center"/>
    </xf>
    <xf numFmtId="0" fontId="0" fillId="10" borderId="10" xfId="0" applyFill="1" applyBorder="1" applyAlignment="1">
      <alignment vertical="center"/>
    </xf>
    <xf numFmtId="0" fontId="0" fillId="10" borderId="10" xfId="0" applyFill="1" applyBorder="1" applyAlignment="1">
      <alignment vertical="center" wrapText="1"/>
    </xf>
    <xf numFmtId="1" fontId="0" fillId="10" borderId="10" xfId="0" applyNumberFormat="1" applyFill="1" applyBorder="1" applyAlignment="1">
      <alignment vertical="center"/>
    </xf>
    <xf numFmtId="0" fontId="0" fillId="9" borderId="17" xfId="0" applyFill="1" applyBorder="1" applyAlignment="1">
      <alignment vertical="center"/>
    </xf>
    <xf numFmtId="0" fontId="0" fillId="9" borderId="18" xfId="0" applyFill="1" applyBorder="1" applyAlignment="1">
      <alignment vertical="center"/>
    </xf>
    <xf numFmtId="0" fontId="0" fillId="9" borderId="18" xfId="0" applyFill="1" applyBorder="1" applyAlignment="1">
      <alignment vertical="center" wrapText="1"/>
    </xf>
    <xf numFmtId="1" fontId="0" fillId="9" borderId="18" xfId="0" applyNumberFormat="1" applyFill="1" applyBorder="1" applyAlignment="1">
      <alignment vertical="center"/>
    </xf>
    <xf numFmtId="0" fontId="0" fillId="10" borderId="15" xfId="0" applyFill="1" applyBorder="1" applyAlignment="1">
      <alignment vertical="center"/>
    </xf>
    <xf numFmtId="0" fontId="0" fillId="10" borderId="16" xfId="0" applyFill="1" applyBorder="1" applyAlignment="1">
      <alignment vertical="center"/>
    </xf>
    <xf numFmtId="0" fontId="0" fillId="10" borderId="16" xfId="0" applyFill="1" applyBorder="1" applyAlignment="1">
      <alignment vertical="center" wrapText="1"/>
    </xf>
    <xf numFmtId="1" fontId="0" fillId="10" borderId="16" xfId="0" applyNumberFormat="1" applyFill="1" applyBorder="1" applyAlignment="1">
      <alignment vertical="center"/>
    </xf>
    <xf numFmtId="0" fontId="0" fillId="10" borderId="6" xfId="0" applyFill="1" applyBorder="1" applyAlignment="1">
      <alignment vertical="center"/>
    </xf>
    <xf numFmtId="0" fontId="0" fillId="10" borderId="7" xfId="0" applyFill="1" applyBorder="1" applyAlignment="1">
      <alignment vertical="center"/>
    </xf>
    <xf numFmtId="0" fontId="0" fillId="10" borderId="7" xfId="0" applyFill="1" applyBorder="1" applyAlignment="1">
      <alignment vertical="center" wrapText="1"/>
    </xf>
    <xf numFmtId="1" fontId="0" fillId="10" borderId="7" xfId="0" applyNumberFormat="1" applyFill="1" applyBorder="1" applyAlignment="1">
      <alignment vertical="center"/>
    </xf>
    <xf numFmtId="0" fontId="0" fillId="11" borderId="15" xfId="0" applyFill="1" applyBorder="1" applyAlignment="1">
      <alignment vertical="center"/>
    </xf>
    <xf numFmtId="0" fontId="0" fillId="11" borderId="16" xfId="0" applyFill="1" applyBorder="1" applyAlignment="1">
      <alignment vertical="center"/>
    </xf>
    <xf numFmtId="0" fontId="0" fillId="11" borderId="16" xfId="0" applyFill="1" applyBorder="1" applyAlignment="1">
      <alignment vertical="center" wrapText="1"/>
    </xf>
    <xf numFmtId="1" fontId="0" fillId="11" borderId="16" xfId="0" applyNumberFormat="1" applyFill="1" applyBorder="1" applyAlignment="1">
      <alignment vertical="center"/>
    </xf>
    <xf numFmtId="0" fontId="0" fillId="11" borderId="13" xfId="0" applyFill="1" applyBorder="1" applyAlignment="1">
      <alignment vertical="center"/>
    </xf>
    <xf numFmtId="0" fontId="0" fillId="11" borderId="14" xfId="0" applyFill="1" applyBorder="1" applyAlignment="1">
      <alignment vertical="center"/>
    </xf>
    <xf numFmtId="0" fontId="0" fillId="11" borderId="14" xfId="0" applyFill="1" applyBorder="1" applyAlignment="1">
      <alignment vertical="center" wrapText="1"/>
    </xf>
    <xf numFmtId="1" fontId="0" fillId="11" borderId="14" xfId="0" applyNumberFormat="1" applyFill="1" applyBorder="1" applyAlignment="1">
      <alignment vertical="center"/>
    </xf>
    <xf numFmtId="0" fontId="0" fillId="12" borderId="15" xfId="0" applyFill="1" applyBorder="1" applyAlignment="1">
      <alignment vertical="center"/>
    </xf>
    <xf numFmtId="0" fontId="0" fillId="12" borderId="16" xfId="0" applyFill="1" applyBorder="1" applyAlignment="1">
      <alignment vertical="center"/>
    </xf>
    <xf numFmtId="0" fontId="0" fillId="12" borderId="16" xfId="0" applyFill="1" applyBorder="1" applyAlignment="1">
      <alignment vertical="center" wrapText="1"/>
    </xf>
    <xf numFmtId="1" fontId="0" fillId="12" borderId="16" xfId="0" applyNumberFormat="1" applyFill="1" applyBorder="1" applyAlignment="1">
      <alignment vertical="center"/>
    </xf>
    <xf numFmtId="0" fontId="0" fillId="13" borderId="9" xfId="0" applyFill="1" applyBorder="1" applyAlignment="1">
      <alignment vertical="center"/>
    </xf>
    <xf numFmtId="0" fontId="0" fillId="13" borderId="10" xfId="0" applyFill="1" applyBorder="1" applyAlignment="1">
      <alignment vertical="center"/>
    </xf>
    <xf numFmtId="0" fontId="0" fillId="13" borderId="10" xfId="0" applyFill="1" applyBorder="1" applyAlignment="1">
      <alignment vertical="center" wrapText="1"/>
    </xf>
    <xf numFmtId="1" fontId="0" fillId="13" borderId="10" xfId="0" applyNumberFormat="1" applyFill="1" applyBorder="1" applyAlignment="1">
      <alignment vertical="center"/>
    </xf>
    <xf numFmtId="0" fontId="0" fillId="12" borderId="13" xfId="0" applyFill="1" applyBorder="1" applyAlignment="1">
      <alignment vertical="center"/>
    </xf>
    <xf numFmtId="0" fontId="0" fillId="12" borderId="14" xfId="0" applyFill="1" applyBorder="1" applyAlignment="1">
      <alignment vertical="center"/>
    </xf>
    <xf numFmtId="0" fontId="0" fillId="12" borderId="14" xfId="0" applyFill="1" applyBorder="1" applyAlignment="1">
      <alignment vertical="center" wrapText="1"/>
    </xf>
    <xf numFmtId="1" fontId="0" fillId="12" borderId="14" xfId="0" applyNumberFormat="1" applyFill="1" applyBorder="1" applyAlignment="1">
      <alignment vertical="center"/>
    </xf>
    <xf numFmtId="0" fontId="0" fillId="13" borderId="15" xfId="0" applyFill="1" applyBorder="1" applyAlignment="1">
      <alignment vertical="center"/>
    </xf>
    <xf numFmtId="0" fontId="0" fillId="13" borderId="16" xfId="0" applyFill="1" applyBorder="1" applyAlignment="1">
      <alignment vertical="center"/>
    </xf>
    <xf numFmtId="0" fontId="0" fillId="13" borderId="16" xfId="0" applyFill="1" applyBorder="1" applyAlignment="1">
      <alignment vertical="center" wrapText="1"/>
    </xf>
    <xf numFmtId="1" fontId="0" fillId="13" borderId="16" xfId="0" applyNumberFormat="1" applyFill="1" applyBorder="1" applyAlignment="1">
      <alignment vertical="center"/>
    </xf>
    <xf numFmtId="0" fontId="0" fillId="13" borderId="3" xfId="0" applyFill="1" applyBorder="1" applyAlignment="1">
      <alignment vertical="center"/>
    </xf>
    <xf numFmtId="0" fontId="0" fillId="13" borderId="4" xfId="0" applyFill="1" applyBorder="1" applyAlignment="1">
      <alignment vertical="center"/>
    </xf>
    <xf numFmtId="0" fontId="0" fillId="13" borderId="4" xfId="0" applyFill="1" applyBorder="1" applyAlignment="1">
      <alignment vertical="center" wrapText="1"/>
    </xf>
    <xf numFmtId="1" fontId="0" fillId="13" borderId="4" xfId="0" applyNumberFormat="1" applyFill="1" applyBorder="1" applyAlignment="1">
      <alignment vertical="center"/>
    </xf>
    <xf numFmtId="0" fontId="0" fillId="0" borderId="0" xfId="0" pivotButton="1"/>
    <xf numFmtId="0" fontId="0" fillId="0" borderId="0" xfId="0" applyAlignment="1">
      <alignment horizontal="left" indent="1"/>
    </xf>
    <xf numFmtId="0" fontId="0" fillId="0" borderId="0" xfId="0" applyNumberFormat="1"/>
    <xf numFmtId="0" fontId="2" fillId="0" borderId="0" xfId="0" applyFont="1" applyBorder="1" applyAlignment="1">
      <alignment horizontal="center"/>
    </xf>
    <xf numFmtId="0" fontId="0" fillId="0" borderId="0" xfId="0" applyBorder="1" applyAlignment="1">
      <alignment horizontal="center"/>
    </xf>
    <xf numFmtId="0" fontId="13" fillId="2" borderId="0" xfId="0" applyFont="1" applyFill="1"/>
    <xf numFmtId="0" fontId="14" fillId="0" borderId="0" xfId="0" applyFont="1"/>
    <xf numFmtId="0" fontId="15" fillId="0" borderId="0" xfId="0" applyFont="1" applyAlignment="1">
      <alignment wrapText="1"/>
    </xf>
    <xf numFmtId="0" fontId="16" fillId="3" borderId="0" xfId="0" applyFont="1" applyFill="1"/>
    <xf numFmtId="0" fontId="17" fillId="8" borderId="8"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7" fillId="8" borderId="6" xfId="0" applyFont="1" applyFill="1" applyBorder="1" applyAlignment="1">
      <alignment horizontal="center" vertical="center" wrapText="1"/>
    </xf>
    <xf numFmtId="0" fontId="17" fillId="8" borderId="12" xfId="0" applyFont="1" applyFill="1" applyBorder="1" applyAlignment="1">
      <alignment horizontal="center" vertical="center" wrapText="1"/>
    </xf>
    <xf numFmtId="0" fontId="17" fillId="8" borderId="0" xfId="0" applyFont="1" applyFill="1" applyBorder="1" applyAlignment="1">
      <alignment horizontal="center" vertical="center" wrapText="1"/>
    </xf>
    <xf numFmtId="0" fontId="17" fillId="8" borderId="13" xfId="0" applyFont="1" applyFill="1" applyBorder="1" applyAlignment="1">
      <alignment horizontal="center" vertical="center" wrapText="1"/>
    </xf>
    <xf numFmtId="0" fontId="17" fillId="8" borderId="5"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17" fillId="8" borderId="3" xfId="0" applyFont="1" applyFill="1" applyBorder="1" applyAlignment="1">
      <alignment horizontal="center" vertical="center" wrapText="1"/>
    </xf>
    <xf numFmtId="0" fontId="18" fillId="14" borderId="10" xfId="0" applyFont="1" applyFill="1" applyBorder="1" applyAlignment="1">
      <alignment wrapText="1"/>
    </xf>
    <xf numFmtId="0" fontId="19" fillId="13" borderId="10" xfId="0" applyFont="1" applyFill="1" applyBorder="1" applyAlignment="1">
      <alignment wrapText="1"/>
    </xf>
    <xf numFmtId="0" fontId="20" fillId="8" borderId="10" xfId="0" applyFont="1" applyFill="1" applyBorder="1" applyAlignment="1">
      <alignment vertical="top" wrapText="1"/>
    </xf>
    <xf numFmtId="0" fontId="14" fillId="0" borderId="3" xfId="0" applyFont="1" applyBorder="1"/>
    <xf numFmtId="0" fontId="14" fillId="0" borderId="4" xfId="0" applyFont="1" applyBorder="1"/>
    <xf numFmtId="0" fontId="14" fillId="0" borderId="5" xfId="0" applyFont="1" applyBorder="1"/>
    <xf numFmtId="0" fontId="14" fillId="0" borderId="9" xfId="0" applyFont="1" applyBorder="1"/>
    <xf numFmtId="0" fontId="14" fillId="0" borderId="10" xfId="0" applyFont="1" applyBorder="1"/>
    <xf numFmtId="1" fontId="14" fillId="0" borderId="10" xfId="0" applyNumberFormat="1" applyFont="1" applyBorder="1"/>
    <xf numFmtId="0" fontId="14" fillId="0" borderId="11" xfId="0" applyFont="1" applyBorder="1"/>
    <xf numFmtId="0" fontId="14" fillId="0" borderId="6" xfId="0" applyFont="1" applyBorder="1"/>
    <xf numFmtId="0" fontId="14" fillId="0" borderId="7" xfId="0" applyFont="1" applyBorder="1"/>
    <xf numFmtId="1" fontId="14" fillId="0" borderId="7" xfId="0" applyNumberFormat="1" applyFont="1" applyBorder="1"/>
    <xf numFmtId="0" fontId="14" fillId="0" borderId="8" xfId="0" applyFont="1" applyBorder="1"/>
    <xf numFmtId="0" fontId="14" fillId="0" borderId="10" xfId="0" applyFont="1" applyBorder="1" applyAlignment="1">
      <alignment wrapText="1"/>
    </xf>
    <xf numFmtId="0" fontId="14" fillId="0" borderId="7" xfId="0" applyFont="1" applyBorder="1" applyAlignment="1">
      <alignment wrapText="1"/>
    </xf>
    <xf numFmtId="0" fontId="14" fillId="0" borderId="11" xfId="0" applyFont="1" applyBorder="1" applyAlignment="1">
      <alignment wrapText="1"/>
    </xf>
    <xf numFmtId="0" fontId="14" fillId="0" borderId="8" xfId="0" applyFont="1" applyBorder="1" applyAlignment="1">
      <alignment wrapText="1"/>
    </xf>
  </cellXfs>
  <cellStyles count="3">
    <cellStyle name="Comma" xfId="1" builtinId="3"/>
    <cellStyle name="Hyperlink" xfId="2" builtinId="8"/>
    <cellStyle name="Normal" xfId="0" builtinId="0"/>
  </cellStyles>
  <dxfs count="119">
    <dxf>
      <font>
        <name val="Aptos"/>
      </font>
      <alignment wrapText="1"/>
      <border diagonalUp="0" diagonalDown="0">
        <left style="thin">
          <color auto="1"/>
        </left>
        <right/>
        <top style="thin">
          <color auto="1"/>
        </top>
        <bottom style="thin">
          <color auto="1"/>
        </bottom>
        <vertical style="thin">
          <color auto="1"/>
        </vertical>
        <horizontal style="thin">
          <color auto="1"/>
        </horizontal>
      </border>
    </dxf>
    <dxf>
      <font>
        <name val="Aptos"/>
      </font>
      <alignment wrapText="1"/>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alignment wrapText="1"/>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alignment wrapText="1"/>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alignment wrapText="1"/>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dxf>
    <dxf>
      <font>
        <name val="Aptos"/>
      </font>
      <border diagonalUp="0" diagonalDown="0">
        <left style="thin">
          <color auto="1"/>
        </left>
        <right style="thin">
          <color auto="1"/>
        </right>
        <top/>
        <bottom/>
        <vertical style="thin">
          <color auto="1"/>
        </vertical>
        <horizontal style="thin">
          <color auto="1"/>
        </horizontal>
      </border>
    </dxf>
    <dxf>
      <font>
        <name val="Aptos"/>
      </font>
      <numFmt numFmtId="1" formatCode="0"/>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border diagonalUp="0" diagonalDown="0">
        <left/>
        <right style="thin">
          <color auto="1"/>
        </right>
        <top style="thin">
          <color auto="1"/>
        </top>
        <bottom style="thin">
          <color auto="1"/>
        </bottom>
        <vertical style="thin">
          <color auto="1"/>
        </vertical>
        <horizontal style="thin">
          <color auto="1"/>
        </horizontal>
      </border>
    </dxf>
    <dxf>
      <font>
        <name val="Aptos"/>
      </font>
    </dxf>
    <dxf>
      <font>
        <name val="Aptos"/>
      </font>
      <border diagonalUp="0" diagonalDown="0">
        <left style="thin">
          <color auto="1"/>
        </left>
        <right style="thin">
          <color auto="1"/>
        </right>
        <top/>
        <bottom/>
        <vertical style="thin">
          <color auto="1"/>
        </vertical>
        <horizontal style="thin">
          <color auto="1"/>
        </horizontal>
      </border>
    </dxf>
    <dxf>
      <font>
        <name val="Aptos"/>
      </font>
      <border diagonalUp="0" diagonalDown="0">
        <left style="thin">
          <color auto="1"/>
        </left>
        <right/>
        <top style="thin">
          <color auto="1"/>
        </top>
        <bottom style="thin">
          <color auto="1"/>
        </bottom>
        <vertical style="thin">
          <color auto="1"/>
        </vertical>
        <horizontal style="thin">
          <color auto="1"/>
        </horizontal>
      </border>
    </dxf>
    <dxf>
      <font>
        <name val="Aptos"/>
      </font>
      <numFmt numFmtId="1" formatCode="0"/>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numFmt numFmtId="1" formatCode="0"/>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numFmt numFmtId="1" formatCode="0"/>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numFmt numFmtId="1" formatCode="0"/>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numFmt numFmtId="1" formatCode="0"/>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border diagonalUp="0" diagonalDown="0">
        <left style="thin">
          <color auto="1"/>
        </left>
        <right style="thin">
          <color auto="1"/>
        </right>
        <top style="thin">
          <color auto="1"/>
        </top>
        <bottom style="thin">
          <color auto="1"/>
        </bottom>
        <vertical style="thin">
          <color auto="1"/>
        </vertical>
        <horizontal style="thin">
          <color auto="1"/>
        </horizontal>
      </border>
    </dxf>
    <dxf>
      <font>
        <name val="Aptos"/>
      </font>
      <border diagonalUp="0" diagonalDown="0">
        <left/>
        <right style="thin">
          <color auto="1"/>
        </right>
        <top style="thin">
          <color auto="1"/>
        </top>
        <bottom style="thin">
          <color auto="1"/>
        </bottom>
        <vertical style="thin">
          <color auto="1"/>
        </vertical>
        <horizontal style="thin">
          <color auto="1"/>
        </horizontal>
      </border>
    </dxf>
    <dxf>
      <border>
        <top style="thin">
          <color auto="1"/>
        </top>
      </border>
    </dxf>
    <dxf>
      <border>
        <bottom style="thin">
          <color auto="1"/>
        </bottom>
      </border>
    </dxf>
    <dxf>
      <border diagonalUp="0" diagonalDown="0">
        <left style="thin">
          <color auto="1"/>
        </left>
        <right style="thin">
          <color auto="1"/>
        </right>
        <top style="thin">
          <color auto="1"/>
        </top>
        <bottom style="thin">
          <color auto="1"/>
        </bottom>
      </border>
    </dxf>
    <dxf>
      <border>
        <top style="thin">
          <color auto="1"/>
        </top>
      </border>
    </dxf>
    <dxf>
      <border>
        <bottom style="thin">
          <color auto="1"/>
        </bottom>
      </border>
    </dxf>
    <dxf>
      <border diagonalUp="0" diagonalDown="0">
        <left style="thin">
          <color auto="1"/>
        </left>
        <right style="thin">
          <color auto="1"/>
        </right>
        <top style="thin">
          <color auto="1"/>
        </top>
        <bottom style="thin">
          <color auto="1"/>
        </bottom>
      </border>
    </dxf>
    <dxf>
      <numFmt numFmtId="0" formatCode="General"/>
      <alignment horizontal="center"/>
      <border diagonalUp="0" diagonalDown="0">
        <left style="thin">
          <color auto="1"/>
        </left>
        <right/>
        <top style="thin">
          <color auto="1"/>
        </top>
        <bottom style="thin">
          <color auto="1"/>
        </bottom>
        <vertical/>
        <horizontal/>
      </border>
    </dxf>
    <dxf>
      <alignment horizontal="center"/>
      <border diagonalUp="0" diagonalDown="0">
        <left style="thin">
          <color auto="1"/>
        </left>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sz val="9"/>
        <color rgb="FF1F4E78"/>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 formatCode="0"/>
      <alignment vertical="center"/>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 formatCode="0"/>
      <alignment vertical="center"/>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 formatCode="0"/>
      <alignment vertical="center"/>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 formatCode="0"/>
      <alignment vertical="center"/>
      <border diagonalUp="0" diagonalDown="0">
        <left style="thin">
          <color auto="1"/>
        </left>
        <right style="thin">
          <color auto="1"/>
        </right>
        <top style="thin">
          <color auto="1"/>
        </top>
        <bottom style="thin">
          <color auto="1"/>
        </bottom>
        <vertical style="thin">
          <color auto="1"/>
        </vertical>
        <horizontal style="thin">
          <color auto="1"/>
        </horizontal>
      </border>
    </dxf>
    <dxf>
      <font>
        <b/>
        <color rgb="FFFFFFFF"/>
      </font>
      <fill>
        <patternFill patternType="solid">
          <fgColor indexed="64"/>
          <bgColor rgb="FF5B9BD5"/>
        </patternFill>
      </fill>
      <alignment horizontal="center"/>
      <border diagonalUp="0" diagonalDown="0">
        <left style="thin">
          <color auto="1"/>
        </left>
        <right style="thin">
          <color auto="1"/>
        </right>
        <top/>
        <bottom/>
        <vertical style="thin">
          <color auto="1"/>
        </vertical>
        <horizontal style="thin">
          <color auto="1"/>
        </horizontal>
      </border>
    </dxf>
    <dxf>
      <font>
        <b/>
        <sz val="9"/>
        <color rgb="FF1F4E78"/>
      </font>
      <alignment horizontal="center"/>
      <border diagonalUp="0" diagonalDown="0">
        <left style="thin">
          <color auto="1"/>
        </left>
        <right style="thin">
          <color auto="1"/>
        </right>
        <top style="thin">
          <color auto="1"/>
        </top>
        <bottom style="thin">
          <color auto="1"/>
        </bottom>
        <vertical style="thin">
          <color auto="1"/>
        </vertical>
        <horizontal style="thin">
          <color auto="1"/>
        </horizontal>
      </border>
    </dxf>
    <dxf>
      <alignment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alignment vertical="center"/>
      <border diagonalUp="0" diagonalDown="0">
        <left style="thin">
          <color auto="1"/>
        </left>
        <right style="thin">
          <color auto="1"/>
        </right>
        <top style="thin">
          <color auto="1"/>
        </top>
        <bottom style="thin">
          <color auto="1"/>
        </bottom>
        <vertical style="thin">
          <color auto="1"/>
        </vertical>
        <horizontal style="thin">
          <color auto="1"/>
        </horizontal>
      </border>
    </dxf>
    <dxf>
      <alignment vertical="center"/>
      <border diagonalUp="0" diagonalDown="0">
        <left/>
        <right style="thin">
          <color auto="1"/>
        </right>
        <top style="thin">
          <color auto="1"/>
        </top>
        <bottom style="thin">
          <color auto="1"/>
        </bottom>
        <vertical style="thin">
          <color auto="1"/>
        </vertical>
        <horizontal style="thin">
          <color auto="1"/>
        </horizontal>
      </border>
    </dxf>
    <dxf>
      <border>
        <top style="thin">
          <color auto="1"/>
        </top>
      </border>
    </dxf>
    <dxf>
      <border>
        <bottom style="thin">
          <color auto="1"/>
        </bottom>
      </border>
    </dxf>
    <dxf>
      <border diagonalUp="0" diagonalDown="0">
        <left style="thin">
          <color auto="1"/>
        </left>
        <right style="thin">
          <color auto="1"/>
        </right>
        <top style="thin">
          <color auto="1"/>
        </top>
        <bottom style="thin">
          <color auto="1"/>
        </bottom>
      </border>
    </dxf>
    <dxf>
      <alignment vertical="top" wrapText="1"/>
    </dxf>
    <dxf>
      <alignment vertical="top" wrapText="1"/>
    </dxf>
    <dxf>
      <alignment wrapText="1"/>
      <border diagonalUp="0" diagonalDown="0">
        <left style="thin">
          <color auto="1"/>
        </left>
        <right style="thin">
          <color auto="1"/>
        </right>
        <top style="thin">
          <color auto="1"/>
        </top>
        <bottom style="thin">
          <color auto="1"/>
        </bottom>
        <vertical style="thin">
          <color auto="1"/>
        </vertical>
        <horizontal style="thin">
          <color auto="1"/>
        </horizontal>
      </border>
    </dxf>
    <dxf>
      <alignment vertical="top"/>
    </dxf>
    <dxf>
      <font>
        <b/>
      </font>
      <alignment horizontal="center" vertical="top"/>
    </dxf>
    <dxf>
      <font>
        <b/>
      </font>
      <alignment vertical="top"/>
    </dxf>
    <dxf>
      <font>
        <b/>
      </font>
      <border diagonalUp="0" diagonalDown="0">
        <left style="thin">
          <color auto="1"/>
        </left>
        <right style="thin">
          <color auto="1"/>
        </right>
        <top/>
        <bottom/>
        <vertical style="thin">
          <color auto="1"/>
        </vertical>
        <horizontal style="thin">
          <color auto="1"/>
        </horizontal>
      </border>
    </dxf>
    <dxf>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right style="thin">
          <color auto="1"/>
        </right>
        <top style="thin">
          <color auto="1"/>
        </top>
        <bottom style="thin">
          <color auto="1"/>
        </bottom>
        <vertical style="thin">
          <color auto="1"/>
        </vertical>
        <horizontal style="thin">
          <color auto="1"/>
        </horizontal>
      </border>
    </dxf>
    <dxf>
      <border>
        <top style="thin">
          <color auto="1"/>
        </top>
      </border>
    </dxf>
    <dxf>
      <border>
        <bottom style="thin">
          <color auto="1"/>
        </bottom>
      </border>
    </dxf>
    <dxf>
      <border diagonalUp="0" diagonalDown="0">
        <left style="thin">
          <color auto="1"/>
        </left>
        <right style="thin">
          <color auto="1"/>
        </right>
        <top style="thin">
          <color auto="1"/>
        </top>
        <bottom style="thin">
          <color auto="1"/>
        </bottom>
      </border>
    </dxf>
    <dxf>
      <numFmt numFmtId="174" formatCode="_(* #,##0_);_(* \(#,##0\);_(* &quot;-&quot;??_);_(@_)"/>
      <alignment horizontal="left" vertical="bottom" textRotation="0" wrapText="0" indent="0" justifyLastLine="0" shrinkToFit="0" readingOrder="0"/>
      <border diagonalUp="0" diagonalDown="0" outline="0">
        <left style="thin">
          <color auto="1"/>
        </left>
        <right style="thin">
          <color auto="1"/>
        </right>
        <top style="thin">
          <color auto="1"/>
        </top>
        <bottom/>
      </border>
    </dxf>
    <dxf>
      <numFmt numFmtId="19" formatCode="m/d/yyyy"/>
      <alignment horizontal="left" wrapText="0"/>
      <border diagonalUp="0" diagonalDown="0" outline="0">
        <left style="thin">
          <color auto="1"/>
        </left>
        <right style="thin">
          <color auto="1"/>
        </right>
        <top style="thin">
          <color auto="1"/>
        </top>
        <bottom style="thin">
          <color auto="1"/>
        </bottom>
      </border>
    </dxf>
    <dxf>
      <alignment horizontal="left" wrapText="0"/>
      <border diagonalUp="0" diagonalDown="0" outline="0">
        <left style="thin">
          <color auto="1"/>
        </left>
        <right style="thin">
          <color auto="1"/>
        </right>
        <top style="thin">
          <color auto="1"/>
        </top>
        <bottom style="thin">
          <color auto="1"/>
        </bottom>
      </border>
    </dxf>
    <dxf>
      <alignment horizontal="left" wrapText="0"/>
      <border diagonalUp="0" diagonalDown="0" outline="0">
        <left style="thin">
          <color auto="1"/>
        </left>
        <right/>
        <top style="thin">
          <color auto="1"/>
        </top>
        <bottom style="thin">
          <color auto="1"/>
        </bottom>
      </border>
    </dxf>
    <dxf>
      <alignment wrapText="1"/>
    </dxf>
    <dxf>
      <alignment wrapText="1"/>
    </dxf>
    <dxf>
      <alignment horizontal="left" wrapText="0"/>
    </dxf>
    <dxf>
      <font>
        <b/>
      </font>
      <alignment horizontal="left" wrapText="0"/>
      <border diagonalUp="0" diagonalDown="0">
        <left style="thin">
          <color auto="1"/>
        </left>
        <right style="thin">
          <color auto="1"/>
        </right>
        <top/>
        <bottom/>
        <vertical style="thin">
          <color auto="1"/>
        </vertical>
        <horizontal style="thin">
          <color auto="1"/>
        </horizontal>
      </border>
    </dxf>
    <dxf>
      <alignment horizontal="left" wrapText="0"/>
      <border diagonalUp="0" diagonalDown="0">
        <left style="thin">
          <color auto="1"/>
        </left>
        <right/>
        <top style="thin">
          <color auto="1"/>
        </top>
        <bottom style="thin">
          <color auto="1"/>
        </bottom>
        <vertical style="thin">
          <color auto="1"/>
        </vertical>
        <horizontal style="thin">
          <color auto="1"/>
        </horizontal>
      </border>
    </dxf>
    <dxf>
      <alignment horizontal="left" wrapText="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wrapText="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wrapText="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wrapText="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wrapText="0"/>
      <border diagonalUp="0" diagonalDown="0">
        <left/>
        <right style="thin">
          <color auto="1"/>
        </right>
        <top style="thin">
          <color auto="1"/>
        </top>
        <bottom style="thin">
          <color auto="1"/>
        </bottom>
        <vertical style="thin">
          <color auto="1"/>
        </vertical>
        <horizontal style="thin">
          <color auto="1"/>
        </horizontal>
      </border>
    </dxf>
    <dxf>
      <alignment horizontal="left" wrapText="0"/>
    </dxf>
    <dxf>
      <font>
        <b/>
      </font>
      <alignment horizontal="left" wrapText="0"/>
      <border diagonalUp="0" diagonalDown="0">
        <left style="thin">
          <color auto="1"/>
        </left>
        <right style="thin">
          <color auto="1"/>
        </right>
        <top/>
        <bottom/>
        <vertical style="thin">
          <color auto="1"/>
        </vertical>
        <horizontal style="thin">
          <color auto="1"/>
        </horizontal>
      </border>
    </dxf>
    <dxf>
      <numFmt numFmtId="1" formatCode="0"/>
      <alignment horizontal="left" wrapText="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8" formatCode="yyyy\-mm\-dd"/>
      <alignment horizontal="left" wrapText="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wrapText="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wrapText="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left" wrapText="0"/>
      <border diagonalUp="0" diagonalDown="0">
        <left/>
        <right style="thin">
          <color auto="1"/>
        </right>
        <top style="thin">
          <color auto="1"/>
        </top>
        <bottom style="thin">
          <color auto="1"/>
        </bottom>
        <vertical style="thin">
          <color auto="1"/>
        </vertical>
        <horizontal style="thin">
          <color auto="1"/>
        </horizontal>
      </border>
    </dxf>
    <dxf>
      <border>
        <top style="thin">
          <color auto="1"/>
        </top>
      </border>
    </dxf>
    <dxf>
      <border>
        <bottom style="thin">
          <color auto="1"/>
        </bottom>
      </border>
    </dxf>
    <dxf>
      <border diagonalUp="0" diagonalDown="0">
        <left style="thin">
          <color auto="1"/>
        </left>
        <right style="thin">
          <color auto="1"/>
        </right>
        <top style="thin">
          <color auto="1"/>
        </top>
        <bottom style="thin">
          <color auto="1"/>
        </bottom>
      </border>
    </dxf>
    <dxf>
      <border>
        <top style="thin">
          <color auto="1"/>
        </top>
      </border>
    </dxf>
    <dxf>
      <border>
        <bottom style="thin">
          <color auto="1"/>
        </bottom>
      </border>
    </dxf>
    <dxf>
      <border diagonalUp="0" diagonalDown="0">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66675</xdr:colOff>
      <xdr:row>10</xdr:row>
      <xdr:rowOff>57150</xdr:rowOff>
    </xdr:from>
    <xdr:to>
      <xdr:col>2</xdr:col>
      <xdr:colOff>400050</xdr:colOff>
      <xdr:row>10</xdr:row>
      <xdr:rowOff>190499</xdr:rowOff>
    </xdr:to>
    <xdr:sp macro="" textlink="">
      <xdr:nvSpPr>
        <xdr:cNvPr id="2" name="Arrow: Left-Right-Up 1">
          <a:extLst>
            <a:ext uri="{FF2B5EF4-FFF2-40B4-BE49-F238E27FC236}">
              <a16:creationId xmlns:a16="http://schemas.microsoft.com/office/drawing/2014/main" id="{6DD2FDD7-55F4-7C22-F4BB-EB31F565944D}"/>
            </a:ext>
          </a:extLst>
        </xdr:cNvPr>
        <xdr:cNvSpPr/>
      </xdr:nvSpPr>
      <xdr:spPr>
        <a:xfrm>
          <a:off x="3419475" y="1924050"/>
          <a:ext cx="333375" cy="133349"/>
        </a:xfrm>
        <a:prstGeom prst="leftRigh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k Ellingsen" refreshedDate="46239.565504398146" createdVersion="8" refreshedVersion="8" minRefreshableVersion="3" recordCount="35" xr:uid="{F6FE71F0-692B-4804-986F-208D26960667}">
  <cacheSource type="worksheet">
    <worksheetSource name="tblProjectTasks"/>
  </cacheSource>
  <cacheFields count="9">
    <cacheField name="ProjectID" numFmtId="0">
      <sharedItems/>
    </cacheField>
    <cacheField name="WBSCode" numFmtId="0">
      <sharedItems containsMixedTypes="1" containsNumber="1" minValue="1" maxValue="6.3"/>
    </cacheField>
    <cacheField name="ParentWBSCode" numFmtId="0">
      <sharedItems containsString="0" containsBlank="1" containsNumber="1" minValue="1" maxValue="6"/>
    </cacheField>
    <cacheField name="WBSLevel" numFmtId="0">
      <sharedItems containsSemiMixedTypes="0" containsString="0" containsNumber="1" containsInteger="1" minValue="1" maxValue="3"/>
    </cacheField>
    <cacheField name="TaskGroup" numFmtId="0">
      <sharedItems count="9">
        <s v="Planning"/>
        <s v="Prepare site"/>
        <s v="Buying"/>
        <s v="Shed"/>
        <s v="Other stuff"/>
        <s v="Foundations"/>
        <s v="Assembly of structure"/>
        <s v="Painting"/>
        <s v="Installing stuff"/>
      </sharedItems>
    </cacheField>
    <cacheField name="TaskName" numFmtId="0">
      <sharedItems count="35">
        <s v="Planning"/>
        <s v="Check can I get planning?"/>
        <s v="Apply for and get planning permission"/>
        <s v="Prepare site"/>
        <s v="Demolish old shed"/>
        <s v="Cut back all the foliage"/>
        <s v="Tree surgeon to trim branches above area"/>
        <s v="Put a power wire down the garden"/>
        <s v="Connect power"/>
        <s v="Buying"/>
        <s v="Check funds"/>
        <s v="Shed"/>
        <s v="Research - talk to friends"/>
        <s v="Find shed suppliers"/>
        <s v="Get quotes"/>
        <s v="See a finished one"/>
        <s v="Choose - place the order"/>
        <s v="Wait for delivery"/>
        <s v="Other stuff"/>
        <s v="Buy furniture"/>
        <s v="Foundations"/>
        <s v="Hire Digger"/>
        <s v="Dig foundation trenches"/>
        <s v="Fill with concrete"/>
        <s v="Level the base"/>
        <s v="Assembly of structure"/>
        <s v="Delivery"/>
        <s v="Assembly"/>
        <s v="Painting"/>
        <s v="Inside"/>
        <s v="External"/>
        <s v="Installing stuff"/>
        <s v="Install Furniture"/>
        <s v="Set up computers"/>
        <s v="Set up music system"/>
      </sharedItems>
    </cacheField>
    <cacheField name="IsWorkPackage" numFmtId="0">
      <sharedItems count="2">
        <s v="No"/>
        <s v="Yes"/>
      </sharedItems>
    </cacheField>
    <cacheField name="CaptureStatus" numFmtId="0">
      <sharedItems/>
    </cacheField>
    <cacheField name="Elapsed Time in Weeks" numFmtId="0">
      <sharedItems containsString="0" containsBlank="1" containsNumber="1" containsInteger="1" minValue="1"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PRJ-001"/>
    <n v="1"/>
    <m/>
    <n v="1"/>
    <x v="0"/>
    <x v="0"/>
    <x v="0"/>
    <s v="Approved"/>
    <n v="16"/>
  </r>
  <r>
    <s v="PRJ-001"/>
    <n v="1.1000000000000001"/>
    <n v="1"/>
    <n v="2"/>
    <x v="0"/>
    <x v="1"/>
    <x v="1"/>
    <s v="Draft"/>
    <n v="6"/>
  </r>
  <r>
    <s v="PRJ-001"/>
    <n v="1.2"/>
    <n v="1"/>
    <n v="2"/>
    <x v="0"/>
    <x v="2"/>
    <x v="1"/>
    <s v="Draft"/>
    <n v="10"/>
  </r>
  <r>
    <s v="PRJ-001"/>
    <n v="2"/>
    <m/>
    <n v="1"/>
    <x v="1"/>
    <x v="3"/>
    <x v="0"/>
    <s v="Approved"/>
    <n v="3"/>
  </r>
  <r>
    <s v="PRJ-001"/>
    <n v="2.1"/>
    <n v="2"/>
    <n v="2"/>
    <x v="1"/>
    <x v="4"/>
    <x v="1"/>
    <s v="Draft"/>
    <n v="1"/>
  </r>
  <r>
    <s v="PRJ-001"/>
    <n v="2.2000000000000002"/>
    <n v="2"/>
    <n v="2"/>
    <x v="1"/>
    <x v="5"/>
    <x v="1"/>
    <s v="Draft"/>
    <n v="2"/>
  </r>
  <r>
    <s v="PRJ-001"/>
    <n v="2.2999999999999998"/>
    <n v="2"/>
    <n v="2"/>
    <x v="1"/>
    <x v="6"/>
    <x v="1"/>
    <s v="Draft"/>
    <m/>
  </r>
  <r>
    <s v="PRJ-001"/>
    <n v="2.4"/>
    <n v="2"/>
    <n v="2"/>
    <x v="1"/>
    <x v="7"/>
    <x v="1"/>
    <s v="Draft"/>
    <m/>
  </r>
  <r>
    <s v="PRJ-001"/>
    <n v="2.5"/>
    <n v="2"/>
    <n v="2"/>
    <x v="1"/>
    <x v="8"/>
    <x v="1"/>
    <s v="Draft"/>
    <m/>
  </r>
  <r>
    <s v="PRJ-001"/>
    <n v="3"/>
    <m/>
    <n v="1"/>
    <x v="2"/>
    <x v="9"/>
    <x v="0"/>
    <s v="Approved"/>
    <n v="17"/>
  </r>
  <r>
    <s v="PRJ-001"/>
    <n v="3.1"/>
    <n v="3"/>
    <n v="2"/>
    <x v="2"/>
    <x v="10"/>
    <x v="1"/>
    <s v="Draft"/>
    <n v="1"/>
  </r>
  <r>
    <s v="PRJ-001"/>
    <n v="3.2"/>
    <n v="3"/>
    <n v="2"/>
    <x v="2"/>
    <x v="11"/>
    <x v="0"/>
    <s v="Approved"/>
    <m/>
  </r>
  <r>
    <s v="PRJ-001"/>
    <s v="3.2.1"/>
    <n v="3.2"/>
    <n v="3"/>
    <x v="3"/>
    <x v="12"/>
    <x v="1"/>
    <s v="Draft"/>
    <n v="3"/>
  </r>
  <r>
    <s v="PRJ-001"/>
    <s v="3.2.2"/>
    <n v="3.2"/>
    <n v="3"/>
    <x v="3"/>
    <x v="13"/>
    <x v="1"/>
    <s v="Draft"/>
    <n v="1"/>
  </r>
  <r>
    <s v="PRJ-001"/>
    <s v="3.2.3"/>
    <n v="3.2"/>
    <n v="3"/>
    <x v="3"/>
    <x v="14"/>
    <x v="1"/>
    <s v="Draft"/>
    <n v="3"/>
  </r>
  <r>
    <s v="PRJ-001"/>
    <s v="3.2.4"/>
    <n v="3.2"/>
    <n v="3"/>
    <x v="3"/>
    <x v="15"/>
    <x v="1"/>
    <s v="Draft"/>
    <n v="1"/>
  </r>
  <r>
    <s v="PRJ-001"/>
    <s v="3.2.5"/>
    <n v="3.2"/>
    <n v="3"/>
    <x v="3"/>
    <x v="16"/>
    <x v="1"/>
    <s v="Draft"/>
    <m/>
  </r>
  <r>
    <s v="PRJ-001"/>
    <s v="3.2.6"/>
    <n v="3.2"/>
    <n v="3"/>
    <x v="3"/>
    <x v="17"/>
    <x v="1"/>
    <s v="Draft"/>
    <n v="6"/>
  </r>
  <r>
    <s v="PRJ-001"/>
    <n v="3.3"/>
    <n v="3"/>
    <n v="2"/>
    <x v="2"/>
    <x v="18"/>
    <x v="0"/>
    <s v="Approved"/>
    <m/>
  </r>
  <r>
    <s v="PRJ-001"/>
    <s v="3.3.1"/>
    <n v="3.3"/>
    <n v="3"/>
    <x v="4"/>
    <x v="19"/>
    <x v="1"/>
    <s v="Draft"/>
    <n v="2"/>
  </r>
  <r>
    <s v="PRJ-001"/>
    <n v="4"/>
    <m/>
    <n v="1"/>
    <x v="5"/>
    <x v="20"/>
    <x v="0"/>
    <s v="Approved"/>
    <n v="6"/>
  </r>
  <r>
    <s v="PRJ-001"/>
    <n v="4.0999999999999996"/>
    <n v="4"/>
    <n v="2"/>
    <x v="5"/>
    <x v="21"/>
    <x v="1"/>
    <s v="Draft"/>
    <n v="2"/>
  </r>
  <r>
    <s v="PRJ-001"/>
    <n v="4.2"/>
    <n v="4"/>
    <n v="2"/>
    <x v="5"/>
    <x v="22"/>
    <x v="1"/>
    <s v="Draft"/>
    <n v="1"/>
  </r>
  <r>
    <s v="PRJ-001"/>
    <n v="4.3"/>
    <n v="4"/>
    <n v="2"/>
    <x v="5"/>
    <x v="23"/>
    <x v="1"/>
    <s v="Draft"/>
    <n v="2"/>
  </r>
  <r>
    <s v="PRJ-001"/>
    <n v="4.4000000000000004"/>
    <n v="4"/>
    <n v="2"/>
    <x v="5"/>
    <x v="24"/>
    <x v="1"/>
    <s v="Draft"/>
    <n v="1"/>
  </r>
  <r>
    <s v="PRJ-001"/>
    <n v="5"/>
    <m/>
    <n v="1"/>
    <x v="6"/>
    <x v="25"/>
    <x v="0"/>
    <s v="Approved"/>
    <n v="10"/>
  </r>
  <r>
    <s v="PRJ-001"/>
    <n v="5.0999999999999996"/>
    <n v="5"/>
    <n v="2"/>
    <x v="6"/>
    <x v="26"/>
    <x v="1"/>
    <s v="Draft"/>
    <n v="6"/>
  </r>
  <r>
    <s v="PRJ-001"/>
    <n v="5.2"/>
    <n v="5"/>
    <n v="2"/>
    <x v="6"/>
    <x v="27"/>
    <x v="1"/>
    <s v="Draft"/>
    <n v="1"/>
  </r>
  <r>
    <s v="PRJ-001"/>
    <n v="5.3"/>
    <n v="5"/>
    <n v="2"/>
    <x v="6"/>
    <x v="28"/>
    <x v="0"/>
    <s v="Approved"/>
    <m/>
  </r>
  <r>
    <s v="PRJ-001"/>
    <s v="5.3.1"/>
    <n v="5.3"/>
    <n v="3"/>
    <x v="7"/>
    <x v="29"/>
    <x v="1"/>
    <s v="Draft"/>
    <n v="1"/>
  </r>
  <r>
    <s v="PRJ-001"/>
    <s v="5.3.2"/>
    <n v="5.3"/>
    <n v="3"/>
    <x v="7"/>
    <x v="30"/>
    <x v="1"/>
    <s v="Draft"/>
    <n v="2"/>
  </r>
  <r>
    <s v="PRJ-001"/>
    <n v="6"/>
    <m/>
    <n v="1"/>
    <x v="8"/>
    <x v="31"/>
    <x v="0"/>
    <s v="Approved"/>
    <n v="3"/>
  </r>
  <r>
    <s v="PRJ-001"/>
    <n v="6.1"/>
    <n v="6"/>
    <n v="2"/>
    <x v="8"/>
    <x v="32"/>
    <x v="1"/>
    <s v="Draft"/>
    <n v="1"/>
  </r>
  <r>
    <s v="PRJ-001"/>
    <n v="6.2"/>
    <n v="6"/>
    <n v="2"/>
    <x v="8"/>
    <x v="33"/>
    <x v="1"/>
    <s v="Draft"/>
    <n v="1"/>
  </r>
  <r>
    <s v="PRJ-001"/>
    <n v="6.3"/>
    <n v="6"/>
    <n v="2"/>
    <x v="8"/>
    <x v="34"/>
    <x v="1"/>
    <s v="Draft"/>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779EC-079F-470A-B689-9E2199A80F13}"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3:O29" firstHeaderRow="1" firstDataRow="1" firstDataCol="1" rowPageCount="1" colPageCount="1"/>
  <pivotFields count="9">
    <pivotField showAll="0"/>
    <pivotField showAll="0"/>
    <pivotField showAll="0"/>
    <pivotField showAll="0"/>
    <pivotField axis="axisRow" showAll="0">
      <items count="10">
        <item x="6"/>
        <item x="2"/>
        <item x="5"/>
        <item x="8"/>
        <item x="4"/>
        <item x="7"/>
        <item x="0"/>
        <item x="1"/>
        <item x="3"/>
        <item t="default"/>
      </items>
    </pivotField>
    <pivotField axis="axisRow" showAll="0">
      <items count="36">
        <item x="2"/>
        <item x="27"/>
        <item x="25"/>
        <item x="19"/>
        <item x="9"/>
        <item x="1"/>
        <item x="10"/>
        <item x="16"/>
        <item x="8"/>
        <item x="5"/>
        <item x="26"/>
        <item x="4"/>
        <item x="22"/>
        <item x="30"/>
        <item x="23"/>
        <item x="13"/>
        <item x="20"/>
        <item x="14"/>
        <item x="21"/>
        <item x="29"/>
        <item x="32"/>
        <item x="31"/>
        <item x="24"/>
        <item x="18"/>
        <item x="28"/>
        <item x="0"/>
        <item x="3"/>
        <item x="7"/>
        <item x="12"/>
        <item x="15"/>
        <item x="33"/>
        <item x="34"/>
        <item x="11"/>
        <item x="6"/>
        <item x="17"/>
        <item t="default"/>
      </items>
    </pivotField>
    <pivotField axis="axisPage" multipleItemSelectionAllowed="1" showAll="0">
      <items count="3">
        <item x="0"/>
        <item h="1" x="1"/>
        <item t="default"/>
      </items>
    </pivotField>
    <pivotField showAll="0"/>
    <pivotField dataField="1" showAll="0"/>
  </pivotFields>
  <rowFields count="2">
    <field x="4"/>
    <field x="5"/>
  </rowFields>
  <rowItems count="16">
    <i>
      <x/>
    </i>
    <i r="1">
      <x v="2"/>
    </i>
    <i r="1">
      <x v="24"/>
    </i>
    <i>
      <x v="1"/>
    </i>
    <i r="1">
      <x v="4"/>
    </i>
    <i r="1">
      <x v="23"/>
    </i>
    <i r="1">
      <x v="32"/>
    </i>
    <i>
      <x v="2"/>
    </i>
    <i r="1">
      <x v="16"/>
    </i>
    <i>
      <x v="3"/>
    </i>
    <i r="1">
      <x v="21"/>
    </i>
    <i>
      <x v="6"/>
    </i>
    <i r="1">
      <x v="25"/>
    </i>
    <i>
      <x v="7"/>
    </i>
    <i r="1">
      <x v="26"/>
    </i>
    <i t="grand">
      <x/>
    </i>
  </rowItems>
  <colItems count="1">
    <i/>
  </colItems>
  <pageFields count="1">
    <pageField fld="6" hier="-1"/>
  </pageFields>
  <dataFields count="1">
    <dataField name="Sum of Elapsed Time in Week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E6A518-A0DC-4599-864B-639909B73779}" name="tblProjectHeader" displayName="tblProjectHeader" ref="A6:I7" totalsRowShown="0" headerRowDxfId="107" dataDxfId="106" headerRowBorderDxfId="117" tableBorderDxfId="118" totalsRowBorderDxfId="116">
  <autoFilter ref="A6:I7" xr:uid="{D6E6A518-A0DC-4599-864B-639909B73779}"/>
  <tableColumns count="9">
    <tableColumn id="1" xr3:uid="{8919A192-C9FE-46C6-AD9C-869DE36248DB}" name="ProjectID" dataDxfId="112"/>
    <tableColumn id="2" xr3:uid="{B537F920-DA6C-4735-ACC3-BF424A571A96}" name="ProjectName" dataDxfId="111"/>
    <tableColumn id="3" xr3:uid="{D6069A31-DBC8-471D-9CBB-EE88CD6B4094}" name="ProjectOwner" dataDxfId="110"/>
    <tableColumn id="4" xr3:uid="{04403AA7-2D87-43D2-B33F-B69FF3EABAA0}" name="CreatedDate" dataDxfId="109"/>
    <tableColumn id="5" xr3:uid="{6F810249-1DDD-45A1-9306-46A28CBE7627}" name="Version" dataDxfId="108"/>
    <tableColumn id="6" xr3:uid="{BA27E350-EB45-436B-AB8F-11D0B57332BA}" name="Status" dataDxfId="94"/>
    <tableColumn id="10" xr3:uid="{3C145768-1B80-4EE4-A276-3D538FBD101E}" name="Budget" dataDxfId="92" dataCellStyle="Comma"/>
    <tableColumn id="7" xr3:uid="{775CFC4A-540E-46B1-88DC-3020923F474D}" name="Start Date" dataDxfId="93"/>
    <tableColumn id="8" xr3:uid="{F864B460-1C5F-4D39-9263-9A1DFB3CDB11}" name="End Date" dataDxfId="9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CF683F-B642-4973-9061-0B8FC297F710}" name="tblProjectScope" displayName="tblProjectScope" ref="A10:F16" totalsRowShown="0" headerRowDxfId="99" dataDxfId="98" headerRowBorderDxfId="114" tableBorderDxfId="115" totalsRowBorderDxfId="113">
  <autoFilter ref="A10:F16" xr:uid="{55CF683F-B642-4973-9061-0B8FC297F710}"/>
  <tableColumns count="6">
    <tableColumn id="1" xr3:uid="{CC1266FC-DFA4-4DF4-AABE-AD952FE33358}" name="ProjectID" dataDxfId="105"/>
    <tableColumn id="2" xr3:uid="{BBD0115A-0A0E-4624-9A27-905E40FE3835}" name="ScopeType" dataDxfId="104"/>
    <tableColumn id="3" xr3:uid="{2AB8EABC-2172-4407-BA30-D885DE6EA81A}" name="ScopeItem" dataDxfId="103"/>
    <tableColumn id="4" xr3:uid="{81C229C3-080B-4D83-B51B-795A3BB37F22}" name="Priority" dataDxfId="102"/>
    <tableColumn id="5" xr3:uid="{25CDC98D-66B1-4EC3-8C14-5EFC3E793561}" name="DecisionStatus" dataDxfId="101"/>
    <tableColumn id="6" xr3:uid="{1F25102F-E95B-4E65-8CD6-729F1EDD3B6F}" name="SourceNote" dataDxfId="100"/>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2A84C6-E605-4E56-9255-6E2FE5D74F90}" name="tblImportChecklist" displayName="tblImportChecklist" ref="N2:P8" totalsRowShown="0">
  <autoFilter ref="N2:P8" xr:uid="{992A84C6-E605-4E56-9255-6E2FE5D74F90}"/>
  <tableColumns count="3">
    <tableColumn id="1" xr3:uid="{8C635244-B69A-48E5-91A9-D135EB66F5B5}" name="Rule"/>
    <tableColumn id="2" xr3:uid="{585B5942-0D60-4352-A177-5FDF01B92895}" name="Recommendation" dataDxfId="97"/>
    <tableColumn id="3" xr3:uid="{68B348DF-5CFF-4322-AF02-15B0FCB51CD6}" name="Reason" dataDxfId="9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74C182-9472-4EDA-B8DD-78099C93A2A7}" name="tblProjectTasks" displayName="tblProjectTasks" ref="A8:K43" totalsRowShown="0" headerRowDxfId="80" headerRowBorderDxfId="90" tableBorderDxfId="91" totalsRowBorderDxfId="89">
  <tableColumns count="11">
    <tableColumn id="1" xr3:uid="{9DEEC819-5B4C-4D05-918A-2BAE7A81CEFC}" name="ProjectID" dataDxfId="88"/>
    <tableColumn id="2" xr3:uid="{FB01EB8B-2C0C-40E7-B251-AD88F6D4A8DF}" name="WBSCode" dataDxfId="87"/>
    <tableColumn id="3" xr3:uid="{175F5208-B859-4B0C-AC22-04B0CFE5854E}" name="ParentWBSCode" dataDxfId="86"/>
    <tableColumn id="4" xr3:uid="{26DCC24C-C8AF-450E-BFCE-1CB0C3CE74E1}" name="WBSLevel" dataDxfId="85"/>
    <tableColumn id="5" xr3:uid="{BC896403-7885-4F11-B741-C885A0920097}" name="TaskGroup" dataDxfId="84"/>
    <tableColumn id="6" xr3:uid="{4FA1FB62-7EF1-4FA4-AA71-FDBBB9009A12}" name="TaskName" dataDxfId="76"/>
    <tableColumn id="7" xr3:uid="{CEC7E8F5-2F1D-44A9-A9DC-33D91F5FFB70}" name="IsWorkPackage" dataDxfId="83"/>
    <tableColumn id="8" xr3:uid="{BAA5B909-4016-4A8A-A686-DA4284F412B4}" name="CaptureStatus" dataDxfId="82"/>
    <tableColumn id="9" xr3:uid="{FB60766A-20F2-465B-BCF9-C85150DE757A}" name="Elapsed Time in Weeks" dataDxfId="81"/>
    <tableColumn id="10" xr3:uid="{8C47048C-7FCE-4372-BD4E-BC95B3277A64}" name="Start-Week" dataDxfId="30"/>
    <tableColumn id="11" xr3:uid="{B6BD660D-E7A0-4C6C-B7E5-53D272B2DE57}" name="End-Week" dataDxfId="29">
      <calculatedColumnFormula>tblProjectTasks[[#This Row],[Elapsed Time in Weeks]]+tblProjectTasks[[#This Row],[Start-Week]]</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BC6AC53-7F94-4605-A5FB-C61408BE521B}" name="tblTaskSetupGuide" displayName="tblTaskSetupGuide" ref="N2:P9" totalsRowShown="0" headerRowDxfId="78" dataDxfId="77">
  <autoFilter ref="N2:P9" xr:uid="{3BC6AC53-7F94-4605-A5FB-C61408BE521B}"/>
  <tableColumns count="3">
    <tableColumn id="1" xr3:uid="{90B4CA21-2CF6-468D-AA41-507AC08081F4}" name="Field" dataDxfId="79"/>
    <tableColumn id="2" xr3:uid="{D8E83A65-D3C2-4DE4-AA22-DC4DA4220466}" name="How to use it" dataDxfId="75"/>
    <tableColumn id="3" xr3:uid="{0CAB2DF4-2315-4E67-81B7-D85635B02453}" name="Database note" dataDxfId="7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A6EAB79-14D7-4ED2-8291-4E3CBC2B21EE}" name="tblSwimlaneSchedule" displayName="tblSwimlaneSchedule" ref="A7:AM107" totalsRowShown="0" headerRowDxfId="66" headerRowBorderDxfId="72" tableBorderDxfId="73" totalsRowBorderDxfId="71">
  <tableColumns count="39">
    <tableColumn id="1" xr3:uid="{25C3B55A-A8E0-4601-B44A-9672818ACFC4}" name="TaskGroup" dataDxfId="70">
      <calculatedColumnFormula array="1">IFERROR(INDEX(_xlfn._xlws.FILTER(tblProjectTasks[TaskGroup],(tblProjectTasks[IsWorkPackage]="Yes")*(tblProjectTasks[CaptureStatus]&lt;&gt;"Removed")),ROWS($A$8:A8)),"")</calculatedColumnFormula>
    </tableColumn>
    <tableColumn id="2" xr3:uid="{E6B9A73C-6286-4142-AED3-1BCFCC1C9342}" name="WBSCode" dataDxfId="69">
      <calculatedColumnFormula array="1">IFERROR(INDEX(_xlfn._xlws.FILTER(tblProjectTasks[WBSCode],(tblProjectTasks[IsWorkPackage]="Yes")*(tblProjectTasks[CaptureStatus]&lt;&gt;"Removed")),ROWS($B$8:B8)),"")</calculatedColumnFormula>
    </tableColumn>
    <tableColumn id="3" xr3:uid="{ABF13460-C932-46D0-A293-63188EF9558C}" name="TaskName" dataDxfId="68">
      <calculatedColumnFormula array="1">IFERROR(INDEX(_xlfn._xlws.FILTER(tblProjectTasks[TaskName],(tblProjectTasks[IsWorkPackage]="Yes")*(tblProjectTasks[CaptureStatus]&lt;&gt;"Removed")),ROWS($C$8:C8)),"")</calculatedColumnFormula>
    </tableColumn>
    <tableColumn id="4" xr3:uid="{2B0784D4-F23D-4BC8-BC70-855C33A16611}" name="Time in Weeks" dataDxfId="65">
      <calculatedColumnFormula array="1">_xlfn.LET(_xlpm.x,IFERROR(INDEX(_xlfn._xlws.FILTER(tblProjectTasks[Elapsed Time in Weeks],(tblProjectTasks[IsWorkPackage]="Yes")*(tblProjectTasks[CaptureStatus]&lt;&gt;"Removed")),ROWS($D$8:D8)),""),IF(_xlpm.x=0,"",_xlpm.x))</calculatedColumnFormula>
    </tableColumn>
    <tableColumn id="5" xr3:uid="{B1E688AF-F464-4B14-B0A5-0B95CD3FE29D}" name="Chart Weeks" dataDxfId="64">
      <calculatedColumnFormula>IF($A8="","",IF($D8="",1,$D8))</calculatedColumnFormula>
    </tableColumn>
    <tableColumn id="6" xr3:uid="{FC5085A0-1AD0-46B7-A5C9-789D68958EB6}" name="Start Week" dataDxfId="63">
      <calculatedColumnFormula>IF($A8="","",IF(ROW()=8,0,$F7+$E7))</calculatedColumnFormula>
    </tableColumn>
    <tableColumn id="7" xr3:uid="{B94E45B6-EDA5-4562-964E-3C93E3181A53}" name="End Week" dataDxfId="62">
      <calculatedColumnFormula>IF($A8="","",$F8+$E8)</calculatedColumnFormula>
    </tableColumn>
    <tableColumn id="8" xr3:uid="{5B6659AC-5311-4A97-A30E-5019B663A9A2}" name="1" dataDxfId="67"/>
    <tableColumn id="9" xr3:uid="{640B0A28-4ED0-452A-8D98-302FAFACAD80}" name="2" dataDxfId="61"/>
    <tableColumn id="10" xr3:uid="{81F0711A-DDB0-4D96-BAFD-6DB27E81E9FC}" name="3" dataDxfId="60"/>
    <tableColumn id="11" xr3:uid="{00638DF3-80D7-40ED-B2C8-076663964D5D}" name="4" dataDxfId="59"/>
    <tableColumn id="12" xr3:uid="{A3F24BD2-A359-469D-ABDD-1D61A15EF4B7}" name="5" dataDxfId="58"/>
    <tableColumn id="13" xr3:uid="{E0345D02-E05D-482D-919F-71A98212CBBE}" name="6" dataDxfId="57"/>
    <tableColumn id="14" xr3:uid="{E412F58A-A482-4C95-8E45-1279993B80BC}" name="7" dataDxfId="56"/>
    <tableColumn id="15" xr3:uid="{EC5D5759-57B5-40F4-A42E-825A804B5DCF}" name="8" dataDxfId="55"/>
    <tableColumn id="16" xr3:uid="{7E80768F-2D21-4C87-9581-2087268E71C5}" name="9" dataDxfId="54"/>
    <tableColumn id="17" xr3:uid="{EA751B23-D588-49B0-A7D9-64E5A6D8340E}" name="10" dataDxfId="53"/>
    <tableColumn id="18" xr3:uid="{41570658-138B-47BA-85FE-5C586E100FC3}" name="11" dataDxfId="52"/>
    <tableColumn id="19" xr3:uid="{FF3FB5E6-9BF8-435C-9E70-36049610CC25}" name="12" dataDxfId="51"/>
    <tableColumn id="20" xr3:uid="{29832380-57EA-4189-BEE1-05D27CB00E3F}" name="13" dataDxfId="50"/>
    <tableColumn id="21" xr3:uid="{8E15D4F3-F72A-4982-9976-D007C988C834}" name="14" dataDxfId="49"/>
    <tableColumn id="22" xr3:uid="{70D303E6-C627-4C1D-80E4-A3CEEEAC733D}" name="15" dataDxfId="48"/>
    <tableColumn id="23" xr3:uid="{D1C68718-1572-4381-970D-72BDE30FA611}" name="16" dataDxfId="47"/>
    <tableColumn id="24" xr3:uid="{D4619017-C28B-4802-8ECB-5C4568DAACA5}" name="17" dataDxfId="46"/>
    <tableColumn id="25" xr3:uid="{5CADC8A1-D4E4-4738-A807-1BD3178A73A6}" name="18" dataDxfId="45"/>
    <tableColumn id="26" xr3:uid="{A79E5315-728A-4358-8003-9EE78C57E2E6}" name="19" dataDxfId="44"/>
    <tableColumn id="27" xr3:uid="{42BF7D44-5AF6-40CF-ABDF-794471285B83}" name="20" dataDxfId="43"/>
    <tableColumn id="28" xr3:uid="{2DCA8E51-4D0A-485A-8483-78DE037F2351}" name="21" dataDxfId="42"/>
    <tableColumn id="29" xr3:uid="{8749F8F7-C5DF-48CD-A8A9-F67CD158CBF6}" name="22" dataDxfId="41"/>
    <tableColumn id="30" xr3:uid="{753B4A29-C095-4254-A5F8-71C0A7A45698}" name="23" dataDxfId="40"/>
    <tableColumn id="31" xr3:uid="{C03B6382-C550-469E-AB40-7C18F788A0EE}" name="24" dataDxfId="39"/>
    <tableColumn id="32" xr3:uid="{76A51907-9CE3-4D54-A552-E554AF6B20B9}" name="25" dataDxfId="38"/>
    <tableColumn id="33" xr3:uid="{01454D30-2338-4316-8A1B-A74112843255}" name="26" dataDxfId="37"/>
    <tableColumn id="34" xr3:uid="{5CC3FDD0-FAD4-45C7-B4B8-141070E62770}" name="27" dataDxfId="36"/>
    <tableColumn id="35" xr3:uid="{73B5E824-85C9-4C26-99C4-2212C62CA4B0}" name="28" dataDxfId="35"/>
    <tableColumn id="36" xr3:uid="{140974CC-AAD6-47E9-B3AA-A8252E84F61A}" name="29" dataDxfId="34"/>
    <tableColumn id="37" xr3:uid="{DDC1ADB7-DD8B-473A-8135-04757CEE7189}" name="30" dataDxfId="33"/>
    <tableColumn id="38" xr3:uid="{90E48950-EA21-41CC-BA2E-96B35155C663}" name="31" dataDxfId="32"/>
    <tableColumn id="39" xr3:uid="{DCE7B0DE-ED4E-4AB7-923F-FF17FE375170}" name="32" dataDxfId="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2FD2CD6-A8B6-4182-A398-37E6BBD3C797}" name="tblPostItTasks" displayName="tblPostItTasks" ref="A41:M67" totalsRowShown="0" headerRowDxfId="13" dataDxfId="12" headerRowBorderDxfId="27" tableBorderDxfId="28" totalsRowBorderDxfId="26">
  <autoFilter ref="A41:M67" xr:uid="{C2FD2CD6-A8B6-4182-A398-37E6BBD3C797}"/>
  <tableColumns count="13">
    <tableColumn id="1" xr3:uid="{8426AC8B-1020-4051-94E1-B94E284A60EA}" name="ProjectID" dataDxfId="22"/>
    <tableColumn id="2" xr3:uid="{AF19055C-FF8C-4769-8C51-C6D9A3A6C266}" name="WBSCode" dataDxfId="21"/>
    <tableColumn id="3" xr3:uid="{F7FFC6BB-88D1-48E3-8BBD-1D5F0587C6A9}" name="TaskName" dataDxfId="4"/>
    <tableColumn id="4" xr3:uid="{D14DEA87-9C04-4318-8989-08C14ADC7037}" name="TaskGroup" dataDxfId="20"/>
    <tableColumn id="5" xr3:uid="{A7042088-DA26-4465-99C6-38596BB5B014}" name="PostItOrder" dataDxfId="19"/>
    <tableColumn id="6" xr3:uid="{4A46573E-E0CA-4B6A-9519-F5085E8DE4E5}" name="Lane" dataDxfId="3"/>
    <tableColumn id="7" xr3:uid="{CB44FA10-A815-46DC-9810-167FE4A95859}" name="DurationWeeks" dataDxfId="18"/>
    <tableColumn id="8" xr3:uid="{9A6D0AE5-70B4-4394-9D87-EBDC6D3F7BAD}" name="SuggestedPredecessorWBS" dataDxfId="2"/>
    <tableColumn id="9" xr3:uid="{AB36738B-3173-4AC6-8759-EA44EE1ABB1B}" name="DependencyLevel" dataDxfId="17">
      <calculatedColumnFormula>IF(tblPostItTasks[[#This Row],[SuggestedPredecessorWBS]]="",0,MIN(5,_xlfn.XLOOKUP(tblPostItTasks[[#This Row],[SuggestedPredecessorWBS]],tblPostItTasks[WBSCode],tblPostItTasks[DependencyLevel],0)+1))</calculatedColumnFormula>
    </tableColumn>
    <tableColumn id="10" xr3:uid="{37A31FB8-9739-48E6-B0B6-AE7975591474}" name="EarliestStart" dataDxfId="16">
      <calculatedColumnFormula>IF(tblPostItTasks[[#This Row],[SuggestedPredecessorWBS]]="",0,_xlfn.XLOOKUP(tblPostItTasks[[#This Row],[SuggestedPredecessorWBS]],tblPostItTasks[WBSCode],tblPostItTasks[EarliestFinish],0))</calculatedColumnFormula>
    </tableColumn>
    <tableColumn id="11" xr3:uid="{C7FF39A8-E966-4BF4-9147-5EEA91ACF183}" name="EarliestFinish" dataDxfId="15">
      <calculatedColumnFormula>tblPostItTasks[[#This Row],[EarliestStart]]+IF(tblPostItTasks[[#This Row],[DurationWeeks]]="",1,tblPostItTasks[[#This Row],[DurationWeeks]])</calculatedColumnFormula>
    </tableColumn>
    <tableColumn id="12" xr3:uid="{276BC7B4-9206-4B00-9806-D7E4AEC780FB}" name="PostItText" dataDxfId="1">
      <calculatedColumnFormula>tblPostItTasks[[#This Row],[WBSCode]]&amp;CHAR(10)&amp;tblPostItTasks[[#This Row],[TaskName]]&amp;CHAR(10)&amp;"Dur: "&amp;IF(tblPostItTasks[[#This Row],[DurationWeeks]]="","?",tblPostItTasks[[#This Row],[DurationWeeks]])&amp;"w"</calculatedColumnFormula>
    </tableColumn>
    <tableColumn id="13" xr3:uid="{5F8F05E2-9973-4B7A-ACA6-E676DB9B07B5}" name="CPMReadyFlag" dataDxfId="14">
      <calculatedColumnFormula>IF(tblPostItTasks[[#This Row],[DurationWeeks]]="","Add duration",IF(tblPostItTasks[[#This Row],[SuggestedPredecessorWBS]]="","Start candidate","Ready"))</calculatedColumn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F32CF91-F09E-4C38-8E73-980979746C00}" name="tblTaskDependencies" displayName="tblTaskDependencies" ref="A72:F83" totalsRowShown="0" headerRowDxfId="6" dataDxfId="5" headerRowBorderDxfId="24" tableBorderDxfId="25" totalsRowBorderDxfId="23">
  <autoFilter ref="A72:F83" xr:uid="{FF32CF91-F09E-4C38-8E73-980979746C00}"/>
  <tableColumns count="6">
    <tableColumn id="1" xr3:uid="{3548F3AC-7011-417C-B4AF-FC7D92812738}" name="ProjectID" dataDxfId="11"/>
    <tableColumn id="2" xr3:uid="{F204B064-67DE-4A85-8C5E-98229579B365}" name="FromWBSCode" dataDxfId="10"/>
    <tableColumn id="3" xr3:uid="{CB8B0281-2929-4304-8B6D-6245220B8E2D}" name="ToWBSCode" dataDxfId="9"/>
    <tableColumn id="4" xr3:uid="{E64B2F9B-AE35-461C-9FA6-6DE6CAEE7AF3}" name="DependencyType" dataDxfId="8"/>
    <tableColumn id="5" xr3:uid="{B831D892-2ADB-469D-BF2F-F065F111D72B}" name="LagWeeks" dataDxfId="7"/>
    <tableColumn id="6" xr3:uid="{A259EEF6-E20F-4763-9FB8-BB8EFC2CD3FA}" name="RelationshipNote"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6F856-2FDF-4E6B-BEDE-E3791B2A325D}">
  <dimension ref="A1:G37"/>
  <sheetViews>
    <sheetView topLeftCell="A9" workbookViewId="0">
      <selection activeCell="A22" sqref="A11:A22"/>
    </sheetView>
  </sheetViews>
  <sheetFormatPr defaultRowHeight="14.5" x14ac:dyDescent="0.35"/>
  <cols>
    <col min="1" max="1" width="42.08984375" customWidth="1"/>
    <col min="2" max="2" width="5.81640625" customWidth="1"/>
    <col min="3" max="3" width="6.90625" customWidth="1"/>
    <col min="4" max="4" width="14.26953125" bestFit="1" customWidth="1"/>
    <col min="6" max="6" width="31.7265625" customWidth="1"/>
    <col min="7" max="7" width="14.36328125" customWidth="1"/>
  </cols>
  <sheetData>
    <row r="1" spans="1:7" x14ac:dyDescent="0.35">
      <c r="A1" s="2" t="s">
        <v>0</v>
      </c>
      <c r="B1" t="s">
        <v>7</v>
      </c>
    </row>
    <row r="2" spans="1:7" x14ac:dyDescent="0.35">
      <c r="A2" s="3" t="s">
        <v>1</v>
      </c>
    </row>
    <row r="3" spans="1:7" x14ac:dyDescent="0.35">
      <c r="A3" t="s">
        <v>2</v>
      </c>
    </row>
    <row r="4" spans="1:7" x14ac:dyDescent="0.35">
      <c r="A4" t="s">
        <v>3</v>
      </c>
    </row>
    <row r="5" spans="1:7" x14ac:dyDescent="0.35">
      <c r="A5" t="s">
        <v>4</v>
      </c>
    </row>
    <row r="6" spans="1:7" x14ac:dyDescent="0.35">
      <c r="A6" t="s">
        <v>5</v>
      </c>
    </row>
    <row r="7" spans="1:7" x14ac:dyDescent="0.35">
      <c r="A7" t="s">
        <v>6</v>
      </c>
    </row>
    <row r="9" spans="1:7" x14ac:dyDescent="0.35">
      <c r="B9" s="3" t="s">
        <v>151</v>
      </c>
      <c r="C9" s="3"/>
      <c r="D9" s="3"/>
    </row>
    <row r="10" spans="1:7" ht="19" customHeight="1" x14ac:dyDescent="0.35">
      <c r="B10" s="2"/>
      <c r="C10" s="2" t="s">
        <v>19</v>
      </c>
      <c r="D10" s="2"/>
    </row>
    <row r="11" spans="1:7" ht="18.5" customHeight="1" x14ac:dyDescent="0.35">
      <c r="A11" s="4" t="s">
        <v>8</v>
      </c>
      <c r="B11" s="2" t="s">
        <v>69</v>
      </c>
      <c r="C11" s="2"/>
      <c r="D11" s="2" t="s">
        <v>68</v>
      </c>
    </row>
    <row r="12" spans="1:7" ht="20.5" customHeight="1" x14ac:dyDescent="0.35">
      <c r="A12" t="s">
        <v>150</v>
      </c>
      <c r="B12" s="3" t="s">
        <v>152</v>
      </c>
      <c r="C12" s="3"/>
      <c r="D12" s="3"/>
      <c r="F12" s="2" t="s">
        <v>226</v>
      </c>
      <c r="G12" s="2" t="s">
        <v>224</v>
      </c>
    </row>
    <row r="13" spans="1:7" x14ac:dyDescent="0.35">
      <c r="A13" t="s">
        <v>9</v>
      </c>
      <c r="F13" t="s">
        <v>97</v>
      </c>
    </row>
    <row r="14" spans="1:7" x14ac:dyDescent="0.35">
      <c r="A14" t="s">
        <v>10</v>
      </c>
      <c r="F14" t="s">
        <v>203</v>
      </c>
    </row>
    <row r="15" spans="1:7" x14ac:dyDescent="0.35">
      <c r="A15" t="s">
        <v>11</v>
      </c>
      <c r="F15" t="s">
        <v>204</v>
      </c>
    </row>
    <row r="16" spans="1:7" x14ac:dyDescent="0.35">
      <c r="A16" t="s">
        <v>12</v>
      </c>
      <c r="F16" t="s">
        <v>120</v>
      </c>
    </row>
    <row r="17" spans="1:6" x14ac:dyDescent="0.35">
      <c r="A17" t="s">
        <v>13</v>
      </c>
      <c r="F17" t="s">
        <v>205</v>
      </c>
    </row>
    <row r="18" spans="1:6" x14ac:dyDescent="0.35">
      <c r="A18" t="s">
        <v>14</v>
      </c>
      <c r="F18" t="s">
        <v>206</v>
      </c>
    </row>
    <row r="19" spans="1:6" x14ac:dyDescent="0.35">
      <c r="A19" t="s">
        <v>15</v>
      </c>
      <c r="F19" t="s">
        <v>123</v>
      </c>
    </row>
    <row r="20" spans="1:6" x14ac:dyDescent="0.35">
      <c r="A20" t="s">
        <v>16</v>
      </c>
      <c r="F20" t="s">
        <v>124</v>
      </c>
    </row>
    <row r="21" spans="1:6" x14ac:dyDescent="0.35">
      <c r="A21" t="s">
        <v>17</v>
      </c>
      <c r="F21" t="s">
        <v>207</v>
      </c>
    </row>
    <row r="22" spans="1:6" x14ac:dyDescent="0.35">
      <c r="A22" t="s">
        <v>18</v>
      </c>
      <c r="F22" t="s">
        <v>208</v>
      </c>
    </row>
    <row r="23" spans="1:6" x14ac:dyDescent="0.35">
      <c r="F23" t="s">
        <v>209</v>
      </c>
    </row>
    <row r="24" spans="1:6" x14ac:dyDescent="0.35">
      <c r="F24" t="s">
        <v>110</v>
      </c>
    </row>
    <row r="25" spans="1:6" x14ac:dyDescent="0.35">
      <c r="F25" t="s">
        <v>112</v>
      </c>
    </row>
    <row r="26" spans="1:6" x14ac:dyDescent="0.35">
      <c r="F26" t="s">
        <v>211</v>
      </c>
    </row>
    <row r="27" spans="1:6" x14ac:dyDescent="0.35">
      <c r="F27" t="s">
        <v>212</v>
      </c>
    </row>
    <row r="28" spans="1:6" x14ac:dyDescent="0.35">
      <c r="F28" t="s">
        <v>214</v>
      </c>
    </row>
    <row r="29" spans="1:6" x14ac:dyDescent="0.35">
      <c r="F29" t="s">
        <v>125</v>
      </c>
    </row>
    <row r="30" spans="1:6" x14ac:dyDescent="0.35">
      <c r="F30" t="s">
        <v>216</v>
      </c>
    </row>
    <row r="31" spans="1:6" x14ac:dyDescent="0.35">
      <c r="F31" t="s">
        <v>135</v>
      </c>
    </row>
    <row r="32" spans="1:6" x14ac:dyDescent="0.35">
      <c r="F32" t="s">
        <v>217</v>
      </c>
    </row>
    <row r="33" spans="6:6" x14ac:dyDescent="0.35">
      <c r="F33" t="s">
        <v>218</v>
      </c>
    </row>
    <row r="34" spans="6:6" x14ac:dyDescent="0.35">
      <c r="F34" t="s">
        <v>219</v>
      </c>
    </row>
    <row r="35" spans="6:6" x14ac:dyDescent="0.35">
      <c r="F35" t="s">
        <v>221</v>
      </c>
    </row>
    <row r="36" spans="6:6" x14ac:dyDescent="0.35">
      <c r="F36" t="s">
        <v>222</v>
      </c>
    </row>
    <row r="37" spans="6:6" x14ac:dyDescent="0.35">
      <c r="F37" t="s">
        <v>225</v>
      </c>
    </row>
  </sheetData>
  <hyperlinks>
    <hyperlink ref="A11" location="'1 Define Project'!A1" display=" &gt; Step 1 - Define the project " xr:uid="{37C82E30-459C-4BF6-B67E-E89234F2224B}"/>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087CF-E0C8-4C56-BF95-44BACFF33EFA}">
  <dimension ref="A1:P26"/>
  <sheetViews>
    <sheetView zoomScale="95" zoomScaleNormal="95" workbookViewId="0">
      <selection activeCell="P22" sqref="P22"/>
    </sheetView>
  </sheetViews>
  <sheetFormatPr defaultRowHeight="14.5" x14ac:dyDescent="0.35"/>
  <cols>
    <col min="1" max="1" width="13.453125" customWidth="1"/>
    <col min="2" max="2" width="16.453125" customWidth="1"/>
    <col min="3" max="3" width="18.1796875" customWidth="1"/>
    <col min="4" max="4" width="23.90625" customWidth="1"/>
    <col min="5" max="5" width="11.54296875" customWidth="1"/>
    <col min="6" max="6" width="10.90625" customWidth="1"/>
    <col min="7" max="7" width="12.54296875" customWidth="1"/>
    <col min="8" max="8" width="11.81640625" customWidth="1"/>
    <col min="9" max="9" width="11.26953125" customWidth="1"/>
    <col min="10" max="10" width="7.90625" customWidth="1"/>
    <col min="11" max="11" width="5.1796875" customWidth="1"/>
    <col min="12" max="12" width="6.26953125" customWidth="1"/>
    <col min="13" max="13" width="2.54296875" customWidth="1"/>
    <col min="14" max="14" width="21.81640625" customWidth="1"/>
    <col min="15" max="16" width="37.26953125" customWidth="1"/>
  </cols>
  <sheetData>
    <row r="1" spans="1:16" ht="32" customHeight="1" x14ac:dyDescent="0.55000000000000004">
      <c r="A1" s="6" t="s">
        <v>24</v>
      </c>
      <c r="B1" s="6"/>
      <c r="C1" s="6"/>
      <c r="D1" s="6"/>
      <c r="E1" s="6"/>
      <c r="F1" s="6"/>
      <c r="G1" s="6"/>
      <c r="H1" s="6"/>
      <c r="I1" s="6"/>
      <c r="J1" s="6"/>
      <c r="K1" s="6"/>
      <c r="L1" s="6"/>
      <c r="M1" s="6"/>
      <c r="N1" s="6"/>
      <c r="O1" s="6"/>
      <c r="P1" s="6"/>
    </row>
    <row r="2" spans="1:16" x14ac:dyDescent="0.35">
      <c r="A2" s="7" t="s">
        <v>25</v>
      </c>
      <c r="B2" s="7"/>
      <c r="C2" s="7"/>
      <c r="D2" s="7"/>
      <c r="E2" s="7"/>
      <c r="F2" s="7"/>
      <c r="G2" s="7"/>
      <c r="H2" s="7"/>
      <c r="I2" s="7"/>
      <c r="J2" s="28"/>
      <c r="K2" s="28"/>
      <c r="L2" s="28"/>
      <c r="N2" t="s">
        <v>47</v>
      </c>
      <c r="O2" s="1" t="s">
        <v>48</v>
      </c>
      <c r="P2" s="1" t="s">
        <v>49</v>
      </c>
    </row>
    <row r="3" spans="1:16" ht="29" x14ac:dyDescent="0.35">
      <c r="N3" t="s">
        <v>50</v>
      </c>
      <c r="O3" s="1" t="s">
        <v>51</v>
      </c>
      <c r="P3" s="1" t="s">
        <v>52</v>
      </c>
    </row>
    <row r="4" spans="1:16" ht="29.5" x14ac:dyDescent="0.4">
      <c r="A4" s="8" t="s">
        <v>26</v>
      </c>
      <c r="B4" s="8"/>
      <c r="C4" s="8"/>
      <c r="D4" s="8"/>
      <c r="E4" s="8"/>
      <c r="F4" s="8"/>
      <c r="G4" s="8"/>
      <c r="H4" s="8"/>
      <c r="I4" s="8"/>
      <c r="J4" s="27"/>
      <c r="K4" s="27"/>
      <c r="L4" s="27"/>
      <c r="N4" t="s">
        <v>53</v>
      </c>
      <c r="O4" s="1" t="s">
        <v>54</v>
      </c>
      <c r="P4" s="1" t="s">
        <v>55</v>
      </c>
    </row>
    <row r="5" spans="1:16" ht="29" x14ac:dyDescent="0.35">
      <c r="N5" t="s">
        <v>56</v>
      </c>
      <c r="O5" s="1" t="s">
        <v>57</v>
      </c>
      <c r="P5" s="1" t="s">
        <v>58</v>
      </c>
    </row>
    <row r="6" spans="1:16" ht="29" x14ac:dyDescent="0.35">
      <c r="A6" s="10" t="s">
        <v>27</v>
      </c>
      <c r="B6" s="11" t="s">
        <v>28</v>
      </c>
      <c r="C6" s="11" t="s">
        <v>29</v>
      </c>
      <c r="D6" s="11" t="s">
        <v>30</v>
      </c>
      <c r="E6" s="11" t="s">
        <v>31</v>
      </c>
      <c r="F6" s="11" t="s">
        <v>32</v>
      </c>
      <c r="G6" s="11" t="s">
        <v>74</v>
      </c>
      <c r="H6" s="11" t="s">
        <v>70</v>
      </c>
      <c r="I6" s="12" t="s">
        <v>71</v>
      </c>
      <c r="J6" s="29"/>
      <c r="K6" s="29"/>
      <c r="L6" s="29"/>
      <c r="N6" t="s">
        <v>59</v>
      </c>
      <c r="O6" s="1" t="s">
        <v>60</v>
      </c>
      <c r="P6" s="1" t="s">
        <v>61</v>
      </c>
    </row>
    <row r="7" spans="1:16" ht="29" x14ac:dyDescent="0.35">
      <c r="A7" s="13" t="s">
        <v>33</v>
      </c>
      <c r="B7" s="14" t="s">
        <v>21</v>
      </c>
      <c r="C7" s="14" t="s">
        <v>34</v>
      </c>
      <c r="D7" s="15" t="s">
        <v>35</v>
      </c>
      <c r="E7" s="16">
        <v>1</v>
      </c>
      <c r="F7" s="14" t="s">
        <v>36</v>
      </c>
      <c r="G7" s="32">
        <v>20000</v>
      </c>
      <c r="H7" s="31" t="s">
        <v>72</v>
      </c>
      <c r="I7" s="17" t="s">
        <v>73</v>
      </c>
      <c r="J7" s="30"/>
      <c r="K7" s="30"/>
      <c r="L7" s="30"/>
      <c r="N7" t="s">
        <v>62</v>
      </c>
      <c r="O7" s="1" t="s">
        <v>63</v>
      </c>
      <c r="P7" s="1" t="s">
        <v>64</v>
      </c>
    </row>
    <row r="8" spans="1:16" ht="29" x14ac:dyDescent="0.35">
      <c r="A8" s="26"/>
      <c r="B8" s="26"/>
      <c r="C8" s="26"/>
      <c r="D8" s="26"/>
      <c r="E8" s="26"/>
      <c r="F8" s="26"/>
      <c r="G8" s="26"/>
      <c r="H8" s="26"/>
      <c r="I8" s="26"/>
      <c r="J8" s="26"/>
      <c r="K8" s="26"/>
      <c r="L8" s="26"/>
      <c r="N8" t="s">
        <v>65</v>
      </c>
      <c r="O8" s="1" t="s">
        <v>66</v>
      </c>
      <c r="P8" s="1" t="s">
        <v>67</v>
      </c>
    </row>
    <row r="9" spans="1:16" ht="10" customHeight="1" x14ac:dyDescent="0.35">
      <c r="A9" s="26"/>
      <c r="B9" s="26"/>
      <c r="C9" s="26"/>
      <c r="D9" s="26"/>
      <c r="E9" s="26"/>
      <c r="F9" s="26"/>
      <c r="G9" s="26"/>
      <c r="H9" s="26"/>
      <c r="I9" s="26"/>
      <c r="J9" s="26"/>
      <c r="K9" s="26"/>
      <c r="L9" s="26"/>
    </row>
    <row r="10" spans="1:16" ht="20" customHeight="1" x14ac:dyDescent="0.35">
      <c r="A10" s="10" t="s">
        <v>27</v>
      </c>
      <c r="B10" s="11" t="s">
        <v>37</v>
      </c>
      <c r="C10" s="11" t="s">
        <v>38</v>
      </c>
      <c r="D10" s="11" t="s">
        <v>39</v>
      </c>
      <c r="E10" s="11" t="s">
        <v>40</v>
      </c>
      <c r="F10" s="12" t="s">
        <v>41</v>
      </c>
      <c r="G10" s="29"/>
      <c r="H10" s="26"/>
      <c r="I10" s="26"/>
      <c r="J10" s="26"/>
      <c r="K10" s="26"/>
      <c r="L10" s="26"/>
    </row>
    <row r="11" spans="1:16" ht="20" customHeight="1" x14ac:dyDescent="0.35">
      <c r="A11" s="23" t="s">
        <v>33</v>
      </c>
      <c r="B11" s="24" t="s">
        <v>20</v>
      </c>
      <c r="C11" s="24" t="s">
        <v>22</v>
      </c>
      <c r="D11" s="24" t="s">
        <v>42</v>
      </c>
      <c r="E11" s="24" t="s">
        <v>43</v>
      </c>
      <c r="F11" s="25" t="s">
        <v>44</v>
      </c>
      <c r="G11" s="30"/>
      <c r="H11" s="26"/>
      <c r="I11" s="26"/>
      <c r="J11" s="26"/>
      <c r="K11" s="26"/>
      <c r="L11" s="26"/>
    </row>
    <row r="12" spans="1:16" ht="20" customHeight="1" x14ac:dyDescent="0.35">
      <c r="A12" s="23" t="s">
        <v>33</v>
      </c>
      <c r="B12" s="24" t="s">
        <v>45</v>
      </c>
      <c r="C12" s="24" t="s">
        <v>23</v>
      </c>
      <c r="D12" s="24" t="s">
        <v>42</v>
      </c>
      <c r="E12" s="24" t="s">
        <v>43</v>
      </c>
      <c r="F12" s="25" t="s">
        <v>46</v>
      </c>
      <c r="G12" s="30"/>
      <c r="H12" s="26"/>
      <c r="I12" s="26"/>
      <c r="J12" s="26"/>
      <c r="K12" s="26"/>
      <c r="L12" s="26"/>
    </row>
    <row r="13" spans="1:16" ht="20" customHeight="1" x14ac:dyDescent="0.35">
      <c r="A13" s="23"/>
      <c r="B13" s="24"/>
      <c r="C13" s="24"/>
      <c r="D13" s="24"/>
      <c r="E13" s="24"/>
      <c r="F13" s="25"/>
      <c r="G13" s="30"/>
      <c r="H13" s="26"/>
      <c r="I13" s="26"/>
      <c r="J13" s="26"/>
      <c r="K13" s="26"/>
      <c r="L13" s="26"/>
    </row>
    <row r="14" spans="1:16" ht="20" customHeight="1" x14ac:dyDescent="0.35">
      <c r="A14" s="23"/>
      <c r="B14" s="24"/>
      <c r="C14" s="24"/>
      <c r="D14" s="24"/>
      <c r="E14" s="24"/>
      <c r="F14" s="25"/>
      <c r="G14" s="30"/>
      <c r="H14" s="26"/>
      <c r="I14" s="26"/>
      <c r="J14" s="26"/>
      <c r="K14" s="26"/>
      <c r="L14" s="26"/>
    </row>
    <row r="15" spans="1:16" ht="20" customHeight="1" x14ac:dyDescent="0.35">
      <c r="A15" s="23"/>
      <c r="B15" s="24"/>
      <c r="C15" s="24"/>
      <c r="D15" s="24"/>
      <c r="E15" s="24"/>
      <c r="F15" s="25"/>
      <c r="G15" s="30"/>
      <c r="H15" s="26"/>
      <c r="I15" s="26"/>
      <c r="J15" s="26"/>
      <c r="K15" s="26"/>
      <c r="L15" s="26"/>
    </row>
    <row r="16" spans="1:16" ht="20" customHeight="1" x14ac:dyDescent="0.35">
      <c r="A16" s="23"/>
      <c r="B16" s="24"/>
      <c r="C16" s="24"/>
      <c r="D16" s="24"/>
      <c r="E16" s="24"/>
      <c r="F16" s="25"/>
      <c r="G16" s="30"/>
      <c r="H16" s="26"/>
      <c r="I16" s="26"/>
      <c r="J16" s="26"/>
      <c r="K16" s="26"/>
      <c r="L16" s="26"/>
    </row>
    <row r="17" spans="1:12" ht="20" customHeight="1" x14ac:dyDescent="0.35">
      <c r="A17" s="23"/>
      <c r="B17" s="24"/>
      <c r="C17" s="24"/>
      <c r="D17" s="24"/>
      <c r="E17" s="24"/>
      <c r="F17" s="25"/>
      <c r="G17" s="30"/>
      <c r="H17" s="26"/>
      <c r="I17" s="26"/>
      <c r="J17" s="26"/>
      <c r="K17" s="26"/>
      <c r="L17" s="26"/>
    </row>
    <row r="18" spans="1:12" ht="20" customHeight="1" x14ac:dyDescent="0.35">
      <c r="A18" s="23"/>
      <c r="B18" s="24"/>
      <c r="C18" s="24"/>
      <c r="D18" s="24"/>
      <c r="E18" s="24"/>
      <c r="F18" s="25"/>
      <c r="G18" s="30"/>
      <c r="H18" s="26"/>
      <c r="I18" s="26"/>
      <c r="J18" s="26"/>
      <c r="K18" s="26"/>
      <c r="L18" s="26"/>
    </row>
    <row r="19" spans="1:12" ht="20" customHeight="1" x14ac:dyDescent="0.35">
      <c r="A19" s="23"/>
      <c r="B19" s="24"/>
      <c r="C19" s="24"/>
      <c r="D19" s="24"/>
      <c r="E19" s="24"/>
      <c r="F19" s="25"/>
      <c r="G19" s="30"/>
      <c r="H19" s="26"/>
      <c r="I19" s="26"/>
      <c r="J19" s="26"/>
      <c r="K19" s="26"/>
      <c r="L19" s="26"/>
    </row>
    <row r="20" spans="1:12" ht="20" customHeight="1" x14ac:dyDescent="0.35">
      <c r="A20" s="23"/>
      <c r="B20" s="24"/>
      <c r="C20" s="24"/>
      <c r="D20" s="24"/>
      <c r="E20" s="24"/>
      <c r="F20" s="25"/>
      <c r="G20" s="30"/>
      <c r="H20" s="26"/>
      <c r="I20" s="26"/>
      <c r="J20" s="26"/>
      <c r="K20" s="26"/>
      <c r="L20" s="26"/>
    </row>
    <row r="21" spans="1:12" ht="20" customHeight="1" x14ac:dyDescent="0.35">
      <c r="A21" s="23"/>
      <c r="B21" s="24"/>
      <c r="C21" s="24"/>
      <c r="D21" s="24"/>
      <c r="E21" s="24"/>
      <c r="F21" s="25"/>
      <c r="G21" s="30"/>
      <c r="H21" s="26"/>
      <c r="I21" s="26"/>
      <c r="J21" s="26"/>
      <c r="K21" s="26"/>
      <c r="L21" s="26"/>
    </row>
    <row r="22" spans="1:12" ht="20" customHeight="1" x14ac:dyDescent="0.35">
      <c r="A22" s="23"/>
      <c r="B22" s="24"/>
      <c r="C22" s="24"/>
      <c r="D22" s="24"/>
      <c r="E22" s="24"/>
      <c r="F22" s="25"/>
      <c r="G22" s="30"/>
      <c r="H22" s="26"/>
      <c r="I22" s="26"/>
      <c r="J22" s="26"/>
      <c r="K22" s="26"/>
      <c r="L22" s="26"/>
    </row>
    <row r="23" spans="1:12" ht="20" customHeight="1" x14ac:dyDescent="0.35">
      <c r="A23" s="23"/>
      <c r="B23" s="24"/>
      <c r="C23" s="24"/>
      <c r="D23" s="24"/>
      <c r="E23" s="24"/>
      <c r="F23" s="25"/>
      <c r="G23" s="30"/>
      <c r="H23" s="26"/>
      <c r="I23" s="26"/>
      <c r="J23" s="26"/>
      <c r="K23" s="26"/>
      <c r="L23" s="26"/>
    </row>
    <row r="24" spans="1:12" ht="20" customHeight="1" x14ac:dyDescent="0.35">
      <c r="A24" s="23"/>
      <c r="B24" s="24"/>
      <c r="C24" s="24"/>
      <c r="D24" s="24"/>
      <c r="E24" s="24"/>
      <c r="F24" s="25"/>
      <c r="G24" s="30"/>
      <c r="H24" s="26"/>
      <c r="I24" s="26"/>
      <c r="J24" s="26"/>
      <c r="K24" s="26"/>
      <c r="L24" s="26"/>
    </row>
    <row r="25" spans="1:12" ht="20" customHeight="1" x14ac:dyDescent="0.35">
      <c r="A25" s="23"/>
      <c r="B25" s="24"/>
      <c r="C25" s="24"/>
      <c r="D25" s="24"/>
      <c r="E25" s="24"/>
      <c r="F25" s="25"/>
      <c r="G25" s="30"/>
      <c r="H25" s="26"/>
      <c r="I25" s="26"/>
      <c r="J25" s="26"/>
      <c r="K25" s="26"/>
      <c r="L25" s="26"/>
    </row>
    <row r="26" spans="1:12" ht="20" customHeight="1" x14ac:dyDescent="0.35">
      <c r="A26" s="23"/>
      <c r="B26" s="24"/>
      <c r="C26" s="24"/>
      <c r="D26" s="24"/>
      <c r="E26" s="24"/>
      <c r="F26" s="25"/>
      <c r="G26" s="30"/>
      <c r="H26" s="26"/>
      <c r="I26" s="26"/>
      <c r="J26" s="26"/>
      <c r="K26" s="26"/>
      <c r="L26" s="26"/>
    </row>
  </sheetData>
  <mergeCells count="3">
    <mergeCell ref="A2:I2"/>
    <mergeCell ref="A4:I4"/>
    <mergeCell ref="A1:P1"/>
  </mergeCells>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0A19E-423A-4F6D-85BE-71642CC880C5}">
  <dimension ref="A1:P120"/>
  <sheetViews>
    <sheetView tabSelected="1" topLeftCell="A37" zoomScale="90" zoomScaleNormal="90" workbookViewId="0">
      <selection activeCell="A47" sqref="A47:A76"/>
    </sheetView>
  </sheetViews>
  <sheetFormatPr defaultRowHeight="14.5" x14ac:dyDescent="0.35"/>
  <cols>
    <col min="1" max="1" width="12.7265625" customWidth="1"/>
    <col min="2" max="2" width="11.81640625" customWidth="1"/>
    <col min="3" max="3" width="14.54296875" customWidth="1"/>
    <col min="4" max="4" width="14.7265625" customWidth="1"/>
    <col min="5" max="5" width="20.90625" customWidth="1"/>
    <col min="6" max="6" width="36.36328125" customWidth="1"/>
    <col min="7" max="7" width="16.36328125" customWidth="1"/>
    <col min="8" max="8" width="13.90625" customWidth="1"/>
    <col min="9" max="9" width="9.26953125" customWidth="1"/>
    <col min="10" max="10" width="7.1796875" style="54" customWidth="1"/>
    <col min="11" max="11" width="8.453125" style="54" customWidth="1"/>
    <col min="12" max="12" width="6.36328125" style="54" customWidth="1"/>
    <col min="13" max="13" width="7.1796875" style="54" customWidth="1"/>
    <col min="14" max="14" width="22.1796875" bestFit="1" customWidth="1"/>
    <col min="15" max="15" width="26.36328125" bestFit="1" customWidth="1"/>
    <col min="16" max="16" width="34.54296875" customWidth="1"/>
  </cols>
  <sheetData>
    <row r="1" spans="1:16" ht="17.5" customHeight="1" x14ac:dyDescent="0.55000000000000004">
      <c r="A1" s="6" t="s">
        <v>84</v>
      </c>
      <c r="B1" s="6"/>
      <c r="C1" s="6"/>
      <c r="D1" s="6"/>
      <c r="E1" s="6"/>
      <c r="F1" s="6"/>
      <c r="G1" s="6"/>
      <c r="H1" s="6"/>
      <c r="I1" s="6"/>
      <c r="J1" s="6"/>
    </row>
    <row r="2" spans="1:16" x14ac:dyDescent="0.35">
      <c r="A2" s="7" t="s">
        <v>85</v>
      </c>
      <c r="B2" s="7"/>
      <c r="C2" s="7"/>
      <c r="D2" s="7"/>
      <c r="E2" s="7"/>
      <c r="F2" s="7"/>
      <c r="G2" s="7"/>
      <c r="H2" s="7"/>
      <c r="I2" s="7"/>
      <c r="J2" s="7"/>
      <c r="N2" s="50" t="s">
        <v>80</v>
      </c>
      <c r="O2" s="51" t="s">
        <v>81</v>
      </c>
      <c r="P2" s="51" t="s">
        <v>82</v>
      </c>
    </row>
    <row r="3" spans="1:16" ht="29" x14ac:dyDescent="0.35">
      <c r="N3" s="52" t="s">
        <v>89</v>
      </c>
      <c r="O3" s="53" t="s">
        <v>137</v>
      </c>
      <c r="P3" s="53" t="s">
        <v>138</v>
      </c>
    </row>
    <row r="4" spans="1:16" ht="29" x14ac:dyDescent="0.4">
      <c r="A4" s="8" t="s">
        <v>86</v>
      </c>
      <c r="B4" s="8"/>
      <c r="C4" s="8"/>
      <c r="D4" s="8"/>
      <c r="E4" s="8"/>
      <c r="F4" s="8"/>
      <c r="G4" s="8"/>
      <c r="H4" s="8"/>
      <c r="I4" s="8"/>
      <c r="J4" s="8"/>
      <c r="N4" s="52" t="s">
        <v>90</v>
      </c>
      <c r="O4" s="53" t="s">
        <v>139</v>
      </c>
      <c r="P4" s="53" t="s">
        <v>140</v>
      </c>
    </row>
    <row r="5" spans="1:16" ht="29" x14ac:dyDescent="0.35">
      <c r="N5" s="52" t="s">
        <v>91</v>
      </c>
      <c r="O5" s="53" t="s">
        <v>141</v>
      </c>
      <c r="P5" s="53" t="s">
        <v>142</v>
      </c>
    </row>
    <row r="6" spans="1:16" x14ac:dyDescent="0.35">
      <c r="A6" s="34" t="s">
        <v>27</v>
      </c>
      <c r="B6" s="34" t="s">
        <v>33</v>
      </c>
      <c r="C6" s="34"/>
      <c r="D6" s="34" t="s">
        <v>87</v>
      </c>
      <c r="E6" s="35">
        <f>COUNTA(tblProjectTasks[WBSCode])</f>
        <v>35</v>
      </c>
      <c r="F6" s="35" t="s">
        <v>88</v>
      </c>
      <c r="G6" s="35"/>
      <c r="H6" s="35">
        <f>COUNTIF(tblProjectTasks[IsWorkPackage],"Yes")</f>
        <v>26</v>
      </c>
      <c r="I6" s="35">
        <f>COUNTIF(tblProjectTasks[WBSLevel],1)</f>
        <v>6</v>
      </c>
      <c r="N6" s="52" t="s">
        <v>75</v>
      </c>
      <c r="O6" s="53" t="s">
        <v>143</v>
      </c>
      <c r="P6" s="53" t="s">
        <v>144</v>
      </c>
    </row>
    <row r="7" spans="1:16" x14ac:dyDescent="0.35">
      <c r="N7" s="52" t="s">
        <v>76</v>
      </c>
      <c r="O7" s="53" t="s">
        <v>145</v>
      </c>
      <c r="P7" s="53" t="s">
        <v>146</v>
      </c>
    </row>
    <row r="8" spans="1:16" ht="43.5" x14ac:dyDescent="0.35">
      <c r="A8" s="36" t="s">
        <v>27</v>
      </c>
      <c r="B8" s="37" t="s">
        <v>89</v>
      </c>
      <c r="C8" s="37" t="s">
        <v>90</v>
      </c>
      <c r="D8" s="37" t="s">
        <v>91</v>
      </c>
      <c r="E8" s="37" t="s">
        <v>75</v>
      </c>
      <c r="F8" s="37" t="s">
        <v>76</v>
      </c>
      <c r="G8" s="37" t="s">
        <v>92</v>
      </c>
      <c r="H8" s="37" t="s">
        <v>77</v>
      </c>
      <c r="I8" s="38" t="s">
        <v>196</v>
      </c>
      <c r="J8" s="38" t="s">
        <v>200</v>
      </c>
      <c r="K8" s="38" t="s">
        <v>201</v>
      </c>
      <c r="L8" s="167"/>
      <c r="M8" s="167"/>
      <c r="N8" s="52" t="s">
        <v>92</v>
      </c>
      <c r="O8" s="53" t="s">
        <v>147</v>
      </c>
      <c r="P8" s="53" t="s">
        <v>148</v>
      </c>
    </row>
    <row r="9" spans="1:16" ht="17" customHeight="1" x14ac:dyDescent="0.35">
      <c r="A9" s="40" t="s">
        <v>33</v>
      </c>
      <c r="B9" s="41">
        <v>1</v>
      </c>
      <c r="C9" s="41"/>
      <c r="D9" s="41">
        <v>1</v>
      </c>
      <c r="E9" s="41" t="s">
        <v>78</v>
      </c>
      <c r="F9" s="42" t="s">
        <v>78</v>
      </c>
      <c r="G9" s="41" t="s">
        <v>93</v>
      </c>
      <c r="H9" s="41" t="s">
        <v>43</v>
      </c>
      <c r="I9" s="43">
        <f>SUM(I10:I11)</f>
        <v>16</v>
      </c>
      <c r="J9" s="43"/>
      <c r="K9" s="43"/>
      <c r="L9" s="168"/>
      <c r="M9" s="168"/>
      <c r="N9" s="52" t="s">
        <v>77</v>
      </c>
      <c r="O9" s="53" t="s">
        <v>83</v>
      </c>
      <c r="P9" s="53" t="s">
        <v>149</v>
      </c>
    </row>
    <row r="10" spans="1:16" x14ac:dyDescent="0.35">
      <c r="A10" s="20" t="s">
        <v>33</v>
      </c>
      <c r="B10" s="21">
        <v>1.1000000000000001</v>
      </c>
      <c r="C10" s="21">
        <v>1</v>
      </c>
      <c r="D10" s="21">
        <v>2</v>
      </c>
      <c r="E10" s="21" t="s">
        <v>78</v>
      </c>
      <c r="F10" s="44" t="s">
        <v>94</v>
      </c>
      <c r="G10" s="21" t="s">
        <v>79</v>
      </c>
      <c r="H10" s="21" t="s">
        <v>36</v>
      </c>
      <c r="I10" s="22">
        <v>6</v>
      </c>
      <c r="J10" s="22">
        <v>1</v>
      </c>
      <c r="K10" s="22">
        <f>tblProjectTasks[[#This Row],[Elapsed Time in Weeks]]+tblProjectTasks[[#This Row],[Start-Week]]</f>
        <v>7</v>
      </c>
      <c r="L10" s="168"/>
      <c r="M10" s="168"/>
    </row>
    <row r="11" spans="1:16" x14ac:dyDescent="0.35">
      <c r="A11" s="20" t="s">
        <v>33</v>
      </c>
      <c r="B11" s="21">
        <v>1.2</v>
      </c>
      <c r="C11" s="21">
        <v>1</v>
      </c>
      <c r="D11" s="21">
        <v>2</v>
      </c>
      <c r="E11" s="21" t="s">
        <v>78</v>
      </c>
      <c r="F11" s="44" t="s">
        <v>95</v>
      </c>
      <c r="G11" s="21" t="s">
        <v>79</v>
      </c>
      <c r="H11" s="21" t="s">
        <v>36</v>
      </c>
      <c r="I11" s="22">
        <v>10</v>
      </c>
      <c r="J11" s="22">
        <v>7</v>
      </c>
      <c r="K11" s="22">
        <f>tblProjectTasks[[#This Row],[Elapsed Time in Weeks]]+tblProjectTasks[[#This Row],[Start-Week]]</f>
        <v>17</v>
      </c>
      <c r="L11" s="168"/>
      <c r="M11" s="168"/>
      <c r="N11" s="164" t="s">
        <v>92</v>
      </c>
      <c r="O11" t="s">
        <v>93</v>
      </c>
    </row>
    <row r="12" spans="1:16" x14ac:dyDescent="0.35">
      <c r="A12" s="40" t="s">
        <v>33</v>
      </c>
      <c r="B12" s="41">
        <v>2</v>
      </c>
      <c r="C12" s="41"/>
      <c r="D12" s="41">
        <v>1</v>
      </c>
      <c r="E12" s="41" t="s">
        <v>96</v>
      </c>
      <c r="F12" s="42" t="s">
        <v>96</v>
      </c>
      <c r="G12" s="41" t="s">
        <v>93</v>
      </c>
      <c r="H12" s="41" t="s">
        <v>43</v>
      </c>
      <c r="I12" s="43">
        <f>SUM(I13:I17)</f>
        <v>3</v>
      </c>
      <c r="J12" s="43"/>
      <c r="K12" s="43">
        <f>tblProjectTasks[[#This Row],[Elapsed Time in Weeks]]+tblProjectTasks[[#This Row],[Start-Week]]</f>
        <v>3</v>
      </c>
      <c r="L12" s="168"/>
      <c r="M12" s="168"/>
    </row>
    <row r="13" spans="1:16" x14ac:dyDescent="0.35">
      <c r="A13" s="20" t="s">
        <v>33</v>
      </c>
      <c r="B13" s="21">
        <v>2.1</v>
      </c>
      <c r="C13" s="21">
        <v>2</v>
      </c>
      <c r="D13" s="21">
        <v>2</v>
      </c>
      <c r="E13" s="21" t="s">
        <v>96</v>
      </c>
      <c r="F13" s="44" t="s">
        <v>97</v>
      </c>
      <c r="G13" s="21" t="s">
        <v>79</v>
      </c>
      <c r="H13" s="21" t="s">
        <v>36</v>
      </c>
      <c r="I13" s="22">
        <v>1</v>
      </c>
      <c r="J13" s="22"/>
      <c r="K13" s="22">
        <f>tblProjectTasks[[#This Row],[Elapsed Time in Weeks]]+tblProjectTasks[[#This Row],[Start-Week]]</f>
        <v>1</v>
      </c>
      <c r="L13" s="168"/>
      <c r="M13" s="168"/>
      <c r="N13" s="164" t="s">
        <v>197</v>
      </c>
      <c r="O13" t="s">
        <v>199</v>
      </c>
    </row>
    <row r="14" spans="1:16" x14ac:dyDescent="0.35">
      <c r="A14" s="20" t="s">
        <v>33</v>
      </c>
      <c r="B14" s="21">
        <v>2.2000000000000002</v>
      </c>
      <c r="C14" s="21">
        <v>2</v>
      </c>
      <c r="D14" s="21">
        <v>2</v>
      </c>
      <c r="E14" s="21" t="s">
        <v>96</v>
      </c>
      <c r="F14" s="44" t="s">
        <v>98</v>
      </c>
      <c r="G14" s="21" t="s">
        <v>79</v>
      </c>
      <c r="H14" s="21" t="s">
        <v>36</v>
      </c>
      <c r="I14" s="22">
        <v>2</v>
      </c>
      <c r="J14" s="22"/>
      <c r="K14" s="22">
        <f>tblProjectTasks[[#This Row],[Elapsed Time in Weeks]]+tblProjectTasks[[#This Row],[Start-Week]]</f>
        <v>2</v>
      </c>
      <c r="L14" s="168"/>
      <c r="M14" s="168"/>
      <c r="N14" s="9" t="s">
        <v>125</v>
      </c>
      <c r="O14" s="166">
        <v>10</v>
      </c>
    </row>
    <row r="15" spans="1:16" x14ac:dyDescent="0.35">
      <c r="A15" s="20" t="s">
        <v>33</v>
      </c>
      <c r="B15" s="21">
        <v>2.2999999999999998</v>
      </c>
      <c r="C15" s="21">
        <v>2</v>
      </c>
      <c r="D15" s="21">
        <v>2</v>
      </c>
      <c r="E15" s="21" t="s">
        <v>96</v>
      </c>
      <c r="F15" s="44" t="s">
        <v>99</v>
      </c>
      <c r="G15" s="21" t="s">
        <v>79</v>
      </c>
      <c r="H15" s="21" t="s">
        <v>36</v>
      </c>
      <c r="I15" s="22"/>
      <c r="J15" s="22"/>
      <c r="K15" s="22">
        <f>tblProjectTasks[[#This Row],[Elapsed Time in Weeks]]+tblProjectTasks[[#This Row],[Start-Week]]</f>
        <v>0</v>
      </c>
      <c r="L15" s="168"/>
      <c r="M15" s="168"/>
      <c r="N15" s="165" t="s">
        <v>125</v>
      </c>
      <c r="O15" s="166">
        <v>10</v>
      </c>
    </row>
    <row r="16" spans="1:16" x14ac:dyDescent="0.35">
      <c r="A16" s="20" t="s">
        <v>33</v>
      </c>
      <c r="B16" s="21">
        <v>2.4</v>
      </c>
      <c r="C16" s="21">
        <v>2</v>
      </c>
      <c r="D16" s="21">
        <v>2</v>
      </c>
      <c r="E16" s="21" t="s">
        <v>96</v>
      </c>
      <c r="F16" s="44" t="s">
        <v>100</v>
      </c>
      <c r="G16" s="21" t="s">
        <v>79</v>
      </c>
      <c r="H16" s="21" t="s">
        <v>36</v>
      </c>
      <c r="I16" s="22"/>
      <c r="J16" s="22"/>
      <c r="K16" s="22">
        <f>tblProjectTasks[[#This Row],[Elapsed Time in Weeks]]+tblProjectTasks[[#This Row],[Start-Week]]</f>
        <v>0</v>
      </c>
      <c r="L16" s="168"/>
      <c r="M16" s="168"/>
      <c r="N16" s="165" t="s">
        <v>128</v>
      </c>
      <c r="O16" s="166"/>
    </row>
    <row r="17" spans="1:15" x14ac:dyDescent="0.35">
      <c r="A17" s="20" t="s">
        <v>33</v>
      </c>
      <c r="B17" s="21">
        <v>2.5</v>
      </c>
      <c r="C17" s="21">
        <v>2</v>
      </c>
      <c r="D17" s="21">
        <v>2</v>
      </c>
      <c r="E17" s="21" t="s">
        <v>96</v>
      </c>
      <c r="F17" s="44" t="s">
        <v>101</v>
      </c>
      <c r="G17" s="21" t="s">
        <v>79</v>
      </c>
      <c r="H17" s="21" t="s">
        <v>36</v>
      </c>
      <c r="I17" s="22"/>
      <c r="J17" s="22"/>
      <c r="K17" s="22">
        <f>tblProjectTasks[[#This Row],[Elapsed Time in Weeks]]+tblProjectTasks[[#This Row],[Start-Week]]</f>
        <v>0</v>
      </c>
      <c r="L17" s="168"/>
      <c r="M17" s="168"/>
      <c r="N17" s="9" t="s">
        <v>102</v>
      </c>
      <c r="O17" s="166">
        <v>17</v>
      </c>
    </row>
    <row r="18" spans="1:15" x14ac:dyDescent="0.35">
      <c r="A18" s="40" t="s">
        <v>33</v>
      </c>
      <c r="B18" s="41">
        <v>3</v>
      </c>
      <c r="C18" s="41"/>
      <c r="D18" s="41">
        <v>1</v>
      </c>
      <c r="E18" s="41" t="s">
        <v>102</v>
      </c>
      <c r="F18" s="42" t="s">
        <v>102</v>
      </c>
      <c r="G18" s="41" t="s">
        <v>93</v>
      </c>
      <c r="H18" s="41" t="s">
        <v>43</v>
      </c>
      <c r="I18" s="43">
        <f>SUM(I19:I28)</f>
        <v>17</v>
      </c>
      <c r="J18" s="43"/>
      <c r="K18" s="43"/>
      <c r="L18" s="168"/>
      <c r="M18" s="168"/>
      <c r="N18" s="165" t="s">
        <v>102</v>
      </c>
      <c r="O18" s="166">
        <v>17</v>
      </c>
    </row>
    <row r="19" spans="1:15" x14ac:dyDescent="0.35">
      <c r="A19" s="20" t="s">
        <v>33</v>
      </c>
      <c r="B19" s="21">
        <v>3.1</v>
      </c>
      <c r="C19" s="21">
        <v>3</v>
      </c>
      <c r="D19" s="21">
        <v>2</v>
      </c>
      <c r="E19" s="21" t="s">
        <v>102</v>
      </c>
      <c r="F19" s="44" t="s">
        <v>103</v>
      </c>
      <c r="G19" s="21" t="s">
        <v>79</v>
      </c>
      <c r="H19" s="21" t="s">
        <v>36</v>
      </c>
      <c r="I19" s="22">
        <v>1</v>
      </c>
      <c r="J19" s="22"/>
      <c r="K19" s="22">
        <f>tblProjectTasks[[#This Row],[Elapsed Time in Weeks]]+tblProjectTasks[[#This Row],[Start-Week]]</f>
        <v>1</v>
      </c>
      <c r="L19" s="168"/>
      <c r="M19" s="168"/>
      <c r="N19" s="165" t="s">
        <v>117</v>
      </c>
      <c r="O19" s="166"/>
    </row>
    <row r="20" spans="1:15" x14ac:dyDescent="0.35">
      <c r="A20" s="20" t="s">
        <v>33</v>
      </c>
      <c r="B20" s="21">
        <v>3.2</v>
      </c>
      <c r="C20" s="21">
        <v>3</v>
      </c>
      <c r="D20" s="21">
        <v>2</v>
      </c>
      <c r="E20" s="21" t="s">
        <v>102</v>
      </c>
      <c r="F20" s="44" t="s">
        <v>104</v>
      </c>
      <c r="G20" s="21" t="s">
        <v>93</v>
      </c>
      <c r="H20" s="21" t="s">
        <v>43</v>
      </c>
      <c r="I20" s="22"/>
      <c r="J20" s="22"/>
      <c r="K20" s="22">
        <f>tblProjectTasks[[#This Row],[Elapsed Time in Weeks]]+tblProjectTasks[[#This Row],[Start-Week]]</f>
        <v>0</v>
      </c>
      <c r="L20" s="168"/>
      <c r="M20" s="168"/>
      <c r="N20" s="165" t="s">
        <v>104</v>
      </c>
      <c r="O20" s="166"/>
    </row>
    <row r="21" spans="1:15" x14ac:dyDescent="0.35">
      <c r="A21" s="45" t="s">
        <v>33</v>
      </c>
      <c r="B21" s="46" t="s">
        <v>105</v>
      </c>
      <c r="C21" s="46">
        <v>3.2</v>
      </c>
      <c r="D21" s="46">
        <v>3</v>
      </c>
      <c r="E21" s="46" t="s">
        <v>104</v>
      </c>
      <c r="F21" s="47" t="s">
        <v>106</v>
      </c>
      <c r="G21" s="46" t="s">
        <v>79</v>
      </c>
      <c r="H21" s="46" t="s">
        <v>36</v>
      </c>
      <c r="I21" s="48">
        <v>3</v>
      </c>
      <c r="J21" s="48"/>
      <c r="K21" s="48">
        <f>tblProjectTasks[[#This Row],[Elapsed Time in Weeks]]+tblProjectTasks[[#This Row],[Start-Week]]</f>
        <v>3</v>
      </c>
      <c r="L21" s="168"/>
      <c r="M21" s="168"/>
      <c r="N21" s="9" t="s">
        <v>120</v>
      </c>
      <c r="O21" s="166">
        <v>6</v>
      </c>
    </row>
    <row r="22" spans="1:15" x14ac:dyDescent="0.35">
      <c r="A22" s="45" t="s">
        <v>33</v>
      </c>
      <c r="B22" s="46" t="s">
        <v>107</v>
      </c>
      <c r="C22" s="46">
        <v>3.2</v>
      </c>
      <c r="D22" s="46">
        <v>3</v>
      </c>
      <c r="E22" s="46" t="s">
        <v>104</v>
      </c>
      <c r="F22" s="47" t="s">
        <v>108</v>
      </c>
      <c r="G22" s="46" t="s">
        <v>79</v>
      </c>
      <c r="H22" s="46" t="s">
        <v>36</v>
      </c>
      <c r="I22" s="48">
        <v>1</v>
      </c>
      <c r="J22" s="48"/>
      <c r="K22" s="48">
        <f>tblProjectTasks[[#This Row],[Elapsed Time in Weeks]]+tblProjectTasks[[#This Row],[Start-Week]]</f>
        <v>1</v>
      </c>
      <c r="L22" s="168"/>
      <c r="M22" s="168"/>
      <c r="N22" s="165" t="s">
        <v>120</v>
      </c>
      <c r="O22" s="166">
        <v>6</v>
      </c>
    </row>
    <row r="23" spans="1:15" x14ac:dyDescent="0.35">
      <c r="A23" s="45" t="s">
        <v>33</v>
      </c>
      <c r="B23" s="46" t="s">
        <v>109</v>
      </c>
      <c r="C23" s="46">
        <v>3.2</v>
      </c>
      <c r="D23" s="46">
        <v>3</v>
      </c>
      <c r="E23" s="46" t="s">
        <v>104</v>
      </c>
      <c r="F23" s="47" t="s">
        <v>110</v>
      </c>
      <c r="G23" s="46" t="s">
        <v>79</v>
      </c>
      <c r="H23" s="46" t="s">
        <v>36</v>
      </c>
      <c r="I23" s="48">
        <v>3</v>
      </c>
      <c r="J23" s="48"/>
      <c r="K23" s="48">
        <f>tblProjectTasks[[#This Row],[Elapsed Time in Weeks]]+tblProjectTasks[[#This Row],[Start-Week]]</f>
        <v>3</v>
      </c>
      <c r="L23" s="168"/>
      <c r="M23" s="168"/>
      <c r="N23" s="9" t="s">
        <v>133</v>
      </c>
      <c r="O23" s="166">
        <v>3</v>
      </c>
    </row>
    <row r="24" spans="1:15" x14ac:dyDescent="0.35">
      <c r="A24" s="45" t="s">
        <v>33</v>
      </c>
      <c r="B24" s="46" t="s">
        <v>111</v>
      </c>
      <c r="C24" s="46">
        <v>3.2</v>
      </c>
      <c r="D24" s="46">
        <v>3</v>
      </c>
      <c r="E24" s="46" t="s">
        <v>104</v>
      </c>
      <c r="F24" s="47" t="s">
        <v>112</v>
      </c>
      <c r="G24" s="46" t="s">
        <v>79</v>
      </c>
      <c r="H24" s="46" t="s">
        <v>36</v>
      </c>
      <c r="I24" s="48">
        <v>1</v>
      </c>
      <c r="J24" s="48"/>
      <c r="K24" s="48">
        <f>tblProjectTasks[[#This Row],[Elapsed Time in Weeks]]+tblProjectTasks[[#This Row],[Start-Week]]</f>
        <v>1</v>
      </c>
      <c r="L24" s="168"/>
      <c r="M24" s="168"/>
      <c r="N24" s="165" t="s">
        <v>133</v>
      </c>
      <c r="O24" s="166">
        <v>3</v>
      </c>
    </row>
    <row r="25" spans="1:15" x14ac:dyDescent="0.35">
      <c r="A25" s="45" t="s">
        <v>33</v>
      </c>
      <c r="B25" s="46" t="s">
        <v>113</v>
      </c>
      <c r="C25" s="46">
        <v>3.2</v>
      </c>
      <c r="D25" s="46">
        <v>3</v>
      </c>
      <c r="E25" s="46" t="s">
        <v>104</v>
      </c>
      <c r="F25" s="47" t="s">
        <v>114</v>
      </c>
      <c r="G25" s="46" t="s">
        <v>79</v>
      </c>
      <c r="H25" s="46" t="s">
        <v>36</v>
      </c>
      <c r="I25" s="48"/>
      <c r="J25" s="48"/>
      <c r="K25" s="48">
        <f>tblProjectTasks[[#This Row],[Elapsed Time in Weeks]]+tblProjectTasks[[#This Row],[Start-Week]]</f>
        <v>0</v>
      </c>
      <c r="L25" s="168"/>
      <c r="M25" s="168"/>
      <c r="N25" s="9" t="s">
        <v>78</v>
      </c>
      <c r="O25" s="166">
        <v>16</v>
      </c>
    </row>
    <row r="26" spans="1:15" x14ac:dyDescent="0.35">
      <c r="A26" s="45" t="s">
        <v>33</v>
      </c>
      <c r="B26" s="46" t="s">
        <v>115</v>
      </c>
      <c r="C26" s="46">
        <v>3.2</v>
      </c>
      <c r="D26" s="46">
        <v>3</v>
      </c>
      <c r="E26" s="46" t="s">
        <v>104</v>
      </c>
      <c r="F26" s="47" t="s">
        <v>116</v>
      </c>
      <c r="G26" s="46" t="s">
        <v>79</v>
      </c>
      <c r="H26" s="46" t="s">
        <v>36</v>
      </c>
      <c r="I26" s="48">
        <v>6</v>
      </c>
      <c r="J26" s="48"/>
      <c r="K26" s="48">
        <f>tblProjectTasks[[#This Row],[Elapsed Time in Weeks]]+tblProjectTasks[[#This Row],[Start-Week]]</f>
        <v>6</v>
      </c>
      <c r="L26" s="168"/>
      <c r="M26" s="168"/>
      <c r="N26" s="165" t="s">
        <v>78</v>
      </c>
      <c r="O26" s="166">
        <v>16</v>
      </c>
    </row>
    <row r="27" spans="1:15" x14ac:dyDescent="0.35">
      <c r="A27" s="20" t="s">
        <v>33</v>
      </c>
      <c r="B27" s="21">
        <v>3.3</v>
      </c>
      <c r="C27" s="21">
        <v>3</v>
      </c>
      <c r="D27" s="21">
        <v>2</v>
      </c>
      <c r="E27" s="21" t="s">
        <v>102</v>
      </c>
      <c r="F27" s="44" t="s">
        <v>117</v>
      </c>
      <c r="G27" s="21" t="s">
        <v>93</v>
      </c>
      <c r="H27" s="21" t="s">
        <v>43</v>
      </c>
      <c r="I27" s="22"/>
      <c r="J27" s="22"/>
      <c r="K27" s="22">
        <f>tblProjectTasks[[#This Row],[Elapsed Time in Weeks]]+tblProjectTasks[[#This Row],[Start-Week]]</f>
        <v>0</v>
      </c>
      <c r="L27" s="168"/>
      <c r="M27" s="168"/>
      <c r="N27" s="9" t="s">
        <v>96</v>
      </c>
      <c r="O27" s="166">
        <v>3</v>
      </c>
    </row>
    <row r="28" spans="1:15" x14ac:dyDescent="0.35">
      <c r="A28" s="45" t="s">
        <v>33</v>
      </c>
      <c r="B28" s="46" t="s">
        <v>118</v>
      </c>
      <c r="C28" s="46">
        <v>3.3</v>
      </c>
      <c r="D28" s="46">
        <v>3</v>
      </c>
      <c r="E28" s="46" t="s">
        <v>117</v>
      </c>
      <c r="F28" s="47" t="s">
        <v>119</v>
      </c>
      <c r="G28" s="46" t="s">
        <v>79</v>
      </c>
      <c r="H28" s="46" t="s">
        <v>36</v>
      </c>
      <c r="I28" s="48">
        <v>2</v>
      </c>
      <c r="J28" s="48"/>
      <c r="K28" s="48">
        <f>tblProjectTasks[[#This Row],[Elapsed Time in Weeks]]+tblProjectTasks[[#This Row],[Start-Week]]</f>
        <v>2</v>
      </c>
      <c r="L28" s="168"/>
      <c r="M28" s="168"/>
      <c r="N28" s="165" t="s">
        <v>96</v>
      </c>
      <c r="O28" s="166">
        <v>3</v>
      </c>
    </row>
    <row r="29" spans="1:15" x14ac:dyDescent="0.35">
      <c r="A29" s="40" t="s">
        <v>33</v>
      </c>
      <c r="B29" s="41">
        <v>4</v>
      </c>
      <c r="C29" s="41"/>
      <c r="D29" s="41">
        <v>1</v>
      </c>
      <c r="E29" s="41" t="s">
        <v>120</v>
      </c>
      <c r="F29" s="42" t="s">
        <v>120</v>
      </c>
      <c r="G29" s="41" t="s">
        <v>93</v>
      </c>
      <c r="H29" s="41" t="s">
        <v>43</v>
      </c>
      <c r="I29" s="43">
        <f>SUM(I30:I33)</f>
        <v>6</v>
      </c>
      <c r="J29" s="43"/>
      <c r="K29" s="43"/>
      <c r="L29" s="168"/>
      <c r="M29" s="168"/>
      <c r="N29" s="9" t="s">
        <v>198</v>
      </c>
      <c r="O29" s="166">
        <v>55</v>
      </c>
    </row>
    <row r="30" spans="1:15" x14ac:dyDescent="0.35">
      <c r="A30" s="20" t="s">
        <v>33</v>
      </c>
      <c r="B30" s="21">
        <v>4.0999999999999996</v>
      </c>
      <c r="C30" s="21">
        <v>4</v>
      </c>
      <c r="D30" s="21">
        <v>2</v>
      </c>
      <c r="E30" s="21" t="s">
        <v>120</v>
      </c>
      <c r="F30" s="44" t="s">
        <v>121</v>
      </c>
      <c r="G30" s="21" t="s">
        <v>79</v>
      </c>
      <c r="H30" s="21" t="s">
        <v>36</v>
      </c>
      <c r="I30" s="22">
        <v>2</v>
      </c>
      <c r="J30" s="22"/>
      <c r="K30" s="22">
        <f>tblProjectTasks[[#This Row],[Elapsed Time in Weeks]]+tblProjectTasks[[#This Row],[Start-Week]]</f>
        <v>2</v>
      </c>
      <c r="L30" s="168"/>
      <c r="M30" s="168"/>
    </row>
    <row r="31" spans="1:15" x14ac:dyDescent="0.35">
      <c r="A31" s="20" t="s">
        <v>33</v>
      </c>
      <c r="B31" s="21">
        <v>4.2</v>
      </c>
      <c r="C31" s="21">
        <v>4</v>
      </c>
      <c r="D31" s="21">
        <v>2</v>
      </c>
      <c r="E31" s="21" t="s">
        <v>120</v>
      </c>
      <c r="F31" s="44" t="s">
        <v>122</v>
      </c>
      <c r="G31" s="21" t="s">
        <v>79</v>
      </c>
      <c r="H31" s="21" t="s">
        <v>36</v>
      </c>
      <c r="I31" s="22">
        <v>1</v>
      </c>
      <c r="J31" s="22"/>
      <c r="K31" s="22">
        <f>tblProjectTasks[[#This Row],[Elapsed Time in Weeks]]+tblProjectTasks[[#This Row],[Start-Week]]</f>
        <v>1</v>
      </c>
      <c r="L31" s="168"/>
      <c r="M31" s="168"/>
    </row>
    <row r="32" spans="1:15" x14ac:dyDescent="0.35">
      <c r="A32" s="20" t="s">
        <v>33</v>
      </c>
      <c r="B32" s="21">
        <v>4.3</v>
      </c>
      <c r="C32" s="21">
        <v>4</v>
      </c>
      <c r="D32" s="21">
        <v>2</v>
      </c>
      <c r="E32" s="21" t="s">
        <v>120</v>
      </c>
      <c r="F32" s="44" t="s">
        <v>123</v>
      </c>
      <c r="G32" s="21" t="s">
        <v>79</v>
      </c>
      <c r="H32" s="21" t="s">
        <v>36</v>
      </c>
      <c r="I32" s="22">
        <v>2</v>
      </c>
      <c r="J32" s="22"/>
      <c r="K32" s="22">
        <f>tblProjectTasks[[#This Row],[Elapsed Time in Weeks]]+tblProjectTasks[[#This Row],[Start-Week]]</f>
        <v>2</v>
      </c>
      <c r="L32" s="168"/>
      <c r="M32" s="168"/>
    </row>
    <row r="33" spans="1:16" x14ac:dyDescent="0.35">
      <c r="A33" s="20" t="s">
        <v>33</v>
      </c>
      <c r="B33" s="21">
        <v>4.4000000000000004</v>
      </c>
      <c r="C33" s="21">
        <v>4</v>
      </c>
      <c r="D33" s="21">
        <v>2</v>
      </c>
      <c r="E33" s="21" t="s">
        <v>120</v>
      </c>
      <c r="F33" s="44" t="s">
        <v>124</v>
      </c>
      <c r="G33" s="21" t="s">
        <v>79</v>
      </c>
      <c r="H33" s="21" t="s">
        <v>36</v>
      </c>
      <c r="I33" s="22">
        <v>1</v>
      </c>
      <c r="J33" s="22"/>
      <c r="K33" s="22">
        <f>tblProjectTasks[[#This Row],[Elapsed Time in Weeks]]+tblProjectTasks[[#This Row],[Start-Week]]</f>
        <v>1</v>
      </c>
      <c r="L33" s="168"/>
      <c r="M33" s="168"/>
      <c r="P33">
        <v>27</v>
      </c>
    </row>
    <row r="34" spans="1:16" x14ac:dyDescent="0.35">
      <c r="A34" s="40" t="s">
        <v>33</v>
      </c>
      <c r="B34" s="41">
        <v>5</v>
      </c>
      <c r="C34" s="41"/>
      <c r="D34" s="41">
        <v>1</v>
      </c>
      <c r="E34" s="41" t="s">
        <v>125</v>
      </c>
      <c r="F34" s="42" t="s">
        <v>125</v>
      </c>
      <c r="G34" s="41" t="s">
        <v>93</v>
      </c>
      <c r="H34" s="41" t="s">
        <v>43</v>
      </c>
      <c r="I34" s="43">
        <f>SUM(I35:I39)</f>
        <v>10</v>
      </c>
      <c r="J34" s="43"/>
      <c r="K34" s="43"/>
      <c r="L34" s="168"/>
      <c r="M34" s="168"/>
    </row>
    <row r="35" spans="1:16" x14ac:dyDescent="0.35">
      <c r="A35" s="20" t="s">
        <v>33</v>
      </c>
      <c r="B35" s="21">
        <v>5.0999999999999996</v>
      </c>
      <c r="C35" s="21">
        <v>5</v>
      </c>
      <c r="D35" s="21">
        <v>2</v>
      </c>
      <c r="E35" s="21" t="s">
        <v>125</v>
      </c>
      <c r="F35" s="44" t="s">
        <v>126</v>
      </c>
      <c r="G35" s="21" t="s">
        <v>79</v>
      </c>
      <c r="H35" s="21" t="s">
        <v>36</v>
      </c>
      <c r="I35" s="22">
        <v>6</v>
      </c>
      <c r="J35" s="22"/>
      <c r="K35" s="22">
        <f>tblProjectTasks[[#This Row],[Elapsed Time in Weeks]]+tblProjectTasks[[#This Row],[Start-Week]]</f>
        <v>6</v>
      </c>
      <c r="L35" s="168"/>
      <c r="M35" s="168"/>
    </row>
    <row r="36" spans="1:16" x14ac:dyDescent="0.35">
      <c r="A36" s="20" t="s">
        <v>33</v>
      </c>
      <c r="B36" s="21">
        <v>5.2</v>
      </c>
      <c r="C36" s="21">
        <v>5</v>
      </c>
      <c r="D36" s="21">
        <v>2</v>
      </c>
      <c r="E36" s="21" t="s">
        <v>125</v>
      </c>
      <c r="F36" s="44" t="s">
        <v>127</v>
      </c>
      <c r="G36" s="21" t="s">
        <v>79</v>
      </c>
      <c r="H36" s="21" t="s">
        <v>36</v>
      </c>
      <c r="I36" s="22">
        <v>1</v>
      </c>
      <c r="J36" s="22"/>
      <c r="K36" s="22">
        <f>tblProjectTasks[[#This Row],[Elapsed Time in Weeks]]+tblProjectTasks[[#This Row],[Start-Week]]</f>
        <v>1</v>
      </c>
      <c r="L36" s="168"/>
      <c r="M36" s="168"/>
    </row>
    <row r="37" spans="1:16" x14ac:dyDescent="0.35">
      <c r="A37" s="20" t="s">
        <v>33</v>
      </c>
      <c r="B37" s="21">
        <v>5.3</v>
      </c>
      <c r="C37" s="21">
        <v>5</v>
      </c>
      <c r="D37" s="21">
        <v>2</v>
      </c>
      <c r="E37" s="21" t="s">
        <v>125</v>
      </c>
      <c r="F37" s="44" t="s">
        <v>128</v>
      </c>
      <c r="G37" s="21" t="s">
        <v>93</v>
      </c>
      <c r="H37" s="21" t="s">
        <v>43</v>
      </c>
      <c r="I37" s="22"/>
      <c r="J37" s="22"/>
      <c r="K37" s="22">
        <f>tblProjectTasks[[#This Row],[Elapsed Time in Weeks]]+tblProjectTasks[[#This Row],[Start-Week]]</f>
        <v>0</v>
      </c>
      <c r="L37" s="168"/>
      <c r="M37" s="168"/>
    </row>
    <row r="38" spans="1:16" x14ac:dyDescent="0.35">
      <c r="A38" s="45" t="s">
        <v>33</v>
      </c>
      <c r="B38" s="46" t="s">
        <v>129</v>
      </c>
      <c r="C38" s="46">
        <v>5.3</v>
      </c>
      <c r="D38" s="46">
        <v>3</v>
      </c>
      <c r="E38" s="46" t="s">
        <v>128</v>
      </c>
      <c r="F38" s="47" t="s">
        <v>130</v>
      </c>
      <c r="G38" s="46" t="s">
        <v>79</v>
      </c>
      <c r="H38" s="46" t="s">
        <v>36</v>
      </c>
      <c r="I38" s="48">
        <v>1</v>
      </c>
      <c r="J38" s="48"/>
      <c r="K38" s="48">
        <f>tblProjectTasks[[#This Row],[Elapsed Time in Weeks]]+tblProjectTasks[[#This Row],[Start-Week]]</f>
        <v>1</v>
      </c>
      <c r="L38" s="168"/>
      <c r="M38" s="168"/>
    </row>
    <row r="39" spans="1:16" x14ac:dyDescent="0.35">
      <c r="A39" s="45" t="s">
        <v>33</v>
      </c>
      <c r="B39" s="46" t="s">
        <v>131</v>
      </c>
      <c r="C39" s="46">
        <v>5.3</v>
      </c>
      <c r="D39" s="46">
        <v>3</v>
      </c>
      <c r="E39" s="46" t="s">
        <v>128</v>
      </c>
      <c r="F39" s="47" t="s">
        <v>132</v>
      </c>
      <c r="G39" s="46" t="s">
        <v>79</v>
      </c>
      <c r="H39" s="46" t="s">
        <v>36</v>
      </c>
      <c r="I39" s="48">
        <v>2</v>
      </c>
      <c r="J39" s="48"/>
      <c r="K39" s="48">
        <f>tblProjectTasks[[#This Row],[Elapsed Time in Weeks]]+tblProjectTasks[[#This Row],[Start-Week]]</f>
        <v>2</v>
      </c>
      <c r="L39" s="168"/>
      <c r="M39" s="168"/>
    </row>
    <row r="40" spans="1:16" x14ac:dyDescent="0.35">
      <c r="A40" s="40" t="s">
        <v>33</v>
      </c>
      <c r="B40" s="41">
        <v>6</v>
      </c>
      <c r="C40" s="41"/>
      <c r="D40" s="41">
        <v>1</v>
      </c>
      <c r="E40" s="41" t="s">
        <v>133</v>
      </c>
      <c r="F40" s="42" t="s">
        <v>133</v>
      </c>
      <c r="G40" s="41" t="s">
        <v>93</v>
      </c>
      <c r="H40" s="41" t="s">
        <v>43</v>
      </c>
      <c r="I40" s="43">
        <f>SUM(I41:I43)</f>
        <v>3</v>
      </c>
      <c r="J40" s="43"/>
      <c r="K40" s="43"/>
      <c r="L40" s="168"/>
      <c r="M40" s="168"/>
    </row>
    <row r="41" spans="1:16" x14ac:dyDescent="0.35">
      <c r="A41" s="20" t="s">
        <v>33</v>
      </c>
      <c r="B41" s="21">
        <v>6.1</v>
      </c>
      <c r="C41" s="21">
        <v>6</v>
      </c>
      <c r="D41" s="21">
        <v>2</v>
      </c>
      <c r="E41" s="21" t="s">
        <v>133</v>
      </c>
      <c r="F41" s="44" t="s">
        <v>134</v>
      </c>
      <c r="G41" s="21" t="s">
        <v>79</v>
      </c>
      <c r="H41" s="21" t="s">
        <v>36</v>
      </c>
      <c r="I41" s="22">
        <v>1</v>
      </c>
      <c r="J41" s="22"/>
      <c r="K41" s="22">
        <f>tblProjectTasks[[#This Row],[Elapsed Time in Weeks]]+tblProjectTasks[[#This Row],[Start-Week]]</f>
        <v>1</v>
      </c>
      <c r="L41" s="168"/>
      <c r="M41" s="168"/>
    </row>
    <row r="42" spans="1:16" x14ac:dyDescent="0.35">
      <c r="A42" s="20" t="s">
        <v>33</v>
      </c>
      <c r="B42" s="21">
        <v>6.2</v>
      </c>
      <c r="C42" s="21">
        <v>6</v>
      </c>
      <c r="D42" s="21">
        <v>2</v>
      </c>
      <c r="E42" s="21" t="s">
        <v>133</v>
      </c>
      <c r="F42" s="44" t="s">
        <v>135</v>
      </c>
      <c r="G42" s="21" t="s">
        <v>79</v>
      </c>
      <c r="H42" s="21" t="s">
        <v>36</v>
      </c>
      <c r="I42" s="22">
        <v>1</v>
      </c>
      <c r="J42" s="22"/>
      <c r="K42" s="22">
        <f>tblProjectTasks[[#This Row],[Elapsed Time in Weeks]]+tblProjectTasks[[#This Row],[Start-Week]]</f>
        <v>1</v>
      </c>
      <c r="L42" s="168"/>
      <c r="M42" s="168"/>
    </row>
    <row r="43" spans="1:16" x14ac:dyDescent="0.35">
      <c r="A43" s="18" t="s">
        <v>33</v>
      </c>
      <c r="B43" s="19">
        <v>6.3</v>
      </c>
      <c r="C43" s="19">
        <v>6</v>
      </c>
      <c r="D43" s="19">
        <v>2</v>
      </c>
      <c r="E43" s="19" t="s">
        <v>133</v>
      </c>
      <c r="F43" s="49" t="s">
        <v>136</v>
      </c>
      <c r="G43" s="19" t="s">
        <v>79</v>
      </c>
      <c r="H43" s="19" t="s">
        <v>36</v>
      </c>
      <c r="I43" s="22">
        <v>1</v>
      </c>
      <c r="J43" s="22"/>
      <c r="K43" s="22">
        <f>tblProjectTasks[[#This Row],[Elapsed Time in Weeks]]+tblProjectTasks[[#This Row],[Start-Week]]</f>
        <v>1</v>
      </c>
      <c r="L43" s="168"/>
      <c r="M43" s="168"/>
    </row>
    <row r="44" spans="1:16" x14ac:dyDescent="0.35">
      <c r="F44" s="1"/>
    </row>
    <row r="45" spans="1:16" x14ac:dyDescent="0.35">
      <c r="F45" s="1"/>
    </row>
    <row r="46" spans="1:16" x14ac:dyDescent="0.35">
      <c r="F46" s="1"/>
    </row>
    <row r="47" spans="1:16" x14ac:dyDescent="0.35">
      <c r="A47" t="s">
        <v>202</v>
      </c>
      <c r="F47" s="1"/>
    </row>
    <row r="48" spans="1:16" x14ac:dyDescent="0.35">
      <c r="A48" t="s">
        <v>97</v>
      </c>
      <c r="F48" s="1"/>
    </row>
    <row r="49" spans="1:6" x14ac:dyDescent="0.35">
      <c r="A49" t="s">
        <v>203</v>
      </c>
      <c r="F49" s="1"/>
    </row>
    <row r="50" spans="1:6" x14ac:dyDescent="0.35">
      <c r="A50" t="s">
        <v>204</v>
      </c>
      <c r="F50" s="1"/>
    </row>
    <row r="51" spans="1:6" x14ac:dyDescent="0.35">
      <c r="A51" t="s">
        <v>120</v>
      </c>
      <c r="F51" s="1"/>
    </row>
    <row r="52" spans="1:6" x14ac:dyDescent="0.35">
      <c r="A52" t="s">
        <v>205</v>
      </c>
      <c r="F52" s="1"/>
    </row>
    <row r="53" spans="1:6" x14ac:dyDescent="0.35">
      <c r="A53" t="s">
        <v>206</v>
      </c>
      <c r="F53" s="1"/>
    </row>
    <row r="54" spans="1:6" x14ac:dyDescent="0.35">
      <c r="A54" t="s">
        <v>123</v>
      </c>
      <c r="F54" s="1"/>
    </row>
    <row r="55" spans="1:6" x14ac:dyDescent="0.35">
      <c r="A55" t="s">
        <v>124</v>
      </c>
      <c r="F55" s="1"/>
    </row>
    <row r="56" spans="1:6" x14ac:dyDescent="0.35">
      <c r="A56" t="s">
        <v>207</v>
      </c>
      <c r="F56" s="1"/>
    </row>
    <row r="57" spans="1:6" x14ac:dyDescent="0.35">
      <c r="A57" t="s">
        <v>208</v>
      </c>
      <c r="F57" s="1"/>
    </row>
    <row r="58" spans="1:6" x14ac:dyDescent="0.35">
      <c r="A58" t="s">
        <v>209</v>
      </c>
      <c r="F58" s="1"/>
    </row>
    <row r="59" spans="1:6" x14ac:dyDescent="0.35">
      <c r="A59" t="s">
        <v>110</v>
      </c>
      <c r="F59" s="1"/>
    </row>
    <row r="60" spans="1:6" x14ac:dyDescent="0.35">
      <c r="A60" t="s">
        <v>112</v>
      </c>
      <c r="F60" s="1"/>
    </row>
    <row r="61" spans="1:6" x14ac:dyDescent="0.35">
      <c r="A61" t="s">
        <v>210</v>
      </c>
      <c r="F61" s="1"/>
    </row>
    <row r="62" spans="1:6" x14ac:dyDescent="0.35">
      <c r="A62" t="s">
        <v>211</v>
      </c>
      <c r="F62" s="1"/>
    </row>
    <row r="63" spans="1:6" x14ac:dyDescent="0.35">
      <c r="A63" t="s">
        <v>212</v>
      </c>
      <c r="F63" s="1"/>
    </row>
    <row r="64" spans="1:6" x14ac:dyDescent="0.35">
      <c r="A64" t="s">
        <v>213</v>
      </c>
      <c r="F64" s="1"/>
    </row>
    <row r="65" spans="1:6" x14ac:dyDescent="0.35">
      <c r="A65" t="s">
        <v>214</v>
      </c>
      <c r="F65" s="1"/>
    </row>
    <row r="66" spans="1:6" x14ac:dyDescent="0.35">
      <c r="A66" t="s">
        <v>215</v>
      </c>
      <c r="F66" s="1"/>
    </row>
    <row r="67" spans="1:6" x14ac:dyDescent="0.35">
      <c r="A67" t="s">
        <v>125</v>
      </c>
      <c r="F67" s="1"/>
    </row>
    <row r="68" spans="1:6" x14ac:dyDescent="0.35">
      <c r="A68" t="s">
        <v>216</v>
      </c>
      <c r="F68" s="1"/>
    </row>
    <row r="69" spans="1:6" x14ac:dyDescent="0.35">
      <c r="A69" t="s">
        <v>135</v>
      </c>
      <c r="F69" s="1"/>
    </row>
    <row r="70" spans="1:6" x14ac:dyDescent="0.35">
      <c r="A70" t="s">
        <v>217</v>
      </c>
      <c r="F70" s="1"/>
    </row>
    <row r="71" spans="1:6" x14ac:dyDescent="0.35">
      <c r="A71" t="s">
        <v>218</v>
      </c>
      <c r="F71" s="1"/>
    </row>
    <row r="72" spans="1:6" x14ac:dyDescent="0.35">
      <c r="A72" t="s">
        <v>219</v>
      </c>
      <c r="F72" s="1"/>
    </row>
    <row r="73" spans="1:6" x14ac:dyDescent="0.35">
      <c r="A73" t="s">
        <v>220</v>
      </c>
      <c r="F73" s="1"/>
    </row>
    <row r="74" spans="1:6" x14ac:dyDescent="0.35">
      <c r="A74" t="s">
        <v>221</v>
      </c>
      <c r="F74" s="1"/>
    </row>
    <row r="75" spans="1:6" x14ac:dyDescent="0.35">
      <c r="A75" t="s">
        <v>222</v>
      </c>
      <c r="F75" s="1"/>
    </row>
    <row r="76" spans="1:6" x14ac:dyDescent="0.35">
      <c r="A76" t="s">
        <v>223</v>
      </c>
      <c r="F76" s="1"/>
    </row>
    <row r="77" spans="1:6" x14ac:dyDescent="0.35">
      <c r="F77" s="1"/>
    </row>
    <row r="78" spans="1:6" x14ac:dyDescent="0.35">
      <c r="F78" s="1"/>
    </row>
    <row r="79" spans="1:6" x14ac:dyDescent="0.35">
      <c r="F79" s="1"/>
    </row>
    <row r="80" spans="1:6" x14ac:dyDescent="0.35">
      <c r="F80" s="1"/>
    </row>
    <row r="81" spans="6:6" x14ac:dyDescent="0.35">
      <c r="F81" s="1"/>
    </row>
    <row r="82" spans="6:6" x14ac:dyDescent="0.35">
      <c r="F82" s="1"/>
    </row>
    <row r="83" spans="6:6" x14ac:dyDescent="0.35">
      <c r="F83" s="1"/>
    </row>
    <row r="84" spans="6:6" x14ac:dyDescent="0.35">
      <c r="F84" s="1"/>
    </row>
    <row r="85" spans="6:6" x14ac:dyDescent="0.35">
      <c r="F85" s="1"/>
    </row>
    <row r="86" spans="6:6" x14ac:dyDescent="0.35">
      <c r="F86" s="1"/>
    </row>
    <row r="87" spans="6:6" x14ac:dyDescent="0.35">
      <c r="F87" s="1"/>
    </row>
    <row r="88" spans="6:6" x14ac:dyDescent="0.35">
      <c r="F88" s="1"/>
    </row>
    <row r="89" spans="6:6" x14ac:dyDescent="0.35">
      <c r="F89" s="1"/>
    </row>
    <row r="90" spans="6:6" x14ac:dyDescent="0.35">
      <c r="F90" s="1"/>
    </row>
    <row r="91" spans="6:6" x14ac:dyDescent="0.35">
      <c r="F91" s="1"/>
    </row>
    <row r="92" spans="6:6" x14ac:dyDescent="0.35">
      <c r="F92" s="1"/>
    </row>
    <row r="93" spans="6:6" x14ac:dyDescent="0.35">
      <c r="F93" s="1"/>
    </row>
    <row r="94" spans="6:6" x14ac:dyDescent="0.35">
      <c r="F94" s="1"/>
    </row>
    <row r="95" spans="6:6" x14ac:dyDescent="0.35">
      <c r="F95" s="1"/>
    </row>
    <row r="96" spans="6:6" x14ac:dyDescent="0.35">
      <c r="F96" s="1"/>
    </row>
    <row r="97" spans="6:6" x14ac:dyDescent="0.35">
      <c r="F97" s="1"/>
    </row>
    <row r="98" spans="6:6" x14ac:dyDescent="0.35">
      <c r="F98" s="1"/>
    </row>
    <row r="99" spans="6:6" x14ac:dyDescent="0.35">
      <c r="F99" s="1"/>
    </row>
    <row r="100" spans="6:6" x14ac:dyDescent="0.35">
      <c r="F100" s="1"/>
    </row>
    <row r="101" spans="6:6" x14ac:dyDescent="0.35">
      <c r="F101" s="1"/>
    </row>
    <row r="102" spans="6:6" x14ac:dyDescent="0.35">
      <c r="F102" s="1"/>
    </row>
    <row r="103" spans="6:6" x14ac:dyDescent="0.35">
      <c r="F103" s="1"/>
    </row>
    <row r="104" spans="6:6" x14ac:dyDescent="0.35">
      <c r="F104" s="1"/>
    </row>
    <row r="105" spans="6:6" x14ac:dyDescent="0.35">
      <c r="F105" s="1"/>
    </row>
    <row r="106" spans="6:6" x14ac:dyDescent="0.35">
      <c r="F106" s="1"/>
    </row>
    <row r="107" spans="6:6" x14ac:dyDescent="0.35">
      <c r="F107" s="1"/>
    </row>
    <row r="108" spans="6:6" x14ac:dyDescent="0.35">
      <c r="F108" s="1"/>
    </row>
    <row r="109" spans="6:6" x14ac:dyDescent="0.35">
      <c r="F109" s="1"/>
    </row>
    <row r="110" spans="6:6" x14ac:dyDescent="0.35">
      <c r="F110" s="1"/>
    </row>
    <row r="111" spans="6:6" x14ac:dyDescent="0.35">
      <c r="F111" s="1"/>
    </row>
    <row r="112" spans="6:6" x14ac:dyDescent="0.35">
      <c r="F112" s="1"/>
    </row>
    <row r="113" spans="6:6" x14ac:dyDescent="0.35">
      <c r="F113" s="1"/>
    </row>
    <row r="114" spans="6:6" x14ac:dyDescent="0.35">
      <c r="F114" s="1"/>
    </row>
    <row r="115" spans="6:6" x14ac:dyDescent="0.35">
      <c r="F115" s="1"/>
    </row>
    <row r="116" spans="6:6" x14ac:dyDescent="0.35">
      <c r="F116" s="1"/>
    </row>
    <row r="117" spans="6:6" x14ac:dyDescent="0.35">
      <c r="F117" s="1"/>
    </row>
    <row r="118" spans="6:6" x14ac:dyDescent="0.35">
      <c r="F118" s="1"/>
    </row>
    <row r="119" spans="6:6" x14ac:dyDescent="0.35">
      <c r="F119" s="1"/>
    </row>
    <row r="120" spans="6:6" x14ac:dyDescent="0.35">
      <c r="F120" s="1"/>
    </row>
  </sheetData>
  <mergeCells count="3">
    <mergeCell ref="A1:J1"/>
    <mergeCell ref="A2:J2"/>
    <mergeCell ref="A4:J4"/>
  </mergeCells>
  <phoneticPr fontId="12" type="noConversion"/>
  <dataValidations count="2">
    <dataValidation type="list" allowBlank="1" showInputMessage="1" showErrorMessage="1" sqref="H9:H120" xr:uid="{59F2347F-FA2F-4389-A105-6BC906F3E5DE}">
      <formula1>"Draft,Reviewed,Approved,Removed"</formula1>
    </dataValidation>
    <dataValidation type="list" allowBlank="1" showInputMessage="1" showErrorMessage="1" sqref="G9:G120" xr:uid="{4C95EEB0-E971-4B49-BB06-EF9FE713079C}">
      <formula1>"Yes,No"</formula1>
    </dataValidation>
  </dataValidations>
  <pageMargins left="0.7" right="0.7" top="0.75" bottom="0.75" header="0.3" footer="0.3"/>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5508B-EA43-408C-B4BD-FCF2EB24F5E7}">
  <dimension ref="A1:AM107"/>
  <sheetViews>
    <sheetView topLeftCell="A3" zoomScale="90" zoomScaleNormal="90" workbookViewId="0">
      <selection activeCell="F9" sqref="F9"/>
    </sheetView>
  </sheetViews>
  <sheetFormatPr defaultRowHeight="14.5" x14ac:dyDescent="0.35"/>
  <cols>
    <col min="1" max="1" width="17.26953125" customWidth="1"/>
    <col min="2" max="2" width="9.08984375" customWidth="1"/>
    <col min="3" max="3" width="40" customWidth="1"/>
    <col min="4" max="7" width="10" customWidth="1"/>
    <col min="8" max="39" width="4.08984375" customWidth="1"/>
  </cols>
  <sheetData>
    <row r="1" spans="1:39" ht="32" customHeight="1" x14ac:dyDescent="0.55000000000000004">
      <c r="A1" s="5" t="s">
        <v>154</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row>
    <row r="2" spans="1:39" ht="34" customHeight="1" x14ac:dyDescent="0.35">
      <c r="A2" s="7" t="s">
        <v>155</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row>
    <row r="4" spans="1:39" x14ac:dyDescent="0.35">
      <c r="A4" s="33" t="s">
        <v>88</v>
      </c>
      <c r="B4" s="39">
        <v>26</v>
      </c>
      <c r="C4" s="33"/>
      <c r="D4" s="33" t="s">
        <v>156</v>
      </c>
      <c r="E4" s="39">
        <v>26</v>
      </c>
      <c r="F4" s="33"/>
      <c r="G4" s="33" t="s">
        <v>157</v>
      </c>
      <c r="H4" s="33" t="s">
        <v>158</v>
      </c>
      <c r="I4" s="33"/>
      <c r="J4" s="33" t="s">
        <v>159</v>
      </c>
      <c r="K4" s="33" t="s">
        <v>160</v>
      </c>
    </row>
    <row r="7" spans="1:39" ht="34.5" customHeight="1" thickBot="1" x14ac:dyDescent="0.4">
      <c r="A7" s="65" t="s">
        <v>75</v>
      </c>
      <c r="B7" s="66" t="s">
        <v>89</v>
      </c>
      <c r="C7" s="66" t="s">
        <v>76</v>
      </c>
      <c r="D7" s="66" t="s">
        <v>153</v>
      </c>
      <c r="E7" s="66" t="s">
        <v>161</v>
      </c>
      <c r="F7" s="66" t="s">
        <v>162</v>
      </c>
      <c r="G7" s="66" t="s">
        <v>163</v>
      </c>
      <c r="H7" s="67" t="s">
        <v>164</v>
      </c>
      <c r="I7" s="67" t="s">
        <v>165</v>
      </c>
      <c r="J7" s="67" t="s">
        <v>166</v>
      </c>
      <c r="K7" s="67" t="s">
        <v>167</v>
      </c>
      <c r="L7" s="67" t="s">
        <v>168</v>
      </c>
      <c r="M7" s="67" t="s">
        <v>169</v>
      </c>
      <c r="N7" s="67" t="s">
        <v>170</v>
      </c>
      <c r="O7" s="67" t="s">
        <v>171</v>
      </c>
      <c r="P7" s="67" t="s">
        <v>172</v>
      </c>
      <c r="Q7" s="67" t="s">
        <v>173</v>
      </c>
      <c r="R7" s="67" t="s">
        <v>174</v>
      </c>
      <c r="S7" s="67" t="s">
        <v>175</v>
      </c>
      <c r="T7" s="67" t="s">
        <v>176</v>
      </c>
      <c r="U7" s="67" t="s">
        <v>177</v>
      </c>
      <c r="V7" s="67" t="s">
        <v>178</v>
      </c>
      <c r="W7" s="67" t="s">
        <v>179</v>
      </c>
      <c r="X7" s="67" t="s">
        <v>180</v>
      </c>
      <c r="Y7" s="67" t="s">
        <v>181</v>
      </c>
      <c r="Z7" s="67" t="s">
        <v>182</v>
      </c>
      <c r="AA7" s="67" t="s">
        <v>183</v>
      </c>
      <c r="AB7" s="67" t="s">
        <v>184</v>
      </c>
      <c r="AC7" s="67" t="s">
        <v>185</v>
      </c>
      <c r="AD7" s="67" t="s">
        <v>186</v>
      </c>
      <c r="AE7" s="67" t="s">
        <v>187</v>
      </c>
      <c r="AF7" s="67" t="s">
        <v>188</v>
      </c>
      <c r="AG7" s="67" t="s">
        <v>189</v>
      </c>
      <c r="AH7" s="67" t="s">
        <v>190</v>
      </c>
      <c r="AI7" s="67" t="s">
        <v>191</v>
      </c>
      <c r="AJ7" s="67" t="s">
        <v>192</v>
      </c>
      <c r="AK7" s="67" t="s">
        <v>193</v>
      </c>
      <c r="AL7" s="67" t="s">
        <v>194</v>
      </c>
      <c r="AM7" s="67" t="s">
        <v>195</v>
      </c>
    </row>
    <row r="8" spans="1:39" ht="18" customHeight="1" thickTop="1" x14ac:dyDescent="0.35">
      <c r="A8" s="69" t="str" cm="1">
        <f t="array" ref="A8">IFERROR(INDEX(_xlfn._xlws.FILTER(tblProjectTasks[TaskGroup],(tblProjectTasks[IsWorkPackage]="Yes")*(tblProjectTasks[CaptureStatus]&lt;&gt;"Removed")),ROWS($A$8:A8)),"")</f>
        <v>Planning</v>
      </c>
      <c r="B8" s="70" cm="1">
        <f t="array" ref="B8">IFERROR(INDEX(_xlfn._xlws.FILTER(tblProjectTasks[WBSCode],(tblProjectTasks[IsWorkPackage]="Yes")*(tblProjectTasks[CaptureStatus]&lt;&gt;"Removed")),ROWS($B$8:B8)),"")</f>
        <v>1.1000000000000001</v>
      </c>
      <c r="C8" s="71" t="str" cm="1">
        <f t="array" ref="C8">IFERROR(INDEX(_xlfn._xlws.FILTER(tblProjectTasks[TaskName],(tblProjectTasks[IsWorkPackage]="Yes")*(tblProjectTasks[CaptureStatus]&lt;&gt;"Removed")),ROWS($C$8:C8)),"")</f>
        <v>Check can I get planning?</v>
      </c>
      <c r="D8" s="72" cm="1">
        <f t="array" ref="D8">_xlfn.LET(_xlpm.x,IFERROR(INDEX(_xlfn._xlws.FILTER(tblProjectTasks[Elapsed Time in Weeks],(tblProjectTasks[IsWorkPackage]="Yes")*(tblProjectTasks[CaptureStatus]&lt;&gt;"Removed")),ROWS($D$8:D8)),""),IF(_xlpm.x=0,"",_xlpm.x))</f>
        <v>6</v>
      </c>
      <c r="E8" s="72">
        <f>IF($A8="","",IF($D8="",1,$D8))</f>
        <v>6</v>
      </c>
      <c r="F8" s="72">
        <f>IF($A8="","",IF(ROW()=8,0,$F7+$E7))</f>
        <v>0</v>
      </c>
      <c r="G8" s="72">
        <f>IF($A8="","",$F8+$E8)</f>
        <v>6</v>
      </c>
      <c r="H8" s="73" t="str">
        <f>IF($A8="","",IF(AND(VALUE(H$7)&gt;$F8,VALUE(H$7)&lt;=$G8),IF($D8="","◇","■"),""))</f>
        <v>■</v>
      </c>
      <c r="I8" s="73" t="str">
        <f>IF($A8="","",IF(AND(VALUE(I$7)&gt;$F8,VALUE(I$7)&lt;=$G8),IF($D8="","◇","■"),""))</f>
        <v>■</v>
      </c>
      <c r="J8" s="73" t="str">
        <f>IF($A8="","",IF(AND(VALUE(J$7)&gt;$F8,VALUE(J$7)&lt;=$G8),IF($D8="","◇","■"),""))</f>
        <v>■</v>
      </c>
      <c r="K8" s="73" t="str">
        <f>IF($A8="","",IF(AND(VALUE(K$7)&gt;$F8,VALUE(K$7)&lt;=$G8),IF($D8="","◇","■"),""))</f>
        <v>■</v>
      </c>
      <c r="L8" s="73" t="str">
        <f>IF($A8="","",IF(AND(VALUE(L$7)&gt;$F8,VALUE(L$7)&lt;=$G8),IF($D8="","◇","■"),""))</f>
        <v>■</v>
      </c>
      <c r="M8" s="73" t="str">
        <f>IF($A8="","",IF(AND(VALUE(M$7)&gt;$F8,VALUE(M$7)&lt;=$G8),IF($D8="","◇","■"),""))</f>
        <v>■</v>
      </c>
      <c r="N8" s="73" t="str">
        <f>IF($A8="","",IF(AND(VALUE(N$7)&gt;$F8,VALUE(N$7)&lt;=$G8),IF($D8="","◇","■"),""))</f>
        <v/>
      </c>
      <c r="O8" s="73" t="str">
        <f>IF($A8="","",IF(AND(VALUE(O$7)&gt;$F8,VALUE(O$7)&lt;=$G8),IF($D8="","◇","■"),""))</f>
        <v/>
      </c>
      <c r="P8" s="73" t="str">
        <f>IF($A8="","",IF(AND(VALUE(P$7)&gt;$F8,VALUE(P$7)&lt;=$G8),IF($D8="","◇","■"),""))</f>
        <v/>
      </c>
      <c r="Q8" s="73" t="str">
        <f>IF($A8="","",IF(AND(VALUE(Q$7)&gt;$F8,VALUE(Q$7)&lt;=$G8),IF($D8="","◇","■"),""))</f>
        <v/>
      </c>
      <c r="R8" s="73" t="str">
        <f>IF($A8="","",IF(AND(VALUE(R$7)&gt;$F8,VALUE(R$7)&lt;=$G8),IF($D8="","◇","■"),""))</f>
        <v/>
      </c>
      <c r="S8" s="73" t="str">
        <f>IF($A8="","",IF(AND(VALUE(S$7)&gt;$F8,VALUE(S$7)&lt;=$G8),IF($D8="","◇","■"),""))</f>
        <v/>
      </c>
      <c r="T8" s="73" t="str">
        <f>IF($A8="","",IF(AND(VALUE(T$7)&gt;$F8,VALUE(T$7)&lt;=$G8),IF($D8="","◇","■"),""))</f>
        <v/>
      </c>
      <c r="U8" s="73" t="str">
        <f>IF($A8="","",IF(AND(VALUE(U$7)&gt;$F8,VALUE(U$7)&lt;=$G8),IF($D8="","◇","■"),""))</f>
        <v/>
      </c>
      <c r="V8" s="73" t="str">
        <f>IF($A8="","",IF(AND(VALUE(V$7)&gt;$F8,VALUE(V$7)&lt;=$G8),IF($D8="","◇","■"),""))</f>
        <v/>
      </c>
      <c r="W8" s="73" t="str">
        <f>IF($A8="","",IF(AND(VALUE(W$7)&gt;$F8,VALUE(W$7)&lt;=$G8),IF($D8="","◇","■"),""))</f>
        <v/>
      </c>
      <c r="X8" s="73" t="str">
        <f>IF($A8="","",IF(AND(VALUE(X$7)&gt;$F8,VALUE(X$7)&lt;=$G8),IF($D8="","◇","■"),""))</f>
        <v/>
      </c>
      <c r="Y8" s="73" t="str">
        <f>IF($A8="","",IF(AND(VALUE(Y$7)&gt;$F8,VALUE(Y$7)&lt;=$G8),IF($D8="","◇","■"),""))</f>
        <v/>
      </c>
      <c r="Z8" s="73" t="str">
        <f>IF($A8="","",IF(AND(VALUE(Z$7)&gt;$F8,VALUE(Z$7)&lt;=$G8),IF($D8="","◇","■"),""))</f>
        <v/>
      </c>
      <c r="AA8" s="73" t="str">
        <f>IF($A8="","",IF(AND(VALUE(AA$7)&gt;$F8,VALUE(AA$7)&lt;=$G8),IF($D8="","◇","■"),""))</f>
        <v/>
      </c>
      <c r="AB8" s="73" t="str">
        <f>IF($A8="","",IF(AND(VALUE(AB$7)&gt;$F8,VALUE(AB$7)&lt;=$G8),IF($D8="","◇","■"),""))</f>
        <v/>
      </c>
      <c r="AC8" s="73" t="str">
        <f>IF($A8="","",IF(AND(VALUE(AC$7)&gt;$F8,VALUE(AC$7)&lt;=$G8),IF($D8="","◇","■"),""))</f>
        <v/>
      </c>
      <c r="AD8" s="73" t="str">
        <f>IF($A8="","",IF(AND(VALUE(AD$7)&gt;$F8,VALUE(AD$7)&lt;=$G8),IF($D8="","◇","■"),""))</f>
        <v/>
      </c>
      <c r="AE8" s="73" t="str">
        <f>IF($A8="","",IF(AND(VALUE(AE$7)&gt;$F8,VALUE(AE$7)&lt;=$G8),IF($D8="","◇","■"),""))</f>
        <v/>
      </c>
      <c r="AF8" s="73" t="str">
        <f>IF($A8="","",IF(AND(VALUE(AF$7)&gt;$F8,VALUE(AF$7)&lt;=$G8),IF($D8="","◇","■"),""))</f>
        <v/>
      </c>
      <c r="AG8" s="73" t="str">
        <f>IF($A8="","",IF(AND(VALUE(AG$7)&gt;$F8,VALUE(AG$7)&lt;=$G8),IF($D8="","◇","■"),""))</f>
        <v/>
      </c>
      <c r="AH8" s="73" t="str">
        <f>IF($A8="","",IF(AND(VALUE(AH$7)&gt;$F8,VALUE(AH$7)&lt;=$G8),IF($D8="","◇","■"),""))</f>
        <v/>
      </c>
      <c r="AI8" s="73" t="str">
        <f>IF($A8="","",IF(AND(VALUE(AI$7)&gt;$F8,VALUE(AI$7)&lt;=$G8),IF($D8="","◇","■"),""))</f>
        <v/>
      </c>
      <c r="AJ8" s="73" t="str">
        <f>IF($A8="","",IF(AND(VALUE(AJ$7)&gt;$F8,VALUE(AJ$7)&lt;=$G8),IF($D8="","◇","■"),""))</f>
        <v/>
      </c>
      <c r="AK8" s="73" t="str">
        <f>IF($A8="","",IF(AND(VALUE(AK$7)&gt;$F8,VALUE(AK$7)&lt;=$G8),IF($D8="","◇","■"),""))</f>
        <v/>
      </c>
      <c r="AL8" s="73" t="str">
        <f>IF($A8="","",IF(AND(VALUE(AL$7)&gt;$F8,VALUE(AL$7)&lt;=$G8),IF($D8="","◇","■"),""))</f>
        <v/>
      </c>
      <c r="AM8" s="73" t="str">
        <f>IF($A8="","",IF(AND(VALUE(AM$7)&gt;$F8,VALUE(AM$7)&lt;=$G8),IF($D8="","◇","■"),""))</f>
        <v/>
      </c>
    </row>
    <row r="9" spans="1:39" ht="18" customHeight="1" thickBot="1" x14ac:dyDescent="0.4">
      <c r="A9" s="78" t="str" cm="1">
        <f t="array" ref="A9">IFERROR(INDEX(_xlfn._xlws.FILTER(tblProjectTasks[TaskGroup],(tblProjectTasks[IsWorkPackage]="Yes")*(tblProjectTasks[CaptureStatus]&lt;&gt;"Removed")),ROWS($A$8:A9)),"")</f>
        <v>Planning</v>
      </c>
      <c r="B9" s="79" cm="1">
        <f t="array" ref="B9">IFERROR(INDEX(_xlfn._xlws.FILTER(tblProjectTasks[WBSCode],(tblProjectTasks[IsWorkPackage]="Yes")*(tblProjectTasks[CaptureStatus]&lt;&gt;"Removed")),ROWS($B$8:B9)),"")</f>
        <v>1.2</v>
      </c>
      <c r="C9" s="80" t="str" cm="1">
        <f t="array" ref="C9">IFERROR(INDEX(_xlfn._xlws.FILTER(tblProjectTasks[TaskName],(tblProjectTasks[IsWorkPackage]="Yes")*(tblProjectTasks[CaptureStatus]&lt;&gt;"Removed")),ROWS($C$8:C9)),"")</f>
        <v>Apply for and get planning permission</v>
      </c>
      <c r="D9" s="81" cm="1">
        <f t="array" ref="D9">_xlfn.LET(_xlpm.x,IFERROR(INDEX(_xlfn._xlws.FILTER(tblProjectTasks[Elapsed Time in Weeks],(tblProjectTasks[IsWorkPackage]="Yes")*(tblProjectTasks[CaptureStatus]&lt;&gt;"Removed")),ROWS($D$8:D9)),""),IF(_xlpm.x=0,"",_xlpm.x))</f>
        <v>10</v>
      </c>
      <c r="E9" s="81">
        <f>IF($A9="","",IF($D9="",1,$D9))</f>
        <v>10</v>
      </c>
      <c r="F9" s="81">
        <f>IF($A9="","",IF(ROW()=8,0,$F8+$E8))</f>
        <v>6</v>
      </c>
      <c r="G9" s="81">
        <f>IF($A9="","",$F9+$E9)</f>
        <v>16</v>
      </c>
      <c r="H9" s="82" t="str">
        <f>IF($A9="","",IF(AND(VALUE(H$7)&gt;$F9,VALUE(H$7)&lt;=$G9),IF($D9="","◇","■"),""))</f>
        <v/>
      </c>
      <c r="I9" s="82" t="str">
        <f>IF($A9="","",IF(AND(VALUE(I$7)&gt;$F9,VALUE(I$7)&lt;=$G9),IF($D9="","◇","■"),""))</f>
        <v/>
      </c>
      <c r="J9" s="82" t="str">
        <f>IF($A9="","",IF(AND(VALUE(J$7)&gt;$F9,VALUE(J$7)&lt;=$G9),IF($D9="","◇","■"),""))</f>
        <v/>
      </c>
      <c r="K9" s="82" t="str">
        <f>IF($A9="","",IF(AND(VALUE(K$7)&gt;$F9,VALUE(K$7)&lt;=$G9),IF($D9="","◇","■"),""))</f>
        <v/>
      </c>
      <c r="L9" s="82" t="str">
        <f>IF($A9="","",IF(AND(VALUE(L$7)&gt;$F9,VALUE(L$7)&lt;=$G9),IF($D9="","◇","■"),""))</f>
        <v/>
      </c>
      <c r="M9" s="82" t="str">
        <f>IF($A9="","",IF(AND(VALUE(M$7)&gt;$F9,VALUE(M$7)&lt;=$G9),IF($D9="","◇","■"),""))</f>
        <v/>
      </c>
      <c r="N9" s="82" t="str">
        <f>IF($A9="","",IF(AND(VALUE(N$7)&gt;$F9,VALUE(N$7)&lt;=$G9),IF($D9="","◇","■"),""))</f>
        <v>■</v>
      </c>
      <c r="O9" s="82" t="str">
        <f>IF($A9="","",IF(AND(VALUE(O$7)&gt;$F9,VALUE(O$7)&lt;=$G9),IF($D9="","◇","■"),""))</f>
        <v>■</v>
      </c>
      <c r="P9" s="82" t="str">
        <f>IF($A9="","",IF(AND(VALUE(P$7)&gt;$F9,VALUE(P$7)&lt;=$G9),IF($D9="","◇","■"),""))</f>
        <v>■</v>
      </c>
      <c r="Q9" s="82" t="str">
        <f>IF($A9="","",IF(AND(VALUE(Q$7)&gt;$F9,VALUE(Q$7)&lt;=$G9),IF($D9="","◇","■"),""))</f>
        <v>■</v>
      </c>
      <c r="R9" s="82" t="str">
        <f>IF($A9="","",IF(AND(VALUE(R$7)&gt;$F9,VALUE(R$7)&lt;=$G9),IF($D9="","◇","■"),""))</f>
        <v>■</v>
      </c>
      <c r="S9" s="82" t="str">
        <f>IF($A9="","",IF(AND(VALUE(S$7)&gt;$F9,VALUE(S$7)&lt;=$G9),IF($D9="","◇","■"),""))</f>
        <v>■</v>
      </c>
      <c r="T9" s="82" t="str">
        <f>IF($A9="","",IF(AND(VALUE(T$7)&gt;$F9,VALUE(T$7)&lt;=$G9),IF($D9="","◇","■"),""))</f>
        <v>■</v>
      </c>
      <c r="U9" s="82" t="str">
        <f>IF($A9="","",IF(AND(VALUE(U$7)&gt;$F9,VALUE(U$7)&lt;=$G9),IF($D9="","◇","■"),""))</f>
        <v>■</v>
      </c>
      <c r="V9" s="82" t="str">
        <f>IF($A9="","",IF(AND(VALUE(V$7)&gt;$F9,VALUE(V$7)&lt;=$G9),IF($D9="","◇","■"),""))</f>
        <v>■</v>
      </c>
      <c r="W9" s="82" t="str">
        <f>IF($A9="","",IF(AND(VALUE(W$7)&gt;$F9,VALUE(W$7)&lt;=$G9),IF($D9="","◇","■"),""))</f>
        <v>■</v>
      </c>
      <c r="X9" s="82" t="str">
        <f>IF($A9="","",IF(AND(VALUE(X$7)&gt;$F9,VALUE(X$7)&lt;=$G9),IF($D9="","◇","■"),""))</f>
        <v/>
      </c>
      <c r="Y9" s="82" t="str">
        <f>IF($A9="","",IF(AND(VALUE(Y$7)&gt;$F9,VALUE(Y$7)&lt;=$G9),IF($D9="","◇","■"),""))</f>
        <v/>
      </c>
      <c r="Z9" s="82" t="str">
        <f>IF($A9="","",IF(AND(VALUE(Z$7)&gt;$F9,VALUE(Z$7)&lt;=$G9),IF($D9="","◇","■"),""))</f>
        <v/>
      </c>
      <c r="AA9" s="82" t="str">
        <f>IF($A9="","",IF(AND(VALUE(AA$7)&gt;$F9,VALUE(AA$7)&lt;=$G9),IF($D9="","◇","■"),""))</f>
        <v/>
      </c>
      <c r="AB9" s="82" t="str">
        <f>IF($A9="","",IF(AND(VALUE(AB$7)&gt;$F9,VALUE(AB$7)&lt;=$G9),IF($D9="","◇","■"),""))</f>
        <v/>
      </c>
      <c r="AC9" s="82" t="str">
        <f>IF($A9="","",IF(AND(VALUE(AC$7)&gt;$F9,VALUE(AC$7)&lt;=$G9),IF($D9="","◇","■"),""))</f>
        <v/>
      </c>
      <c r="AD9" s="82" t="str">
        <f>IF($A9="","",IF(AND(VALUE(AD$7)&gt;$F9,VALUE(AD$7)&lt;=$G9),IF($D9="","◇","■"),""))</f>
        <v/>
      </c>
      <c r="AE9" s="82" t="str">
        <f>IF($A9="","",IF(AND(VALUE(AE$7)&gt;$F9,VALUE(AE$7)&lt;=$G9),IF($D9="","◇","■"),""))</f>
        <v/>
      </c>
      <c r="AF9" s="82" t="str">
        <f>IF($A9="","",IF(AND(VALUE(AF$7)&gt;$F9,VALUE(AF$7)&lt;=$G9),IF($D9="","◇","■"),""))</f>
        <v/>
      </c>
      <c r="AG9" s="82" t="str">
        <f>IF($A9="","",IF(AND(VALUE(AG$7)&gt;$F9,VALUE(AG$7)&lt;=$G9),IF($D9="","◇","■"),""))</f>
        <v/>
      </c>
      <c r="AH9" s="82" t="str">
        <f>IF($A9="","",IF(AND(VALUE(AH$7)&gt;$F9,VALUE(AH$7)&lt;=$G9),IF($D9="","◇","■"),""))</f>
        <v/>
      </c>
      <c r="AI9" s="82" t="str">
        <f>IF($A9="","",IF(AND(VALUE(AI$7)&gt;$F9,VALUE(AI$7)&lt;=$G9),IF($D9="","◇","■"),""))</f>
        <v/>
      </c>
      <c r="AJ9" s="82" t="str">
        <f>IF($A9="","",IF(AND(VALUE(AJ$7)&gt;$F9,VALUE(AJ$7)&lt;=$G9),IF($D9="","◇","■"),""))</f>
        <v/>
      </c>
      <c r="AK9" s="82" t="str">
        <f>IF($A9="","",IF(AND(VALUE(AK$7)&gt;$F9,VALUE(AK$7)&lt;=$G9),IF($D9="","◇","■"),""))</f>
        <v/>
      </c>
      <c r="AL9" s="82" t="str">
        <f>IF($A9="","",IF(AND(VALUE(AL$7)&gt;$F9,VALUE(AL$7)&lt;=$G9),IF($D9="","◇","■"),""))</f>
        <v/>
      </c>
      <c r="AM9" s="82" t="str">
        <f>IF($A9="","",IF(AND(VALUE(AM$7)&gt;$F9,VALUE(AM$7)&lt;=$G9),IF($D9="","◇","■"),""))</f>
        <v/>
      </c>
    </row>
    <row r="10" spans="1:39" ht="18" customHeight="1" thickTop="1" x14ac:dyDescent="0.35">
      <c r="A10" s="83" t="str" cm="1">
        <f t="array" ref="A10">IFERROR(INDEX(_xlfn._xlws.FILTER(tblProjectTasks[TaskGroup],(tblProjectTasks[IsWorkPackage]="Yes")*(tblProjectTasks[CaptureStatus]&lt;&gt;"Removed")),ROWS($A$8:A10)),"")</f>
        <v>Prepare site</v>
      </c>
      <c r="B10" s="84" cm="1">
        <f t="array" ref="B10">IFERROR(INDEX(_xlfn._xlws.FILTER(tblProjectTasks[WBSCode],(tblProjectTasks[IsWorkPackage]="Yes")*(tblProjectTasks[CaptureStatus]&lt;&gt;"Removed")),ROWS($B$8:B10)),"")</f>
        <v>2.1</v>
      </c>
      <c r="C10" s="85" t="str" cm="1">
        <f t="array" ref="C10">IFERROR(INDEX(_xlfn._xlws.FILTER(tblProjectTasks[TaskName],(tblProjectTasks[IsWorkPackage]="Yes")*(tblProjectTasks[CaptureStatus]&lt;&gt;"Removed")),ROWS($C$8:C10)),"")</f>
        <v>Demolish old shed</v>
      </c>
      <c r="D10" s="86" cm="1">
        <f t="array" ref="D10">_xlfn.LET(_xlpm.x,IFERROR(INDEX(_xlfn._xlws.FILTER(tblProjectTasks[Elapsed Time in Weeks],(tblProjectTasks[IsWorkPackage]="Yes")*(tblProjectTasks[CaptureStatus]&lt;&gt;"Removed")),ROWS($D$8:D10)),""),IF(_xlpm.x=0,"",_xlpm.x))</f>
        <v>1</v>
      </c>
      <c r="E10" s="86">
        <f>IF($A10="","",IF($D10="",1,$D10))</f>
        <v>1</v>
      </c>
      <c r="F10" s="86">
        <f>IF($A10="","",IF(ROW()=8,0,$F9+$E9))</f>
        <v>16</v>
      </c>
      <c r="G10" s="86">
        <f>IF($A10="","",$F10+$E10)</f>
        <v>17</v>
      </c>
      <c r="H10" s="73" t="str">
        <f>IF($A10="","",IF(AND(VALUE(H$7)&gt;$F10,VALUE(H$7)&lt;=$G10),IF($D10="","◇","■"),""))</f>
        <v/>
      </c>
      <c r="I10" s="73" t="str">
        <f>IF($A10="","",IF(AND(VALUE(I$7)&gt;$F10,VALUE(I$7)&lt;=$G10),IF($D10="","◇","■"),""))</f>
        <v/>
      </c>
      <c r="J10" s="73" t="str">
        <f>IF($A10="","",IF(AND(VALUE(J$7)&gt;$F10,VALUE(J$7)&lt;=$G10),IF($D10="","◇","■"),""))</f>
        <v/>
      </c>
      <c r="K10" s="73" t="str">
        <f>IF($A10="","",IF(AND(VALUE(K$7)&gt;$F10,VALUE(K$7)&lt;=$G10),IF($D10="","◇","■"),""))</f>
        <v/>
      </c>
      <c r="L10" s="73" t="str">
        <f>IF($A10="","",IF(AND(VALUE(L$7)&gt;$F10,VALUE(L$7)&lt;=$G10),IF($D10="","◇","■"),""))</f>
        <v/>
      </c>
      <c r="M10" s="73" t="str">
        <f>IF($A10="","",IF(AND(VALUE(M$7)&gt;$F10,VALUE(M$7)&lt;=$G10),IF($D10="","◇","■"),""))</f>
        <v/>
      </c>
      <c r="N10" s="73" t="str">
        <f>IF($A10="","",IF(AND(VALUE(N$7)&gt;$F10,VALUE(N$7)&lt;=$G10),IF($D10="","◇","■"),""))</f>
        <v/>
      </c>
      <c r="O10" s="73" t="str">
        <f>IF($A10="","",IF(AND(VALUE(O$7)&gt;$F10,VALUE(O$7)&lt;=$G10),IF($D10="","◇","■"),""))</f>
        <v/>
      </c>
      <c r="P10" s="73" t="str">
        <f>IF($A10="","",IF(AND(VALUE(P$7)&gt;$F10,VALUE(P$7)&lt;=$G10),IF($D10="","◇","■"),""))</f>
        <v/>
      </c>
      <c r="Q10" s="73" t="str">
        <f>IF($A10="","",IF(AND(VALUE(Q$7)&gt;$F10,VALUE(Q$7)&lt;=$G10),IF($D10="","◇","■"),""))</f>
        <v/>
      </c>
      <c r="R10" s="73" t="str">
        <f>IF($A10="","",IF(AND(VALUE(R$7)&gt;$F10,VALUE(R$7)&lt;=$G10),IF($D10="","◇","■"),""))</f>
        <v/>
      </c>
      <c r="S10" s="73" t="str">
        <f>IF($A10="","",IF(AND(VALUE(S$7)&gt;$F10,VALUE(S$7)&lt;=$G10),IF($D10="","◇","■"),""))</f>
        <v/>
      </c>
      <c r="T10" s="73" t="str">
        <f>IF($A10="","",IF(AND(VALUE(T$7)&gt;$F10,VALUE(T$7)&lt;=$G10),IF($D10="","◇","■"),""))</f>
        <v/>
      </c>
      <c r="U10" s="73" t="str">
        <f>IF($A10="","",IF(AND(VALUE(U$7)&gt;$F10,VALUE(U$7)&lt;=$G10),IF($D10="","◇","■"),""))</f>
        <v/>
      </c>
      <c r="V10" s="73" t="str">
        <f>IF($A10="","",IF(AND(VALUE(V$7)&gt;$F10,VALUE(V$7)&lt;=$G10),IF($D10="","◇","■"),""))</f>
        <v/>
      </c>
      <c r="W10" s="73" t="str">
        <f>IF($A10="","",IF(AND(VALUE(W$7)&gt;$F10,VALUE(W$7)&lt;=$G10),IF($D10="","◇","■"),""))</f>
        <v/>
      </c>
      <c r="X10" s="73" t="str">
        <f>IF($A10="","",IF(AND(VALUE(X$7)&gt;$F10,VALUE(X$7)&lt;=$G10),IF($D10="","◇","■"),""))</f>
        <v>■</v>
      </c>
      <c r="Y10" s="73" t="str">
        <f>IF($A10="","",IF(AND(VALUE(Y$7)&gt;$F10,VALUE(Y$7)&lt;=$G10),IF($D10="","◇","■"),""))</f>
        <v/>
      </c>
      <c r="Z10" s="73" t="str">
        <f>IF($A10="","",IF(AND(VALUE(Z$7)&gt;$F10,VALUE(Z$7)&lt;=$G10),IF($D10="","◇","■"),""))</f>
        <v/>
      </c>
      <c r="AA10" s="73" t="str">
        <f>IF($A10="","",IF(AND(VALUE(AA$7)&gt;$F10,VALUE(AA$7)&lt;=$G10),IF($D10="","◇","■"),""))</f>
        <v/>
      </c>
      <c r="AB10" s="73" t="str">
        <f>IF($A10="","",IF(AND(VALUE(AB$7)&gt;$F10,VALUE(AB$7)&lt;=$G10),IF($D10="","◇","■"),""))</f>
        <v/>
      </c>
      <c r="AC10" s="73" t="str">
        <f>IF($A10="","",IF(AND(VALUE(AC$7)&gt;$F10,VALUE(AC$7)&lt;=$G10),IF($D10="","◇","■"),""))</f>
        <v/>
      </c>
      <c r="AD10" s="73" t="str">
        <f>IF($A10="","",IF(AND(VALUE(AD$7)&gt;$F10,VALUE(AD$7)&lt;=$G10),IF($D10="","◇","■"),""))</f>
        <v/>
      </c>
      <c r="AE10" s="73" t="str">
        <f>IF($A10="","",IF(AND(VALUE(AE$7)&gt;$F10,VALUE(AE$7)&lt;=$G10),IF($D10="","◇","■"),""))</f>
        <v/>
      </c>
      <c r="AF10" s="73" t="str">
        <f>IF($A10="","",IF(AND(VALUE(AF$7)&gt;$F10,VALUE(AF$7)&lt;=$G10),IF($D10="","◇","■"),""))</f>
        <v/>
      </c>
      <c r="AG10" s="73" t="str">
        <f>IF($A10="","",IF(AND(VALUE(AG$7)&gt;$F10,VALUE(AG$7)&lt;=$G10),IF($D10="","◇","■"),""))</f>
        <v/>
      </c>
      <c r="AH10" s="73" t="str">
        <f>IF($A10="","",IF(AND(VALUE(AH$7)&gt;$F10,VALUE(AH$7)&lt;=$G10),IF($D10="","◇","■"),""))</f>
        <v/>
      </c>
      <c r="AI10" s="73" t="str">
        <f>IF($A10="","",IF(AND(VALUE(AI$7)&gt;$F10,VALUE(AI$7)&lt;=$G10),IF($D10="","◇","■"),""))</f>
        <v/>
      </c>
      <c r="AJ10" s="73" t="str">
        <f>IF($A10="","",IF(AND(VALUE(AJ$7)&gt;$F10,VALUE(AJ$7)&lt;=$G10),IF($D10="","◇","■"),""))</f>
        <v/>
      </c>
      <c r="AK10" s="73" t="str">
        <f>IF($A10="","",IF(AND(VALUE(AK$7)&gt;$F10,VALUE(AK$7)&lt;=$G10),IF($D10="","◇","■"),""))</f>
        <v/>
      </c>
      <c r="AL10" s="73" t="str">
        <f>IF($A10="","",IF(AND(VALUE(AL$7)&gt;$F10,VALUE(AL$7)&lt;=$G10),IF($D10="","◇","■"),""))</f>
        <v/>
      </c>
      <c r="AM10" s="73" t="str">
        <f>IF($A10="","",IF(AND(VALUE(AM$7)&gt;$F10,VALUE(AM$7)&lt;=$G10),IF($D10="","◇","■"),""))</f>
        <v/>
      </c>
    </row>
    <row r="11" spans="1:39" ht="18" customHeight="1" x14ac:dyDescent="0.35">
      <c r="A11" s="87" t="str" cm="1">
        <f t="array" ref="A11">IFERROR(INDEX(_xlfn._xlws.FILTER(tblProjectTasks[TaskGroup],(tblProjectTasks[IsWorkPackage]="Yes")*(tblProjectTasks[CaptureStatus]&lt;&gt;"Removed")),ROWS($A$8:A11)),"")</f>
        <v>Prepare site</v>
      </c>
      <c r="B11" s="88" cm="1">
        <f t="array" ref="B11">IFERROR(INDEX(_xlfn._xlws.FILTER(tblProjectTasks[WBSCode],(tblProjectTasks[IsWorkPackage]="Yes")*(tblProjectTasks[CaptureStatus]&lt;&gt;"Removed")),ROWS($B$8:B11)),"")</f>
        <v>2.2000000000000002</v>
      </c>
      <c r="C11" s="89" t="str" cm="1">
        <f t="array" ref="C11">IFERROR(INDEX(_xlfn._xlws.FILTER(tblProjectTasks[TaskName],(tblProjectTasks[IsWorkPackage]="Yes")*(tblProjectTasks[CaptureStatus]&lt;&gt;"Removed")),ROWS($C$8:C11)),"")</f>
        <v>Cut back all the foliage</v>
      </c>
      <c r="D11" s="90" cm="1">
        <f t="array" ref="D11">_xlfn.LET(_xlpm.x,IFERROR(INDEX(_xlfn._xlws.FILTER(tblProjectTasks[Elapsed Time in Weeks],(tblProjectTasks[IsWorkPackage]="Yes")*(tblProjectTasks[CaptureStatus]&lt;&gt;"Removed")),ROWS($D$8:D11)),""),IF(_xlpm.x=0,"",_xlpm.x))</f>
        <v>2</v>
      </c>
      <c r="E11" s="90">
        <f>IF($A11="","",IF($D11="",1,$D11))</f>
        <v>2</v>
      </c>
      <c r="F11" s="90">
        <f>IF($A11="","",IF(ROW()=8,0,$F10+$E10))</f>
        <v>17</v>
      </c>
      <c r="G11" s="90">
        <f>IF($A11="","",$F11+$E11)</f>
        <v>19</v>
      </c>
      <c r="H11" s="68" t="str">
        <f>IF($A11="","",IF(AND(VALUE(H$7)&gt;$F11,VALUE(H$7)&lt;=$G11),IF($D11="","◇","■"),""))</f>
        <v/>
      </c>
      <c r="I11" s="68" t="str">
        <f>IF($A11="","",IF(AND(VALUE(I$7)&gt;$F11,VALUE(I$7)&lt;=$G11),IF($D11="","◇","■"),""))</f>
        <v/>
      </c>
      <c r="J11" s="68" t="str">
        <f>IF($A11="","",IF(AND(VALUE(J$7)&gt;$F11,VALUE(J$7)&lt;=$G11),IF($D11="","◇","■"),""))</f>
        <v/>
      </c>
      <c r="K11" s="68" t="str">
        <f>IF($A11="","",IF(AND(VALUE(K$7)&gt;$F11,VALUE(K$7)&lt;=$G11),IF($D11="","◇","■"),""))</f>
        <v/>
      </c>
      <c r="L11" s="68" t="str">
        <f>IF($A11="","",IF(AND(VALUE(L$7)&gt;$F11,VALUE(L$7)&lt;=$G11),IF($D11="","◇","■"),""))</f>
        <v/>
      </c>
      <c r="M11" s="68" t="str">
        <f>IF($A11="","",IF(AND(VALUE(M$7)&gt;$F11,VALUE(M$7)&lt;=$G11),IF($D11="","◇","■"),""))</f>
        <v/>
      </c>
      <c r="N11" s="68" t="str">
        <f>IF($A11="","",IF(AND(VALUE(N$7)&gt;$F11,VALUE(N$7)&lt;=$G11),IF($D11="","◇","■"),""))</f>
        <v/>
      </c>
      <c r="O11" s="68" t="str">
        <f>IF($A11="","",IF(AND(VALUE(O$7)&gt;$F11,VALUE(O$7)&lt;=$G11),IF($D11="","◇","■"),""))</f>
        <v/>
      </c>
      <c r="P11" s="68" t="str">
        <f>IF($A11="","",IF(AND(VALUE(P$7)&gt;$F11,VALUE(P$7)&lt;=$G11),IF($D11="","◇","■"),""))</f>
        <v/>
      </c>
      <c r="Q11" s="68" t="str">
        <f>IF($A11="","",IF(AND(VALUE(Q$7)&gt;$F11,VALUE(Q$7)&lt;=$G11),IF($D11="","◇","■"),""))</f>
        <v/>
      </c>
      <c r="R11" s="68" t="str">
        <f>IF($A11="","",IF(AND(VALUE(R$7)&gt;$F11,VALUE(R$7)&lt;=$G11),IF($D11="","◇","■"),""))</f>
        <v/>
      </c>
      <c r="S11" s="68" t="str">
        <f>IF($A11="","",IF(AND(VALUE(S$7)&gt;$F11,VALUE(S$7)&lt;=$G11),IF($D11="","◇","■"),""))</f>
        <v/>
      </c>
      <c r="T11" s="68" t="str">
        <f>IF($A11="","",IF(AND(VALUE(T$7)&gt;$F11,VALUE(T$7)&lt;=$G11),IF($D11="","◇","■"),""))</f>
        <v/>
      </c>
      <c r="U11" s="68" t="str">
        <f>IF($A11="","",IF(AND(VALUE(U$7)&gt;$F11,VALUE(U$7)&lt;=$G11),IF($D11="","◇","■"),""))</f>
        <v/>
      </c>
      <c r="V11" s="68" t="str">
        <f>IF($A11="","",IF(AND(VALUE(V$7)&gt;$F11,VALUE(V$7)&lt;=$G11),IF($D11="","◇","■"),""))</f>
        <v/>
      </c>
      <c r="W11" s="68" t="str">
        <f>IF($A11="","",IF(AND(VALUE(W$7)&gt;$F11,VALUE(W$7)&lt;=$G11),IF($D11="","◇","■"),""))</f>
        <v/>
      </c>
      <c r="X11" s="68" t="str">
        <f>IF($A11="","",IF(AND(VALUE(X$7)&gt;$F11,VALUE(X$7)&lt;=$G11),IF($D11="","◇","■"),""))</f>
        <v/>
      </c>
      <c r="Y11" s="68" t="str">
        <f>IF($A11="","",IF(AND(VALUE(Y$7)&gt;$F11,VALUE(Y$7)&lt;=$G11),IF($D11="","◇","■"),""))</f>
        <v>■</v>
      </c>
      <c r="Z11" s="68" t="str">
        <f>IF($A11="","",IF(AND(VALUE(Z$7)&gt;$F11,VALUE(Z$7)&lt;=$G11),IF($D11="","◇","■"),""))</f>
        <v>■</v>
      </c>
      <c r="AA11" s="68" t="str">
        <f>IF($A11="","",IF(AND(VALUE(AA$7)&gt;$F11,VALUE(AA$7)&lt;=$G11),IF($D11="","◇","■"),""))</f>
        <v/>
      </c>
      <c r="AB11" s="68" t="str">
        <f>IF($A11="","",IF(AND(VALUE(AB$7)&gt;$F11,VALUE(AB$7)&lt;=$G11),IF($D11="","◇","■"),""))</f>
        <v/>
      </c>
      <c r="AC11" s="68" t="str">
        <f>IF($A11="","",IF(AND(VALUE(AC$7)&gt;$F11,VALUE(AC$7)&lt;=$G11),IF($D11="","◇","■"),""))</f>
        <v/>
      </c>
      <c r="AD11" s="68" t="str">
        <f>IF($A11="","",IF(AND(VALUE(AD$7)&gt;$F11,VALUE(AD$7)&lt;=$G11),IF($D11="","◇","■"),""))</f>
        <v/>
      </c>
      <c r="AE11" s="68" t="str">
        <f>IF($A11="","",IF(AND(VALUE(AE$7)&gt;$F11,VALUE(AE$7)&lt;=$G11),IF($D11="","◇","■"),""))</f>
        <v/>
      </c>
      <c r="AF11" s="68" t="str">
        <f>IF($A11="","",IF(AND(VALUE(AF$7)&gt;$F11,VALUE(AF$7)&lt;=$G11),IF($D11="","◇","■"),""))</f>
        <v/>
      </c>
      <c r="AG11" s="68" t="str">
        <f>IF($A11="","",IF(AND(VALUE(AG$7)&gt;$F11,VALUE(AG$7)&lt;=$G11),IF($D11="","◇","■"),""))</f>
        <v/>
      </c>
      <c r="AH11" s="68" t="str">
        <f>IF($A11="","",IF(AND(VALUE(AH$7)&gt;$F11,VALUE(AH$7)&lt;=$G11),IF($D11="","◇","■"),""))</f>
        <v/>
      </c>
      <c r="AI11" s="68" t="str">
        <f>IF($A11="","",IF(AND(VALUE(AI$7)&gt;$F11,VALUE(AI$7)&lt;=$G11),IF($D11="","◇","■"),""))</f>
        <v/>
      </c>
      <c r="AJ11" s="68" t="str">
        <f>IF($A11="","",IF(AND(VALUE(AJ$7)&gt;$F11,VALUE(AJ$7)&lt;=$G11),IF($D11="","◇","■"),""))</f>
        <v/>
      </c>
      <c r="AK11" s="68" t="str">
        <f>IF($A11="","",IF(AND(VALUE(AK$7)&gt;$F11,VALUE(AK$7)&lt;=$G11),IF($D11="","◇","■"),""))</f>
        <v/>
      </c>
      <c r="AL11" s="68" t="str">
        <f>IF($A11="","",IF(AND(VALUE(AL$7)&gt;$F11,VALUE(AL$7)&lt;=$G11),IF($D11="","◇","■"),""))</f>
        <v/>
      </c>
      <c r="AM11" s="68" t="str">
        <f>IF($A11="","",IF(AND(VALUE(AM$7)&gt;$F11,VALUE(AM$7)&lt;=$G11),IF($D11="","◇","■"),""))</f>
        <v/>
      </c>
    </row>
    <row r="12" spans="1:39" ht="18" customHeight="1" x14ac:dyDescent="0.35">
      <c r="A12" s="74" t="str" cm="1">
        <f t="array" ref="A12">IFERROR(INDEX(_xlfn._xlws.FILTER(tblProjectTasks[TaskGroup],(tblProjectTasks[IsWorkPackage]="Yes")*(tblProjectTasks[CaptureStatus]&lt;&gt;"Removed")),ROWS($A$8:A12)),"")</f>
        <v>Prepare site</v>
      </c>
      <c r="B12" s="75" cm="1">
        <f t="array" ref="B12">IFERROR(INDEX(_xlfn._xlws.FILTER(tblProjectTasks[WBSCode],(tblProjectTasks[IsWorkPackage]="Yes")*(tblProjectTasks[CaptureStatus]&lt;&gt;"Removed")),ROWS($B$8:B12)),"")</f>
        <v>2.2999999999999998</v>
      </c>
      <c r="C12" s="76" t="str" cm="1">
        <f t="array" ref="C12">IFERROR(INDEX(_xlfn._xlws.FILTER(tblProjectTasks[TaskName],(tblProjectTasks[IsWorkPackage]="Yes")*(tblProjectTasks[CaptureStatus]&lt;&gt;"Removed")),ROWS($C$8:C12)),"")</f>
        <v>Tree surgeon to trim branches above area</v>
      </c>
      <c r="D12" s="77" t="str" cm="1">
        <f t="array" ref="D12">_xlfn.LET(_xlpm.x,IFERROR(INDEX(_xlfn._xlws.FILTER(tblProjectTasks[Elapsed Time in Weeks],(tblProjectTasks[IsWorkPackage]="Yes")*(tblProjectTasks[CaptureStatus]&lt;&gt;"Removed")),ROWS($D$8:D12)),""),IF(_xlpm.x=0,"",_xlpm.x))</f>
        <v/>
      </c>
      <c r="E12" s="77">
        <f>IF($A12="","",IF($D12="",1,$D12))</f>
        <v>1</v>
      </c>
      <c r="F12" s="77">
        <f>IF($A12="","",IF(ROW()=8,0,$F11+$E11))</f>
        <v>19</v>
      </c>
      <c r="G12" s="77">
        <f>IF($A12="","",$F12+$E12)</f>
        <v>20</v>
      </c>
      <c r="H12" s="59" t="str">
        <f>IF($A12="","",IF(AND(VALUE(H$7)&gt;$F12,VALUE(H$7)&lt;=$G12),IF($D12="","◇","■"),""))</f>
        <v/>
      </c>
      <c r="I12" s="59" t="str">
        <f>IF($A12="","",IF(AND(VALUE(I$7)&gt;$F12,VALUE(I$7)&lt;=$G12),IF($D12="","◇","■"),""))</f>
        <v/>
      </c>
      <c r="J12" s="59" t="str">
        <f>IF($A12="","",IF(AND(VALUE(J$7)&gt;$F12,VALUE(J$7)&lt;=$G12),IF($D12="","◇","■"),""))</f>
        <v/>
      </c>
      <c r="K12" s="59" t="str">
        <f>IF($A12="","",IF(AND(VALUE(K$7)&gt;$F12,VALUE(K$7)&lt;=$G12),IF($D12="","◇","■"),""))</f>
        <v/>
      </c>
      <c r="L12" s="59" t="str">
        <f>IF($A12="","",IF(AND(VALUE(L$7)&gt;$F12,VALUE(L$7)&lt;=$G12),IF($D12="","◇","■"),""))</f>
        <v/>
      </c>
      <c r="M12" s="59" t="str">
        <f>IF($A12="","",IF(AND(VALUE(M$7)&gt;$F12,VALUE(M$7)&lt;=$G12),IF($D12="","◇","■"),""))</f>
        <v/>
      </c>
      <c r="N12" s="59" t="str">
        <f>IF($A12="","",IF(AND(VALUE(N$7)&gt;$F12,VALUE(N$7)&lt;=$G12),IF($D12="","◇","■"),""))</f>
        <v/>
      </c>
      <c r="O12" s="59" t="str">
        <f>IF($A12="","",IF(AND(VALUE(O$7)&gt;$F12,VALUE(O$7)&lt;=$G12),IF($D12="","◇","■"),""))</f>
        <v/>
      </c>
      <c r="P12" s="59" t="str">
        <f>IF($A12="","",IF(AND(VALUE(P$7)&gt;$F12,VALUE(P$7)&lt;=$G12),IF($D12="","◇","■"),""))</f>
        <v/>
      </c>
      <c r="Q12" s="59" t="str">
        <f>IF($A12="","",IF(AND(VALUE(Q$7)&gt;$F12,VALUE(Q$7)&lt;=$G12),IF($D12="","◇","■"),""))</f>
        <v/>
      </c>
      <c r="R12" s="59" t="str">
        <f>IF($A12="","",IF(AND(VALUE(R$7)&gt;$F12,VALUE(R$7)&lt;=$G12),IF($D12="","◇","■"),""))</f>
        <v/>
      </c>
      <c r="S12" s="59" t="str">
        <f>IF($A12="","",IF(AND(VALUE(S$7)&gt;$F12,VALUE(S$7)&lt;=$G12),IF($D12="","◇","■"),""))</f>
        <v/>
      </c>
      <c r="T12" s="59" t="str">
        <f>IF($A12="","",IF(AND(VALUE(T$7)&gt;$F12,VALUE(T$7)&lt;=$G12),IF($D12="","◇","■"),""))</f>
        <v/>
      </c>
      <c r="U12" s="59" t="str">
        <f>IF($A12="","",IF(AND(VALUE(U$7)&gt;$F12,VALUE(U$7)&lt;=$G12),IF($D12="","◇","■"),""))</f>
        <v/>
      </c>
      <c r="V12" s="59" t="str">
        <f>IF($A12="","",IF(AND(VALUE(V$7)&gt;$F12,VALUE(V$7)&lt;=$G12),IF($D12="","◇","■"),""))</f>
        <v/>
      </c>
      <c r="W12" s="59" t="str">
        <f>IF($A12="","",IF(AND(VALUE(W$7)&gt;$F12,VALUE(W$7)&lt;=$G12),IF($D12="","◇","■"),""))</f>
        <v/>
      </c>
      <c r="X12" s="59" t="str">
        <f>IF($A12="","",IF(AND(VALUE(X$7)&gt;$F12,VALUE(X$7)&lt;=$G12),IF($D12="","◇","■"),""))</f>
        <v/>
      </c>
      <c r="Y12" s="59" t="str">
        <f>IF($A12="","",IF(AND(VALUE(Y$7)&gt;$F12,VALUE(Y$7)&lt;=$G12),IF($D12="","◇","■"),""))</f>
        <v/>
      </c>
      <c r="Z12" s="59" t="str">
        <f>IF($A12="","",IF(AND(VALUE(Z$7)&gt;$F12,VALUE(Z$7)&lt;=$G12),IF($D12="","◇","■"),""))</f>
        <v/>
      </c>
      <c r="AA12" s="59" t="str">
        <f>IF($A12="","",IF(AND(VALUE(AA$7)&gt;$F12,VALUE(AA$7)&lt;=$G12),IF($D12="","◇","■"),""))</f>
        <v>◇</v>
      </c>
      <c r="AB12" s="59" t="str">
        <f>IF($A12="","",IF(AND(VALUE(AB$7)&gt;$F12,VALUE(AB$7)&lt;=$G12),IF($D12="","◇","■"),""))</f>
        <v/>
      </c>
      <c r="AC12" s="59" t="str">
        <f>IF($A12="","",IF(AND(VALUE(AC$7)&gt;$F12,VALUE(AC$7)&lt;=$G12),IF($D12="","◇","■"),""))</f>
        <v/>
      </c>
      <c r="AD12" s="59" t="str">
        <f>IF($A12="","",IF(AND(VALUE(AD$7)&gt;$F12,VALUE(AD$7)&lt;=$G12),IF($D12="","◇","■"),""))</f>
        <v/>
      </c>
      <c r="AE12" s="59" t="str">
        <f>IF($A12="","",IF(AND(VALUE(AE$7)&gt;$F12,VALUE(AE$7)&lt;=$G12),IF($D12="","◇","■"),""))</f>
        <v/>
      </c>
      <c r="AF12" s="59" t="str">
        <f>IF($A12="","",IF(AND(VALUE(AF$7)&gt;$F12,VALUE(AF$7)&lt;=$G12),IF($D12="","◇","■"),""))</f>
        <v/>
      </c>
      <c r="AG12" s="59" t="str">
        <f>IF($A12="","",IF(AND(VALUE(AG$7)&gt;$F12,VALUE(AG$7)&lt;=$G12),IF($D12="","◇","■"),""))</f>
        <v/>
      </c>
      <c r="AH12" s="59" t="str">
        <f>IF($A12="","",IF(AND(VALUE(AH$7)&gt;$F12,VALUE(AH$7)&lt;=$G12),IF($D12="","◇","■"),""))</f>
        <v/>
      </c>
      <c r="AI12" s="59" t="str">
        <f>IF($A12="","",IF(AND(VALUE(AI$7)&gt;$F12,VALUE(AI$7)&lt;=$G12),IF($D12="","◇","■"),""))</f>
        <v/>
      </c>
      <c r="AJ12" s="59" t="str">
        <f>IF($A12="","",IF(AND(VALUE(AJ$7)&gt;$F12,VALUE(AJ$7)&lt;=$G12),IF($D12="","◇","■"),""))</f>
        <v/>
      </c>
      <c r="AK12" s="59" t="str">
        <f>IF($A12="","",IF(AND(VALUE(AK$7)&gt;$F12,VALUE(AK$7)&lt;=$G12),IF($D12="","◇","■"),""))</f>
        <v/>
      </c>
      <c r="AL12" s="59" t="str">
        <f>IF($A12="","",IF(AND(VALUE(AL$7)&gt;$F12,VALUE(AL$7)&lt;=$G12),IF($D12="","◇","■"),""))</f>
        <v/>
      </c>
      <c r="AM12" s="59" t="str">
        <f>IF($A12="","",IF(AND(VALUE(AM$7)&gt;$F12,VALUE(AM$7)&lt;=$G12),IF($D12="","◇","■"),""))</f>
        <v/>
      </c>
    </row>
    <row r="13" spans="1:39" ht="18" customHeight="1" x14ac:dyDescent="0.35">
      <c r="A13" s="74" t="str" cm="1">
        <f t="array" ref="A13">IFERROR(INDEX(_xlfn._xlws.FILTER(tblProjectTasks[TaskGroup],(tblProjectTasks[IsWorkPackage]="Yes")*(tblProjectTasks[CaptureStatus]&lt;&gt;"Removed")),ROWS($A$8:A13)),"")</f>
        <v>Prepare site</v>
      </c>
      <c r="B13" s="75" cm="1">
        <f t="array" ref="B13">IFERROR(INDEX(_xlfn._xlws.FILTER(tblProjectTasks[WBSCode],(tblProjectTasks[IsWorkPackage]="Yes")*(tblProjectTasks[CaptureStatus]&lt;&gt;"Removed")),ROWS($B$8:B13)),"")</f>
        <v>2.4</v>
      </c>
      <c r="C13" s="76" t="str" cm="1">
        <f t="array" ref="C13">IFERROR(INDEX(_xlfn._xlws.FILTER(tblProjectTasks[TaskName],(tblProjectTasks[IsWorkPackage]="Yes")*(tblProjectTasks[CaptureStatus]&lt;&gt;"Removed")),ROWS($C$8:C13)),"")</f>
        <v>Put a power wire down the garden</v>
      </c>
      <c r="D13" s="77" t="str" cm="1">
        <f t="array" ref="D13">_xlfn.LET(_xlpm.x,IFERROR(INDEX(_xlfn._xlws.FILTER(tblProjectTasks[Elapsed Time in Weeks],(tblProjectTasks[IsWorkPackage]="Yes")*(tblProjectTasks[CaptureStatus]&lt;&gt;"Removed")),ROWS($D$8:D13)),""),IF(_xlpm.x=0,"",_xlpm.x))</f>
        <v/>
      </c>
      <c r="E13" s="77">
        <f>IF($A13="","",IF($D13="",1,$D13))</f>
        <v>1</v>
      </c>
      <c r="F13" s="77">
        <f>IF($A13="","",IF(ROW()=8,0,$F12+$E12))</f>
        <v>20</v>
      </c>
      <c r="G13" s="77">
        <f>IF($A13="","",$F13+$E13)</f>
        <v>21</v>
      </c>
      <c r="H13" s="59" t="str">
        <f>IF($A13="","",IF(AND(VALUE(H$7)&gt;$F13,VALUE(H$7)&lt;=$G13),IF($D13="","◇","■"),""))</f>
        <v/>
      </c>
      <c r="I13" s="59" t="str">
        <f>IF($A13="","",IF(AND(VALUE(I$7)&gt;$F13,VALUE(I$7)&lt;=$G13),IF($D13="","◇","■"),""))</f>
        <v/>
      </c>
      <c r="J13" s="59" t="str">
        <f>IF($A13="","",IF(AND(VALUE(J$7)&gt;$F13,VALUE(J$7)&lt;=$G13),IF($D13="","◇","■"),""))</f>
        <v/>
      </c>
      <c r="K13" s="59" t="str">
        <f>IF($A13="","",IF(AND(VALUE(K$7)&gt;$F13,VALUE(K$7)&lt;=$G13),IF($D13="","◇","■"),""))</f>
        <v/>
      </c>
      <c r="L13" s="59" t="str">
        <f>IF($A13="","",IF(AND(VALUE(L$7)&gt;$F13,VALUE(L$7)&lt;=$G13),IF($D13="","◇","■"),""))</f>
        <v/>
      </c>
      <c r="M13" s="59" t="str">
        <f>IF($A13="","",IF(AND(VALUE(M$7)&gt;$F13,VALUE(M$7)&lt;=$G13),IF($D13="","◇","■"),""))</f>
        <v/>
      </c>
      <c r="N13" s="59" t="str">
        <f>IF($A13="","",IF(AND(VALUE(N$7)&gt;$F13,VALUE(N$7)&lt;=$G13),IF($D13="","◇","■"),""))</f>
        <v/>
      </c>
      <c r="O13" s="59" t="str">
        <f>IF($A13="","",IF(AND(VALUE(O$7)&gt;$F13,VALUE(O$7)&lt;=$G13),IF($D13="","◇","■"),""))</f>
        <v/>
      </c>
      <c r="P13" s="59" t="str">
        <f>IF($A13="","",IF(AND(VALUE(P$7)&gt;$F13,VALUE(P$7)&lt;=$G13),IF($D13="","◇","■"),""))</f>
        <v/>
      </c>
      <c r="Q13" s="59" t="str">
        <f>IF($A13="","",IF(AND(VALUE(Q$7)&gt;$F13,VALUE(Q$7)&lt;=$G13),IF($D13="","◇","■"),""))</f>
        <v/>
      </c>
      <c r="R13" s="59" t="str">
        <f>IF($A13="","",IF(AND(VALUE(R$7)&gt;$F13,VALUE(R$7)&lt;=$G13),IF($D13="","◇","■"),""))</f>
        <v/>
      </c>
      <c r="S13" s="59" t="str">
        <f>IF($A13="","",IF(AND(VALUE(S$7)&gt;$F13,VALUE(S$7)&lt;=$G13),IF($D13="","◇","■"),""))</f>
        <v/>
      </c>
      <c r="T13" s="59" t="str">
        <f>IF($A13="","",IF(AND(VALUE(T$7)&gt;$F13,VALUE(T$7)&lt;=$G13),IF($D13="","◇","■"),""))</f>
        <v/>
      </c>
      <c r="U13" s="59" t="str">
        <f>IF($A13="","",IF(AND(VALUE(U$7)&gt;$F13,VALUE(U$7)&lt;=$G13),IF($D13="","◇","■"),""))</f>
        <v/>
      </c>
      <c r="V13" s="59" t="str">
        <f>IF($A13="","",IF(AND(VALUE(V$7)&gt;$F13,VALUE(V$7)&lt;=$G13),IF($D13="","◇","■"),""))</f>
        <v/>
      </c>
      <c r="W13" s="59" t="str">
        <f>IF($A13="","",IF(AND(VALUE(W$7)&gt;$F13,VALUE(W$7)&lt;=$G13),IF($D13="","◇","■"),""))</f>
        <v/>
      </c>
      <c r="X13" s="59" t="str">
        <f>IF($A13="","",IF(AND(VALUE(X$7)&gt;$F13,VALUE(X$7)&lt;=$G13),IF($D13="","◇","■"),""))</f>
        <v/>
      </c>
      <c r="Y13" s="59" t="str">
        <f>IF($A13="","",IF(AND(VALUE(Y$7)&gt;$F13,VALUE(Y$7)&lt;=$G13),IF($D13="","◇","■"),""))</f>
        <v/>
      </c>
      <c r="Z13" s="59" t="str">
        <f>IF($A13="","",IF(AND(VALUE(Z$7)&gt;$F13,VALUE(Z$7)&lt;=$G13),IF($D13="","◇","■"),""))</f>
        <v/>
      </c>
      <c r="AA13" s="59" t="str">
        <f>IF($A13="","",IF(AND(VALUE(AA$7)&gt;$F13,VALUE(AA$7)&lt;=$G13),IF($D13="","◇","■"),""))</f>
        <v/>
      </c>
      <c r="AB13" s="59" t="str">
        <f>IF($A13="","",IF(AND(VALUE(AB$7)&gt;$F13,VALUE(AB$7)&lt;=$G13),IF($D13="","◇","■"),""))</f>
        <v>◇</v>
      </c>
      <c r="AC13" s="59" t="str">
        <f>IF($A13="","",IF(AND(VALUE(AC$7)&gt;$F13,VALUE(AC$7)&lt;=$G13),IF($D13="","◇","■"),""))</f>
        <v/>
      </c>
      <c r="AD13" s="59" t="str">
        <f>IF($A13="","",IF(AND(VALUE(AD$7)&gt;$F13,VALUE(AD$7)&lt;=$G13),IF($D13="","◇","■"),""))</f>
        <v/>
      </c>
      <c r="AE13" s="59" t="str">
        <f>IF($A13="","",IF(AND(VALUE(AE$7)&gt;$F13,VALUE(AE$7)&lt;=$G13),IF($D13="","◇","■"),""))</f>
        <v/>
      </c>
      <c r="AF13" s="59" t="str">
        <f>IF($A13="","",IF(AND(VALUE(AF$7)&gt;$F13,VALUE(AF$7)&lt;=$G13),IF($D13="","◇","■"),""))</f>
        <v/>
      </c>
      <c r="AG13" s="59" t="str">
        <f>IF($A13="","",IF(AND(VALUE(AG$7)&gt;$F13,VALUE(AG$7)&lt;=$G13),IF($D13="","◇","■"),""))</f>
        <v/>
      </c>
      <c r="AH13" s="59" t="str">
        <f>IF($A13="","",IF(AND(VALUE(AH$7)&gt;$F13,VALUE(AH$7)&lt;=$G13),IF($D13="","◇","■"),""))</f>
        <v/>
      </c>
      <c r="AI13" s="59" t="str">
        <f>IF($A13="","",IF(AND(VALUE(AI$7)&gt;$F13,VALUE(AI$7)&lt;=$G13),IF($D13="","◇","■"),""))</f>
        <v/>
      </c>
      <c r="AJ13" s="59" t="str">
        <f>IF($A13="","",IF(AND(VALUE(AJ$7)&gt;$F13,VALUE(AJ$7)&lt;=$G13),IF($D13="","◇","■"),""))</f>
        <v/>
      </c>
      <c r="AK13" s="59" t="str">
        <f>IF($A13="","",IF(AND(VALUE(AK$7)&gt;$F13,VALUE(AK$7)&lt;=$G13),IF($D13="","◇","■"),""))</f>
        <v/>
      </c>
      <c r="AL13" s="59" t="str">
        <f>IF($A13="","",IF(AND(VALUE(AL$7)&gt;$F13,VALUE(AL$7)&lt;=$G13),IF($D13="","◇","■"),""))</f>
        <v/>
      </c>
      <c r="AM13" s="59" t="str">
        <f>IF($A13="","",IF(AND(VALUE(AM$7)&gt;$F13,VALUE(AM$7)&lt;=$G13),IF($D13="","◇","■"),""))</f>
        <v/>
      </c>
    </row>
    <row r="14" spans="1:39" ht="18" customHeight="1" thickBot="1" x14ac:dyDescent="0.4">
      <c r="A14" s="91" t="str" cm="1">
        <f t="array" ref="A14">IFERROR(INDEX(_xlfn._xlws.FILTER(tblProjectTasks[TaskGroup],(tblProjectTasks[IsWorkPackage]="Yes")*(tblProjectTasks[CaptureStatus]&lt;&gt;"Removed")),ROWS($A$8:A14)),"")</f>
        <v>Prepare site</v>
      </c>
      <c r="B14" s="92" cm="1">
        <f t="array" ref="B14">IFERROR(INDEX(_xlfn._xlws.FILTER(tblProjectTasks[WBSCode],(tblProjectTasks[IsWorkPackage]="Yes")*(tblProjectTasks[CaptureStatus]&lt;&gt;"Removed")),ROWS($B$8:B14)),"")</f>
        <v>2.5</v>
      </c>
      <c r="C14" s="93" t="str" cm="1">
        <f t="array" ref="C14">IFERROR(INDEX(_xlfn._xlws.FILTER(tblProjectTasks[TaskName],(tblProjectTasks[IsWorkPackage]="Yes")*(tblProjectTasks[CaptureStatus]&lt;&gt;"Removed")),ROWS($C$8:C14)),"")</f>
        <v>Connect power</v>
      </c>
      <c r="D14" s="94" t="str" cm="1">
        <f t="array" ref="D14">_xlfn.LET(_xlpm.x,IFERROR(INDEX(_xlfn._xlws.FILTER(tblProjectTasks[Elapsed Time in Weeks],(tblProjectTasks[IsWorkPackage]="Yes")*(tblProjectTasks[CaptureStatus]&lt;&gt;"Removed")),ROWS($D$8:D14)),""),IF(_xlpm.x=0,"",_xlpm.x))</f>
        <v/>
      </c>
      <c r="E14" s="94">
        <f>IF($A14="","",IF($D14="",1,$D14))</f>
        <v>1</v>
      </c>
      <c r="F14" s="94">
        <f>IF($A14="","",IF(ROW()=8,0,$F13+$E13))</f>
        <v>21</v>
      </c>
      <c r="G14" s="94">
        <f>IF($A14="","",$F14+$E14)</f>
        <v>22</v>
      </c>
      <c r="H14" s="64" t="str">
        <f>IF($A14="","",IF(AND(VALUE(H$7)&gt;$F14,VALUE(H$7)&lt;=$G14),IF($D14="","◇","■"),""))</f>
        <v/>
      </c>
      <c r="I14" s="64" t="str">
        <f>IF($A14="","",IF(AND(VALUE(I$7)&gt;$F14,VALUE(I$7)&lt;=$G14),IF($D14="","◇","■"),""))</f>
        <v/>
      </c>
      <c r="J14" s="64" t="str">
        <f>IF($A14="","",IF(AND(VALUE(J$7)&gt;$F14,VALUE(J$7)&lt;=$G14),IF($D14="","◇","■"),""))</f>
        <v/>
      </c>
      <c r="K14" s="64" t="str">
        <f>IF($A14="","",IF(AND(VALUE(K$7)&gt;$F14,VALUE(K$7)&lt;=$G14),IF($D14="","◇","■"),""))</f>
        <v/>
      </c>
      <c r="L14" s="64" t="str">
        <f>IF($A14="","",IF(AND(VALUE(L$7)&gt;$F14,VALUE(L$7)&lt;=$G14),IF($D14="","◇","■"),""))</f>
        <v/>
      </c>
      <c r="M14" s="64" t="str">
        <f>IF($A14="","",IF(AND(VALUE(M$7)&gt;$F14,VALUE(M$7)&lt;=$G14),IF($D14="","◇","■"),""))</f>
        <v/>
      </c>
      <c r="N14" s="64" t="str">
        <f>IF($A14="","",IF(AND(VALUE(N$7)&gt;$F14,VALUE(N$7)&lt;=$G14),IF($D14="","◇","■"),""))</f>
        <v/>
      </c>
      <c r="O14" s="64" t="str">
        <f>IF($A14="","",IF(AND(VALUE(O$7)&gt;$F14,VALUE(O$7)&lt;=$G14),IF($D14="","◇","■"),""))</f>
        <v/>
      </c>
      <c r="P14" s="64" t="str">
        <f>IF($A14="","",IF(AND(VALUE(P$7)&gt;$F14,VALUE(P$7)&lt;=$G14),IF($D14="","◇","■"),""))</f>
        <v/>
      </c>
      <c r="Q14" s="64" t="str">
        <f>IF($A14="","",IF(AND(VALUE(Q$7)&gt;$F14,VALUE(Q$7)&lt;=$G14),IF($D14="","◇","■"),""))</f>
        <v/>
      </c>
      <c r="R14" s="64" t="str">
        <f>IF($A14="","",IF(AND(VALUE(R$7)&gt;$F14,VALUE(R$7)&lt;=$G14),IF($D14="","◇","■"),""))</f>
        <v/>
      </c>
      <c r="S14" s="64" t="str">
        <f>IF($A14="","",IF(AND(VALUE(S$7)&gt;$F14,VALUE(S$7)&lt;=$G14),IF($D14="","◇","■"),""))</f>
        <v/>
      </c>
      <c r="T14" s="64" t="str">
        <f>IF($A14="","",IF(AND(VALUE(T$7)&gt;$F14,VALUE(T$7)&lt;=$G14),IF($D14="","◇","■"),""))</f>
        <v/>
      </c>
      <c r="U14" s="64" t="str">
        <f>IF($A14="","",IF(AND(VALUE(U$7)&gt;$F14,VALUE(U$7)&lt;=$G14),IF($D14="","◇","■"),""))</f>
        <v/>
      </c>
      <c r="V14" s="64" t="str">
        <f>IF($A14="","",IF(AND(VALUE(V$7)&gt;$F14,VALUE(V$7)&lt;=$G14),IF($D14="","◇","■"),""))</f>
        <v/>
      </c>
      <c r="W14" s="64" t="str">
        <f>IF($A14="","",IF(AND(VALUE(W$7)&gt;$F14,VALUE(W$7)&lt;=$G14),IF($D14="","◇","■"),""))</f>
        <v/>
      </c>
      <c r="X14" s="64" t="str">
        <f>IF($A14="","",IF(AND(VALUE(X$7)&gt;$F14,VALUE(X$7)&lt;=$G14),IF($D14="","◇","■"),""))</f>
        <v/>
      </c>
      <c r="Y14" s="64" t="str">
        <f>IF($A14="","",IF(AND(VALUE(Y$7)&gt;$F14,VALUE(Y$7)&lt;=$G14),IF($D14="","◇","■"),""))</f>
        <v/>
      </c>
      <c r="Z14" s="64" t="str">
        <f>IF($A14="","",IF(AND(VALUE(Z$7)&gt;$F14,VALUE(Z$7)&lt;=$G14),IF($D14="","◇","■"),""))</f>
        <v/>
      </c>
      <c r="AA14" s="64" t="str">
        <f>IF($A14="","",IF(AND(VALUE(AA$7)&gt;$F14,VALUE(AA$7)&lt;=$G14),IF($D14="","◇","■"),""))</f>
        <v/>
      </c>
      <c r="AB14" s="64" t="str">
        <f>IF($A14="","",IF(AND(VALUE(AB$7)&gt;$F14,VALUE(AB$7)&lt;=$G14),IF($D14="","◇","■"),""))</f>
        <v/>
      </c>
      <c r="AC14" s="64" t="str">
        <f>IF($A14="","",IF(AND(VALUE(AC$7)&gt;$F14,VALUE(AC$7)&lt;=$G14),IF($D14="","◇","■"),""))</f>
        <v>◇</v>
      </c>
      <c r="AD14" s="64" t="str">
        <f>IF($A14="","",IF(AND(VALUE(AD$7)&gt;$F14,VALUE(AD$7)&lt;=$G14),IF($D14="","◇","■"),""))</f>
        <v/>
      </c>
      <c r="AE14" s="64" t="str">
        <f>IF($A14="","",IF(AND(VALUE(AE$7)&gt;$F14,VALUE(AE$7)&lt;=$G14),IF($D14="","◇","■"),""))</f>
        <v/>
      </c>
      <c r="AF14" s="64" t="str">
        <f>IF($A14="","",IF(AND(VALUE(AF$7)&gt;$F14,VALUE(AF$7)&lt;=$G14),IF($D14="","◇","■"),""))</f>
        <v/>
      </c>
      <c r="AG14" s="64" t="str">
        <f>IF($A14="","",IF(AND(VALUE(AG$7)&gt;$F14,VALUE(AG$7)&lt;=$G14),IF($D14="","◇","■"),""))</f>
        <v/>
      </c>
      <c r="AH14" s="64" t="str">
        <f>IF($A14="","",IF(AND(VALUE(AH$7)&gt;$F14,VALUE(AH$7)&lt;=$G14),IF($D14="","◇","■"),""))</f>
        <v/>
      </c>
      <c r="AI14" s="64" t="str">
        <f>IF($A14="","",IF(AND(VALUE(AI$7)&gt;$F14,VALUE(AI$7)&lt;=$G14),IF($D14="","◇","■"),""))</f>
        <v/>
      </c>
      <c r="AJ14" s="64" t="str">
        <f>IF($A14="","",IF(AND(VALUE(AJ$7)&gt;$F14,VALUE(AJ$7)&lt;=$G14),IF($D14="","◇","■"),""))</f>
        <v/>
      </c>
      <c r="AK14" s="64" t="str">
        <f>IF($A14="","",IF(AND(VALUE(AK$7)&gt;$F14,VALUE(AK$7)&lt;=$G14),IF($D14="","◇","■"),""))</f>
        <v/>
      </c>
      <c r="AL14" s="64" t="str">
        <f>IF($A14="","",IF(AND(VALUE(AL$7)&gt;$F14,VALUE(AL$7)&lt;=$G14),IF($D14="","◇","■"),""))</f>
        <v/>
      </c>
      <c r="AM14" s="64" t="str">
        <f>IF($A14="","",IF(AND(VALUE(AM$7)&gt;$F14,VALUE(AM$7)&lt;=$G14),IF($D14="","◇","■"),""))</f>
        <v/>
      </c>
    </row>
    <row r="15" spans="1:39" ht="18" customHeight="1" thickTop="1" thickBot="1" x14ac:dyDescent="0.4">
      <c r="A15" s="103" t="str" cm="1">
        <f t="array" ref="A15">IFERROR(INDEX(_xlfn._xlws.FILTER(tblProjectTasks[TaskGroup],(tblProjectTasks[IsWorkPackage]="Yes")*(tblProjectTasks[CaptureStatus]&lt;&gt;"Removed")),ROWS($A$8:A15)),"")</f>
        <v>Buying</v>
      </c>
      <c r="B15" s="104" cm="1">
        <f t="array" ref="B15">IFERROR(INDEX(_xlfn._xlws.FILTER(tblProjectTasks[WBSCode],(tblProjectTasks[IsWorkPackage]="Yes")*(tblProjectTasks[CaptureStatus]&lt;&gt;"Removed")),ROWS($B$8:B15)),"")</f>
        <v>3.1</v>
      </c>
      <c r="C15" s="105" t="str" cm="1">
        <f t="array" ref="C15">IFERROR(INDEX(_xlfn._xlws.FILTER(tblProjectTasks[TaskName],(tblProjectTasks[IsWorkPackage]="Yes")*(tblProjectTasks[CaptureStatus]&lt;&gt;"Removed")),ROWS($C$8:C15)),"")</f>
        <v>Check funds</v>
      </c>
      <c r="D15" s="106" cm="1">
        <f t="array" ref="D15">_xlfn.LET(_xlpm.x,IFERROR(INDEX(_xlfn._xlws.FILTER(tblProjectTasks[Elapsed Time in Weeks],(tblProjectTasks[IsWorkPackage]="Yes")*(tblProjectTasks[CaptureStatus]&lt;&gt;"Removed")),ROWS($D$8:D15)),""),IF(_xlpm.x=0,"",_xlpm.x))</f>
        <v>1</v>
      </c>
      <c r="E15" s="106">
        <f>IF($A15="","",IF($D15="",1,$D15))</f>
        <v>1</v>
      </c>
      <c r="F15" s="106">
        <f>IF($A15="","",IF(ROW()=8,0,$F14+$E14))</f>
        <v>22</v>
      </c>
      <c r="G15" s="106">
        <f>IF($A15="","",$F15+$E15)</f>
        <v>23</v>
      </c>
      <c r="H15" s="107" t="str">
        <f>IF($A15="","",IF(AND(VALUE(H$7)&gt;$F15,VALUE(H$7)&lt;=$G15),IF($D15="","◇","■"),""))</f>
        <v/>
      </c>
      <c r="I15" s="107" t="str">
        <f>IF($A15="","",IF(AND(VALUE(I$7)&gt;$F15,VALUE(I$7)&lt;=$G15),IF($D15="","◇","■"),""))</f>
        <v/>
      </c>
      <c r="J15" s="107" t="str">
        <f>IF($A15="","",IF(AND(VALUE(J$7)&gt;$F15,VALUE(J$7)&lt;=$G15),IF($D15="","◇","■"),""))</f>
        <v/>
      </c>
      <c r="K15" s="107" t="str">
        <f>IF($A15="","",IF(AND(VALUE(K$7)&gt;$F15,VALUE(K$7)&lt;=$G15),IF($D15="","◇","■"),""))</f>
        <v/>
      </c>
      <c r="L15" s="107" t="str">
        <f>IF($A15="","",IF(AND(VALUE(L$7)&gt;$F15,VALUE(L$7)&lt;=$G15),IF($D15="","◇","■"),""))</f>
        <v/>
      </c>
      <c r="M15" s="107" t="str">
        <f>IF($A15="","",IF(AND(VALUE(M$7)&gt;$F15,VALUE(M$7)&lt;=$G15),IF($D15="","◇","■"),""))</f>
        <v/>
      </c>
      <c r="N15" s="107" t="str">
        <f>IF($A15="","",IF(AND(VALUE(N$7)&gt;$F15,VALUE(N$7)&lt;=$G15),IF($D15="","◇","■"),""))</f>
        <v/>
      </c>
      <c r="O15" s="107" t="str">
        <f>IF($A15="","",IF(AND(VALUE(O$7)&gt;$F15,VALUE(O$7)&lt;=$G15),IF($D15="","◇","■"),""))</f>
        <v/>
      </c>
      <c r="P15" s="107" t="str">
        <f>IF($A15="","",IF(AND(VALUE(P$7)&gt;$F15,VALUE(P$7)&lt;=$G15),IF($D15="","◇","■"),""))</f>
        <v/>
      </c>
      <c r="Q15" s="107" t="str">
        <f>IF($A15="","",IF(AND(VALUE(Q$7)&gt;$F15,VALUE(Q$7)&lt;=$G15),IF($D15="","◇","■"),""))</f>
        <v/>
      </c>
      <c r="R15" s="107" t="str">
        <f>IF($A15="","",IF(AND(VALUE(R$7)&gt;$F15,VALUE(R$7)&lt;=$G15),IF($D15="","◇","■"),""))</f>
        <v/>
      </c>
      <c r="S15" s="107" t="str">
        <f>IF($A15="","",IF(AND(VALUE(S$7)&gt;$F15,VALUE(S$7)&lt;=$G15),IF($D15="","◇","■"),""))</f>
        <v/>
      </c>
      <c r="T15" s="107" t="str">
        <f>IF($A15="","",IF(AND(VALUE(T$7)&gt;$F15,VALUE(T$7)&lt;=$G15),IF($D15="","◇","■"),""))</f>
        <v/>
      </c>
      <c r="U15" s="107" t="str">
        <f>IF($A15="","",IF(AND(VALUE(U$7)&gt;$F15,VALUE(U$7)&lt;=$G15),IF($D15="","◇","■"),""))</f>
        <v/>
      </c>
      <c r="V15" s="107" t="str">
        <f>IF($A15="","",IF(AND(VALUE(V$7)&gt;$F15,VALUE(V$7)&lt;=$G15),IF($D15="","◇","■"),""))</f>
        <v/>
      </c>
      <c r="W15" s="107" t="str">
        <f>IF($A15="","",IF(AND(VALUE(W$7)&gt;$F15,VALUE(W$7)&lt;=$G15),IF($D15="","◇","■"),""))</f>
        <v/>
      </c>
      <c r="X15" s="107" t="str">
        <f>IF($A15="","",IF(AND(VALUE(X$7)&gt;$F15,VALUE(X$7)&lt;=$G15),IF($D15="","◇","■"),""))</f>
        <v/>
      </c>
      <c r="Y15" s="107" t="str">
        <f>IF($A15="","",IF(AND(VALUE(Y$7)&gt;$F15,VALUE(Y$7)&lt;=$G15),IF($D15="","◇","■"),""))</f>
        <v/>
      </c>
      <c r="Z15" s="107" t="str">
        <f>IF($A15="","",IF(AND(VALUE(Z$7)&gt;$F15,VALUE(Z$7)&lt;=$G15),IF($D15="","◇","■"),""))</f>
        <v/>
      </c>
      <c r="AA15" s="107" t="str">
        <f>IF($A15="","",IF(AND(VALUE(AA$7)&gt;$F15,VALUE(AA$7)&lt;=$G15),IF($D15="","◇","■"),""))</f>
        <v/>
      </c>
      <c r="AB15" s="107" t="str">
        <f>IF($A15="","",IF(AND(VALUE(AB$7)&gt;$F15,VALUE(AB$7)&lt;=$G15),IF($D15="","◇","■"),""))</f>
        <v/>
      </c>
      <c r="AC15" s="107" t="str">
        <f>IF($A15="","",IF(AND(VALUE(AC$7)&gt;$F15,VALUE(AC$7)&lt;=$G15),IF($D15="","◇","■"),""))</f>
        <v/>
      </c>
      <c r="AD15" s="107" t="str">
        <f>IF($A15="","",IF(AND(VALUE(AD$7)&gt;$F15,VALUE(AD$7)&lt;=$G15),IF($D15="","◇","■"),""))</f>
        <v>■</v>
      </c>
      <c r="AE15" s="107" t="str">
        <f>IF($A15="","",IF(AND(VALUE(AE$7)&gt;$F15,VALUE(AE$7)&lt;=$G15),IF($D15="","◇","■"),""))</f>
        <v/>
      </c>
      <c r="AF15" s="107" t="str">
        <f>IF($A15="","",IF(AND(VALUE(AF$7)&gt;$F15,VALUE(AF$7)&lt;=$G15),IF($D15="","◇","■"),""))</f>
        <v/>
      </c>
      <c r="AG15" s="107" t="str">
        <f>IF($A15="","",IF(AND(VALUE(AG$7)&gt;$F15,VALUE(AG$7)&lt;=$G15),IF($D15="","◇","■"),""))</f>
        <v/>
      </c>
      <c r="AH15" s="107" t="str">
        <f>IF($A15="","",IF(AND(VALUE(AH$7)&gt;$F15,VALUE(AH$7)&lt;=$G15),IF($D15="","◇","■"),""))</f>
        <v/>
      </c>
      <c r="AI15" s="107" t="str">
        <f>IF($A15="","",IF(AND(VALUE(AI$7)&gt;$F15,VALUE(AI$7)&lt;=$G15),IF($D15="","◇","■"),""))</f>
        <v/>
      </c>
      <c r="AJ15" s="107" t="str">
        <f>IF($A15="","",IF(AND(VALUE(AJ$7)&gt;$F15,VALUE(AJ$7)&lt;=$G15),IF($D15="","◇","■"),""))</f>
        <v/>
      </c>
      <c r="AK15" s="107" t="str">
        <f>IF($A15="","",IF(AND(VALUE(AK$7)&gt;$F15,VALUE(AK$7)&lt;=$G15),IF($D15="","◇","■"),""))</f>
        <v/>
      </c>
      <c r="AL15" s="107" t="str">
        <f>IF($A15="","",IF(AND(VALUE(AL$7)&gt;$F15,VALUE(AL$7)&lt;=$G15),IF($D15="","◇","■"),""))</f>
        <v/>
      </c>
      <c r="AM15" s="107" t="str">
        <f>IF($A15="","",IF(AND(VALUE(AM$7)&gt;$F15,VALUE(AM$7)&lt;=$G15),IF($D15="","◇","■"),""))</f>
        <v/>
      </c>
    </row>
    <row r="16" spans="1:39" ht="18" customHeight="1" thickTop="1" x14ac:dyDescent="0.35">
      <c r="A16" s="108" t="str" cm="1">
        <f t="array" ref="A16">IFERROR(INDEX(_xlfn._xlws.FILTER(tblProjectTasks[TaskGroup],(tblProjectTasks[IsWorkPackage]="Yes")*(tblProjectTasks[CaptureStatus]&lt;&gt;"Removed")),ROWS($A$8:A16)),"")</f>
        <v>Shed</v>
      </c>
      <c r="B16" s="109" t="str" cm="1">
        <f t="array" ref="B16">IFERROR(INDEX(_xlfn._xlws.FILTER(tblProjectTasks[WBSCode],(tblProjectTasks[IsWorkPackage]="Yes")*(tblProjectTasks[CaptureStatus]&lt;&gt;"Removed")),ROWS($B$8:B16)),"")</f>
        <v>3.2.1</v>
      </c>
      <c r="C16" s="110" t="str" cm="1">
        <f t="array" ref="C16">IFERROR(INDEX(_xlfn._xlws.FILTER(tblProjectTasks[TaskName],(tblProjectTasks[IsWorkPackage]="Yes")*(tblProjectTasks[CaptureStatus]&lt;&gt;"Removed")),ROWS($C$8:C16)),"")</f>
        <v>Research - talk to friends</v>
      </c>
      <c r="D16" s="111" cm="1">
        <f t="array" ref="D16">_xlfn.LET(_xlpm.x,IFERROR(INDEX(_xlfn._xlws.FILTER(tblProjectTasks[Elapsed Time in Weeks],(tblProjectTasks[IsWorkPackage]="Yes")*(tblProjectTasks[CaptureStatus]&lt;&gt;"Removed")),ROWS($D$8:D16)),""),IF(_xlpm.x=0,"",_xlpm.x))</f>
        <v>3</v>
      </c>
      <c r="E16" s="111">
        <f>IF($A16="","",IF($D16="",1,$D16))</f>
        <v>3</v>
      </c>
      <c r="F16" s="111">
        <f>IF($A16="","",IF(ROW()=8,0,$F15+$E15))</f>
        <v>23</v>
      </c>
      <c r="G16" s="111">
        <f>IF($A16="","",$F16+$E16)</f>
        <v>26</v>
      </c>
      <c r="H16" s="73" t="str">
        <f>IF($A16="","",IF(AND(VALUE(H$7)&gt;$F16,VALUE(H$7)&lt;=$G16),IF($D16="","◇","■"),""))</f>
        <v/>
      </c>
      <c r="I16" s="73" t="str">
        <f>IF($A16="","",IF(AND(VALUE(I$7)&gt;$F16,VALUE(I$7)&lt;=$G16),IF($D16="","◇","■"),""))</f>
        <v/>
      </c>
      <c r="J16" s="73" t="str">
        <f>IF($A16="","",IF(AND(VALUE(J$7)&gt;$F16,VALUE(J$7)&lt;=$G16),IF($D16="","◇","■"),""))</f>
        <v/>
      </c>
      <c r="K16" s="73" t="str">
        <f>IF($A16="","",IF(AND(VALUE(K$7)&gt;$F16,VALUE(K$7)&lt;=$G16),IF($D16="","◇","■"),""))</f>
        <v/>
      </c>
      <c r="L16" s="73" t="str">
        <f>IF($A16="","",IF(AND(VALUE(L$7)&gt;$F16,VALUE(L$7)&lt;=$G16),IF($D16="","◇","■"),""))</f>
        <v/>
      </c>
      <c r="M16" s="73" t="str">
        <f>IF($A16="","",IF(AND(VALUE(M$7)&gt;$F16,VALUE(M$7)&lt;=$G16),IF($D16="","◇","■"),""))</f>
        <v/>
      </c>
      <c r="N16" s="73" t="str">
        <f>IF($A16="","",IF(AND(VALUE(N$7)&gt;$F16,VALUE(N$7)&lt;=$G16),IF($D16="","◇","■"),""))</f>
        <v/>
      </c>
      <c r="O16" s="73" t="str">
        <f>IF($A16="","",IF(AND(VALUE(O$7)&gt;$F16,VALUE(O$7)&lt;=$G16),IF($D16="","◇","■"),""))</f>
        <v/>
      </c>
      <c r="P16" s="73" t="str">
        <f>IF($A16="","",IF(AND(VALUE(P$7)&gt;$F16,VALUE(P$7)&lt;=$G16),IF($D16="","◇","■"),""))</f>
        <v/>
      </c>
      <c r="Q16" s="73" t="str">
        <f>IF($A16="","",IF(AND(VALUE(Q$7)&gt;$F16,VALUE(Q$7)&lt;=$G16),IF($D16="","◇","■"),""))</f>
        <v/>
      </c>
      <c r="R16" s="73" t="str">
        <f>IF($A16="","",IF(AND(VALUE(R$7)&gt;$F16,VALUE(R$7)&lt;=$G16),IF($D16="","◇","■"),""))</f>
        <v/>
      </c>
      <c r="S16" s="73" t="str">
        <f>IF($A16="","",IF(AND(VALUE(S$7)&gt;$F16,VALUE(S$7)&lt;=$G16),IF($D16="","◇","■"),""))</f>
        <v/>
      </c>
      <c r="T16" s="73" t="str">
        <f>IF($A16="","",IF(AND(VALUE(T$7)&gt;$F16,VALUE(T$7)&lt;=$G16),IF($D16="","◇","■"),""))</f>
        <v/>
      </c>
      <c r="U16" s="73" t="str">
        <f>IF($A16="","",IF(AND(VALUE(U$7)&gt;$F16,VALUE(U$7)&lt;=$G16),IF($D16="","◇","■"),""))</f>
        <v/>
      </c>
      <c r="V16" s="73" t="str">
        <f>IF($A16="","",IF(AND(VALUE(V$7)&gt;$F16,VALUE(V$7)&lt;=$G16),IF($D16="","◇","■"),""))</f>
        <v/>
      </c>
      <c r="W16" s="73" t="str">
        <f>IF($A16="","",IF(AND(VALUE(W$7)&gt;$F16,VALUE(W$7)&lt;=$G16),IF($D16="","◇","■"),""))</f>
        <v/>
      </c>
      <c r="X16" s="73" t="str">
        <f>IF($A16="","",IF(AND(VALUE(X$7)&gt;$F16,VALUE(X$7)&lt;=$G16),IF($D16="","◇","■"),""))</f>
        <v/>
      </c>
      <c r="Y16" s="73" t="str">
        <f>IF($A16="","",IF(AND(VALUE(Y$7)&gt;$F16,VALUE(Y$7)&lt;=$G16),IF($D16="","◇","■"),""))</f>
        <v/>
      </c>
      <c r="Z16" s="73" t="str">
        <f>IF($A16="","",IF(AND(VALUE(Z$7)&gt;$F16,VALUE(Z$7)&lt;=$G16),IF($D16="","◇","■"),""))</f>
        <v/>
      </c>
      <c r="AA16" s="73" t="str">
        <f>IF($A16="","",IF(AND(VALUE(AA$7)&gt;$F16,VALUE(AA$7)&lt;=$G16),IF($D16="","◇","■"),""))</f>
        <v/>
      </c>
      <c r="AB16" s="73" t="str">
        <f>IF($A16="","",IF(AND(VALUE(AB$7)&gt;$F16,VALUE(AB$7)&lt;=$G16),IF($D16="","◇","■"),""))</f>
        <v/>
      </c>
      <c r="AC16" s="73" t="str">
        <f>IF($A16="","",IF(AND(VALUE(AC$7)&gt;$F16,VALUE(AC$7)&lt;=$G16),IF($D16="","◇","■"),""))</f>
        <v/>
      </c>
      <c r="AD16" s="73" t="str">
        <f>IF($A16="","",IF(AND(VALUE(AD$7)&gt;$F16,VALUE(AD$7)&lt;=$G16),IF($D16="","◇","■"),""))</f>
        <v/>
      </c>
      <c r="AE16" s="73" t="str">
        <f>IF($A16="","",IF(AND(VALUE(AE$7)&gt;$F16,VALUE(AE$7)&lt;=$G16),IF($D16="","◇","■"),""))</f>
        <v>■</v>
      </c>
      <c r="AF16" s="73" t="str">
        <f>IF($A16="","",IF(AND(VALUE(AF$7)&gt;$F16,VALUE(AF$7)&lt;=$G16),IF($D16="","◇","■"),""))</f>
        <v>■</v>
      </c>
      <c r="AG16" s="73" t="str">
        <f>IF($A16="","",IF(AND(VALUE(AG$7)&gt;$F16,VALUE(AG$7)&lt;=$G16),IF($D16="","◇","■"),""))</f>
        <v>■</v>
      </c>
      <c r="AH16" s="73" t="str">
        <f>IF($A16="","",IF(AND(VALUE(AH$7)&gt;$F16,VALUE(AH$7)&lt;=$G16),IF($D16="","◇","■"),""))</f>
        <v/>
      </c>
      <c r="AI16" s="73" t="str">
        <f>IF($A16="","",IF(AND(VALUE(AI$7)&gt;$F16,VALUE(AI$7)&lt;=$G16),IF($D16="","◇","■"),""))</f>
        <v/>
      </c>
      <c r="AJ16" s="73" t="str">
        <f>IF($A16="","",IF(AND(VALUE(AJ$7)&gt;$F16,VALUE(AJ$7)&lt;=$G16),IF($D16="","◇","■"),""))</f>
        <v/>
      </c>
      <c r="AK16" s="73" t="str">
        <f>IF($A16="","",IF(AND(VALUE(AK$7)&gt;$F16,VALUE(AK$7)&lt;=$G16),IF($D16="","◇","■"),""))</f>
        <v/>
      </c>
      <c r="AL16" s="73" t="str">
        <f>IF($A16="","",IF(AND(VALUE(AL$7)&gt;$F16,VALUE(AL$7)&lt;=$G16),IF($D16="","◇","■"),""))</f>
        <v/>
      </c>
      <c r="AM16" s="73" t="str">
        <f>IF($A16="","",IF(AND(VALUE(AM$7)&gt;$F16,VALUE(AM$7)&lt;=$G16),IF($D16="","◇","■"),""))</f>
        <v/>
      </c>
    </row>
    <row r="17" spans="1:39" ht="18" customHeight="1" x14ac:dyDescent="0.35">
      <c r="A17" s="95" t="str" cm="1">
        <f t="array" ref="A17">IFERROR(INDEX(_xlfn._xlws.FILTER(tblProjectTasks[TaskGroup],(tblProjectTasks[IsWorkPackage]="Yes")*(tblProjectTasks[CaptureStatus]&lt;&gt;"Removed")),ROWS($A$8:A17)),"")</f>
        <v>Shed</v>
      </c>
      <c r="B17" s="96" t="str" cm="1">
        <f t="array" ref="B17">IFERROR(INDEX(_xlfn._xlws.FILTER(tblProjectTasks[WBSCode],(tblProjectTasks[IsWorkPackage]="Yes")*(tblProjectTasks[CaptureStatus]&lt;&gt;"Removed")),ROWS($B$8:B17)),"")</f>
        <v>3.2.2</v>
      </c>
      <c r="C17" s="97" t="str" cm="1">
        <f t="array" ref="C17">IFERROR(INDEX(_xlfn._xlws.FILTER(tblProjectTasks[TaskName],(tblProjectTasks[IsWorkPackage]="Yes")*(tblProjectTasks[CaptureStatus]&lt;&gt;"Removed")),ROWS($C$8:C17)),"")</f>
        <v>Find shed suppliers</v>
      </c>
      <c r="D17" s="98" cm="1">
        <f t="array" ref="D17">_xlfn.LET(_xlpm.x,IFERROR(INDEX(_xlfn._xlws.FILTER(tblProjectTasks[Elapsed Time in Weeks],(tblProjectTasks[IsWorkPackage]="Yes")*(tblProjectTasks[CaptureStatus]&lt;&gt;"Removed")),ROWS($D$8:D17)),""),IF(_xlpm.x=0,"",_xlpm.x))</f>
        <v>1</v>
      </c>
      <c r="E17" s="98">
        <f>IF($A17="","",IF($D17="",1,$D17))</f>
        <v>1</v>
      </c>
      <c r="F17" s="98">
        <f>IF($A17="","",IF(ROW()=8,0,$F16+$E16))</f>
        <v>26</v>
      </c>
      <c r="G17" s="98">
        <f>IF($A17="","",$F17+$E17)</f>
        <v>27</v>
      </c>
      <c r="H17" s="68" t="str">
        <f>IF($A17="","",IF(AND(VALUE(H$7)&gt;$F17,VALUE(H$7)&lt;=$G17),IF($D17="","◇","■"),""))</f>
        <v/>
      </c>
      <c r="I17" s="68" t="str">
        <f>IF($A17="","",IF(AND(VALUE(I$7)&gt;$F17,VALUE(I$7)&lt;=$G17),IF($D17="","◇","■"),""))</f>
        <v/>
      </c>
      <c r="J17" s="68" t="str">
        <f>IF($A17="","",IF(AND(VALUE(J$7)&gt;$F17,VALUE(J$7)&lt;=$G17),IF($D17="","◇","■"),""))</f>
        <v/>
      </c>
      <c r="K17" s="68" t="str">
        <f>IF($A17="","",IF(AND(VALUE(K$7)&gt;$F17,VALUE(K$7)&lt;=$G17),IF($D17="","◇","■"),""))</f>
        <v/>
      </c>
      <c r="L17" s="68" t="str">
        <f>IF($A17="","",IF(AND(VALUE(L$7)&gt;$F17,VALUE(L$7)&lt;=$G17),IF($D17="","◇","■"),""))</f>
        <v/>
      </c>
      <c r="M17" s="68" t="str">
        <f>IF($A17="","",IF(AND(VALUE(M$7)&gt;$F17,VALUE(M$7)&lt;=$G17),IF($D17="","◇","■"),""))</f>
        <v/>
      </c>
      <c r="N17" s="68" t="str">
        <f>IF($A17="","",IF(AND(VALUE(N$7)&gt;$F17,VALUE(N$7)&lt;=$G17),IF($D17="","◇","■"),""))</f>
        <v/>
      </c>
      <c r="O17" s="68" t="str">
        <f>IF($A17="","",IF(AND(VALUE(O$7)&gt;$F17,VALUE(O$7)&lt;=$G17),IF($D17="","◇","■"),""))</f>
        <v/>
      </c>
      <c r="P17" s="68" t="str">
        <f>IF($A17="","",IF(AND(VALUE(P$7)&gt;$F17,VALUE(P$7)&lt;=$G17),IF($D17="","◇","■"),""))</f>
        <v/>
      </c>
      <c r="Q17" s="68" t="str">
        <f>IF($A17="","",IF(AND(VALUE(Q$7)&gt;$F17,VALUE(Q$7)&lt;=$G17),IF($D17="","◇","■"),""))</f>
        <v/>
      </c>
      <c r="R17" s="68" t="str">
        <f>IF($A17="","",IF(AND(VALUE(R$7)&gt;$F17,VALUE(R$7)&lt;=$G17),IF($D17="","◇","■"),""))</f>
        <v/>
      </c>
      <c r="S17" s="68" t="str">
        <f>IF($A17="","",IF(AND(VALUE(S$7)&gt;$F17,VALUE(S$7)&lt;=$G17),IF($D17="","◇","■"),""))</f>
        <v/>
      </c>
      <c r="T17" s="68" t="str">
        <f>IF($A17="","",IF(AND(VALUE(T$7)&gt;$F17,VALUE(T$7)&lt;=$G17),IF($D17="","◇","■"),""))</f>
        <v/>
      </c>
      <c r="U17" s="68" t="str">
        <f>IF($A17="","",IF(AND(VALUE(U$7)&gt;$F17,VALUE(U$7)&lt;=$G17),IF($D17="","◇","■"),""))</f>
        <v/>
      </c>
      <c r="V17" s="68" t="str">
        <f>IF($A17="","",IF(AND(VALUE(V$7)&gt;$F17,VALUE(V$7)&lt;=$G17),IF($D17="","◇","■"),""))</f>
        <v/>
      </c>
      <c r="W17" s="68" t="str">
        <f>IF($A17="","",IF(AND(VALUE(W$7)&gt;$F17,VALUE(W$7)&lt;=$G17),IF($D17="","◇","■"),""))</f>
        <v/>
      </c>
      <c r="X17" s="68" t="str">
        <f>IF($A17="","",IF(AND(VALUE(X$7)&gt;$F17,VALUE(X$7)&lt;=$G17),IF($D17="","◇","■"),""))</f>
        <v/>
      </c>
      <c r="Y17" s="68" t="str">
        <f>IF($A17="","",IF(AND(VALUE(Y$7)&gt;$F17,VALUE(Y$7)&lt;=$G17),IF($D17="","◇","■"),""))</f>
        <v/>
      </c>
      <c r="Z17" s="68" t="str">
        <f>IF($A17="","",IF(AND(VALUE(Z$7)&gt;$F17,VALUE(Z$7)&lt;=$G17),IF($D17="","◇","■"),""))</f>
        <v/>
      </c>
      <c r="AA17" s="68" t="str">
        <f>IF($A17="","",IF(AND(VALUE(AA$7)&gt;$F17,VALUE(AA$7)&lt;=$G17),IF($D17="","◇","■"),""))</f>
        <v/>
      </c>
      <c r="AB17" s="68" t="str">
        <f>IF($A17="","",IF(AND(VALUE(AB$7)&gt;$F17,VALUE(AB$7)&lt;=$G17),IF($D17="","◇","■"),""))</f>
        <v/>
      </c>
      <c r="AC17" s="68" t="str">
        <f>IF($A17="","",IF(AND(VALUE(AC$7)&gt;$F17,VALUE(AC$7)&lt;=$G17),IF($D17="","◇","■"),""))</f>
        <v/>
      </c>
      <c r="AD17" s="68" t="str">
        <f>IF($A17="","",IF(AND(VALUE(AD$7)&gt;$F17,VALUE(AD$7)&lt;=$G17),IF($D17="","◇","■"),""))</f>
        <v/>
      </c>
      <c r="AE17" s="68" t="str">
        <f>IF($A17="","",IF(AND(VALUE(AE$7)&gt;$F17,VALUE(AE$7)&lt;=$G17),IF($D17="","◇","■"),""))</f>
        <v/>
      </c>
      <c r="AF17" s="68" t="str">
        <f>IF($A17="","",IF(AND(VALUE(AF$7)&gt;$F17,VALUE(AF$7)&lt;=$G17),IF($D17="","◇","■"),""))</f>
        <v/>
      </c>
      <c r="AG17" s="68" t="str">
        <f>IF($A17="","",IF(AND(VALUE(AG$7)&gt;$F17,VALUE(AG$7)&lt;=$G17),IF($D17="","◇","■"),""))</f>
        <v/>
      </c>
      <c r="AH17" s="68" t="str">
        <f>IF($A17="","",IF(AND(VALUE(AH$7)&gt;$F17,VALUE(AH$7)&lt;=$G17),IF($D17="","◇","■"),""))</f>
        <v>■</v>
      </c>
      <c r="AI17" s="68" t="str">
        <f>IF($A17="","",IF(AND(VALUE(AI$7)&gt;$F17,VALUE(AI$7)&lt;=$G17),IF($D17="","◇","■"),""))</f>
        <v/>
      </c>
      <c r="AJ17" s="68" t="str">
        <f>IF($A17="","",IF(AND(VALUE(AJ$7)&gt;$F17,VALUE(AJ$7)&lt;=$G17),IF($D17="","◇","■"),""))</f>
        <v/>
      </c>
      <c r="AK17" s="68" t="str">
        <f>IF($A17="","",IF(AND(VALUE(AK$7)&gt;$F17,VALUE(AK$7)&lt;=$G17),IF($D17="","◇","■"),""))</f>
        <v/>
      </c>
      <c r="AL17" s="68" t="str">
        <f>IF($A17="","",IF(AND(VALUE(AL$7)&gt;$F17,VALUE(AL$7)&lt;=$G17),IF($D17="","◇","■"),""))</f>
        <v/>
      </c>
      <c r="AM17" s="68" t="str">
        <f>IF($A17="","",IF(AND(VALUE(AM$7)&gt;$F17,VALUE(AM$7)&lt;=$G17),IF($D17="","◇","■"),""))</f>
        <v/>
      </c>
    </row>
    <row r="18" spans="1:39" ht="18" customHeight="1" x14ac:dyDescent="0.35">
      <c r="A18" s="99" t="str" cm="1">
        <f t="array" ref="A18">IFERROR(INDEX(_xlfn._xlws.FILTER(tblProjectTasks[TaskGroup],(tblProjectTasks[IsWorkPackage]="Yes")*(tblProjectTasks[CaptureStatus]&lt;&gt;"Removed")),ROWS($A$8:A18)),"")</f>
        <v>Shed</v>
      </c>
      <c r="B18" s="100" t="str" cm="1">
        <f t="array" ref="B18">IFERROR(INDEX(_xlfn._xlws.FILTER(tblProjectTasks[WBSCode],(tblProjectTasks[IsWorkPackage]="Yes")*(tblProjectTasks[CaptureStatus]&lt;&gt;"Removed")),ROWS($B$8:B18)),"")</f>
        <v>3.2.3</v>
      </c>
      <c r="C18" s="101" t="str" cm="1">
        <f t="array" ref="C18">IFERROR(INDEX(_xlfn._xlws.FILTER(tblProjectTasks[TaskName],(tblProjectTasks[IsWorkPackage]="Yes")*(tblProjectTasks[CaptureStatus]&lt;&gt;"Removed")),ROWS($C$8:C18)),"")</f>
        <v>Get quotes</v>
      </c>
      <c r="D18" s="102" cm="1">
        <f t="array" ref="D18">_xlfn.LET(_xlpm.x,IFERROR(INDEX(_xlfn._xlws.FILTER(tblProjectTasks[Elapsed Time in Weeks],(tblProjectTasks[IsWorkPackage]="Yes")*(tblProjectTasks[CaptureStatus]&lt;&gt;"Removed")),ROWS($D$8:D18)),""),IF(_xlpm.x=0,"",_xlpm.x))</f>
        <v>3</v>
      </c>
      <c r="E18" s="102">
        <f>IF($A18="","",IF($D18="",1,$D18))</f>
        <v>3</v>
      </c>
      <c r="F18" s="102">
        <f>IF($A18="","",IF(ROW()=8,0,$F17+$E17))</f>
        <v>27</v>
      </c>
      <c r="G18" s="102">
        <f>IF($A18="","",$F18+$E18)</f>
        <v>30</v>
      </c>
      <c r="H18" s="59" t="str">
        <f>IF($A18="","",IF(AND(VALUE(H$7)&gt;$F18,VALUE(H$7)&lt;=$G18),IF($D18="","◇","■"),""))</f>
        <v/>
      </c>
      <c r="I18" s="59" t="str">
        <f>IF($A18="","",IF(AND(VALUE(I$7)&gt;$F18,VALUE(I$7)&lt;=$G18),IF($D18="","◇","■"),""))</f>
        <v/>
      </c>
      <c r="J18" s="59" t="str">
        <f>IF($A18="","",IF(AND(VALUE(J$7)&gt;$F18,VALUE(J$7)&lt;=$G18),IF($D18="","◇","■"),""))</f>
        <v/>
      </c>
      <c r="K18" s="59" t="str">
        <f>IF($A18="","",IF(AND(VALUE(K$7)&gt;$F18,VALUE(K$7)&lt;=$G18),IF($D18="","◇","■"),""))</f>
        <v/>
      </c>
      <c r="L18" s="59" t="str">
        <f>IF($A18="","",IF(AND(VALUE(L$7)&gt;$F18,VALUE(L$7)&lt;=$G18),IF($D18="","◇","■"),""))</f>
        <v/>
      </c>
      <c r="M18" s="59" t="str">
        <f>IF($A18="","",IF(AND(VALUE(M$7)&gt;$F18,VALUE(M$7)&lt;=$G18),IF($D18="","◇","■"),""))</f>
        <v/>
      </c>
      <c r="N18" s="59" t="str">
        <f>IF($A18="","",IF(AND(VALUE(N$7)&gt;$F18,VALUE(N$7)&lt;=$G18),IF($D18="","◇","■"),""))</f>
        <v/>
      </c>
      <c r="O18" s="59" t="str">
        <f>IF($A18="","",IF(AND(VALUE(O$7)&gt;$F18,VALUE(O$7)&lt;=$G18),IF($D18="","◇","■"),""))</f>
        <v/>
      </c>
      <c r="P18" s="59" t="str">
        <f>IF($A18="","",IF(AND(VALUE(P$7)&gt;$F18,VALUE(P$7)&lt;=$G18),IF($D18="","◇","■"),""))</f>
        <v/>
      </c>
      <c r="Q18" s="59" t="str">
        <f>IF($A18="","",IF(AND(VALUE(Q$7)&gt;$F18,VALUE(Q$7)&lt;=$G18),IF($D18="","◇","■"),""))</f>
        <v/>
      </c>
      <c r="R18" s="59" t="str">
        <f>IF($A18="","",IF(AND(VALUE(R$7)&gt;$F18,VALUE(R$7)&lt;=$G18),IF($D18="","◇","■"),""))</f>
        <v/>
      </c>
      <c r="S18" s="59" t="str">
        <f>IF($A18="","",IF(AND(VALUE(S$7)&gt;$F18,VALUE(S$7)&lt;=$G18),IF($D18="","◇","■"),""))</f>
        <v/>
      </c>
      <c r="T18" s="59" t="str">
        <f>IF($A18="","",IF(AND(VALUE(T$7)&gt;$F18,VALUE(T$7)&lt;=$G18),IF($D18="","◇","■"),""))</f>
        <v/>
      </c>
      <c r="U18" s="59" t="str">
        <f>IF($A18="","",IF(AND(VALUE(U$7)&gt;$F18,VALUE(U$7)&lt;=$G18),IF($D18="","◇","■"),""))</f>
        <v/>
      </c>
      <c r="V18" s="59" t="str">
        <f>IF($A18="","",IF(AND(VALUE(V$7)&gt;$F18,VALUE(V$7)&lt;=$G18),IF($D18="","◇","■"),""))</f>
        <v/>
      </c>
      <c r="W18" s="59" t="str">
        <f>IF($A18="","",IF(AND(VALUE(W$7)&gt;$F18,VALUE(W$7)&lt;=$G18),IF($D18="","◇","■"),""))</f>
        <v/>
      </c>
      <c r="X18" s="59" t="str">
        <f>IF($A18="","",IF(AND(VALUE(X$7)&gt;$F18,VALUE(X$7)&lt;=$G18),IF($D18="","◇","■"),""))</f>
        <v/>
      </c>
      <c r="Y18" s="59" t="str">
        <f>IF($A18="","",IF(AND(VALUE(Y$7)&gt;$F18,VALUE(Y$7)&lt;=$G18),IF($D18="","◇","■"),""))</f>
        <v/>
      </c>
      <c r="Z18" s="59" t="str">
        <f>IF($A18="","",IF(AND(VALUE(Z$7)&gt;$F18,VALUE(Z$7)&lt;=$G18),IF($D18="","◇","■"),""))</f>
        <v/>
      </c>
      <c r="AA18" s="59" t="str">
        <f>IF($A18="","",IF(AND(VALUE(AA$7)&gt;$F18,VALUE(AA$7)&lt;=$G18),IF($D18="","◇","■"),""))</f>
        <v/>
      </c>
      <c r="AB18" s="59" t="str">
        <f>IF($A18="","",IF(AND(VALUE(AB$7)&gt;$F18,VALUE(AB$7)&lt;=$G18),IF($D18="","◇","■"),""))</f>
        <v/>
      </c>
      <c r="AC18" s="59" t="str">
        <f>IF($A18="","",IF(AND(VALUE(AC$7)&gt;$F18,VALUE(AC$7)&lt;=$G18),IF($D18="","◇","■"),""))</f>
        <v/>
      </c>
      <c r="AD18" s="59" t="str">
        <f>IF($A18="","",IF(AND(VALUE(AD$7)&gt;$F18,VALUE(AD$7)&lt;=$G18),IF($D18="","◇","■"),""))</f>
        <v/>
      </c>
      <c r="AE18" s="59" t="str">
        <f>IF($A18="","",IF(AND(VALUE(AE$7)&gt;$F18,VALUE(AE$7)&lt;=$G18),IF($D18="","◇","■"),""))</f>
        <v/>
      </c>
      <c r="AF18" s="59" t="str">
        <f>IF($A18="","",IF(AND(VALUE(AF$7)&gt;$F18,VALUE(AF$7)&lt;=$G18),IF($D18="","◇","■"),""))</f>
        <v/>
      </c>
      <c r="AG18" s="59" t="str">
        <f>IF($A18="","",IF(AND(VALUE(AG$7)&gt;$F18,VALUE(AG$7)&lt;=$G18),IF($D18="","◇","■"),""))</f>
        <v/>
      </c>
      <c r="AH18" s="59" t="str">
        <f>IF($A18="","",IF(AND(VALUE(AH$7)&gt;$F18,VALUE(AH$7)&lt;=$G18),IF($D18="","◇","■"),""))</f>
        <v/>
      </c>
      <c r="AI18" s="59" t="str">
        <f>IF($A18="","",IF(AND(VALUE(AI$7)&gt;$F18,VALUE(AI$7)&lt;=$G18),IF($D18="","◇","■"),""))</f>
        <v>■</v>
      </c>
      <c r="AJ18" s="59" t="str">
        <f>IF($A18="","",IF(AND(VALUE(AJ$7)&gt;$F18,VALUE(AJ$7)&lt;=$G18),IF($D18="","◇","■"),""))</f>
        <v>■</v>
      </c>
      <c r="AK18" s="59" t="str">
        <f>IF($A18="","",IF(AND(VALUE(AK$7)&gt;$F18,VALUE(AK$7)&lt;=$G18),IF($D18="","◇","■"),""))</f>
        <v>■</v>
      </c>
      <c r="AL18" s="59" t="str">
        <f>IF($A18="","",IF(AND(VALUE(AL$7)&gt;$F18,VALUE(AL$7)&lt;=$G18),IF($D18="","◇","■"),""))</f>
        <v/>
      </c>
      <c r="AM18" s="59" t="str">
        <f>IF($A18="","",IF(AND(VALUE(AM$7)&gt;$F18,VALUE(AM$7)&lt;=$G18),IF($D18="","◇","■"),""))</f>
        <v/>
      </c>
    </row>
    <row r="19" spans="1:39" ht="18" customHeight="1" x14ac:dyDescent="0.35">
      <c r="A19" s="99" t="str" cm="1">
        <f t="array" ref="A19">IFERROR(INDEX(_xlfn._xlws.FILTER(tblProjectTasks[TaskGroup],(tblProjectTasks[IsWorkPackage]="Yes")*(tblProjectTasks[CaptureStatus]&lt;&gt;"Removed")),ROWS($A$8:A19)),"")</f>
        <v>Shed</v>
      </c>
      <c r="B19" s="100" t="str" cm="1">
        <f t="array" ref="B19">IFERROR(INDEX(_xlfn._xlws.FILTER(tblProjectTasks[WBSCode],(tblProjectTasks[IsWorkPackage]="Yes")*(tblProjectTasks[CaptureStatus]&lt;&gt;"Removed")),ROWS($B$8:B19)),"")</f>
        <v>3.2.4</v>
      </c>
      <c r="C19" s="101" t="str" cm="1">
        <f t="array" ref="C19">IFERROR(INDEX(_xlfn._xlws.FILTER(tblProjectTasks[TaskName],(tblProjectTasks[IsWorkPackage]="Yes")*(tblProjectTasks[CaptureStatus]&lt;&gt;"Removed")),ROWS($C$8:C19)),"")</f>
        <v>See a finished one</v>
      </c>
      <c r="D19" s="102" cm="1">
        <f t="array" ref="D19">_xlfn.LET(_xlpm.x,IFERROR(INDEX(_xlfn._xlws.FILTER(tblProjectTasks[Elapsed Time in Weeks],(tblProjectTasks[IsWorkPackage]="Yes")*(tblProjectTasks[CaptureStatus]&lt;&gt;"Removed")),ROWS($D$8:D19)),""),IF(_xlpm.x=0,"",_xlpm.x))</f>
        <v>1</v>
      </c>
      <c r="E19" s="102">
        <f>IF($A19="","",IF($D19="",1,$D19))</f>
        <v>1</v>
      </c>
      <c r="F19" s="102">
        <f>IF($A19="","",IF(ROW()=8,0,$F18+$E18))</f>
        <v>30</v>
      </c>
      <c r="G19" s="102">
        <f>IF($A19="","",$F19+$E19)</f>
        <v>31</v>
      </c>
      <c r="H19" s="59" t="str">
        <f>IF($A19="","",IF(AND(VALUE(H$7)&gt;$F19,VALUE(H$7)&lt;=$G19),IF($D19="","◇","■"),""))</f>
        <v/>
      </c>
      <c r="I19" s="59" t="str">
        <f>IF($A19="","",IF(AND(VALUE(I$7)&gt;$F19,VALUE(I$7)&lt;=$G19),IF($D19="","◇","■"),""))</f>
        <v/>
      </c>
      <c r="J19" s="59" t="str">
        <f>IF($A19="","",IF(AND(VALUE(J$7)&gt;$F19,VALUE(J$7)&lt;=$G19),IF($D19="","◇","■"),""))</f>
        <v/>
      </c>
      <c r="K19" s="59" t="str">
        <f>IF($A19="","",IF(AND(VALUE(K$7)&gt;$F19,VALUE(K$7)&lt;=$G19),IF($D19="","◇","■"),""))</f>
        <v/>
      </c>
      <c r="L19" s="59" t="str">
        <f>IF($A19="","",IF(AND(VALUE(L$7)&gt;$F19,VALUE(L$7)&lt;=$G19),IF($D19="","◇","■"),""))</f>
        <v/>
      </c>
      <c r="M19" s="59" t="str">
        <f>IF($A19="","",IF(AND(VALUE(M$7)&gt;$F19,VALUE(M$7)&lt;=$G19),IF($D19="","◇","■"),""))</f>
        <v/>
      </c>
      <c r="N19" s="59" t="str">
        <f>IF($A19="","",IF(AND(VALUE(N$7)&gt;$F19,VALUE(N$7)&lt;=$G19),IF($D19="","◇","■"),""))</f>
        <v/>
      </c>
      <c r="O19" s="59" t="str">
        <f>IF($A19="","",IF(AND(VALUE(O$7)&gt;$F19,VALUE(O$7)&lt;=$G19),IF($D19="","◇","■"),""))</f>
        <v/>
      </c>
      <c r="P19" s="59" t="str">
        <f>IF($A19="","",IF(AND(VALUE(P$7)&gt;$F19,VALUE(P$7)&lt;=$G19),IF($D19="","◇","■"),""))</f>
        <v/>
      </c>
      <c r="Q19" s="59" t="str">
        <f>IF($A19="","",IF(AND(VALUE(Q$7)&gt;$F19,VALUE(Q$7)&lt;=$G19),IF($D19="","◇","■"),""))</f>
        <v/>
      </c>
      <c r="R19" s="59" t="str">
        <f>IF($A19="","",IF(AND(VALUE(R$7)&gt;$F19,VALUE(R$7)&lt;=$G19),IF($D19="","◇","■"),""))</f>
        <v/>
      </c>
      <c r="S19" s="59" t="str">
        <f>IF($A19="","",IF(AND(VALUE(S$7)&gt;$F19,VALUE(S$7)&lt;=$G19),IF($D19="","◇","■"),""))</f>
        <v/>
      </c>
      <c r="T19" s="59" t="str">
        <f>IF($A19="","",IF(AND(VALUE(T$7)&gt;$F19,VALUE(T$7)&lt;=$G19),IF($D19="","◇","■"),""))</f>
        <v/>
      </c>
      <c r="U19" s="59" t="str">
        <f>IF($A19="","",IF(AND(VALUE(U$7)&gt;$F19,VALUE(U$7)&lt;=$G19),IF($D19="","◇","■"),""))</f>
        <v/>
      </c>
      <c r="V19" s="59" t="str">
        <f>IF($A19="","",IF(AND(VALUE(V$7)&gt;$F19,VALUE(V$7)&lt;=$G19),IF($D19="","◇","■"),""))</f>
        <v/>
      </c>
      <c r="W19" s="59" t="str">
        <f>IF($A19="","",IF(AND(VALUE(W$7)&gt;$F19,VALUE(W$7)&lt;=$G19),IF($D19="","◇","■"),""))</f>
        <v/>
      </c>
      <c r="X19" s="59" t="str">
        <f>IF($A19="","",IF(AND(VALUE(X$7)&gt;$F19,VALUE(X$7)&lt;=$G19),IF($D19="","◇","■"),""))</f>
        <v/>
      </c>
      <c r="Y19" s="59" t="str">
        <f>IF($A19="","",IF(AND(VALUE(Y$7)&gt;$F19,VALUE(Y$7)&lt;=$G19),IF($D19="","◇","■"),""))</f>
        <v/>
      </c>
      <c r="Z19" s="59" t="str">
        <f>IF($A19="","",IF(AND(VALUE(Z$7)&gt;$F19,VALUE(Z$7)&lt;=$G19),IF($D19="","◇","■"),""))</f>
        <v/>
      </c>
      <c r="AA19" s="59" t="str">
        <f>IF($A19="","",IF(AND(VALUE(AA$7)&gt;$F19,VALUE(AA$7)&lt;=$G19),IF($D19="","◇","■"),""))</f>
        <v/>
      </c>
      <c r="AB19" s="59" t="str">
        <f>IF($A19="","",IF(AND(VALUE(AB$7)&gt;$F19,VALUE(AB$7)&lt;=$G19),IF($D19="","◇","■"),""))</f>
        <v/>
      </c>
      <c r="AC19" s="59" t="str">
        <f>IF($A19="","",IF(AND(VALUE(AC$7)&gt;$F19,VALUE(AC$7)&lt;=$G19),IF($D19="","◇","■"),""))</f>
        <v/>
      </c>
      <c r="AD19" s="59" t="str">
        <f>IF($A19="","",IF(AND(VALUE(AD$7)&gt;$F19,VALUE(AD$7)&lt;=$G19),IF($D19="","◇","■"),""))</f>
        <v/>
      </c>
      <c r="AE19" s="59" t="str">
        <f>IF($A19="","",IF(AND(VALUE(AE$7)&gt;$F19,VALUE(AE$7)&lt;=$G19),IF($D19="","◇","■"),""))</f>
        <v/>
      </c>
      <c r="AF19" s="59" t="str">
        <f>IF($A19="","",IF(AND(VALUE(AF$7)&gt;$F19,VALUE(AF$7)&lt;=$G19),IF($D19="","◇","■"),""))</f>
        <v/>
      </c>
      <c r="AG19" s="59" t="str">
        <f>IF($A19="","",IF(AND(VALUE(AG$7)&gt;$F19,VALUE(AG$7)&lt;=$G19),IF($D19="","◇","■"),""))</f>
        <v/>
      </c>
      <c r="AH19" s="59" t="str">
        <f>IF($A19="","",IF(AND(VALUE(AH$7)&gt;$F19,VALUE(AH$7)&lt;=$G19),IF($D19="","◇","■"),""))</f>
        <v/>
      </c>
      <c r="AI19" s="59" t="str">
        <f>IF($A19="","",IF(AND(VALUE(AI$7)&gt;$F19,VALUE(AI$7)&lt;=$G19),IF($D19="","◇","■"),""))</f>
        <v/>
      </c>
      <c r="AJ19" s="59" t="str">
        <f>IF($A19="","",IF(AND(VALUE(AJ$7)&gt;$F19,VALUE(AJ$7)&lt;=$G19),IF($D19="","◇","■"),""))</f>
        <v/>
      </c>
      <c r="AK19" s="59" t="str">
        <f>IF($A19="","",IF(AND(VALUE(AK$7)&gt;$F19,VALUE(AK$7)&lt;=$G19),IF($D19="","◇","■"),""))</f>
        <v/>
      </c>
      <c r="AL19" s="59" t="str">
        <f>IF($A19="","",IF(AND(VALUE(AL$7)&gt;$F19,VALUE(AL$7)&lt;=$G19),IF($D19="","◇","■"),""))</f>
        <v>■</v>
      </c>
      <c r="AM19" s="59" t="str">
        <f>IF($A19="","",IF(AND(VALUE(AM$7)&gt;$F19,VALUE(AM$7)&lt;=$G19),IF($D19="","◇","■"),""))</f>
        <v/>
      </c>
    </row>
    <row r="20" spans="1:39" ht="18" customHeight="1" x14ac:dyDescent="0.35">
      <c r="A20" s="99" t="str" cm="1">
        <f t="array" ref="A20">IFERROR(INDEX(_xlfn._xlws.FILTER(tblProjectTasks[TaskGroup],(tblProjectTasks[IsWorkPackage]="Yes")*(tblProjectTasks[CaptureStatus]&lt;&gt;"Removed")),ROWS($A$8:A20)),"")</f>
        <v>Shed</v>
      </c>
      <c r="B20" s="100" t="str" cm="1">
        <f t="array" ref="B20">IFERROR(INDEX(_xlfn._xlws.FILTER(tblProjectTasks[WBSCode],(tblProjectTasks[IsWorkPackage]="Yes")*(tblProjectTasks[CaptureStatus]&lt;&gt;"Removed")),ROWS($B$8:B20)),"")</f>
        <v>3.2.5</v>
      </c>
      <c r="C20" s="101" t="str" cm="1">
        <f t="array" ref="C20">IFERROR(INDEX(_xlfn._xlws.FILTER(tblProjectTasks[TaskName],(tblProjectTasks[IsWorkPackage]="Yes")*(tblProjectTasks[CaptureStatus]&lt;&gt;"Removed")),ROWS($C$8:C20)),"")</f>
        <v>Choose - place the order</v>
      </c>
      <c r="D20" s="102" t="str" cm="1">
        <f t="array" ref="D20">_xlfn.LET(_xlpm.x,IFERROR(INDEX(_xlfn._xlws.FILTER(tblProjectTasks[Elapsed Time in Weeks],(tblProjectTasks[IsWorkPackage]="Yes")*(tblProjectTasks[CaptureStatus]&lt;&gt;"Removed")),ROWS($D$8:D20)),""),IF(_xlpm.x=0,"",_xlpm.x))</f>
        <v/>
      </c>
      <c r="E20" s="102">
        <f>IF($A20="","",IF($D20="",1,$D20))</f>
        <v>1</v>
      </c>
      <c r="F20" s="102">
        <f>IF($A20="","",IF(ROW()=8,0,$F19+$E19))</f>
        <v>31</v>
      </c>
      <c r="G20" s="102">
        <f>IF($A20="","",$F20+$E20)</f>
        <v>32</v>
      </c>
      <c r="H20" s="59" t="str">
        <f>IF($A20="","",IF(AND(VALUE(H$7)&gt;$F20,VALUE(H$7)&lt;=$G20),IF($D20="","◇","■"),""))</f>
        <v/>
      </c>
      <c r="I20" s="59" t="str">
        <f>IF($A20="","",IF(AND(VALUE(I$7)&gt;$F20,VALUE(I$7)&lt;=$G20),IF($D20="","◇","■"),""))</f>
        <v/>
      </c>
      <c r="J20" s="59" t="str">
        <f>IF($A20="","",IF(AND(VALUE(J$7)&gt;$F20,VALUE(J$7)&lt;=$G20),IF($D20="","◇","■"),""))</f>
        <v/>
      </c>
      <c r="K20" s="59" t="str">
        <f>IF($A20="","",IF(AND(VALUE(K$7)&gt;$F20,VALUE(K$7)&lt;=$G20),IF($D20="","◇","■"),""))</f>
        <v/>
      </c>
      <c r="L20" s="59" t="str">
        <f>IF($A20="","",IF(AND(VALUE(L$7)&gt;$F20,VALUE(L$7)&lt;=$G20),IF($D20="","◇","■"),""))</f>
        <v/>
      </c>
      <c r="M20" s="59" t="str">
        <f>IF($A20="","",IF(AND(VALUE(M$7)&gt;$F20,VALUE(M$7)&lt;=$G20),IF($D20="","◇","■"),""))</f>
        <v/>
      </c>
      <c r="N20" s="59" t="str">
        <f>IF($A20="","",IF(AND(VALUE(N$7)&gt;$F20,VALUE(N$7)&lt;=$G20),IF($D20="","◇","■"),""))</f>
        <v/>
      </c>
      <c r="O20" s="59" t="str">
        <f>IF($A20="","",IF(AND(VALUE(O$7)&gt;$F20,VALUE(O$7)&lt;=$G20),IF($D20="","◇","■"),""))</f>
        <v/>
      </c>
      <c r="P20" s="59" t="str">
        <f>IF($A20="","",IF(AND(VALUE(P$7)&gt;$F20,VALUE(P$7)&lt;=$G20),IF($D20="","◇","■"),""))</f>
        <v/>
      </c>
      <c r="Q20" s="59" t="str">
        <f>IF($A20="","",IF(AND(VALUE(Q$7)&gt;$F20,VALUE(Q$7)&lt;=$G20),IF($D20="","◇","■"),""))</f>
        <v/>
      </c>
      <c r="R20" s="59" t="str">
        <f>IF($A20="","",IF(AND(VALUE(R$7)&gt;$F20,VALUE(R$7)&lt;=$G20),IF($D20="","◇","■"),""))</f>
        <v/>
      </c>
      <c r="S20" s="59" t="str">
        <f>IF($A20="","",IF(AND(VALUE(S$7)&gt;$F20,VALUE(S$7)&lt;=$G20),IF($D20="","◇","■"),""))</f>
        <v/>
      </c>
      <c r="T20" s="59" t="str">
        <f>IF($A20="","",IF(AND(VALUE(T$7)&gt;$F20,VALUE(T$7)&lt;=$G20),IF($D20="","◇","■"),""))</f>
        <v/>
      </c>
      <c r="U20" s="59" t="str">
        <f>IF($A20="","",IF(AND(VALUE(U$7)&gt;$F20,VALUE(U$7)&lt;=$G20),IF($D20="","◇","■"),""))</f>
        <v/>
      </c>
      <c r="V20" s="59" t="str">
        <f>IF($A20="","",IF(AND(VALUE(V$7)&gt;$F20,VALUE(V$7)&lt;=$G20),IF($D20="","◇","■"),""))</f>
        <v/>
      </c>
      <c r="W20" s="59" t="str">
        <f>IF($A20="","",IF(AND(VALUE(W$7)&gt;$F20,VALUE(W$7)&lt;=$G20),IF($D20="","◇","■"),""))</f>
        <v/>
      </c>
      <c r="X20" s="59" t="str">
        <f>IF($A20="","",IF(AND(VALUE(X$7)&gt;$F20,VALUE(X$7)&lt;=$G20),IF($D20="","◇","■"),""))</f>
        <v/>
      </c>
      <c r="Y20" s="59" t="str">
        <f>IF($A20="","",IF(AND(VALUE(Y$7)&gt;$F20,VALUE(Y$7)&lt;=$G20),IF($D20="","◇","■"),""))</f>
        <v/>
      </c>
      <c r="Z20" s="59" t="str">
        <f>IF($A20="","",IF(AND(VALUE(Z$7)&gt;$F20,VALUE(Z$7)&lt;=$G20),IF($D20="","◇","■"),""))</f>
        <v/>
      </c>
      <c r="AA20" s="59" t="str">
        <f>IF($A20="","",IF(AND(VALUE(AA$7)&gt;$F20,VALUE(AA$7)&lt;=$G20),IF($D20="","◇","■"),""))</f>
        <v/>
      </c>
      <c r="AB20" s="59" t="str">
        <f>IF($A20="","",IF(AND(VALUE(AB$7)&gt;$F20,VALUE(AB$7)&lt;=$G20),IF($D20="","◇","■"),""))</f>
        <v/>
      </c>
      <c r="AC20" s="59" t="str">
        <f>IF($A20="","",IF(AND(VALUE(AC$7)&gt;$F20,VALUE(AC$7)&lt;=$G20),IF($D20="","◇","■"),""))</f>
        <v/>
      </c>
      <c r="AD20" s="59" t="str">
        <f>IF($A20="","",IF(AND(VALUE(AD$7)&gt;$F20,VALUE(AD$7)&lt;=$G20),IF($D20="","◇","■"),""))</f>
        <v/>
      </c>
      <c r="AE20" s="59" t="str">
        <f>IF($A20="","",IF(AND(VALUE(AE$7)&gt;$F20,VALUE(AE$7)&lt;=$G20),IF($D20="","◇","■"),""))</f>
        <v/>
      </c>
      <c r="AF20" s="59" t="str">
        <f>IF($A20="","",IF(AND(VALUE(AF$7)&gt;$F20,VALUE(AF$7)&lt;=$G20),IF($D20="","◇","■"),""))</f>
        <v/>
      </c>
      <c r="AG20" s="59" t="str">
        <f>IF($A20="","",IF(AND(VALUE(AG$7)&gt;$F20,VALUE(AG$7)&lt;=$G20),IF($D20="","◇","■"),""))</f>
        <v/>
      </c>
      <c r="AH20" s="59" t="str">
        <f>IF($A20="","",IF(AND(VALUE(AH$7)&gt;$F20,VALUE(AH$7)&lt;=$G20),IF($D20="","◇","■"),""))</f>
        <v/>
      </c>
      <c r="AI20" s="59" t="str">
        <f>IF($A20="","",IF(AND(VALUE(AI$7)&gt;$F20,VALUE(AI$7)&lt;=$G20),IF($D20="","◇","■"),""))</f>
        <v/>
      </c>
      <c r="AJ20" s="59" t="str">
        <f>IF($A20="","",IF(AND(VALUE(AJ$7)&gt;$F20,VALUE(AJ$7)&lt;=$G20),IF($D20="","◇","■"),""))</f>
        <v/>
      </c>
      <c r="AK20" s="59" t="str">
        <f>IF($A20="","",IF(AND(VALUE(AK$7)&gt;$F20,VALUE(AK$7)&lt;=$G20),IF($D20="","◇","■"),""))</f>
        <v/>
      </c>
      <c r="AL20" s="59" t="str">
        <f>IF($A20="","",IF(AND(VALUE(AL$7)&gt;$F20,VALUE(AL$7)&lt;=$G20),IF($D20="","◇","■"),""))</f>
        <v/>
      </c>
      <c r="AM20" s="59" t="str">
        <f>IF($A20="","",IF(AND(VALUE(AM$7)&gt;$F20,VALUE(AM$7)&lt;=$G20),IF($D20="","◇","■"),""))</f>
        <v>◇</v>
      </c>
    </row>
    <row r="21" spans="1:39" ht="18" customHeight="1" thickBot="1" x14ac:dyDescent="0.4">
      <c r="A21" s="112" t="str" cm="1">
        <f t="array" ref="A21">IFERROR(INDEX(_xlfn._xlws.FILTER(tblProjectTasks[TaskGroup],(tblProjectTasks[IsWorkPackage]="Yes")*(tblProjectTasks[CaptureStatus]&lt;&gt;"Removed")),ROWS($A$8:A21)),"")</f>
        <v>Shed</v>
      </c>
      <c r="B21" s="113" t="str" cm="1">
        <f t="array" ref="B21">IFERROR(INDEX(_xlfn._xlws.FILTER(tblProjectTasks[WBSCode],(tblProjectTasks[IsWorkPackage]="Yes")*(tblProjectTasks[CaptureStatus]&lt;&gt;"Removed")),ROWS($B$8:B21)),"")</f>
        <v>3.2.6</v>
      </c>
      <c r="C21" s="114" t="str" cm="1">
        <f t="array" ref="C21">IFERROR(INDEX(_xlfn._xlws.FILTER(tblProjectTasks[TaskName],(tblProjectTasks[IsWorkPackage]="Yes")*(tblProjectTasks[CaptureStatus]&lt;&gt;"Removed")),ROWS($C$8:C21)),"")</f>
        <v>Wait for delivery</v>
      </c>
      <c r="D21" s="115" cm="1">
        <f t="array" ref="D21">_xlfn.LET(_xlpm.x,IFERROR(INDEX(_xlfn._xlws.FILTER(tblProjectTasks[Elapsed Time in Weeks],(tblProjectTasks[IsWorkPackage]="Yes")*(tblProjectTasks[CaptureStatus]&lt;&gt;"Removed")),ROWS($D$8:D21)),""),IF(_xlpm.x=0,"",_xlpm.x))</f>
        <v>6</v>
      </c>
      <c r="E21" s="115">
        <f>IF($A21="","",IF($D21="",1,$D21))</f>
        <v>6</v>
      </c>
      <c r="F21" s="115">
        <f>IF($A21="","",IF(ROW()=8,0,$F20+$E20))</f>
        <v>32</v>
      </c>
      <c r="G21" s="115">
        <f>IF($A21="","",$F21+$E21)</f>
        <v>38</v>
      </c>
      <c r="H21" s="64" t="str">
        <f>IF($A21="","",IF(AND(VALUE(H$7)&gt;$F21,VALUE(H$7)&lt;=$G21),IF($D21="","◇","■"),""))</f>
        <v/>
      </c>
      <c r="I21" s="64" t="str">
        <f>IF($A21="","",IF(AND(VALUE(I$7)&gt;$F21,VALUE(I$7)&lt;=$G21),IF($D21="","◇","■"),""))</f>
        <v/>
      </c>
      <c r="J21" s="64" t="str">
        <f>IF($A21="","",IF(AND(VALUE(J$7)&gt;$F21,VALUE(J$7)&lt;=$G21),IF($D21="","◇","■"),""))</f>
        <v/>
      </c>
      <c r="K21" s="64" t="str">
        <f>IF($A21="","",IF(AND(VALUE(K$7)&gt;$F21,VALUE(K$7)&lt;=$G21),IF($D21="","◇","■"),""))</f>
        <v/>
      </c>
      <c r="L21" s="64" t="str">
        <f>IF($A21="","",IF(AND(VALUE(L$7)&gt;$F21,VALUE(L$7)&lt;=$G21),IF($D21="","◇","■"),""))</f>
        <v/>
      </c>
      <c r="M21" s="64" t="str">
        <f>IF($A21="","",IF(AND(VALUE(M$7)&gt;$F21,VALUE(M$7)&lt;=$G21),IF($D21="","◇","■"),""))</f>
        <v/>
      </c>
      <c r="N21" s="64" t="str">
        <f>IF($A21="","",IF(AND(VALUE(N$7)&gt;$F21,VALUE(N$7)&lt;=$G21),IF($D21="","◇","■"),""))</f>
        <v/>
      </c>
      <c r="O21" s="64" t="str">
        <f>IF($A21="","",IF(AND(VALUE(O$7)&gt;$F21,VALUE(O$7)&lt;=$G21),IF($D21="","◇","■"),""))</f>
        <v/>
      </c>
      <c r="P21" s="64" t="str">
        <f>IF($A21="","",IF(AND(VALUE(P$7)&gt;$F21,VALUE(P$7)&lt;=$G21),IF($D21="","◇","■"),""))</f>
        <v/>
      </c>
      <c r="Q21" s="64" t="str">
        <f>IF($A21="","",IF(AND(VALUE(Q$7)&gt;$F21,VALUE(Q$7)&lt;=$G21),IF($D21="","◇","■"),""))</f>
        <v/>
      </c>
      <c r="R21" s="64" t="str">
        <f>IF($A21="","",IF(AND(VALUE(R$7)&gt;$F21,VALUE(R$7)&lt;=$G21),IF($D21="","◇","■"),""))</f>
        <v/>
      </c>
      <c r="S21" s="64" t="str">
        <f>IF($A21="","",IF(AND(VALUE(S$7)&gt;$F21,VALUE(S$7)&lt;=$G21),IF($D21="","◇","■"),""))</f>
        <v/>
      </c>
      <c r="T21" s="64" t="str">
        <f>IF($A21="","",IF(AND(VALUE(T$7)&gt;$F21,VALUE(T$7)&lt;=$G21),IF($D21="","◇","■"),""))</f>
        <v/>
      </c>
      <c r="U21" s="64" t="str">
        <f>IF($A21="","",IF(AND(VALUE(U$7)&gt;$F21,VALUE(U$7)&lt;=$G21),IF($D21="","◇","■"),""))</f>
        <v/>
      </c>
      <c r="V21" s="64" t="str">
        <f>IF($A21="","",IF(AND(VALUE(V$7)&gt;$F21,VALUE(V$7)&lt;=$G21),IF($D21="","◇","■"),""))</f>
        <v/>
      </c>
      <c r="W21" s="64" t="str">
        <f>IF($A21="","",IF(AND(VALUE(W$7)&gt;$F21,VALUE(W$7)&lt;=$G21),IF($D21="","◇","■"),""))</f>
        <v/>
      </c>
      <c r="X21" s="64" t="str">
        <f>IF($A21="","",IF(AND(VALUE(X$7)&gt;$F21,VALUE(X$7)&lt;=$G21),IF($D21="","◇","■"),""))</f>
        <v/>
      </c>
      <c r="Y21" s="64" t="str">
        <f>IF($A21="","",IF(AND(VALUE(Y$7)&gt;$F21,VALUE(Y$7)&lt;=$G21),IF($D21="","◇","■"),""))</f>
        <v/>
      </c>
      <c r="Z21" s="64" t="str">
        <f>IF($A21="","",IF(AND(VALUE(Z$7)&gt;$F21,VALUE(Z$7)&lt;=$G21),IF($D21="","◇","■"),""))</f>
        <v/>
      </c>
      <c r="AA21" s="64" t="str">
        <f>IF($A21="","",IF(AND(VALUE(AA$7)&gt;$F21,VALUE(AA$7)&lt;=$G21),IF($D21="","◇","■"),""))</f>
        <v/>
      </c>
      <c r="AB21" s="64" t="str">
        <f>IF($A21="","",IF(AND(VALUE(AB$7)&gt;$F21,VALUE(AB$7)&lt;=$G21),IF($D21="","◇","■"),""))</f>
        <v/>
      </c>
      <c r="AC21" s="64" t="str">
        <f>IF($A21="","",IF(AND(VALUE(AC$7)&gt;$F21,VALUE(AC$7)&lt;=$G21),IF($D21="","◇","■"),""))</f>
        <v/>
      </c>
      <c r="AD21" s="64" t="str">
        <f>IF($A21="","",IF(AND(VALUE(AD$7)&gt;$F21,VALUE(AD$7)&lt;=$G21),IF($D21="","◇","■"),""))</f>
        <v/>
      </c>
      <c r="AE21" s="64" t="str">
        <f>IF($A21="","",IF(AND(VALUE(AE$7)&gt;$F21,VALUE(AE$7)&lt;=$G21),IF($D21="","◇","■"),""))</f>
        <v/>
      </c>
      <c r="AF21" s="64" t="str">
        <f>IF($A21="","",IF(AND(VALUE(AF$7)&gt;$F21,VALUE(AF$7)&lt;=$G21),IF($D21="","◇","■"),""))</f>
        <v/>
      </c>
      <c r="AG21" s="64" t="str">
        <f>IF($A21="","",IF(AND(VALUE(AG$7)&gt;$F21,VALUE(AG$7)&lt;=$G21),IF($D21="","◇","■"),""))</f>
        <v/>
      </c>
      <c r="AH21" s="64" t="str">
        <f>IF($A21="","",IF(AND(VALUE(AH$7)&gt;$F21,VALUE(AH$7)&lt;=$G21),IF($D21="","◇","■"),""))</f>
        <v/>
      </c>
      <c r="AI21" s="64" t="str">
        <f>IF($A21="","",IF(AND(VALUE(AI$7)&gt;$F21,VALUE(AI$7)&lt;=$G21),IF($D21="","◇","■"),""))</f>
        <v/>
      </c>
      <c r="AJ21" s="64" t="str">
        <f>IF($A21="","",IF(AND(VALUE(AJ$7)&gt;$F21,VALUE(AJ$7)&lt;=$G21),IF($D21="","◇","■"),""))</f>
        <v/>
      </c>
      <c r="AK21" s="64" t="str">
        <f>IF($A21="","",IF(AND(VALUE(AK$7)&gt;$F21,VALUE(AK$7)&lt;=$G21),IF($D21="","◇","■"),""))</f>
        <v/>
      </c>
      <c r="AL21" s="64" t="str">
        <f>IF($A21="","",IF(AND(VALUE(AL$7)&gt;$F21,VALUE(AL$7)&lt;=$G21),IF($D21="","◇","■"),""))</f>
        <v/>
      </c>
      <c r="AM21" s="64" t="str">
        <f>IF($A21="","",IF(AND(VALUE(AM$7)&gt;$F21,VALUE(AM$7)&lt;=$G21),IF($D21="","◇","■"),""))</f>
        <v/>
      </c>
    </row>
    <row r="22" spans="1:39" ht="18" customHeight="1" thickTop="1" thickBot="1" x14ac:dyDescent="0.4">
      <c r="A22" s="124" t="str" cm="1">
        <f t="array" ref="A22">IFERROR(INDEX(_xlfn._xlws.FILTER(tblProjectTasks[TaskGroup],(tblProjectTasks[IsWorkPackage]="Yes")*(tblProjectTasks[CaptureStatus]&lt;&gt;"Removed")),ROWS($A$8:A22)),"")</f>
        <v>Other stuff</v>
      </c>
      <c r="B22" s="125" t="str" cm="1">
        <f t="array" ref="B22">IFERROR(INDEX(_xlfn._xlws.FILTER(tblProjectTasks[WBSCode],(tblProjectTasks[IsWorkPackage]="Yes")*(tblProjectTasks[CaptureStatus]&lt;&gt;"Removed")),ROWS($B$8:B22)),"")</f>
        <v>3.3.1</v>
      </c>
      <c r="C22" s="126" t="str" cm="1">
        <f t="array" ref="C22">IFERROR(INDEX(_xlfn._xlws.FILTER(tblProjectTasks[TaskName],(tblProjectTasks[IsWorkPackage]="Yes")*(tblProjectTasks[CaptureStatus]&lt;&gt;"Removed")),ROWS($C$8:C22)),"")</f>
        <v>Buy furniture</v>
      </c>
      <c r="D22" s="127" cm="1">
        <f t="array" ref="D22">_xlfn.LET(_xlpm.x,IFERROR(INDEX(_xlfn._xlws.FILTER(tblProjectTasks[Elapsed Time in Weeks],(tblProjectTasks[IsWorkPackage]="Yes")*(tblProjectTasks[CaptureStatus]&lt;&gt;"Removed")),ROWS($D$8:D22)),""),IF(_xlpm.x=0,"",_xlpm.x))</f>
        <v>2</v>
      </c>
      <c r="E22" s="127">
        <f>IF($A22="","",IF($D22="",1,$D22))</f>
        <v>2</v>
      </c>
      <c r="F22" s="127">
        <f>IF($A22="","",IF(ROW()=8,0,$F21+$E21))</f>
        <v>38</v>
      </c>
      <c r="G22" s="127">
        <f>IF($A22="","",$F22+$E22)</f>
        <v>40</v>
      </c>
      <c r="H22" s="107" t="str">
        <f>IF($A22="","",IF(AND(VALUE(H$7)&gt;$F22,VALUE(H$7)&lt;=$G22),IF($D22="","◇","■"),""))</f>
        <v/>
      </c>
      <c r="I22" s="107" t="str">
        <f>IF($A22="","",IF(AND(VALUE(I$7)&gt;$F22,VALUE(I$7)&lt;=$G22),IF($D22="","◇","■"),""))</f>
        <v/>
      </c>
      <c r="J22" s="107" t="str">
        <f>IF($A22="","",IF(AND(VALUE(J$7)&gt;$F22,VALUE(J$7)&lt;=$G22),IF($D22="","◇","■"),""))</f>
        <v/>
      </c>
      <c r="K22" s="107" t="str">
        <f>IF($A22="","",IF(AND(VALUE(K$7)&gt;$F22,VALUE(K$7)&lt;=$G22),IF($D22="","◇","■"),""))</f>
        <v/>
      </c>
      <c r="L22" s="107" t="str">
        <f>IF($A22="","",IF(AND(VALUE(L$7)&gt;$F22,VALUE(L$7)&lt;=$G22),IF($D22="","◇","■"),""))</f>
        <v/>
      </c>
      <c r="M22" s="107" t="str">
        <f>IF($A22="","",IF(AND(VALUE(M$7)&gt;$F22,VALUE(M$7)&lt;=$G22),IF($D22="","◇","■"),""))</f>
        <v/>
      </c>
      <c r="N22" s="107" t="str">
        <f>IF($A22="","",IF(AND(VALUE(N$7)&gt;$F22,VALUE(N$7)&lt;=$G22),IF($D22="","◇","■"),""))</f>
        <v/>
      </c>
      <c r="O22" s="107" t="str">
        <f>IF($A22="","",IF(AND(VALUE(O$7)&gt;$F22,VALUE(O$7)&lt;=$G22),IF($D22="","◇","■"),""))</f>
        <v/>
      </c>
      <c r="P22" s="107" t="str">
        <f>IF($A22="","",IF(AND(VALUE(P$7)&gt;$F22,VALUE(P$7)&lt;=$G22),IF($D22="","◇","■"),""))</f>
        <v/>
      </c>
      <c r="Q22" s="107" t="str">
        <f>IF($A22="","",IF(AND(VALUE(Q$7)&gt;$F22,VALUE(Q$7)&lt;=$G22),IF($D22="","◇","■"),""))</f>
        <v/>
      </c>
      <c r="R22" s="107" t="str">
        <f>IF($A22="","",IF(AND(VALUE(R$7)&gt;$F22,VALUE(R$7)&lt;=$G22),IF($D22="","◇","■"),""))</f>
        <v/>
      </c>
      <c r="S22" s="107" t="str">
        <f>IF($A22="","",IF(AND(VALUE(S$7)&gt;$F22,VALUE(S$7)&lt;=$G22),IF($D22="","◇","■"),""))</f>
        <v/>
      </c>
      <c r="T22" s="107" t="str">
        <f>IF($A22="","",IF(AND(VALUE(T$7)&gt;$F22,VALUE(T$7)&lt;=$G22),IF($D22="","◇","■"),""))</f>
        <v/>
      </c>
      <c r="U22" s="107" t="str">
        <f>IF($A22="","",IF(AND(VALUE(U$7)&gt;$F22,VALUE(U$7)&lt;=$G22),IF($D22="","◇","■"),""))</f>
        <v/>
      </c>
      <c r="V22" s="107" t="str">
        <f>IF($A22="","",IF(AND(VALUE(V$7)&gt;$F22,VALUE(V$7)&lt;=$G22),IF($D22="","◇","■"),""))</f>
        <v/>
      </c>
      <c r="W22" s="107" t="str">
        <f>IF($A22="","",IF(AND(VALUE(W$7)&gt;$F22,VALUE(W$7)&lt;=$G22),IF($D22="","◇","■"),""))</f>
        <v/>
      </c>
      <c r="X22" s="107" t="str">
        <f>IF($A22="","",IF(AND(VALUE(X$7)&gt;$F22,VALUE(X$7)&lt;=$G22),IF($D22="","◇","■"),""))</f>
        <v/>
      </c>
      <c r="Y22" s="107" t="str">
        <f>IF($A22="","",IF(AND(VALUE(Y$7)&gt;$F22,VALUE(Y$7)&lt;=$G22),IF($D22="","◇","■"),""))</f>
        <v/>
      </c>
      <c r="Z22" s="107" t="str">
        <f>IF($A22="","",IF(AND(VALUE(Z$7)&gt;$F22,VALUE(Z$7)&lt;=$G22),IF($D22="","◇","■"),""))</f>
        <v/>
      </c>
      <c r="AA22" s="107" t="str">
        <f>IF($A22="","",IF(AND(VALUE(AA$7)&gt;$F22,VALUE(AA$7)&lt;=$G22),IF($D22="","◇","■"),""))</f>
        <v/>
      </c>
      <c r="AB22" s="107" t="str">
        <f>IF($A22="","",IF(AND(VALUE(AB$7)&gt;$F22,VALUE(AB$7)&lt;=$G22),IF($D22="","◇","■"),""))</f>
        <v/>
      </c>
      <c r="AC22" s="107" t="str">
        <f>IF($A22="","",IF(AND(VALUE(AC$7)&gt;$F22,VALUE(AC$7)&lt;=$G22),IF($D22="","◇","■"),""))</f>
        <v/>
      </c>
      <c r="AD22" s="107" t="str">
        <f>IF($A22="","",IF(AND(VALUE(AD$7)&gt;$F22,VALUE(AD$7)&lt;=$G22),IF($D22="","◇","■"),""))</f>
        <v/>
      </c>
      <c r="AE22" s="107" t="str">
        <f>IF($A22="","",IF(AND(VALUE(AE$7)&gt;$F22,VALUE(AE$7)&lt;=$G22),IF($D22="","◇","■"),""))</f>
        <v/>
      </c>
      <c r="AF22" s="107" t="str">
        <f>IF($A22="","",IF(AND(VALUE(AF$7)&gt;$F22,VALUE(AF$7)&lt;=$G22),IF($D22="","◇","■"),""))</f>
        <v/>
      </c>
      <c r="AG22" s="107" t="str">
        <f>IF($A22="","",IF(AND(VALUE(AG$7)&gt;$F22,VALUE(AG$7)&lt;=$G22),IF($D22="","◇","■"),""))</f>
        <v/>
      </c>
      <c r="AH22" s="107" t="str">
        <f>IF($A22="","",IF(AND(VALUE(AH$7)&gt;$F22,VALUE(AH$7)&lt;=$G22),IF($D22="","◇","■"),""))</f>
        <v/>
      </c>
      <c r="AI22" s="107" t="str">
        <f>IF($A22="","",IF(AND(VALUE(AI$7)&gt;$F22,VALUE(AI$7)&lt;=$G22),IF($D22="","◇","■"),""))</f>
        <v/>
      </c>
      <c r="AJ22" s="107" t="str">
        <f>IF($A22="","",IF(AND(VALUE(AJ$7)&gt;$F22,VALUE(AJ$7)&lt;=$G22),IF($D22="","◇","■"),""))</f>
        <v/>
      </c>
      <c r="AK22" s="107" t="str">
        <f>IF($A22="","",IF(AND(VALUE(AK$7)&gt;$F22,VALUE(AK$7)&lt;=$G22),IF($D22="","◇","■"),""))</f>
        <v/>
      </c>
      <c r="AL22" s="107" t="str">
        <f>IF($A22="","",IF(AND(VALUE(AL$7)&gt;$F22,VALUE(AL$7)&lt;=$G22),IF($D22="","◇","■"),""))</f>
        <v/>
      </c>
      <c r="AM22" s="107" t="str">
        <f>IF($A22="","",IF(AND(VALUE(AM$7)&gt;$F22,VALUE(AM$7)&lt;=$G22),IF($D22="","◇","■"),""))</f>
        <v/>
      </c>
    </row>
    <row r="23" spans="1:39" ht="18" customHeight="1" thickTop="1" x14ac:dyDescent="0.35">
      <c r="A23" s="128" t="str" cm="1">
        <f t="array" ref="A23">IFERROR(INDEX(_xlfn._xlws.FILTER(tblProjectTasks[TaskGroup],(tblProjectTasks[IsWorkPackage]="Yes")*(tblProjectTasks[CaptureStatus]&lt;&gt;"Removed")),ROWS($A$8:A23)),"")</f>
        <v>Foundations</v>
      </c>
      <c r="B23" s="129" cm="1">
        <f t="array" ref="B23">IFERROR(INDEX(_xlfn._xlws.FILTER(tblProjectTasks[WBSCode],(tblProjectTasks[IsWorkPackage]="Yes")*(tblProjectTasks[CaptureStatus]&lt;&gt;"Removed")),ROWS($B$8:B23)),"")</f>
        <v>4.0999999999999996</v>
      </c>
      <c r="C23" s="130" t="str" cm="1">
        <f t="array" ref="C23">IFERROR(INDEX(_xlfn._xlws.FILTER(tblProjectTasks[TaskName],(tblProjectTasks[IsWorkPackage]="Yes")*(tblProjectTasks[CaptureStatus]&lt;&gt;"Removed")),ROWS($C$8:C23)),"")</f>
        <v>Hire Digger</v>
      </c>
      <c r="D23" s="131" cm="1">
        <f t="array" ref="D23">_xlfn.LET(_xlpm.x,IFERROR(INDEX(_xlfn._xlws.FILTER(tblProjectTasks[Elapsed Time in Weeks],(tblProjectTasks[IsWorkPackage]="Yes")*(tblProjectTasks[CaptureStatus]&lt;&gt;"Removed")),ROWS($D$8:D23)),""),IF(_xlpm.x=0,"",_xlpm.x))</f>
        <v>2</v>
      </c>
      <c r="E23" s="131">
        <f>IF($A23="","",IF($D23="",1,$D23))</f>
        <v>2</v>
      </c>
      <c r="F23" s="131">
        <f>IF($A23="","",IF(ROW()=8,0,$F22+$E22))</f>
        <v>40</v>
      </c>
      <c r="G23" s="131">
        <f>IF($A23="","",$F23+$E23)</f>
        <v>42</v>
      </c>
      <c r="H23" s="73" t="str">
        <f>IF($A23="","",IF(AND(VALUE(H$7)&gt;$F23,VALUE(H$7)&lt;=$G23),IF($D23="","◇","■"),""))</f>
        <v/>
      </c>
      <c r="I23" s="73" t="str">
        <f>IF($A23="","",IF(AND(VALUE(I$7)&gt;$F23,VALUE(I$7)&lt;=$G23),IF($D23="","◇","■"),""))</f>
        <v/>
      </c>
      <c r="J23" s="73" t="str">
        <f>IF($A23="","",IF(AND(VALUE(J$7)&gt;$F23,VALUE(J$7)&lt;=$G23),IF($D23="","◇","■"),""))</f>
        <v/>
      </c>
      <c r="K23" s="73" t="str">
        <f>IF($A23="","",IF(AND(VALUE(K$7)&gt;$F23,VALUE(K$7)&lt;=$G23),IF($D23="","◇","■"),""))</f>
        <v/>
      </c>
      <c r="L23" s="73" t="str">
        <f>IF($A23="","",IF(AND(VALUE(L$7)&gt;$F23,VALUE(L$7)&lt;=$G23),IF($D23="","◇","■"),""))</f>
        <v/>
      </c>
      <c r="M23" s="73" t="str">
        <f>IF($A23="","",IF(AND(VALUE(M$7)&gt;$F23,VALUE(M$7)&lt;=$G23),IF($D23="","◇","■"),""))</f>
        <v/>
      </c>
      <c r="N23" s="73" t="str">
        <f>IF($A23="","",IF(AND(VALUE(N$7)&gt;$F23,VALUE(N$7)&lt;=$G23),IF($D23="","◇","■"),""))</f>
        <v/>
      </c>
      <c r="O23" s="73" t="str">
        <f>IF($A23="","",IF(AND(VALUE(O$7)&gt;$F23,VALUE(O$7)&lt;=$G23),IF($D23="","◇","■"),""))</f>
        <v/>
      </c>
      <c r="P23" s="73" t="str">
        <f>IF($A23="","",IF(AND(VALUE(P$7)&gt;$F23,VALUE(P$7)&lt;=$G23),IF($D23="","◇","■"),""))</f>
        <v/>
      </c>
      <c r="Q23" s="73" t="str">
        <f>IF($A23="","",IF(AND(VALUE(Q$7)&gt;$F23,VALUE(Q$7)&lt;=$G23),IF($D23="","◇","■"),""))</f>
        <v/>
      </c>
      <c r="R23" s="73" t="str">
        <f>IF($A23="","",IF(AND(VALUE(R$7)&gt;$F23,VALUE(R$7)&lt;=$G23),IF($D23="","◇","■"),""))</f>
        <v/>
      </c>
      <c r="S23" s="73" t="str">
        <f>IF($A23="","",IF(AND(VALUE(S$7)&gt;$F23,VALUE(S$7)&lt;=$G23),IF($D23="","◇","■"),""))</f>
        <v/>
      </c>
      <c r="T23" s="73" t="str">
        <f>IF($A23="","",IF(AND(VALUE(T$7)&gt;$F23,VALUE(T$7)&lt;=$G23),IF($D23="","◇","■"),""))</f>
        <v/>
      </c>
      <c r="U23" s="73" t="str">
        <f>IF($A23="","",IF(AND(VALUE(U$7)&gt;$F23,VALUE(U$7)&lt;=$G23),IF($D23="","◇","■"),""))</f>
        <v/>
      </c>
      <c r="V23" s="73" t="str">
        <f>IF($A23="","",IF(AND(VALUE(V$7)&gt;$F23,VALUE(V$7)&lt;=$G23),IF($D23="","◇","■"),""))</f>
        <v/>
      </c>
      <c r="W23" s="73" t="str">
        <f>IF($A23="","",IF(AND(VALUE(W$7)&gt;$F23,VALUE(W$7)&lt;=$G23),IF($D23="","◇","■"),""))</f>
        <v/>
      </c>
      <c r="X23" s="73" t="str">
        <f>IF($A23="","",IF(AND(VALUE(X$7)&gt;$F23,VALUE(X$7)&lt;=$G23),IF($D23="","◇","■"),""))</f>
        <v/>
      </c>
      <c r="Y23" s="73" t="str">
        <f>IF($A23="","",IF(AND(VALUE(Y$7)&gt;$F23,VALUE(Y$7)&lt;=$G23),IF($D23="","◇","■"),""))</f>
        <v/>
      </c>
      <c r="Z23" s="73" t="str">
        <f>IF($A23="","",IF(AND(VALUE(Z$7)&gt;$F23,VALUE(Z$7)&lt;=$G23),IF($D23="","◇","■"),""))</f>
        <v/>
      </c>
      <c r="AA23" s="73" t="str">
        <f>IF($A23="","",IF(AND(VALUE(AA$7)&gt;$F23,VALUE(AA$7)&lt;=$G23),IF($D23="","◇","■"),""))</f>
        <v/>
      </c>
      <c r="AB23" s="73" t="str">
        <f>IF($A23="","",IF(AND(VALUE(AB$7)&gt;$F23,VALUE(AB$7)&lt;=$G23),IF($D23="","◇","■"),""))</f>
        <v/>
      </c>
      <c r="AC23" s="73" t="str">
        <f>IF($A23="","",IF(AND(VALUE(AC$7)&gt;$F23,VALUE(AC$7)&lt;=$G23),IF($D23="","◇","■"),""))</f>
        <v/>
      </c>
      <c r="AD23" s="73" t="str">
        <f>IF($A23="","",IF(AND(VALUE(AD$7)&gt;$F23,VALUE(AD$7)&lt;=$G23),IF($D23="","◇","■"),""))</f>
        <v/>
      </c>
      <c r="AE23" s="73" t="str">
        <f>IF($A23="","",IF(AND(VALUE(AE$7)&gt;$F23,VALUE(AE$7)&lt;=$G23),IF($D23="","◇","■"),""))</f>
        <v/>
      </c>
      <c r="AF23" s="73" t="str">
        <f>IF($A23="","",IF(AND(VALUE(AF$7)&gt;$F23,VALUE(AF$7)&lt;=$G23),IF($D23="","◇","■"),""))</f>
        <v/>
      </c>
      <c r="AG23" s="73" t="str">
        <f>IF($A23="","",IF(AND(VALUE(AG$7)&gt;$F23,VALUE(AG$7)&lt;=$G23),IF($D23="","◇","■"),""))</f>
        <v/>
      </c>
      <c r="AH23" s="73" t="str">
        <f>IF($A23="","",IF(AND(VALUE(AH$7)&gt;$F23,VALUE(AH$7)&lt;=$G23),IF($D23="","◇","■"),""))</f>
        <v/>
      </c>
      <c r="AI23" s="73" t="str">
        <f>IF($A23="","",IF(AND(VALUE(AI$7)&gt;$F23,VALUE(AI$7)&lt;=$G23),IF($D23="","◇","■"),""))</f>
        <v/>
      </c>
      <c r="AJ23" s="73" t="str">
        <f>IF($A23="","",IF(AND(VALUE(AJ$7)&gt;$F23,VALUE(AJ$7)&lt;=$G23),IF($D23="","◇","■"),""))</f>
        <v/>
      </c>
      <c r="AK23" s="73" t="str">
        <f>IF($A23="","",IF(AND(VALUE(AK$7)&gt;$F23,VALUE(AK$7)&lt;=$G23),IF($D23="","◇","■"),""))</f>
        <v/>
      </c>
      <c r="AL23" s="73" t="str">
        <f>IF($A23="","",IF(AND(VALUE(AL$7)&gt;$F23,VALUE(AL$7)&lt;=$G23),IF($D23="","◇","■"),""))</f>
        <v/>
      </c>
      <c r="AM23" s="73" t="str">
        <f>IF($A23="","",IF(AND(VALUE(AM$7)&gt;$F23,VALUE(AM$7)&lt;=$G23),IF($D23="","◇","■"),""))</f>
        <v/>
      </c>
    </row>
    <row r="24" spans="1:39" ht="18" customHeight="1" x14ac:dyDescent="0.35">
      <c r="A24" s="116" t="str" cm="1">
        <f t="array" ref="A24">IFERROR(INDEX(_xlfn._xlws.FILTER(tblProjectTasks[TaskGroup],(tblProjectTasks[IsWorkPackage]="Yes")*(tblProjectTasks[CaptureStatus]&lt;&gt;"Removed")),ROWS($A$8:A24)),"")</f>
        <v>Foundations</v>
      </c>
      <c r="B24" s="117" cm="1">
        <f t="array" ref="B24">IFERROR(INDEX(_xlfn._xlws.FILTER(tblProjectTasks[WBSCode],(tblProjectTasks[IsWorkPackage]="Yes")*(tblProjectTasks[CaptureStatus]&lt;&gt;"Removed")),ROWS($B$8:B24)),"")</f>
        <v>4.2</v>
      </c>
      <c r="C24" s="118" t="str" cm="1">
        <f t="array" ref="C24">IFERROR(INDEX(_xlfn._xlws.FILTER(tblProjectTasks[TaskName],(tblProjectTasks[IsWorkPackage]="Yes")*(tblProjectTasks[CaptureStatus]&lt;&gt;"Removed")),ROWS($C$8:C24)),"")</f>
        <v>Dig foundation trenches</v>
      </c>
      <c r="D24" s="119" cm="1">
        <f t="array" ref="D24">_xlfn.LET(_xlpm.x,IFERROR(INDEX(_xlfn._xlws.FILTER(tblProjectTasks[Elapsed Time in Weeks],(tblProjectTasks[IsWorkPackage]="Yes")*(tblProjectTasks[CaptureStatus]&lt;&gt;"Removed")),ROWS($D$8:D24)),""),IF(_xlpm.x=0,"",_xlpm.x))</f>
        <v>1</v>
      </c>
      <c r="E24" s="119">
        <f>IF($A24="","",IF($D24="",1,$D24))</f>
        <v>1</v>
      </c>
      <c r="F24" s="119">
        <f>IF($A24="","",IF(ROW()=8,0,$F23+$E23))</f>
        <v>42</v>
      </c>
      <c r="G24" s="119">
        <f>IF($A24="","",$F24+$E24)</f>
        <v>43</v>
      </c>
      <c r="H24" s="68" t="str">
        <f>IF($A24="","",IF(AND(VALUE(H$7)&gt;$F24,VALUE(H$7)&lt;=$G24),IF($D24="","◇","■"),""))</f>
        <v/>
      </c>
      <c r="I24" s="68" t="str">
        <f>IF($A24="","",IF(AND(VALUE(I$7)&gt;$F24,VALUE(I$7)&lt;=$G24),IF($D24="","◇","■"),""))</f>
        <v/>
      </c>
      <c r="J24" s="68" t="str">
        <f>IF($A24="","",IF(AND(VALUE(J$7)&gt;$F24,VALUE(J$7)&lt;=$G24),IF($D24="","◇","■"),""))</f>
        <v/>
      </c>
      <c r="K24" s="68" t="str">
        <f>IF($A24="","",IF(AND(VALUE(K$7)&gt;$F24,VALUE(K$7)&lt;=$G24),IF($D24="","◇","■"),""))</f>
        <v/>
      </c>
      <c r="L24" s="68" t="str">
        <f>IF($A24="","",IF(AND(VALUE(L$7)&gt;$F24,VALUE(L$7)&lt;=$G24),IF($D24="","◇","■"),""))</f>
        <v/>
      </c>
      <c r="M24" s="68" t="str">
        <f>IF($A24="","",IF(AND(VALUE(M$7)&gt;$F24,VALUE(M$7)&lt;=$G24),IF($D24="","◇","■"),""))</f>
        <v/>
      </c>
      <c r="N24" s="68" t="str">
        <f>IF($A24="","",IF(AND(VALUE(N$7)&gt;$F24,VALUE(N$7)&lt;=$G24),IF($D24="","◇","■"),""))</f>
        <v/>
      </c>
      <c r="O24" s="68" t="str">
        <f>IF($A24="","",IF(AND(VALUE(O$7)&gt;$F24,VALUE(O$7)&lt;=$G24),IF($D24="","◇","■"),""))</f>
        <v/>
      </c>
      <c r="P24" s="68" t="str">
        <f>IF($A24="","",IF(AND(VALUE(P$7)&gt;$F24,VALUE(P$7)&lt;=$G24),IF($D24="","◇","■"),""))</f>
        <v/>
      </c>
      <c r="Q24" s="68" t="str">
        <f>IF($A24="","",IF(AND(VALUE(Q$7)&gt;$F24,VALUE(Q$7)&lt;=$G24),IF($D24="","◇","■"),""))</f>
        <v/>
      </c>
      <c r="R24" s="68" t="str">
        <f>IF($A24="","",IF(AND(VALUE(R$7)&gt;$F24,VALUE(R$7)&lt;=$G24),IF($D24="","◇","■"),""))</f>
        <v/>
      </c>
      <c r="S24" s="68" t="str">
        <f>IF($A24="","",IF(AND(VALUE(S$7)&gt;$F24,VALUE(S$7)&lt;=$G24),IF($D24="","◇","■"),""))</f>
        <v/>
      </c>
      <c r="T24" s="68" t="str">
        <f>IF($A24="","",IF(AND(VALUE(T$7)&gt;$F24,VALUE(T$7)&lt;=$G24),IF($D24="","◇","■"),""))</f>
        <v/>
      </c>
      <c r="U24" s="68" t="str">
        <f>IF($A24="","",IF(AND(VALUE(U$7)&gt;$F24,VALUE(U$7)&lt;=$G24),IF($D24="","◇","■"),""))</f>
        <v/>
      </c>
      <c r="V24" s="68" t="str">
        <f>IF($A24="","",IF(AND(VALUE(V$7)&gt;$F24,VALUE(V$7)&lt;=$G24),IF($D24="","◇","■"),""))</f>
        <v/>
      </c>
      <c r="W24" s="68" t="str">
        <f>IF($A24="","",IF(AND(VALUE(W$7)&gt;$F24,VALUE(W$7)&lt;=$G24),IF($D24="","◇","■"),""))</f>
        <v/>
      </c>
      <c r="X24" s="68" t="str">
        <f>IF($A24="","",IF(AND(VALUE(X$7)&gt;$F24,VALUE(X$7)&lt;=$G24),IF($D24="","◇","■"),""))</f>
        <v/>
      </c>
      <c r="Y24" s="68" t="str">
        <f>IF($A24="","",IF(AND(VALUE(Y$7)&gt;$F24,VALUE(Y$7)&lt;=$G24),IF($D24="","◇","■"),""))</f>
        <v/>
      </c>
      <c r="Z24" s="68" t="str">
        <f>IF($A24="","",IF(AND(VALUE(Z$7)&gt;$F24,VALUE(Z$7)&lt;=$G24),IF($D24="","◇","■"),""))</f>
        <v/>
      </c>
      <c r="AA24" s="68" t="str">
        <f>IF($A24="","",IF(AND(VALUE(AA$7)&gt;$F24,VALUE(AA$7)&lt;=$G24),IF($D24="","◇","■"),""))</f>
        <v/>
      </c>
      <c r="AB24" s="68" t="str">
        <f>IF($A24="","",IF(AND(VALUE(AB$7)&gt;$F24,VALUE(AB$7)&lt;=$G24),IF($D24="","◇","■"),""))</f>
        <v/>
      </c>
      <c r="AC24" s="68" t="str">
        <f>IF($A24="","",IF(AND(VALUE(AC$7)&gt;$F24,VALUE(AC$7)&lt;=$G24),IF($D24="","◇","■"),""))</f>
        <v/>
      </c>
      <c r="AD24" s="68" t="str">
        <f>IF($A24="","",IF(AND(VALUE(AD$7)&gt;$F24,VALUE(AD$7)&lt;=$G24),IF($D24="","◇","■"),""))</f>
        <v/>
      </c>
      <c r="AE24" s="68" t="str">
        <f>IF($A24="","",IF(AND(VALUE(AE$7)&gt;$F24,VALUE(AE$7)&lt;=$G24),IF($D24="","◇","■"),""))</f>
        <v/>
      </c>
      <c r="AF24" s="68" t="str">
        <f>IF($A24="","",IF(AND(VALUE(AF$7)&gt;$F24,VALUE(AF$7)&lt;=$G24),IF($D24="","◇","■"),""))</f>
        <v/>
      </c>
      <c r="AG24" s="68" t="str">
        <f>IF($A24="","",IF(AND(VALUE(AG$7)&gt;$F24,VALUE(AG$7)&lt;=$G24),IF($D24="","◇","■"),""))</f>
        <v/>
      </c>
      <c r="AH24" s="68" t="str">
        <f>IF($A24="","",IF(AND(VALUE(AH$7)&gt;$F24,VALUE(AH$7)&lt;=$G24),IF($D24="","◇","■"),""))</f>
        <v/>
      </c>
      <c r="AI24" s="68" t="str">
        <f>IF($A24="","",IF(AND(VALUE(AI$7)&gt;$F24,VALUE(AI$7)&lt;=$G24),IF($D24="","◇","■"),""))</f>
        <v/>
      </c>
      <c r="AJ24" s="68" t="str">
        <f>IF($A24="","",IF(AND(VALUE(AJ$7)&gt;$F24,VALUE(AJ$7)&lt;=$G24),IF($D24="","◇","■"),""))</f>
        <v/>
      </c>
      <c r="AK24" s="68" t="str">
        <f>IF($A24="","",IF(AND(VALUE(AK$7)&gt;$F24,VALUE(AK$7)&lt;=$G24),IF($D24="","◇","■"),""))</f>
        <v/>
      </c>
      <c r="AL24" s="68" t="str">
        <f>IF($A24="","",IF(AND(VALUE(AL$7)&gt;$F24,VALUE(AL$7)&lt;=$G24),IF($D24="","◇","■"),""))</f>
        <v/>
      </c>
      <c r="AM24" s="68" t="str">
        <f>IF($A24="","",IF(AND(VALUE(AM$7)&gt;$F24,VALUE(AM$7)&lt;=$G24),IF($D24="","◇","■"),""))</f>
        <v/>
      </c>
    </row>
    <row r="25" spans="1:39" ht="18" customHeight="1" x14ac:dyDescent="0.35">
      <c r="A25" s="120" t="str" cm="1">
        <f t="array" ref="A25">IFERROR(INDEX(_xlfn._xlws.FILTER(tblProjectTasks[TaskGroup],(tblProjectTasks[IsWorkPackage]="Yes")*(tblProjectTasks[CaptureStatus]&lt;&gt;"Removed")),ROWS($A$8:A25)),"")</f>
        <v>Foundations</v>
      </c>
      <c r="B25" s="121" cm="1">
        <f t="array" ref="B25">IFERROR(INDEX(_xlfn._xlws.FILTER(tblProjectTasks[WBSCode],(tblProjectTasks[IsWorkPackage]="Yes")*(tblProjectTasks[CaptureStatus]&lt;&gt;"Removed")),ROWS($B$8:B25)),"")</f>
        <v>4.3</v>
      </c>
      <c r="C25" s="122" t="str" cm="1">
        <f t="array" ref="C25">IFERROR(INDEX(_xlfn._xlws.FILTER(tblProjectTasks[TaskName],(tblProjectTasks[IsWorkPackage]="Yes")*(tblProjectTasks[CaptureStatus]&lt;&gt;"Removed")),ROWS($C$8:C25)),"")</f>
        <v>Fill with concrete</v>
      </c>
      <c r="D25" s="123" cm="1">
        <f t="array" ref="D25">_xlfn.LET(_xlpm.x,IFERROR(INDEX(_xlfn._xlws.FILTER(tblProjectTasks[Elapsed Time in Weeks],(tblProjectTasks[IsWorkPackage]="Yes")*(tblProjectTasks[CaptureStatus]&lt;&gt;"Removed")),ROWS($D$8:D25)),""),IF(_xlpm.x=0,"",_xlpm.x))</f>
        <v>2</v>
      </c>
      <c r="E25" s="123">
        <f>IF($A25="","",IF($D25="",1,$D25))</f>
        <v>2</v>
      </c>
      <c r="F25" s="123">
        <f>IF($A25="","",IF(ROW()=8,0,$F24+$E24))</f>
        <v>43</v>
      </c>
      <c r="G25" s="123">
        <f>IF($A25="","",$F25+$E25)</f>
        <v>45</v>
      </c>
      <c r="H25" s="59" t="str">
        <f>IF($A25="","",IF(AND(VALUE(H$7)&gt;$F25,VALUE(H$7)&lt;=$G25),IF($D25="","◇","■"),""))</f>
        <v/>
      </c>
      <c r="I25" s="59" t="str">
        <f>IF($A25="","",IF(AND(VALUE(I$7)&gt;$F25,VALUE(I$7)&lt;=$G25),IF($D25="","◇","■"),""))</f>
        <v/>
      </c>
      <c r="J25" s="59" t="str">
        <f>IF($A25="","",IF(AND(VALUE(J$7)&gt;$F25,VALUE(J$7)&lt;=$G25),IF($D25="","◇","■"),""))</f>
        <v/>
      </c>
      <c r="K25" s="59" t="str">
        <f>IF($A25="","",IF(AND(VALUE(K$7)&gt;$F25,VALUE(K$7)&lt;=$G25),IF($D25="","◇","■"),""))</f>
        <v/>
      </c>
      <c r="L25" s="59" t="str">
        <f>IF($A25="","",IF(AND(VALUE(L$7)&gt;$F25,VALUE(L$7)&lt;=$G25),IF($D25="","◇","■"),""))</f>
        <v/>
      </c>
      <c r="M25" s="59" t="str">
        <f>IF($A25="","",IF(AND(VALUE(M$7)&gt;$F25,VALUE(M$7)&lt;=$G25),IF($D25="","◇","■"),""))</f>
        <v/>
      </c>
      <c r="N25" s="59" t="str">
        <f>IF($A25="","",IF(AND(VALUE(N$7)&gt;$F25,VALUE(N$7)&lt;=$G25),IF($D25="","◇","■"),""))</f>
        <v/>
      </c>
      <c r="O25" s="59" t="str">
        <f>IF($A25="","",IF(AND(VALUE(O$7)&gt;$F25,VALUE(O$7)&lt;=$G25),IF($D25="","◇","■"),""))</f>
        <v/>
      </c>
      <c r="P25" s="59" t="str">
        <f>IF($A25="","",IF(AND(VALUE(P$7)&gt;$F25,VALUE(P$7)&lt;=$G25),IF($D25="","◇","■"),""))</f>
        <v/>
      </c>
      <c r="Q25" s="59" t="str">
        <f>IF($A25="","",IF(AND(VALUE(Q$7)&gt;$F25,VALUE(Q$7)&lt;=$G25),IF($D25="","◇","■"),""))</f>
        <v/>
      </c>
      <c r="R25" s="59" t="str">
        <f>IF($A25="","",IF(AND(VALUE(R$7)&gt;$F25,VALUE(R$7)&lt;=$G25),IF($D25="","◇","■"),""))</f>
        <v/>
      </c>
      <c r="S25" s="59" t="str">
        <f>IF($A25="","",IF(AND(VALUE(S$7)&gt;$F25,VALUE(S$7)&lt;=$G25),IF($D25="","◇","■"),""))</f>
        <v/>
      </c>
      <c r="T25" s="59" t="str">
        <f>IF($A25="","",IF(AND(VALUE(T$7)&gt;$F25,VALUE(T$7)&lt;=$G25),IF($D25="","◇","■"),""))</f>
        <v/>
      </c>
      <c r="U25" s="59" t="str">
        <f>IF($A25="","",IF(AND(VALUE(U$7)&gt;$F25,VALUE(U$7)&lt;=$G25),IF($D25="","◇","■"),""))</f>
        <v/>
      </c>
      <c r="V25" s="59" t="str">
        <f>IF($A25="","",IF(AND(VALUE(V$7)&gt;$F25,VALUE(V$7)&lt;=$G25),IF($D25="","◇","■"),""))</f>
        <v/>
      </c>
      <c r="W25" s="59" t="str">
        <f>IF($A25="","",IF(AND(VALUE(W$7)&gt;$F25,VALUE(W$7)&lt;=$G25),IF($D25="","◇","■"),""))</f>
        <v/>
      </c>
      <c r="X25" s="59" t="str">
        <f>IF($A25="","",IF(AND(VALUE(X$7)&gt;$F25,VALUE(X$7)&lt;=$G25),IF($D25="","◇","■"),""))</f>
        <v/>
      </c>
      <c r="Y25" s="59" t="str">
        <f>IF($A25="","",IF(AND(VALUE(Y$7)&gt;$F25,VALUE(Y$7)&lt;=$G25),IF($D25="","◇","■"),""))</f>
        <v/>
      </c>
      <c r="Z25" s="59" t="str">
        <f>IF($A25="","",IF(AND(VALUE(Z$7)&gt;$F25,VALUE(Z$7)&lt;=$G25),IF($D25="","◇","■"),""))</f>
        <v/>
      </c>
      <c r="AA25" s="59" t="str">
        <f>IF($A25="","",IF(AND(VALUE(AA$7)&gt;$F25,VALUE(AA$7)&lt;=$G25),IF($D25="","◇","■"),""))</f>
        <v/>
      </c>
      <c r="AB25" s="59" t="str">
        <f>IF($A25="","",IF(AND(VALUE(AB$7)&gt;$F25,VALUE(AB$7)&lt;=$G25),IF($D25="","◇","■"),""))</f>
        <v/>
      </c>
      <c r="AC25" s="59" t="str">
        <f>IF($A25="","",IF(AND(VALUE(AC$7)&gt;$F25,VALUE(AC$7)&lt;=$G25),IF($D25="","◇","■"),""))</f>
        <v/>
      </c>
      <c r="AD25" s="59" t="str">
        <f>IF($A25="","",IF(AND(VALUE(AD$7)&gt;$F25,VALUE(AD$7)&lt;=$G25),IF($D25="","◇","■"),""))</f>
        <v/>
      </c>
      <c r="AE25" s="59" t="str">
        <f>IF($A25="","",IF(AND(VALUE(AE$7)&gt;$F25,VALUE(AE$7)&lt;=$G25),IF($D25="","◇","■"),""))</f>
        <v/>
      </c>
      <c r="AF25" s="59" t="str">
        <f>IF($A25="","",IF(AND(VALUE(AF$7)&gt;$F25,VALUE(AF$7)&lt;=$G25),IF($D25="","◇","■"),""))</f>
        <v/>
      </c>
      <c r="AG25" s="59" t="str">
        <f>IF($A25="","",IF(AND(VALUE(AG$7)&gt;$F25,VALUE(AG$7)&lt;=$G25),IF($D25="","◇","■"),""))</f>
        <v/>
      </c>
      <c r="AH25" s="59" t="str">
        <f>IF($A25="","",IF(AND(VALUE(AH$7)&gt;$F25,VALUE(AH$7)&lt;=$G25),IF($D25="","◇","■"),""))</f>
        <v/>
      </c>
      <c r="AI25" s="59" t="str">
        <f>IF($A25="","",IF(AND(VALUE(AI$7)&gt;$F25,VALUE(AI$7)&lt;=$G25),IF($D25="","◇","■"),""))</f>
        <v/>
      </c>
      <c r="AJ25" s="59" t="str">
        <f>IF($A25="","",IF(AND(VALUE(AJ$7)&gt;$F25,VALUE(AJ$7)&lt;=$G25),IF($D25="","◇","■"),""))</f>
        <v/>
      </c>
      <c r="AK25" s="59" t="str">
        <f>IF($A25="","",IF(AND(VALUE(AK$7)&gt;$F25,VALUE(AK$7)&lt;=$G25),IF($D25="","◇","■"),""))</f>
        <v/>
      </c>
      <c r="AL25" s="59" t="str">
        <f>IF($A25="","",IF(AND(VALUE(AL$7)&gt;$F25,VALUE(AL$7)&lt;=$G25),IF($D25="","◇","■"),""))</f>
        <v/>
      </c>
      <c r="AM25" s="59" t="str">
        <f>IF($A25="","",IF(AND(VALUE(AM$7)&gt;$F25,VALUE(AM$7)&lt;=$G25),IF($D25="","◇","■"),""))</f>
        <v/>
      </c>
    </row>
    <row r="26" spans="1:39" ht="18" customHeight="1" thickBot="1" x14ac:dyDescent="0.4">
      <c r="A26" s="132" t="str" cm="1">
        <f t="array" ref="A26">IFERROR(INDEX(_xlfn._xlws.FILTER(tblProjectTasks[TaskGroup],(tblProjectTasks[IsWorkPackage]="Yes")*(tblProjectTasks[CaptureStatus]&lt;&gt;"Removed")),ROWS($A$8:A26)),"")</f>
        <v>Foundations</v>
      </c>
      <c r="B26" s="133" cm="1">
        <f t="array" ref="B26">IFERROR(INDEX(_xlfn._xlws.FILTER(tblProjectTasks[WBSCode],(tblProjectTasks[IsWorkPackage]="Yes")*(tblProjectTasks[CaptureStatus]&lt;&gt;"Removed")),ROWS($B$8:B26)),"")</f>
        <v>4.4000000000000004</v>
      </c>
      <c r="C26" s="134" t="str" cm="1">
        <f t="array" ref="C26">IFERROR(INDEX(_xlfn._xlws.FILTER(tblProjectTasks[TaskName],(tblProjectTasks[IsWorkPackage]="Yes")*(tblProjectTasks[CaptureStatus]&lt;&gt;"Removed")),ROWS($C$8:C26)),"")</f>
        <v>Level the base</v>
      </c>
      <c r="D26" s="135" cm="1">
        <f t="array" ref="D26">_xlfn.LET(_xlpm.x,IFERROR(INDEX(_xlfn._xlws.FILTER(tblProjectTasks[Elapsed Time in Weeks],(tblProjectTasks[IsWorkPackage]="Yes")*(tblProjectTasks[CaptureStatus]&lt;&gt;"Removed")),ROWS($D$8:D26)),""),IF(_xlpm.x=0,"",_xlpm.x))</f>
        <v>1</v>
      </c>
      <c r="E26" s="135">
        <f>IF($A26="","",IF($D26="",1,$D26))</f>
        <v>1</v>
      </c>
      <c r="F26" s="135">
        <f>IF($A26="","",IF(ROW()=8,0,$F25+$E25))</f>
        <v>45</v>
      </c>
      <c r="G26" s="135">
        <f>IF($A26="","",$F26+$E26)</f>
        <v>46</v>
      </c>
      <c r="H26" s="64" t="str">
        <f>IF($A26="","",IF(AND(VALUE(H$7)&gt;$F26,VALUE(H$7)&lt;=$G26),IF($D26="","◇","■"),""))</f>
        <v/>
      </c>
      <c r="I26" s="64" t="str">
        <f>IF($A26="","",IF(AND(VALUE(I$7)&gt;$F26,VALUE(I$7)&lt;=$G26),IF($D26="","◇","■"),""))</f>
        <v/>
      </c>
      <c r="J26" s="64" t="str">
        <f>IF($A26="","",IF(AND(VALUE(J$7)&gt;$F26,VALUE(J$7)&lt;=$G26),IF($D26="","◇","■"),""))</f>
        <v/>
      </c>
      <c r="K26" s="64" t="str">
        <f>IF($A26="","",IF(AND(VALUE(K$7)&gt;$F26,VALUE(K$7)&lt;=$G26),IF($D26="","◇","■"),""))</f>
        <v/>
      </c>
      <c r="L26" s="64" t="str">
        <f>IF($A26="","",IF(AND(VALUE(L$7)&gt;$F26,VALUE(L$7)&lt;=$G26),IF($D26="","◇","■"),""))</f>
        <v/>
      </c>
      <c r="M26" s="64" t="str">
        <f>IF($A26="","",IF(AND(VALUE(M$7)&gt;$F26,VALUE(M$7)&lt;=$G26),IF($D26="","◇","■"),""))</f>
        <v/>
      </c>
      <c r="N26" s="64" t="str">
        <f>IF($A26="","",IF(AND(VALUE(N$7)&gt;$F26,VALUE(N$7)&lt;=$G26),IF($D26="","◇","■"),""))</f>
        <v/>
      </c>
      <c r="O26" s="64" t="str">
        <f>IF($A26="","",IF(AND(VALUE(O$7)&gt;$F26,VALUE(O$7)&lt;=$G26),IF($D26="","◇","■"),""))</f>
        <v/>
      </c>
      <c r="P26" s="64" t="str">
        <f>IF($A26="","",IF(AND(VALUE(P$7)&gt;$F26,VALUE(P$7)&lt;=$G26),IF($D26="","◇","■"),""))</f>
        <v/>
      </c>
      <c r="Q26" s="64" t="str">
        <f>IF($A26="","",IF(AND(VALUE(Q$7)&gt;$F26,VALUE(Q$7)&lt;=$G26),IF($D26="","◇","■"),""))</f>
        <v/>
      </c>
      <c r="R26" s="64" t="str">
        <f>IF($A26="","",IF(AND(VALUE(R$7)&gt;$F26,VALUE(R$7)&lt;=$G26),IF($D26="","◇","■"),""))</f>
        <v/>
      </c>
      <c r="S26" s="64" t="str">
        <f>IF($A26="","",IF(AND(VALUE(S$7)&gt;$F26,VALUE(S$7)&lt;=$G26),IF($D26="","◇","■"),""))</f>
        <v/>
      </c>
      <c r="T26" s="64" t="str">
        <f>IF($A26="","",IF(AND(VALUE(T$7)&gt;$F26,VALUE(T$7)&lt;=$G26),IF($D26="","◇","■"),""))</f>
        <v/>
      </c>
      <c r="U26" s="64" t="str">
        <f>IF($A26="","",IF(AND(VALUE(U$7)&gt;$F26,VALUE(U$7)&lt;=$G26),IF($D26="","◇","■"),""))</f>
        <v/>
      </c>
      <c r="V26" s="64" t="str">
        <f>IF($A26="","",IF(AND(VALUE(V$7)&gt;$F26,VALUE(V$7)&lt;=$G26),IF($D26="","◇","■"),""))</f>
        <v/>
      </c>
      <c r="W26" s="64" t="str">
        <f>IF($A26="","",IF(AND(VALUE(W$7)&gt;$F26,VALUE(W$7)&lt;=$G26),IF($D26="","◇","■"),""))</f>
        <v/>
      </c>
      <c r="X26" s="64" t="str">
        <f>IF($A26="","",IF(AND(VALUE(X$7)&gt;$F26,VALUE(X$7)&lt;=$G26),IF($D26="","◇","■"),""))</f>
        <v/>
      </c>
      <c r="Y26" s="64" t="str">
        <f>IF($A26="","",IF(AND(VALUE(Y$7)&gt;$F26,VALUE(Y$7)&lt;=$G26),IF($D26="","◇","■"),""))</f>
        <v/>
      </c>
      <c r="Z26" s="64" t="str">
        <f>IF($A26="","",IF(AND(VALUE(Z$7)&gt;$F26,VALUE(Z$7)&lt;=$G26),IF($D26="","◇","■"),""))</f>
        <v/>
      </c>
      <c r="AA26" s="64" t="str">
        <f>IF($A26="","",IF(AND(VALUE(AA$7)&gt;$F26,VALUE(AA$7)&lt;=$G26),IF($D26="","◇","■"),""))</f>
        <v/>
      </c>
      <c r="AB26" s="64" t="str">
        <f>IF($A26="","",IF(AND(VALUE(AB$7)&gt;$F26,VALUE(AB$7)&lt;=$G26),IF($D26="","◇","■"),""))</f>
        <v/>
      </c>
      <c r="AC26" s="64" t="str">
        <f>IF($A26="","",IF(AND(VALUE(AC$7)&gt;$F26,VALUE(AC$7)&lt;=$G26),IF($D26="","◇","■"),""))</f>
        <v/>
      </c>
      <c r="AD26" s="64" t="str">
        <f>IF($A26="","",IF(AND(VALUE(AD$7)&gt;$F26,VALUE(AD$7)&lt;=$G26),IF($D26="","◇","■"),""))</f>
        <v/>
      </c>
      <c r="AE26" s="64" t="str">
        <f>IF($A26="","",IF(AND(VALUE(AE$7)&gt;$F26,VALUE(AE$7)&lt;=$G26),IF($D26="","◇","■"),""))</f>
        <v/>
      </c>
      <c r="AF26" s="64" t="str">
        <f>IF($A26="","",IF(AND(VALUE(AF$7)&gt;$F26,VALUE(AF$7)&lt;=$G26),IF($D26="","◇","■"),""))</f>
        <v/>
      </c>
      <c r="AG26" s="64" t="str">
        <f>IF($A26="","",IF(AND(VALUE(AG$7)&gt;$F26,VALUE(AG$7)&lt;=$G26),IF($D26="","◇","■"),""))</f>
        <v/>
      </c>
      <c r="AH26" s="64" t="str">
        <f>IF($A26="","",IF(AND(VALUE(AH$7)&gt;$F26,VALUE(AH$7)&lt;=$G26),IF($D26="","◇","■"),""))</f>
        <v/>
      </c>
      <c r="AI26" s="64" t="str">
        <f>IF($A26="","",IF(AND(VALUE(AI$7)&gt;$F26,VALUE(AI$7)&lt;=$G26),IF($D26="","◇","■"),""))</f>
        <v/>
      </c>
      <c r="AJ26" s="64" t="str">
        <f>IF($A26="","",IF(AND(VALUE(AJ$7)&gt;$F26,VALUE(AJ$7)&lt;=$G26),IF($D26="","◇","■"),""))</f>
        <v/>
      </c>
      <c r="AK26" s="64" t="str">
        <f>IF($A26="","",IF(AND(VALUE(AK$7)&gt;$F26,VALUE(AK$7)&lt;=$G26),IF($D26="","◇","■"),""))</f>
        <v/>
      </c>
      <c r="AL26" s="64" t="str">
        <f>IF($A26="","",IF(AND(VALUE(AL$7)&gt;$F26,VALUE(AL$7)&lt;=$G26),IF($D26="","◇","■"),""))</f>
        <v/>
      </c>
      <c r="AM26" s="64" t="str">
        <f>IF($A26="","",IF(AND(VALUE(AM$7)&gt;$F26,VALUE(AM$7)&lt;=$G26),IF($D26="","◇","■"),""))</f>
        <v/>
      </c>
    </row>
    <row r="27" spans="1:39" ht="18" customHeight="1" thickTop="1" x14ac:dyDescent="0.35">
      <c r="A27" s="136" t="str" cm="1">
        <f t="array" ref="A27">IFERROR(INDEX(_xlfn._xlws.FILTER(tblProjectTasks[TaskGroup],(tblProjectTasks[IsWorkPackage]="Yes")*(tblProjectTasks[CaptureStatus]&lt;&gt;"Removed")),ROWS($A$8:A27)),"")</f>
        <v>Assembly of structure</v>
      </c>
      <c r="B27" s="137" cm="1">
        <f t="array" ref="B27">IFERROR(INDEX(_xlfn._xlws.FILTER(tblProjectTasks[WBSCode],(tblProjectTasks[IsWorkPackage]="Yes")*(tblProjectTasks[CaptureStatus]&lt;&gt;"Removed")),ROWS($B$8:B27)),"")</f>
        <v>5.0999999999999996</v>
      </c>
      <c r="C27" s="138" t="str" cm="1">
        <f t="array" ref="C27">IFERROR(INDEX(_xlfn._xlws.FILTER(tblProjectTasks[TaskName],(tblProjectTasks[IsWorkPackage]="Yes")*(tblProjectTasks[CaptureStatus]&lt;&gt;"Removed")),ROWS($C$8:C27)),"")</f>
        <v>Delivery</v>
      </c>
      <c r="D27" s="139" cm="1">
        <f t="array" ref="D27">_xlfn.LET(_xlpm.x,IFERROR(INDEX(_xlfn._xlws.FILTER(tblProjectTasks[Elapsed Time in Weeks],(tblProjectTasks[IsWorkPackage]="Yes")*(tblProjectTasks[CaptureStatus]&lt;&gt;"Removed")),ROWS($D$8:D27)),""),IF(_xlpm.x=0,"",_xlpm.x))</f>
        <v>6</v>
      </c>
      <c r="E27" s="139">
        <f>IF($A27="","",IF($D27="",1,$D27))</f>
        <v>6</v>
      </c>
      <c r="F27" s="139">
        <f>IF($A27="","",IF(ROW()=8,0,$F26+$E26))</f>
        <v>46</v>
      </c>
      <c r="G27" s="139">
        <f>IF($A27="","",$F27+$E27)</f>
        <v>52</v>
      </c>
      <c r="H27" s="73" t="str">
        <f>IF($A27="","",IF(AND(VALUE(H$7)&gt;$F27,VALUE(H$7)&lt;=$G27),IF($D27="","◇","■"),""))</f>
        <v/>
      </c>
      <c r="I27" s="73" t="str">
        <f>IF($A27="","",IF(AND(VALUE(I$7)&gt;$F27,VALUE(I$7)&lt;=$G27),IF($D27="","◇","■"),""))</f>
        <v/>
      </c>
      <c r="J27" s="73" t="str">
        <f>IF($A27="","",IF(AND(VALUE(J$7)&gt;$F27,VALUE(J$7)&lt;=$G27),IF($D27="","◇","■"),""))</f>
        <v/>
      </c>
      <c r="K27" s="73" t="str">
        <f>IF($A27="","",IF(AND(VALUE(K$7)&gt;$F27,VALUE(K$7)&lt;=$G27),IF($D27="","◇","■"),""))</f>
        <v/>
      </c>
      <c r="L27" s="73" t="str">
        <f>IF($A27="","",IF(AND(VALUE(L$7)&gt;$F27,VALUE(L$7)&lt;=$G27),IF($D27="","◇","■"),""))</f>
        <v/>
      </c>
      <c r="M27" s="73" t="str">
        <f>IF($A27="","",IF(AND(VALUE(M$7)&gt;$F27,VALUE(M$7)&lt;=$G27),IF($D27="","◇","■"),""))</f>
        <v/>
      </c>
      <c r="N27" s="73" t="str">
        <f>IF($A27="","",IF(AND(VALUE(N$7)&gt;$F27,VALUE(N$7)&lt;=$G27),IF($D27="","◇","■"),""))</f>
        <v/>
      </c>
      <c r="O27" s="73" t="str">
        <f>IF($A27="","",IF(AND(VALUE(O$7)&gt;$F27,VALUE(O$7)&lt;=$G27),IF($D27="","◇","■"),""))</f>
        <v/>
      </c>
      <c r="P27" s="73" t="str">
        <f>IF($A27="","",IF(AND(VALUE(P$7)&gt;$F27,VALUE(P$7)&lt;=$G27),IF($D27="","◇","■"),""))</f>
        <v/>
      </c>
      <c r="Q27" s="73" t="str">
        <f>IF($A27="","",IF(AND(VALUE(Q$7)&gt;$F27,VALUE(Q$7)&lt;=$G27),IF($D27="","◇","■"),""))</f>
        <v/>
      </c>
      <c r="R27" s="73" t="str">
        <f>IF($A27="","",IF(AND(VALUE(R$7)&gt;$F27,VALUE(R$7)&lt;=$G27),IF($D27="","◇","■"),""))</f>
        <v/>
      </c>
      <c r="S27" s="73" t="str">
        <f>IF($A27="","",IF(AND(VALUE(S$7)&gt;$F27,VALUE(S$7)&lt;=$G27),IF($D27="","◇","■"),""))</f>
        <v/>
      </c>
      <c r="T27" s="73" t="str">
        <f>IF($A27="","",IF(AND(VALUE(T$7)&gt;$F27,VALUE(T$7)&lt;=$G27),IF($D27="","◇","■"),""))</f>
        <v/>
      </c>
      <c r="U27" s="73" t="str">
        <f>IF($A27="","",IF(AND(VALUE(U$7)&gt;$F27,VALUE(U$7)&lt;=$G27),IF($D27="","◇","■"),""))</f>
        <v/>
      </c>
      <c r="V27" s="73" t="str">
        <f>IF($A27="","",IF(AND(VALUE(V$7)&gt;$F27,VALUE(V$7)&lt;=$G27),IF($D27="","◇","■"),""))</f>
        <v/>
      </c>
      <c r="W27" s="73" t="str">
        <f>IF($A27="","",IF(AND(VALUE(W$7)&gt;$F27,VALUE(W$7)&lt;=$G27),IF($D27="","◇","■"),""))</f>
        <v/>
      </c>
      <c r="X27" s="73" t="str">
        <f>IF($A27="","",IF(AND(VALUE(X$7)&gt;$F27,VALUE(X$7)&lt;=$G27),IF($D27="","◇","■"),""))</f>
        <v/>
      </c>
      <c r="Y27" s="73" t="str">
        <f>IF($A27="","",IF(AND(VALUE(Y$7)&gt;$F27,VALUE(Y$7)&lt;=$G27),IF($D27="","◇","■"),""))</f>
        <v/>
      </c>
      <c r="Z27" s="73" t="str">
        <f>IF($A27="","",IF(AND(VALUE(Z$7)&gt;$F27,VALUE(Z$7)&lt;=$G27),IF($D27="","◇","■"),""))</f>
        <v/>
      </c>
      <c r="AA27" s="73" t="str">
        <f>IF($A27="","",IF(AND(VALUE(AA$7)&gt;$F27,VALUE(AA$7)&lt;=$G27),IF($D27="","◇","■"),""))</f>
        <v/>
      </c>
      <c r="AB27" s="73" t="str">
        <f>IF($A27="","",IF(AND(VALUE(AB$7)&gt;$F27,VALUE(AB$7)&lt;=$G27),IF($D27="","◇","■"),""))</f>
        <v/>
      </c>
      <c r="AC27" s="73" t="str">
        <f>IF($A27="","",IF(AND(VALUE(AC$7)&gt;$F27,VALUE(AC$7)&lt;=$G27),IF($D27="","◇","■"),""))</f>
        <v/>
      </c>
      <c r="AD27" s="73" t="str">
        <f>IF($A27="","",IF(AND(VALUE(AD$7)&gt;$F27,VALUE(AD$7)&lt;=$G27),IF($D27="","◇","■"),""))</f>
        <v/>
      </c>
      <c r="AE27" s="73" t="str">
        <f>IF($A27="","",IF(AND(VALUE(AE$7)&gt;$F27,VALUE(AE$7)&lt;=$G27),IF($D27="","◇","■"),""))</f>
        <v/>
      </c>
      <c r="AF27" s="73" t="str">
        <f>IF($A27="","",IF(AND(VALUE(AF$7)&gt;$F27,VALUE(AF$7)&lt;=$G27),IF($D27="","◇","■"),""))</f>
        <v/>
      </c>
      <c r="AG27" s="73" t="str">
        <f>IF($A27="","",IF(AND(VALUE(AG$7)&gt;$F27,VALUE(AG$7)&lt;=$G27),IF($D27="","◇","■"),""))</f>
        <v/>
      </c>
      <c r="AH27" s="73" t="str">
        <f>IF($A27="","",IF(AND(VALUE(AH$7)&gt;$F27,VALUE(AH$7)&lt;=$G27),IF($D27="","◇","■"),""))</f>
        <v/>
      </c>
      <c r="AI27" s="73" t="str">
        <f>IF($A27="","",IF(AND(VALUE(AI$7)&gt;$F27,VALUE(AI$7)&lt;=$G27),IF($D27="","◇","■"),""))</f>
        <v/>
      </c>
      <c r="AJ27" s="73" t="str">
        <f>IF($A27="","",IF(AND(VALUE(AJ$7)&gt;$F27,VALUE(AJ$7)&lt;=$G27),IF($D27="","◇","■"),""))</f>
        <v/>
      </c>
      <c r="AK27" s="73" t="str">
        <f>IF($A27="","",IF(AND(VALUE(AK$7)&gt;$F27,VALUE(AK$7)&lt;=$G27),IF($D27="","◇","■"),""))</f>
        <v/>
      </c>
      <c r="AL27" s="73" t="str">
        <f>IF($A27="","",IF(AND(VALUE(AL$7)&gt;$F27,VALUE(AL$7)&lt;=$G27),IF($D27="","◇","■"),""))</f>
        <v/>
      </c>
      <c r="AM27" s="73" t="str">
        <f>IF($A27="","",IF(AND(VALUE(AM$7)&gt;$F27,VALUE(AM$7)&lt;=$G27),IF($D27="","◇","■"),""))</f>
        <v/>
      </c>
    </row>
    <row r="28" spans="1:39" ht="18" customHeight="1" thickBot="1" x14ac:dyDescent="0.4">
      <c r="A28" s="140" t="str" cm="1">
        <f t="array" ref="A28">IFERROR(INDEX(_xlfn._xlws.FILTER(tblProjectTasks[TaskGroup],(tblProjectTasks[IsWorkPackage]="Yes")*(tblProjectTasks[CaptureStatus]&lt;&gt;"Removed")),ROWS($A$8:A28)),"")</f>
        <v>Assembly of structure</v>
      </c>
      <c r="B28" s="141" cm="1">
        <f t="array" ref="B28">IFERROR(INDEX(_xlfn._xlws.FILTER(tblProjectTasks[WBSCode],(tblProjectTasks[IsWorkPackage]="Yes")*(tblProjectTasks[CaptureStatus]&lt;&gt;"Removed")),ROWS($B$8:B28)),"")</f>
        <v>5.2</v>
      </c>
      <c r="C28" s="142" t="str" cm="1">
        <f t="array" ref="C28">IFERROR(INDEX(_xlfn._xlws.FILTER(tblProjectTasks[TaskName],(tblProjectTasks[IsWorkPackage]="Yes")*(tblProjectTasks[CaptureStatus]&lt;&gt;"Removed")),ROWS($C$8:C28)),"")</f>
        <v>Assembly</v>
      </c>
      <c r="D28" s="143" cm="1">
        <f t="array" ref="D28">_xlfn.LET(_xlpm.x,IFERROR(INDEX(_xlfn._xlws.FILTER(tblProjectTasks[Elapsed Time in Weeks],(tblProjectTasks[IsWorkPackage]="Yes")*(tblProjectTasks[CaptureStatus]&lt;&gt;"Removed")),ROWS($D$8:D28)),""),IF(_xlpm.x=0,"",_xlpm.x))</f>
        <v>1</v>
      </c>
      <c r="E28" s="143">
        <f>IF($A28="","",IF($D28="",1,$D28))</f>
        <v>1</v>
      </c>
      <c r="F28" s="143">
        <f>IF($A28="","",IF(ROW()=8,0,$F27+$E27))</f>
        <v>52</v>
      </c>
      <c r="G28" s="143">
        <f>IF($A28="","",$F28+$E28)</f>
        <v>53</v>
      </c>
      <c r="H28" s="82" t="str">
        <f>IF($A28="","",IF(AND(VALUE(H$7)&gt;$F28,VALUE(H$7)&lt;=$G28),IF($D28="","◇","■"),""))</f>
        <v/>
      </c>
      <c r="I28" s="82" t="str">
        <f>IF($A28="","",IF(AND(VALUE(I$7)&gt;$F28,VALUE(I$7)&lt;=$G28),IF($D28="","◇","■"),""))</f>
        <v/>
      </c>
      <c r="J28" s="82" t="str">
        <f>IF($A28="","",IF(AND(VALUE(J$7)&gt;$F28,VALUE(J$7)&lt;=$G28),IF($D28="","◇","■"),""))</f>
        <v/>
      </c>
      <c r="K28" s="82" t="str">
        <f>IF($A28="","",IF(AND(VALUE(K$7)&gt;$F28,VALUE(K$7)&lt;=$G28),IF($D28="","◇","■"),""))</f>
        <v/>
      </c>
      <c r="L28" s="82" t="str">
        <f>IF($A28="","",IF(AND(VALUE(L$7)&gt;$F28,VALUE(L$7)&lt;=$G28),IF($D28="","◇","■"),""))</f>
        <v/>
      </c>
      <c r="M28" s="82" t="str">
        <f>IF($A28="","",IF(AND(VALUE(M$7)&gt;$F28,VALUE(M$7)&lt;=$G28),IF($D28="","◇","■"),""))</f>
        <v/>
      </c>
      <c r="N28" s="82" t="str">
        <f>IF($A28="","",IF(AND(VALUE(N$7)&gt;$F28,VALUE(N$7)&lt;=$G28),IF($D28="","◇","■"),""))</f>
        <v/>
      </c>
      <c r="O28" s="82" t="str">
        <f>IF($A28="","",IF(AND(VALUE(O$7)&gt;$F28,VALUE(O$7)&lt;=$G28),IF($D28="","◇","■"),""))</f>
        <v/>
      </c>
      <c r="P28" s="82" t="str">
        <f>IF($A28="","",IF(AND(VALUE(P$7)&gt;$F28,VALUE(P$7)&lt;=$G28),IF($D28="","◇","■"),""))</f>
        <v/>
      </c>
      <c r="Q28" s="82" t="str">
        <f>IF($A28="","",IF(AND(VALUE(Q$7)&gt;$F28,VALUE(Q$7)&lt;=$G28),IF($D28="","◇","■"),""))</f>
        <v/>
      </c>
      <c r="R28" s="82" t="str">
        <f>IF($A28="","",IF(AND(VALUE(R$7)&gt;$F28,VALUE(R$7)&lt;=$G28),IF($D28="","◇","■"),""))</f>
        <v/>
      </c>
      <c r="S28" s="82" t="str">
        <f>IF($A28="","",IF(AND(VALUE(S$7)&gt;$F28,VALUE(S$7)&lt;=$G28),IF($D28="","◇","■"),""))</f>
        <v/>
      </c>
      <c r="T28" s="82" t="str">
        <f>IF($A28="","",IF(AND(VALUE(T$7)&gt;$F28,VALUE(T$7)&lt;=$G28),IF($D28="","◇","■"),""))</f>
        <v/>
      </c>
      <c r="U28" s="82" t="str">
        <f>IF($A28="","",IF(AND(VALUE(U$7)&gt;$F28,VALUE(U$7)&lt;=$G28),IF($D28="","◇","■"),""))</f>
        <v/>
      </c>
      <c r="V28" s="82" t="str">
        <f>IF($A28="","",IF(AND(VALUE(V$7)&gt;$F28,VALUE(V$7)&lt;=$G28),IF($D28="","◇","■"),""))</f>
        <v/>
      </c>
      <c r="W28" s="82" t="str">
        <f>IF($A28="","",IF(AND(VALUE(W$7)&gt;$F28,VALUE(W$7)&lt;=$G28),IF($D28="","◇","■"),""))</f>
        <v/>
      </c>
      <c r="X28" s="82" t="str">
        <f>IF($A28="","",IF(AND(VALUE(X$7)&gt;$F28,VALUE(X$7)&lt;=$G28),IF($D28="","◇","■"),""))</f>
        <v/>
      </c>
      <c r="Y28" s="82" t="str">
        <f>IF($A28="","",IF(AND(VALUE(Y$7)&gt;$F28,VALUE(Y$7)&lt;=$G28),IF($D28="","◇","■"),""))</f>
        <v/>
      </c>
      <c r="Z28" s="82" t="str">
        <f>IF($A28="","",IF(AND(VALUE(Z$7)&gt;$F28,VALUE(Z$7)&lt;=$G28),IF($D28="","◇","■"),""))</f>
        <v/>
      </c>
      <c r="AA28" s="82" t="str">
        <f>IF($A28="","",IF(AND(VALUE(AA$7)&gt;$F28,VALUE(AA$7)&lt;=$G28),IF($D28="","◇","■"),""))</f>
        <v/>
      </c>
      <c r="AB28" s="82" t="str">
        <f>IF($A28="","",IF(AND(VALUE(AB$7)&gt;$F28,VALUE(AB$7)&lt;=$G28),IF($D28="","◇","■"),""))</f>
        <v/>
      </c>
      <c r="AC28" s="82" t="str">
        <f>IF($A28="","",IF(AND(VALUE(AC$7)&gt;$F28,VALUE(AC$7)&lt;=$G28),IF($D28="","◇","■"),""))</f>
        <v/>
      </c>
      <c r="AD28" s="82" t="str">
        <f>IF($A28="","",IF(AND(VALUE(AD$7)&gt;$F28,VALUE(AD$7)&lt;=$G28),IF($D28="","◇","■"),""))</f>
        <v/>
      </c>
      <c r="AE28" s="82" t="str">
        <f>IF($A28="","",IF(AND(VALUE(AE$7)&gt;$F28,VALUE(AE$7)&lt;=$G28),IF($D28="","◇","■"),""))</f>
        <v/>
      </c>
      <c r="AF28" s="82" t="str">
        <f>IF($A28="","",IF(AND(VALUE(AF$7)&gt;$F28,VALUE(AF$7)&lt;=$G28),IF($D28="","◇","■"),""))</f>
        <v/>
      </c>
      <c r="AG28" s="82" t="str">
        <f>IF($A28="","",IF(AND(VALUE(AG$7)&gt;$F28,VALUE(AG$7)&lt;=$G28),IF($D28="","◇","■"),""))</f>
        <v/>
      </c>
      <c r="AH28" s="82" t="str">
        <f>IF($A28="","",IF(AND(VALUE(AH$7)&gt;$F28,VALUE(AH$7)&lt;=$G28),IF($D28="","◇","■"),""))</f>
        <v/>
      </c>
      <c r="AI28" s="82" t="str">
        <f>IF($A28="","",IF(AND(VALUE(AI$7)&gt;$F28,VALUE(AI$7)&lt;=$G28),IF($D28="","◇","■"),""))</f>
        <v/>
      </c>
      <c r="AJ28" s="82" t="str">
        <f>IF($A28="","",IF(AND(VALUE(AJ$7)&gt;$F28,VALUE(AJ$7)&lt;=$G28),IF($D28="","◇","■"),""))</f>
        <v/>
      </c>
      <c r="AK28" s="82" t="str">
        <f>IF($A28="","",IF(AND(VALUE(AK$7)&gt;$F28,VALUE(AK$7)&lt;=$G28),IF($D28="","◇","■"),""))</f>
        <v/>
      </c>
      <c r="AL28" s="82" t="str">
        <f>IF($A28="","",IF(AND(VALUE(AL$7)&gt;$F28,VALUE(AL$7)&lt;=$G28),IF($D28="","◇","■"),""))</f>
        <v/>
      </c>
      <c r="AM28" s="82" t="str">
        <f>IF($A28="","",IF(AND(VALUE(AM$7)&gt;$F28,VALUE(AM$7)&lt;=$G28),IF($D28="","◇","■"),""))</f>
        <v/>
      </c>
    </row>
    <row r="29" spans="1:39" ht="18" customHeight="1" thickTop="1" x14ac:dyDescent="0.35">
      <c r="A29" s="144" t="str" cm="1">
        <f t="array" ref="A29">IFERROR(INDEX(_xlfn._xlws.FILTER(tblProjectTasks[TaskGroup],(tblProjectTasks[IsWorkPackage]="Yes")*(tblProjectTasks[CaptureStatus]&lt;&gt;"Removed")),ROWS($A$8:A29)),"")</f>
        <v>Painting</v>
      </c>
      <c r="B29" s="145" t="str" cm="1">
        <f t="array" ref="B29">IFERROR(INDEX(_xlfn._xlws.FILTER(tblProjectTasks[WBSCode],(tblProjectTasks[IsWorkPackage]="Yes")*(tblProjectTasks[CaptureStatus]&lt;&gt;"Removed")),ROWS($B$8:B29)),"")</f>
        <v>5.3.1</v>
      </c>
      <c r="C29" s="146" t="str" cm="1">
        <f t="array" ref="C29">IFERROR(INDEX(_xlfn._xlws.FILTER(tblProjectTasks[TaskName],(tblProjectTasks[IsWorkPackage]="Yes")*(tblProjectTasks[CaptureStatus]&lt;&gt;"Removed")),ROWS($C$8:C29)),"")</f>
        <v>Inside</v>
      </c>
      <c r="D29" s="147" cm="1">
        <f t="array" ref="D29">_xlfn.LET(_xlpm.x,IFERROR(INDEX(_xlfn._xlws.FILTER(tblProjectTasks[Elapsed Time in Weeks],(tblProjectTasks[IsWorkPackage]="Yes")*(tblProjectTasks[CaptureStatus]&lt;&gt;"Removed")),ROWS($D$8:D29)),""),IF(_xlpm.x=0,"",_xlpm.x))</f>
        <v>1</v>
      </c>
      <c r="E29" s="147">
        <f>IF($A29="","",IF($D29="",1,$D29))</f>
        <v>1</v>
      </c>
      <c r="F29" s="147">
        <f>IF($A29="","",IF(ROW()=8,0,$F28+$E28))</f>
        <v>53</v>
      </c>
      <c r="G29" s="147">
        <f>IF($A29="","",$F29+$E29)</f>
        <v>54</v>
      </c>
      <c r="H29" s="73" t="str">
        <f>IF($A29="","",IF(AND(VALUE(H$7)&gt;$F29,VALUE(H$7)&lt;=$G29),IF($D29="","◇","■"),""))</f>
        <v/>
      </c>
      <c r="I29" s="73" t="str">
        <f>IF($A29="","",IF(AND(VALUE(I$7)&gt;$F29,VALUE(I$7)&lt;=$G29),IF($D29="","◇","■"),""))</f>
        <v/>
      </c>
      <c r="J29" s="73" t="str">
        <f>IF($A29="","",IF(AND(VALUE(J$7)&gt;$F29,VALUE(J$7)&lt;=$G29),IF($D29="","◇","■"),""))</f>
        <v/>
      </c>
      <c r="K29" s="73" t="str">
        <f>IF($A29="","",IF(AND(VALUE(K$7)&gt;$F29,VALUE(K$7)&lt;=$G29),IF($D29="","◇","■"),""))</f>
        <v/>
      </c>
      <c r="L29" s="73" t="str">
        <f>IF($A29="","",IF(AND(VALUE(L$7)&gt;$F29,VALUE(L$7)&lt;=$G29),IF($D29="","◇","■"),""))</f>
        <v/>
      </c>
      <c r="M29" s="73" t="str">
        <f>IF($A29="","",IF(AND(VALUE(M$7)&gt;$F29,VALUE(M$7)&lt;=$G29),IF($D29="","◇","■"),""))</f>
        <v/>
      </c>
      <c r="N29" s="73" t="str">
        <f>IF($A29="","",IF(AND(VALUE(N$7)&gt;$F29,VALUE(N$7)&lt;=$G29),IF($D29="","◇","■"),""))</f>
        <v/>
      </c>
      <c r="O29" s="73" t="str">
        <f>IF($A29="","",IF(AND(VALUE(O$7)&gt;$F29,VALUE(O$7)&lt;=$G29),IF($D29="","◇","■"),""))</f>
        <v/>
      </c>
      <c r="P29" s="73" t="str">
        <f>IF($A29="","",IF(AND(VALUE(P$7)&gt;$F29,VALUE(P$7)&lt;=$G29),IF($D29="","◇","■"),""))</f>
        <v/>
      </c>
      <c r="Q29" s="73" t="str">
        <f>IF($A29="","",IF(AND(VALUE(Q$7)&gt;$F29,VALUE(Q$7)&lt;=$G29),IF($D29="","◇","■"),""))</f>
        <v/>
      </c>
      <c r="R29" s="73" t="str">
        <f>IF($A29="","",IF(AND(VALUE(R$7)&gt;$F29,VALUE(R$7)&lt;=$G29),IF($D29="","◇","■"),""))</f>
        <v/>
      </c>
      <c r="S29" s="73" t="str">
        <f>IF($A29="","",IF(AND(VALUE(S$7)&gt;$F29,VALUE(S$7)&lt;=$G29),IF($D29="","◇","■"),""))</f>
        <v/>
      </c>
      <c r="T29" s="73" t="str">
        <f>IF($A29="","",IF(AND(VALUE(T$7)&gt;$F29,VALUE(T$7)&lt;=$G29),IF($D29="","◇","■"),""))</f>
        <v/>
      </c>
      <c r="U29" s="73" t="str">
        <f>IF($A29="","",IF(AND(VALUE(U$7)&gt;$F29,VALUE(U$7)&lt;=$G29),IF($D29="","◇","■"),""))</f>
        <v/>
      </c>
      <c r="V29" s="73" t="str">
        <f>IF($A29="","",IF(AND(VALUE(V$7)&gt;$F29,VALUE(V$7)&lt;=$G29),IF($D29="","◇","■"),""))</f>
        <v/>
      </c>
      <c r="W29" s="73" t="str">
        <f>IF($A29="","",IF(AND(VALUE(W$7)&gt;$F29,VALUE(W$7)&lt;=$G29),IF($D29="","◇","■"),""))</f>
        <v/>
      </c>
      <c r="X29" s="73" t="str">
        <f>IF($A29="","",IF(AND(VALUE(X$7)&gt;$F29,VALUE(X$7)&lt;=$G29),IF($D29="","◇","■"),""))</f>
        <v/>
      </c>
      <c r="Y29" s="73" t="str">
        <f>IF($A29="","",IF(AND(VALUE(Y$7)&gt;$F29,VALUE(Y$7)&lt;=$G29),IF($D29="","◇","■"),""))</f>
        <v/>
      </c>
      <c r="Z29" s="73" t="str">
        <f>IF($A29="","",IF(AND(VALUE(Z$7)&gt;$F29,VALUE(Z$7)&lt;=$G29),IF($D29="","◇","■"),""))</f>
        <v/>
      </c>
      <c r="AA29" s="73" t="str">
        <f>IF($A29="","",IF(AND(VALUE(AA$7)&gt;$F29,VALUE(AA$7)&lt;=$G29),IF($D29="","◇","■"),""))</f>
        <v/>
      </c>
      <c r="AB29" s="73" t="str">
        <f>IF($A29="","",IF(AND(VALUE(AB$7)&gt;$F29,VALUE(AB$7)&lt;=$G29),IF($D29="","◇","■"),""))</f>
        <v/>
      </c>
      <c r="AC29" s="73" t="str">
        <f>IF($A29="","",IF(AND(VALUE(AC$7)&gt;$F29,VALUE(AC$7)&lt;=$G29),IF($D29="","◇","■"),""))</f>
        <v/>
      </c>
      <c r="AD29" s="73" t="str">
        <f>IF($A29="","",IF(AND(VALUE(AD$7)&gt;$F29,VALUE(AD$7)&lt;=$G29),IF($D29="","◇","■"),""))</f>
        <v/>
      </c>
      <c r="AE29" s="73" t="str">
        <f>IF($A29="","",IF(AND(VALUE(AE$7)&gt;$F29,VALUE(AE$7)&lt;=$G29),IF($D29="","◇","■"),""))</f>
        <v/>
      </c>
      <c r="AF29" s="73" t="str">
        <f>IF($A29="","",IF(AND(VALUE(AF$7)&gt;$F29,VALUE(AF$7)&lt;=$G29),IF($D29="","◇","■"),""))</f>
        <v/>
      </c>
      <c r="AG29" s="73" t="str">
        <f>IF($A29="","",IF(AND(VALUE(AG$7)&gt;$F29,VALUE(AG$7)&lt;=$G29),IF($D29="","◇","■"),""))</f>
        <v/>
      </c>
      <c r="AH29" s="73" t="str">
        <f>IF($A29="","",IF(AND(VALUE(AH$7)&gt;$F29,VALUE(AH$7)&lt;=$G29),IF($D29="","◇","■"),""))</f>
        <v/>
      </c>
      <c r="AI29" s="73" t="str">
        <f>IF($A29="","",IF(AND(VALUE(AI$7)&gt;$F29,VALUE(AI$7)&lt;=$G29),IF($D29="","◇","■"),""))</f>
        <v/>
      </c>
      <c r="AJ29" s="73" t="str">
        <f>IF($A29="","",IF(AND(VALUE(AJ$7)&gt;$F29,VALUE(AJ$7)&lt;=$G29),IF($D29="","◇","■"),""))</f>
        <v/>
      </c>
      <c r="AK29" s="73" t="str">
        <f>IF($A29="","",IF(AND(VALUE(AK$7)&gt;$F29,VALUE(AK$7)&lt;=$G29),IF($D29="","◇","■"),""))</f>
        <v/>
      </c>
      <c r="AL29" s="73" t="str">
        <f>IF($A29="","",IF(AND(VALUE(AL$7)&gt;$F29,VALUE(AL$7)&lt;=$G29),IF($D29="","◇","■"),""))</f>
        <v/>
      </c>
      <c r="AM29" s="73" t="str">
        <f>IF($A29="","",IF(AND(VALUE(AM$7)&gt;$F29,VALUE(AM$7)&lt;=$G29),IF($D29="","◇","■"),""))</f>
        <v/>
      </c>
    </row>
    <row r="30" spans="1:39" ht="18" customHeight="1" thickBot="1" x14ac:dyDescent="0.4">
      <c r="A30" s="152" t="str" cm="1">
        <f t="array" ref="A30">IFERROR(INDEX(_xlfn._xlws.FILTER(tblProjectTasks[TaskGroup],(tblProjectTasks[IsWorkPackage]="Yes")*(tblProjectTasks[CaptureStatus]&lt;&gt;"Removed")),ROWS($A$8:A30)),"")</f>
        <v>Painting</v>
      </c>
      <c r="B30" s="153" t="str" cm="1">
        <f t="array" ref="B30">IFERROR(INDEX(_xlfn._xlws.FILTER(tblProjectTasks[WBSCode],(tblProjectTasks[IsWorkPackage]="Yes")*(tblProjectTasks[CaptureStatus]&lt;&gt;"Removed")),ROWS($B$8:B30)),"")</f>
        <v>5.3.2</v>
      </c>
      <c r="C30" s="154" t="str" cm="1">
        <f t="array" ref="C30">IFERROR(INDEX(_xlfn._xlws.FILTER(tblProjectTasks[TaskName],(tblProjectTasks[IsWorkPackage]="Yes")*(tblProjectTasks[CaptureStatus]&lt;&gt;"Removed")),ROWS($C$8:C30)),"")</f>
        <v>External</v>
      </c>
      <c r="D30" s="155" cm="1">
        <f t="array" ref="D30">_xlfn.LET(_xlpm.x,IFERROR(INDEX(_xlfn._xlws.FILTER(tblProjectTasks[Elapsed Time in Weeks],(tblProjectTasks[IsWorkPackage]="Yes")*(tblProjectTasks[CaptureStatus]&lt;&gt;"Removed")),ROWS($D$8:D30)),""),IF(_xlpm.x=0,"",_xlpm.x))</f>
        <v>2</v>
      </c>
      <c r="E30" s="155">
        <f>IF($A30="","",IF($D30="",1,$D30))</f>
        <v>2</v>
      </c>
      <c r="F30" s="155">
        <f>IF($A30="","",IF(ROW()=8,0,$F29+$E29))</f>
        <v>54</v>
      </c>
      <c r="G30" s="155">
        <f>IF($A30="","",$F30+$E30)</f>
        <v>56</v>
      </c>
      <c r="H30" s="82" t="str">
        <f>IF($A30="","",IF(AND(VALUE(H$7)&gt;$F30,VALUE(H$7)&lt;=$G30),IF($D30="","◇","■"),""))</f>
        <v/>
      </c>
      <c r="I30" s="82" t="str">
        <f>IF($A30="","",IF(AND(VALUE(I$7)&gt;$F30,VALUE(I$7)&lt;=$G30),IF($D30="","◇","■"),""))</f>
        <v/>
      </c>
      <c r="J30" s="82" t="str">
        <f>IF($A30="","",IF(AND(VALUE(J$7)&gt;$F30,VALUE(J$7)&lt;=$G30),IF($D30="","◇","■"),""))</f>
        <v/>
      </c>
      <c r="K30" s="82" t="str">
        <f>IF($A30="","",IF(AND(VALUE(K$7)&gt;$F30,VALUE(K$7)&lt;=$G30),IF($D30="","◇","■"),""))</f>
        <v/>
      </c>
      <c r="L30" s="82" t="str">
        <f>IF($A30="","",IF(AND(VALUE(L$7)&gt;$F30,VALUE(L$7)&lt;=$G30),IF($D30="","◇","■"),""))</f>
        <v/>
      </c>
      <c r="M30" s="82" t="str">
        <f>IF($A30="","",IF(AND(VALUE(M$7)&gt;$F30,VALUE(M$7)&lt;=$G30),IF($D30="","◇","■"),""))</f>
        <v/>
      </c>
      <c r="N30" s="82" t="str">
        <f>IF($A30="","",IF(AND(VALUE(N$7)&gt;$F30,VALUE(N$7)&lt;=$G30),IF($D30="","◇","■"),""))</f>
        <v/>
      </c>
      <c r="O30" s="82" t="str">
        <f>IF($A30="","",IF(AND(VALUE(O$7)&gt;$F30,VALUE(O$7)&lt;=$G30),IF($D30="","◇","■"),""))</f>
        <v/>
      </c>
      <c r="P30" s="82" t="str">
        <f>IF($A30="","",IF(AND(VALUE(P$7)&gt;$F30,VALUE(P$7)&lt;=$G30),IF($D30="","◇","■"),""))</f>
        <v/>
      </c>
      <c r="Q30" s="82" t="str">
        <f>IF($A30="","",IF(AND(VALUE(Q$7)&gt;$F30,VALUE(Q$7)&lt;=$G30),IF($D30="","◇","■"),""))</f>
        <v/>
      </c>
      <c r="R30" s="82" t="str">
        <f>IF($A30="","",IF(AND(VALUE(R$7)&gt;$F30,VALUE(R$7)&lt;=$G30),IF($D30="","◇","■"),""))</f>
        <v/>
      </c>
      <c r="S30" s="82" t="str">
        <f>IF($A30="","",IF(AND(VALUE(S$7)&gt;$F30,VALUE(S$7)&lt;=$G30),IF($D30="","◇","■"),""))</f>
        <v/>
      </c>
      <c r="T30" s="82" t="str">
        <f>IF($A30="","",IF(AND(VALUE(T$7)&gt;$F30,VALUE(T$7)&lt;=$G30),IF($D30="","◇","■"),""))</f>
        <v/>
      </c>
      <c r="U30" s="82" t="str">
        <f>IF($A30="","",IF(AND(VALUE(U$7)&gt;$F30,VALUE(U$7)&lt;=$G30),IF($D30="","◇","■"),""))</f>
        <v/>
      </c>
      <c r="V30" s="82" t="str">
        <f>IF($A30="","",IF(AND(VALUE(V$7)&gt;$F30,VALUE(V$7)&lt;=$G30),IF($D30="","◇","■"),""))</f>
        <v/>
      </c>
      <c r="W30" s="82" t="str">
        <f>IF($A30="","",IF(AND(VALUE(W$7)&gt;$F30,VALUE(W$7)&lt;=$G30),IF($D30="","◇","■"),""))</f>
        <v/>
      </c>
      <c r="X30" s="82" t="str">
        <f>IF($A30="","",IF(AND(VALUE(X$7)&gt;$F30,VALUE(X$7)&lt;=$G30),IF($D30="","◇","■"),""))</f>
        <v/>
      </c>
      <c r="Y30" s="82" t="str">
        <f>IF($A30="","",IF(AND(VALUE(Y$7)&gt;$F30,VALUE(Y$7)&lt;=$G30),IF($D30="","◇","■"),""))</f>
        <v/>
      </c>
      <c r="Z30" s="82" t="str">
        <f>IF($A30="","",IF(AND(VALUE(Z$7)&gt;$F30,VALUE(Z$7)&lt;=$G30),IF($D30="","◇","■"),""))</f>
        <v/>
      </c>
      <c r="AA30" s="82" t="str">
        <f>IF($A30="","",IF(AND(VALUE(AA$7)&gt;$F30,VALUE(AA$7)&lt;=$G30),IF($D30="","◇","■"),""))</f>
        <v/>
      </c>
      <c r="AB30" s="82" t="str">
        <f>IF($A30="","",IF(AND(VALUE(AB$7)&gt;$F30,VALUE(AB$7)&lt;=$G30),IF($D30="","◇","■"),""))</f>
        <v/>
      </c>
      <c r="AC30" s="82" t="str">
        <f>IF($A30="","",IF(AND(VALUE(AC$7)&gt;$F30,VALUE(AC$7)&lt;=$G30),IF($D30="","◇","■"),""))</f>
        <v/>
      </c>
      <c r="AD30" s="82" t="str">
        <f>IF($A30="","",IF(AND(VALUE(AD$7)&gt;$F30,VALUE(AD$7)&lt;=$G30),IF($D30="","◇","■"),""))</f>
        <v/>
      </c>
      <c r="AE30" s="82" t="str">
        <f>IF($A30="","",IF(AND(VALUE(AE$7)&gt;$F30,VALUE(AE$7)&lt;=$G30),IF($D30="","◇","■"),""))</f>
        <v/>
      </c>
      <c r="AF30" s="82" t="str">
        <f>IF($A30="","",IF(AND(VALUE(AF$7)&gt;$F30,VALUE(AF$7)&lt;=$G30),IF($D30="","◇","■"),""))</f>
        <v/>
      </c>
      <c r="AG30" s="82" t="str">
        <f>IF($A30="","",IF(AND(VALUE(AG$7)&gt;$F30,VALUE(AG$7)&lt;=$G30),IF($D30="","◇","■"),""))</f>
        <v/>
      </c>
      <c r="AH30" s="82" t="str">
        <f>IF($A30="","",IF(AND(VALUE(AH$7)&gt;$F30,VALUE(AH$7)&lt;=$G30),IF($D30="","◇","■"),""))</f>
        <v/>
      </c>
      <c r="AI30" s="82" t="str">
        <f>IF($A30="","",IF(AND(VALUE(AI$7)&gt;$F30,VALUE(AI$7)&lt;=$G30),IF($D30="","◇","■"),""))</f>
        <v/>
      </c>
      <c r="AJ30" s="82" t="str">
        <f>IF($A30="","",IF(AND(VALUE(AJ$7)&gt;$F30,VALUE(AJ$7)&lt;=$G30),IF($D30="","◇","■"),""))</f>
        <v/>
      </c>
      <c r="AK30" s="82" t="str">
        <f>IF($A30="","",IF(AND(VALUE(AK$7)&gt;$F30,VALUE(AK$7)&lt;=$G30),IF($D30="","◇","■"),""))</f>
        <v/>
      </c>
      <c r="AL30" s="82" t="str">
        <f>IF($A30="","",IF(AND(VALUE(AL$7)&gt;$F30,VALUE(AL$7)&lt;=$G30),IF($D30="","◇","■"),""))</f>
        <v/>
      </c>
      <c r="AM30" s="82" t="str">
        <f>IF($A30="","",IF(AND(VALUE(AM$7)&gt;$F30,VALUE(AM$7)&lt;=$G30),IF($D30="","◇","■"),""))</f>
        <v/>
      </c>
    </row>
    <row r="31" spans="1:39" ht="18" customHeight="1" thickTop="1" x14ac:dyDescent="0.35">
      <c r="A31" s="156" t="str" cm="1">
        <f t="array" ref="A31">IFERROR(INDEX(_xlfn._xlws.FILTER(tblProjectTasks[TaskGroup],(tblProjectTasks[IsWorkPackage]="Yes")*(tblProjectTasks[CaptureStatus]&lt;&gt;"Removed")),ROWS($A$8:A31)),"")</f>
        <v>Installing stuff</v>
      </c>
      <c r="B31" s="157" cm="1">
        <f t="array" ref="B31">IFERROR(INDEX(_xlfn._xlws.FILTER(tblProjectTasks[WBSCode],(tblProjectTasks[IsWorkPackage]="Yes")*(tblProjectTasks[CaptureStatus]&lt;&gt;"Removed")),ROWS($B$8:B31)),"")</f>
        <v>6.1</v>
      </c>
      <c r="C31" s="158" t="str" cm="1">
        <f t="array" ref="C31">IFERROR(INDEX(_xlfn._xlws.FILTER(tblProjectTasks[TaskName],(tblProjectTasks[IsWorkPackage]="Yes")*(tblProjectTasks[CaptureStatus]&lt;&gt;"Removed")),ROWS($C$8:C31)),"")</f>
        <v>Install Furniture</v>
      </c>
      <c r="D31" s="159" cm="1">
        <f t="array" ref="D31">_xlfn.LET(_xlpm.x,IFERROR(INDEX(_xlfn._xlws.FILTER(tblProjectTasks[Elapsed Time in Weeks],(tblProjectTasks[IsWorkPackage]="Yes")*(tblProjectTasks[CaptureStatus]&lt;&gt;"Removed")),ROWS($D$8:D31)),""),IF(_xlpm.x=0,"",_xlpm.x))</f>
        <v>1</v>
      </c>
      <c r="E31" s="159">
        <f>IF($A31="","",IF($D31="",1,$D31))</f>
        <v>1</v>
      </c>
      <c r="F31" s="159">
        <f>IF($A31="","",IF(ROW()=8,0,$F30+$E30))</f>
        <v>56</v>
      </c>
      <c r="G31" s="159">
        <f>IF($A31="","",$F31+$E31)</f>
        <v>57</v>
      </c>
      <c r="H31" s="73" t="str">
        <f>IF($A31="","",IF(AND(VALUE(H$7)&gt;$F31,VALUE(H$7)&lt;=$G31),IF($D31="","◇","■"),""))</f>
        <v/>
      </c>
      <c r="I31" s="73" t="str">
        <f>IF($A31="","",IF(AND(VALUE(I$7)&gt;$F31,VALUE(I$7)&lt;=$G31),IF($D31="","◇","■"),""))</f>
        <v/>
      </c>
      <c r="J31" s="73" t="str">
        <f>IF($A31="","",IF(AND(VALUE(J$7)&gt;$F31,VALUE(J$7)&lt;=$G31),IF($D31="","◇","■"),""))</f>
        <v/>
      </c>
      <c r="K31" s="73" t="str">
        <f>IF($A31="","",IF(AND(VALUE(K$7)&gt;$F31,VALUE(K$7)&lt;=$G31),IF($D31="","◇","■"),""))</f>
        <v/>
      </c>
      <c r="L31" s="73" t="str">
        <f>IF($A31="","",IF(AND(VALUE(L$7)&gt;$F31,VALUE(L$7)&lt;=$G31),IF($D31="","◇","■"),""))</f>
        <v/>
      </c>
      <c r="M31" s="73" t="str">
        <f>IF($A31="","",IF(AND(VALUE(M$7)&gt;$F31,VALUE(M$7)&lt;=$G31),IF($D31="","◇","■"),""))</f>
        <v/>
      </c>
      <c r="N31" s="73" t="str">
        <f>IF($A31="","",IF(AND(VALUE(N$7)&gt;$F31,VALUE(N$7)&lt;=$G31),IF($D31="","◇","■"),""))</f>
        <v/>
      </c>
      <c r="O31" s="73" t="str">
        <f>IF($A31="","",IF(AND(VALUE(O$7)&gt;$F31,VALUE(O$7)&lt;=$G31),IF($D31="","◇","■"),""))</f>
        <v/>
      </c>
      <c r="P31" s="73" t="str">
        <f>IF($A31="","",IF(AND(VALUE(P$7)&gt;$F31,VALUE(P$7)&lt;=$G31),IF($D31="","◇","■"),""))</f>
        <v/>
      </c>
      <c r="Q31" s="73" t="str">
        <f>IF($A31="","",IF(AND(VALUE(Q$7)&gt;$F31,VALUE(Q$7)&lt;=$G31),IF($D31="","◇","■"),""))</f>
        <v/>
      </c>
      <c r="R31" s="73" t="str">
        <f>IF($A31="","",IF(AND(VALUE(R$7)&gt;$F31,VALUE(R$7)&lt;=$G31),IF($D31="","◇","■"),""))</f>
        <v/>
      </c>
      <c r="S31" s="73" t="str">
        <f>IF($A31="","",IF(AND(VALUE(S$7)&gt;$F31,VALUE(S$7)&lt;=$G31),IF($D31="","◇","■"),""))</f>
        <v/>
      </c>
      <c r="T31" s="73" t="str">
        <f>IF($A31="","",IF(AND(VALUE(T$7)&gt;$F31,VALUE(T$7)&lt;=$G31),IF($D31="","◇","■"),""))</f>
        <v/>
      </c>
      <c r="U31" s="73" t="str">
        <f>IF($A31="","",IF(AND(VALUE(U$7)&gt;$F31,VALUE(U$7)&lt;=$G31),IF($D31="","◇","■"),""))</f>
        <v/>
      </c>
      <c r="V31" s="73" t="str">
        <f>IF($A31="","",IF(AND(VALUE(V$7)&gt;$F31,VALUE(V$7)&lt;=$G31),IF($D31="","◇","■"),""))</f>
        <v/>
      </c>
      <c r="W31" s="73" t="str">
        <f>IF($A31="","",IF(AND(VALUE(W$7)&gt;$F31,VALUE(W$7)&lt;=$G31),IF($D31="","◇","■"),""))</f>
        <v/>
      </c>
      <c r="X31" s="73" t="str">
        <f>IF($A31="","",IF(AND(VALUE(X$7)&gt;$F31,VALUE(X$7)&lt;=$G31),IF($D31="","◇","■"),""))</f>
        <v/>
      </c>
      <c r="Y31" s="73" t="str">
        <f>IF($A31="","",IF(AND(VALUE(Y$7)&gt;$F31,VALUE(Y$7)&lt;=$G31),IF($D31="","◇","■"),""))</f>
        <v/>
      </c>
      <c r="Z31" s="73" t="str">
        <f>IF($A31="","",IF(AND(VALUE(Z$7)&gt;$F31,VALUE(Z$7)&lt;=$G31),IF($D31="","◇","■"),""))</f>
        <v/>
      </c>
      <c r="AA31" s="73" t="str">
        <f>IF($A31="","",IF(AND(VALUE(AA$7)&gt;$F31,VALUE(AA$7)&lt;=$G31),IF($D31="","◇","■"),""))</f>
        <v/>
      </c>
      <c r="AB31" s="73" t="str">
        <f>IF($A31="","",IF(AND(VALUE(AB$7)&gt;$F31,VALUE(AB$7)&lt;=$G31),IF($D31="","◇","■"),""))</f>
        <v/>
      </c>
      <c r="AC31" s="73" t="str">
        <f>IF($A31="","",IF(AND(VALUE(AC$7)&gt;$F31,VALUE(AC$7)&lt;=$G31),IF($D31="","◇","■"),""))</f>
        <v/>
      </c>
      <c r="AD31" s="73" t="str">
        <f>IF($A31="","",IF(AND(VALUE(AD$7)&gt;$F31,VALUE(AD$7)&lt;=$G31),IF($D31="","◇","■"),""))</f>
        <v/>
      </c>
      <c r="AE31" s="73" t="str">
        <f>IF($A31="","",IF(AND(VALUE(AE$7)&gt;$F31,VALUE(AE$7)&lt;=$G31),IF($D31="","◇","■"),""))</f>
        <v/>
      </c>
      <c r="AF31" s="73" t="str">
        <f>IF($A31="","",IF(AND(VALUE(AF$7)&gt;$F31,VALUE(AF$7)&lt;=$G31),IF($D31="","◇","■"),""))</f>
        <v/>
      </c>
      <c r="AG31" s="73" t="str">
        <f>IF($A31="","",IF(AND(VALUE(AG$7)&gt;$F31,VALUE(AG$7)&lt;=$G31),IF($D31="","◇","■"),""))</f>
        <v/>
      </c>
      <c r="AH31" s="73" t="str">
        <f>IF($A31="","",IF(AND(VALUE(AH$7)&gt;$F31,VALUE(AH$7)&lt;=$G31),IF($D31="","◇","■"),""))</f>
        <v/>
      </c>
      <c r="AI31" s="73" t="str">
        <f>IF($A31="","",IF(AND(VALUE(AI$7)&gt;$F31,VALUE(AI$7)&lt;=$G31),IF($D31="","◇","■"),""))</f>
        <v/>
      </c>
      <c r="AJ31" s="73" t="str">
        <f>IF($A31="","",IF(AND(VALUE(AJ$7)&gt;$F31,VALUE(AJ$7)&lt;=$G31),IF($D31="","◇","■"),""))</f>
        <v/>
      </c>
      <c r="AK31" s="73" t="str">
        <f>IF($A31="","",IF(AND(VALUE(AK$7)&gt;$F31,VALUE(AK$7)&lt;=$G31),IF($D31="","◇","■"),""))</f>
        <v/>
      </c>
      <c r="AL31" s="73" t="str">
        <f>IF($A31="","",IF(AND(VALUE(AL$7)&gt;$F31,VALUE(AL$7)&lt;=$G31),IF($D31="","◇","■"),""))</f>
        <v/>
      </c>
      <c r="AM31" s="73" t="str">
        <f>IF($A31="","",IF(AND(VALUE(AM$7)&gt;$F31,VALUE(AM$7)&lt;=$G31),IF($D31="","◇","■"),""))</f>
        <v/>
      </c>
    </row>
    <row r="32" spans="1:39" ht="18" customHeight="1" x14ac:dyDescent="0.35">
      <c r="A32" s="160" t="str" cm="1">
        <f t="array" ref="A32">IFERROR(INDEX(_xlfn._xlws.FILTER(tblProjectTasks[TaskGroup],(tblProjectTasks[IsWorkPackage]="Yes")*(tblProjectTasks[CaptureStatus]&lt;&gt;"Removed")),ROWS($A$8:A32)),"")</f>
        <v>Installing stuff</v>
      </c>
      <c r="B32" s="161" cm="1">
        <f t="array" ref="B32">IFERROR(INDEX(_xlfn._xlws.FILTER(tblProjectTasks[WBSCode],(tblProjectTasks[IsWorkPackage]="Yes")*(tblProjectTasks[CaptureStatus]&lt;&gt;"Removed")),ROWS($B$8:B32)),"")</f>
        <v>6.2</v>
      </c>
      <c r="C32" s="162" t="str" cm="1">
        <f t="array" ref="C32">IFERROR(INDEX(_xlfn._xlws.FILTER(tblProjectTasks[TaskName],(tblProjectTasks[IsWorkPackage]="Yes")*(tblProjectTasks[CaptureStatus]&lt;&gt;"Removed")),ROWS($C$8:C32)),"")</f>
        <v>Set up computers</v>
      </c>
      <c r="D32" s="163" cm="1">
        <f t="array" ref="D32">_xlfn.LET(_xlpm.x,IFERROR(INDEX(_xlfn._xlws.FILTER(tblProjectTasks[Elapsed Time in Weeks],(tblProjectTasks[IsWorkPackage]="Yes")*(tblProjectTasks[CaptureStatus]&lt;&gt;"Removed")),ROWS($D$8:D32)),""),IF(_xlpm.x=0,"",_xlpm.x))</f>
        <v>1</v>
      </c>
      <c r="E32" s="163">
        <f>IF($A32="","",IF($D32="",1,$D32))</f>
        <v>1</v>
      </c>
      <c r="F32" s="163">
        <f>IF($A32="","",IF(ROW()=8,0,$F31+$E31))</f>
        <v>57</v>
      </c>
      <c r="G32" s="163">
        <f>IF($A32="","",$F32+$E32)</f>
        <v>58</v>
      </c>
      <c r="H32" s="68" t="str">
        <f>IF($A32="","",IF(AND(VALUE(H$7)&gt;$F32,VALUE(H$7)&lt;=$G32),IF($D32="","◇","■"),""))</f>
        <v/>
      </c>
      <c r="I32" s="68" t="str">
        <f>IF($A32="","",IF(AND(VALUE(I$7)&gt;$F32,VALUE(I$7)&lt;=$G32),IF($D32="","◇","■"),""))</f>
        <v/>
      </c>
      <c r="J32" s="68" t="str">
        <f>IF($A32="","",IF(AND(VALUE(J$7)&gt;$F32,VALUE(J$7)&lt;=$G32),IF($D32="","◇","■"),""))</f>
        <v/>
      </c>
      <c r="K32" s="68" t="str">
        <f>IF($A32="","",IF(AND(VALUE(K$7)&gt;$F32,VALUE(K$7)&lt;=$G32),IF($D32="","◇","■"),""))</f>
        <v/>
      </c>
      <c r="L32" s="68" t="str">
        <f>IF($A32="","",IF(AND(VALUE(L$7)&gt;$F32,VALUE(L$7)&lt;=$G32),IF($D32="","◇","■"),""))</f>
        <v/>
      </c>
      <c r="M32" s="68" t="str">
        <f>IF($A32="","",IF(AND(VALUE(M$7)&gt;$F32,VALUE(M$7)&lt;=$G32),IF($D32="","◇","■"),""))</f>
        <v/>
      </c>
      <c r="N32" s="68" t="str">
        <f>IF($A32="","",IF(AND(VALUE(N$7)&gt;$F32,VALUE(N$7)&lt;=$G32),IF($D32="","◇","■"),""))</f>
        <v/>
      </c>
      <c r="O32" s="68" t="str">
        <f>IF($A32="","",IF(AND(VALUE(O$7)&gt;$F32,VALUE(O$7)&lt;=$G32),IF($D32="","◇","■"),""))</f>
        <v/>
      </c>
      <c r="P32" s="68" t="str">
        <f>IF($A32="","",IF(AND(VALUE(P$7)&gt;$F32,VALUE(P$7)&lt;=$G32),IF($D32="","◇","■"),""))</f>
        <v/>
      </c>
      <c r="Q32" s="68" t="str">
        <f>IF($A32="","",IF(AND(VALUE(Q$7)&gt;$F32,VALUE(Q$7)&lt;=$G32),IF($D32="","◇","■"),""))</f>
        <v/>
      </c>
      <c r="R32" s="68" t="str">
        <f>IF($A32="","",IF(AND(VALUE(R$7)&gt;$F32,VALUE(R$7)&lt;=$G32),IF($D32="","◇","■"),""))</f>
        <v/>
      </c>
      <c r="S32" s="68" t="str">
        <f>IF($A32="","",IF(AND(VALUE(S$7)&gt;$F32,VALUE(S$7)&lt;=$G32),IF($D32="","◇","■"),""))</f>
        <v/>
      </c>
      <c r="T32" s="68" t="str">
        <f>IF($A32="","",IF(AND(VALUE(T$7)&gt;$F32,VALUE(T$7)&lt;=$G32),IF($D32="","◇","■"),""))</f>
        <v/>
      </c>
      <c r="U32" s="68" t="str">
        <f>IF($A32="","",IF(AND(VALUE(U$7)&gt;$F32,VALUE(U$7)&lt;=$G32),IF($D32="","◇","■"),""))</f>
        <v/>
      </c>
      <c r="V32" s="68" t="str">
        <f>IF($A32="","",IF(AND(VALUE(V$7)&gt;$F32,VALUE(V$7)&lt;=$G32),IF($D32="","◇","■"),""))</f>
        <v/>
      </c>
      <c r="W32" s="68" t="str">
        <f>IF($A32="","",IF(AND(VALUE(W$7)&gt;$F32,VALUE(W$7)&lt;=$G32),IF($D32="","◇","■"),""))</f>
        <v/>
      </c>
      <c r="X32" s="68" t="str">
        <f>IF($A32="","",IF(AND(VALUE(X$7)&gt;$F32,VALUE(X$7)&lt;=$G32),IF($D32="","◇","■"),""))</f>
        <v/>
      </c>
      <c r="Y32" s="68" t="str">
        <f>IF($A32="","",IF(AND(VALUE(Y$7)&gt;$F32,VALUE(Y$7)&lt;=$G32),IF($D32="","◇","■"),""))</f>
        <v/>
      </c>
      <c r="Z32" s="68" t="str">
        <f>IF($A32="","",IF(AND(VALUE(Z$7)&gt;$F32,VALUE(Z$7)&lt;=$G32),IF($D32="","◇","■"),""))</f>
        <v/>
      </c>
      <c r="AA32" s="68" t="str">
        <f>IF($A32="","",IF(AND(VALUE(AA$7)&gt;$F32,VALUE(AA$7)&lt;=$G32),IF($D32="","◇","■"),""))</f>
        <v/>
      </c>
      <c r="AB32" s="68" t="str">
        <f>IF($A32="","",IF(AND(VALUE(AB$7)&gt;$F32,VALUE(AB$7)&lt;=$G32),IF($D32="","◇","■"),""))</f>
        <v/>
      </c>
      <c r="AC32" s="68" t="str">
        <f>IF($A32="","",IF(AND(VALUE(AC$7)&gt;$F32,VALUE(AC$7)&lt;=$G32),IF($D32="","◇","■"),""))</f>
        <v/>
      </c>
      <c r="AD32" s="68" t="str">
        <f>IF($A32="","",IF(AND(VALUE(AD$7)&gt;$F32,VALUE(AD$7)&lt;=$G32),IF($D32="","◇","■"),""))</f>
        <v/>
      </c>
      <c r="AE32" s="68" t="str">
        <f>IF($A32="","",IF(AND(VALUE(AE$7)&gt;$F32,VALUE(AE$7)&lt;=$G32),IF($D32="","◇","■"),""))</f>
        <v/>
      </c>
      <c r="AF32" s="68" t="str">
        <f>IF($A32="","",IF(AND(VALUE(AF$7)&gt;$F32,VALUE(AF$7)&lt;=$G32),IF($D32="","◇","■"),""))</f>
        <v/>
      </c>
      <c r="AG32" s="68" t="str">
        <f>IF($A32="","",IF(AND(VALUE(AG$7)&gt;$F32,VALUE(AG$7)&lt;=$G32),IF($D32="","◇","■"),""))</f>
        <v/>
      </c>
      <c r="AH32" s="68" t="str">
        <f>IF($A32="","",IF(AND(VALUE(AH$7)&gt;$F32,VALUE(AH$7)&lt;=$G32),IF($D32="","◇","■"),""))</f>
        <v/>
      </c>
      <c r="AI32" s="68" t="str">
        <f>IF($A32="","",IF(AND(VALUE(AI$7)&gt;$F32,VALUE(AI$7)&lt;=$G32),IF($D32="","◇","■"),""))</f>
        <v/>
      </c>
      <c r="AJ32" s="68" t="str">
        <f>IF($A32="","",IF(AND(VALUE(AJ$7)&gt;$F32,VALUE(AJ$7)&lt;=$G32),IF($D32="","◇","■"),""))</f>
        <v/>
      </c>
      <c r="AK32" s="68" t="str">
        <f>IF($A32="","",IF(AND(VALUE(AK$7)&gt;$F32,VALUE(AK$7)&lt;=$G32),IF($D32="","◇","■"),""))</f>
        <v/>
      </c>
      <c r="AL32" s="68" t="str">
        <f>IF($A32="","",IF(AND(VALUE(AL$7)&gt;$F32,VALUE(AL$7)&lt;=$G32),IF($D32="","◇","■"),""))</f>
        <v/>
      </c>
      <c r="AM32" s="68" t="str">
        <f>IF($A32="","",IF(AND(VALUE(AM$7)&gt;$F32,VALUE(AM$7)&lt;=$G32),IF($D32="","◇","■"),""))</f>
        <v/>
      </c>
    </row>
    <row r="33" spans="1:39" ht="18" customHeight="1" x14ac:dyDescent="0.35">
      <c r="A33" s="148" t="str" cm="1">
        <f t="array" ref="A33">IFERROR(INDEX(_xlfn._xlws.FILTER(tblProjectTasks[TaskGroup],(tblProjectTasks[IsWorkPackage]="Yes")*(tblProjectTasks[CaptureStatus]&lt;&gt;"Removed")),ROWS($A$8:A33)),"")</f>
        <v>Installing stuff</v>
      </c>
      <c r="B33" s="149" cm="1">
        <f t="array" ref="B33">IFERROR(INDEX(_xlfn._xlws.FILTER(tblProjectTasks[WBSCode],(tblProjectTasks[IsWorkPackage]="Yes")*(tblProjectTasks[CaptureStatus]&lt;&gt;"Removed")),ROWS($B$8:B33)),"")</f>
        <v>6.3</v>
      </c>
      <c r="C33" s="150" t="str" cm="1">
        <f t="array" ref="C33">IFERROR(INDEX(_xlfn._xlws.FILTER(tblProjectTasks[TaskName],(tblProjectTasks[IsWorkPackage]="Yes")*(tblProjectTasks[CaptureStatus]&lt;&gt;"Removed")),ROWS($C$8:C33)),"")</f>
        <v>Set up music system</v>
      </c>
      <c r="D33" s="151" cm="1">
        <f t="array" ref="D33">_xlfn.LET(_xlpm.x,IFERROR(INDEX(_xlfn._xlws.FILTER(tblProjectTasks[Elapsed Time in Weeks],(tblProjectTasks[IsWorkPackage]="Yes")*(tblProjectTasks[CaptureStatus]&lt;&gt;"Removed")),ROWS($D$8:D33)),""),IF(_xlpm.x=0,"",_xlpm.x))</f>
        <v>1</v>
      </c>
      <c r="E33" s="151">
        <f>IF($A33="","",IF($D33="",1,$D33))</f>
        <v>1</v>
      </c>
      <c r="F33" s="151">
        <f>IF($A33="","",IF(ROW()=8,0,$F32+$E32))</f>
        <v>58</v>
      </c>
      <c r="G33" s="151">
        <f>IF($A33="","",$F33+$E33)</f>
        <v>59</v>
      </c>
      <c r="H33" s="59" t="str">
        <f>IF($A33="","",IF(AND(VALUE(H$7)&gt;$F33,VALUE(H$7)&lt;=$G33),IF($D33="","◇","■"),""))</f>
        <v/>
      </c>
      <c r="I33" s="59" t="str">
        <f>IF($A33="","",IF(AND(VALUE(I$7)&gt;$F33,VALUE(I$7)&lt;=$G33),IF($D33="","◇","■"),""))</f>
        <v/>
      </c>
      <c r="J33" s="59" t="str">
        <f>IF($A33="","",IF(AND(VALUE(J$7)&gt;$F33,VALUE(J$7)&lt;=$G33),IF($D33="","◇","■"),""))</f>
        <v/>
      </c>
      <c r="K33" s="59" t="str">
        <f>IF($A33="","",IF(AND(VALUE(K$7)&gt;$F33,VALUE(K$7)&lt;=$G33),IF($D33="","◇","■"),""))</f>
        <v/>
      </c>
      <c r="L33" s="59" t="str">
        <f>IF($A33="","",IF(AND(VALUE(L$7)&gt;$F33,VALUE(L$7)&lt;=$G33),IF($D33="","◇","■"),""))</f>
        <v/>
      </c>
      <c r="M33" s="59" t="str">
        <f>IF($A33="","",IF(AND(VALUE(M$7)&gt;$F33,VALUE(M$7)&lt;=$G33),IF($D33="","◇","■"),""))</f>
        <v/>
      </c>
      <c r="N33" s="59" t="str">
        <f>IF($A33="","",IF(AND(VALUE(N$7)&gt;$F33,VALUE(N$7)&lt;=$G33),IF($D33="","◇","■"),""))</f>
        <v/>
      </c>
      <c r="O33" s="59" t="str">
        <f>IF($A33="","",IF(AND(VALUE(O$7)&gt;$F33,VALUE(O$7)&lt;=$G33),IF($D33="","◇","■"),""))</f>
        <v/>
      </c>
      <c r="P33" s="59" t="str">
        <f>IF($A33="","",IF(AND(VALUE(P$7)&gt;$F33,VALUE(P$7)&lt;=$G33),IF($D33="","◇","■"),""))</f>
        <v/>
      </c>
      <c r="Q33" s="59" t="str">
        <f>IF($A33="","",IF(AND(VALUE(Q$7)&gt;$F33,VALUE(Q$7)&lt;=$G33),IF($D33="","◇","■"),""))</f>
        <v/>
      </c>
      <c r="R33" s="59" t="str">
        <f>IF($A33="","",IF(AND(VALUE(R$7)&gt;$F33,VALUE(R$7)&lt;=$G33),IF($D33="","◇","■"),""))</f>
        <v/>
      </c>
      <c r="S33" s="59" t="str">
        <f>IF($A33="","",IF(AND(VALUE(S$7)&gt;$F33,VALUE(S$7)&lt;=$G33),IF($D33="","◇","■"),""))</f>
        <v/>
      </c>
      <c r="T33" s="59" t="str">
        <f>IF($A33="","",IF(AND(VALUE(T$7)&gt;$F33,VALUE(T$7)&lt;=$G33),IF($D33="","◇","■"),""))</f>
        <v/>
      </c>
      <c r="U33" s="59" t="str">
        <f>IF($A33="","",IF(AND(VALUE(U$7)&gt;$F33,VALUE(U$7)&lt;=$G33),IF($D33="","◇","■"),""))</f>
        <v/>
      </c>
      <c r="V33" s="59" t="str">
        <f>IF($A33="","",IF(AND(VALUE(V$7)&gt;$F33,VALUE(V$7)&lt;=$G33),IF($D33="","◇","■"),""))</f>
        <v/>
      </c>
      <c r="W33" s="59" t="str">
        <f>IF($A33="","",IF(AND(VALUE(W$7)&gt;$F33,VALUE(W$7)&lt;=$G33),IF($D33="","◇","■"),""))</f>
        <v/>
      </c>
      <c r="X33" s="59" t="str">
        <f>IF($A33="","",IF(AND(VALUE(X$7)&gt;$F33,VALUE(X$7)&lt;=$G33),IF($D33="","◇","■"),""))</f>
        <v/>
      </c>
      <c r="Y33" s="59" t="str">
        <f>IF($A33="","",IF(AND(VALUE(Y$7)&gt;$F33,VALUE(Y$7)&lt;=$G33),IF($D33="","◇","■"),""))</f>
        <v/>
      </c>
      <c r="Z33" s="59" t="str">
        <f>IF($A33="","",IF(AND(VALUE(Z$7)&gt;$F33,VALUE(Z$7)&lt;=$G33),IF($D33="","◇","■"),""))</f>
        <v/>
      </c>
      <c r="AA33" s="59" t="str">
        <f>IF($A33="","",IF(AND(VALUE(AA$7)&gt;$F33,VALUE(AA$7)&lt;=$G33),IF($D33="","◇","■"),""))</f>
        <v/>
      </c>
      <c r="AB33" s="59" t="str">
        <f>IF($A33="","",IF(AND(VALUE(AB$7)&gt;$F33,VALUE(AB$7)&lt;=$G33),IF($D33="","◇","■"),""))</f>
        <v/>
      </c>
      <c r="AC33" s="59" t="str">
        <f>IF($A33="","",IF(AND(VALUE(AC$7)&gt;$F33,VALUE(AC$7)&lt;=$G33),IF($D33="","◇","■"),""))</f>
        <v/>
      </c>
      <c r="AD33" s="59" t="str">
        <f>IF($A33="","",IF(AND(VALUE(AD$7)&gt;$F33,VALUE(AD$7)&lt;=$G33),IF($D33="","◇","■"),""))</f>
        <v/>
      </c>
      <c r="AE33" s="59" t="str">
        <f>IF($A33="","",IF(AND(VALUE(AE$7)&gt;$F33,VALUE(AE$7)&lt;=$G33),IF($D33="","◇","■"),""))</f>
        <v/>
      </c>
      <c r="AF33" s="59" t="str">
        <f>IF($A33="","",IF(AND(VALUE(AF$7)&gt;$F33,VALUE(AF$7)&lt;=$G33),IF($D33="","◇","■"),""))</f>
        <v/>
      </c>
      <c r="AG33" s="59" t="str">
        <f>IF($A33="","",IF(AND(VALUE(AG$7)&gt;$F33,VALUE(AG$7)&lt;=$G33),IF($D33="","◇","■"),""))</f>
        <v/>
      </c>
      <c r="AH33" s="59" t="str">
        <f>IF($A33="","",IF(AND(VALUE(AH$7)&gt;$F33,VALUE(AH$7)&lt;=$G33),IF($D33="","◇","■"),""))</f>
        <v/>
      </c>
      <c r="AI33" s="59" t="str">
        <f>IF($A33="","",IF(AND(VALUE(AI$7)&gt;$F33,VALUE(AI$7)&lt;=$G33),IF($D33="","◇","■"),""))</f>
        <v/>
      </c>
      <c r="AJ33" s="59" t="str">
        <f>IF($A33="","",IF(AND(VALUE(AJ$7)&gt;$F33,VALUE(AJ$7)&lt;=$G33),IF($D33="","◇","■"),""))</f>
        <v/>
      </c>
      <c r="AK33" s="59" t="str">
        <f>IF($A33="","",IF(AND(VALUE(AK$7)&gt;$F33,VALUE(AK$7)&lt;=$G33),IF($D33="","◇","■"),""))</f>
        <v/>
      </c>
      <c r="AL33" s="59" t="str">
        <f>IF($A33="","",IF(AND(VALUE(AL$7)&gt;$F33,VALUE(AL$7)&lt;=$G33),IF($D33="","◇","■"),""))</f>
        <v/>
      </c>
      <c r="AM33" s="59" t="str">
        <f>IF($A33="","",IF(AND(VALUE(AM$7)&gt;$F33,VALUE(AM$7)&lt;=$G33),IF($D33="","◇","■"),""))</f>
        <v/>
      </c>
    </row>
    <row r="34" spans="1:39" ht="18" customHeight="1" x14ac:dyDescent="0.35">
      <c r="A34" s="55" t="str" cm="1">
        <f t="array" ref="A34">IFERROR(INDEX(_xlfn._xlws.FILTER(tblProjectTasks[TaskGroup],(tblProjectTasks[IsWorkPackage]="Yes")*(tblProjectTasks[CaptureStatus]&lt;&gt;"Removed")),ROWS($A$8:A34)),"")</f>
        <v/>
      </c>
      <c r="B34" s="56" t="str" cm="1">
        <f t="array" ref="B34">IFERROR(INDEX(_xlfn._xlws.FILTER(tblProjectTasks[WBSCode],(tblProjectTasks[IsWorkPackage]="Yes")*(tblProjectTasks[CaptureStatus]&lt;&gt;"Removed")),ROWS($B$8:B34)),"")</f>
        <v/>
      </c>
      <c r="C34" s="57" t="str" cm="1">
        <f t="array" ref="C34">IFERROR(INDEX(_xlfn._xlws.FILTER(tblProjectTasks[TaskName],(tblProjectTasks[IsWorkPackage]="Yes")*(tblProjectTasks[CaptureStatus]&lt;&gt;"Removed")),ROWS($C$8:C34)),"")</f>
        <v/>
      </c>
      <c r="D34" s="58" t="str" cm="1">
        <f t="array" ref="D34">_xlfn.LET(_xlpm.x,IFERROR(INDEX(_xlfn._xlws.FILTER(tblProjectTasks[Elapsed Time in Weeks],(tblProjectTasks[IsWorkPackage]="Yes")*(tblProjectTasks[CaptureStatus]&lt;&gt;"Removed")),ROWS($D$8:D34)),""),IF(_xlpm.x=0,"",_xlpm.x))</f>
        <v/>
      </c>
      <c r="E34" s="58" t="str">
        <f>IF($A34="","",IF($D34="",1,$D34))</f>
        <v/>
      </c>
      <c r="F34" s="58" t="str">
        <f>IF($A34="","",IF(ROW()=8,0,$F33+$E33))</f>
        <v/>
      </c>
      <c r="G34" s="58" t="str">
        <f>IF($A34="","",$F34+$E34)</f>
        <v/>
      </c>
      <c r="H34" s="59" t="str">
        <f>IF($A34="","",IF(AND(VALUE(H$7)&gt;$F34,VALUE(H$7)&lt;=$G34),IF($D34="","◇","■"),""))</f>
        <v/>
      </c>
      <c r="I34" s="59" t="str">
        <f>IF($A34="","",IF(AND(VALUE(I$7)&gt;$F34,VALUE(I$7)&lt;=$G34),IF($D34="","◇","■"),""))</f>
        <v/>
      </c>
      <c r="J34" s="59" t="str">
        <f>IF($A34="","",IF(AND(VALUE(J$7)&gt;$F34,VALUE(J$7)&lt;=$G34),IF($D34="","◇","■"),""))</f>
        <v/>
      </c>
      <c r="K34" s="59" t="str">
        <f>IF($A34="","",IF(AND(VALUE(K$7)&gt;$F34,VALUE(K$7)&lt;=$G34),IF($D34="","◇","■"),""))</f>
        <v/>
      </c>
      <c r="L34" s="59" t="str">
        <f>IF($A34="","",IF(AND(VALUE(L$7)&gt;$F34,VALUE(L$7)&lt;=$G34),IF($D34="","◇","■"),""))</f>
        <v/>
      </c>
      <c r="M34" s="59" t="str">
        <f>IF($A34="","",IF(AND(VALUE(M$7)&gt;$F34,VALUE(M$7)&lt;=$G34),IF($D34="","◇","■"),""))</f>
        <v/>
      </c>
      <c r="N34" s="59" t="str">
        <f>IF($A34="","",IF(AND(VALUE(N$7)&gt;$F34,VALUE(N$7)&lt;=$G34),IF($D34="","◇","■"),""))</f>
        <v/>
      </c>
      <c r="O34" s="59" t="str">
        <f>IF($A34="","",IF(AND(VALUE(O$7)&gt;$F34,VALUE(O$7)&lt;=$G34),IF($D34="","◇","■"),""))</f>
        <v/>
      </c>
      <c r="P34" s="59" t="str">
        <f>IF($A34="","",IF(AND(VALUE(P$7)&gt;$F34,VALUE(P$7)&lt;=$G34),IF($D34="","◇","■"),""))</f>
        <v/>
      </c>
      <c r="Q34" s="59" t="str">
        <f>IF($A34="","",IF(AND(VALUE(Q$7)&gt;$F34,VALUE(Q$7)&lt;=$G34),IF($D34="","◇","■"),""))</f>
        <v/>
      </c>
      <c r="R34" s="59" t="str">
        <f>IF($A34="","",IF(AND(VALUE(R$7)&gt;$F34,VALUE(R$7)&lt;=$G34),IF($D34="","◇","■"),""))</f>
        <v/>
      </c>
      <c r="S34" s="59" t="str">
        <f>IF($A34="","",IF(AND(VALUE(S$7)&gt;$F34,VALUE(S$7)&lt;=$G34),IF($D34="","◇","■"),""))</f>
        <v/>
      </c>
      <c r="T34" s="59" t="str">
        <f>IF($A34="","",IF(AND(VALUE(T$7)&gt;$F34,VALUE(T$7)&lt;=$G34),IF($D34="","◇","■"),""))</f>
        <v/>
      </c>
      <c r="U34" s="59" t="str">
        <f>IF($A34="","",IF(AND(VALUE(U$7)&gt;$F34,VALUE(U$7)&lt;=$G34),IF($D34="","◇","■"),""))</f>
        <v/>
      </c>
      <c r="V34" s="59" t="str">
        <f>IF($A34="","",IF(AND(VALUE(V$7)&gt;$F34,VALUE(V$7)&lt;=$G34),IF($D34="","◇","■"),""))</f>
        <v/>
      </c>
      <c r="W34" s="59" t="str">
        <f>IF($A34="","",IF(AND(VALUE(W$7)&gt;$F34,VALUE(W$7)&lt;=$G34),IF($D34="","◇","■"),""))</f>
        <v/>
      </c>
      <c r="X34" s="59" t="str">
        <f>IF($A34="","",IF(AND(VALUE(X$7)&gt;$F34,VALUE(X$7)&lt;=$G34),IF($D34="","◇","■"),""))</f>
        <v/>
      </c>
      <c r="Y34" s="59" t="str">
        <f>IF($A34="","",IF(AND(VALUE(Y$7)&gt;$F34,VALUE(Y$7)&lt;=$G34),IF($D34="","◇","■"),""))</f>
        <v/>
      </c>
      <c r="Z34" s="59" t="str">
        <f>IF($A34="","",IF(AND(VALUE(Z$7)&gt;$F34,VALUE(Z$7)&lt;=$G34),IF($D34="","◇","■"),""))</f>
        <v/>
      </c>
      <c r="AA34" s="59" t="str">
        <f>IF($A34="","",IF(AND(VALUE(AA$7)&gt;$F34,VALUE(AA$7)&lt;=$G34),IF($D34="","◇","■"),""))</f>
        <v/>
      </c>
      <c r="AB34" s="59" t="str">
        <f>IF($A34="","",IF(AND(VALUE(AB$7)&gt;$F34,VALUE(AB$7)&lt;=$G34),IF($D34="","◇","■"),""))</f>
        <v/>
      </c>
      <c r="AC34" s="59" t="str">
        <f>IF($A34="","",IF(AND(VALUE(AC$7)&gt;$F34,VALUE(AC$7)&lt;=$G34),IF($D34="","◇","■"),""))</f>
        <v/>
      </c>
      <c r="AD34" s="59" t="str">
        <f>IF($A34="","",IF(AND(VALUE(AD$7)&gt;$F34,VALUE(AD$7)&lt;=$G34),IF($D34="","◇","■"),""))</f>
        <v/>
      </c>
      <c r="AE34" s="59" t="str">
        <f>IF($A34="","",IF(AND(VALUE(AE$7)&gt;$F34,VALUE(AE$7)&lt;=$G34),IF($D34="","◇","■"),""))</f>
        <v/>
      </c>
      <c r="AF34" s="59" t="str">
        <f>IF($A34="","",IF(AND(VALUE(AF$7)&gt;$F34,VALUE(AF$7)&lt;=$G34),IF($D34="","◇","■"),""))</f>
        <v/>
      </c>
      <c r="AG34" s="59" t="str">
        <f>IF($A34="","",IF(AND(VALUE(AG$7)&gt;$F34,VALUE(AG$7)&lt;=$G34),IF($D34="","◇","■"),""))</f>
        <v/>
      </c>
      <c r="AH34" s="59" t="str">
        <f>IF($A34="","",IF(AND(VALUE(AH$7)&gt;$F34,VALUE(AH$7)&lt;=$G34),IF($D34="","◇","■"),""))</f>
        <v/>
      </c>
      <c r="AI34" s="59" t="str">
        <f>IF($A34="","",IF(AND(VALUE(AI$7)&gt;$F34,VALUE(AI$7)&lt;=$G34),IF($D34="","◇","■"),""))</f>
        <v/>
      </c>
      <c r="AJ34" s="59" t="str">
        <f>IF($A34="","",IF(AND(VALUE(AJ$7)&gt;$F34,VALUE(AJ$7)&lt;=$G34),IF($D34="","◇","■"),""))</f>
        <v/>
      </c>
      <c r="AK34" s="59" t="str">
        <f>IF($A34="","",IF(AND(VALUE(AK$7)&gt;$F34,VALUE(AK$7)&lt;=$G34),IF($D34="","◇","■"),""))</f>
        <v/>
      </c>
      <c r="AL34" s="59" t="str">
        <f>IF($A34="","",IF(AND(VALUE(AL$7)&gt;$F34,VALUE(AL$7)&lt;=$G34),IF($D34="","◇","■"),""))</f>
        <v/>
      </c>
      <c r="AM34" s="59" t="str">
        <f>IF($A34="","",IF(AND(VALUE(AM$7)&gt;$F34,VALUE(AM$7)&lt;=$G34),IF($D34="","◇","■"),""))</f>
        <v/>
      </c>
    </row>
    <row r="35" spans="1:39" ht="18" customHeight="1" x14ac:dyDescent="0.35">
      <c r="A35" s="55" t="str" cm="1">
        <f t="array" ref="A35">IFERROR(INDEX(_xlfn._xlws.FILTER(tblProjectTasks[TaskGroup],(tblProjectTasks[IsWorkPackage]="Yes")*(tblProjectTasks[CaptureStatus]&lt;&gt;"Removed")),ROWS($A$8:A35)),"")</f>
        <v/>
      </c>
      <c r="B35" s="56" t="str" cm="1">
        <f t="array" ref="B35">IFERROR(INDEX(_xlfn._xlws.FILTER(tblProjectTasks[WBSCode],(tblProjectTasks[IsWorkPackage]="Yes")*(tblProjectTasks[CaptureStatus]&lt;&gt;"Removed")),ROWS($B$8:B35)),"")</f>
        <v/>
      </c>
      <c r="C35" s="57" t="str" cm="1">
        <f t="array" ref="C35">IFERROR(INDEX(_xlfn._xlws.FILTER(tblProjectTasks[TaskName],(tblProjectTasks[IsWorkPackage]="Yes")*(tblProjectTasks[CaptureStatus]&lt;&gt;"Removed")),ROWS($C$8:C35)),"")</f>
        <v/>
      </c>
      <c r="D35" s="58" t="str" cm="1">
        <f t="array" ref="D35">_xlfn.LET(_xlpm.x,IFERROR(INDEX(_xlfn._xlws.FILTER(tblProjectTasks[Elapsed Time in Weeks],(tblProjectTasks[IsWorkPackage]="Yes")*(tblProjectTasks[CaptureStatus]&lt;&gt;"Removed")),ROWS($D$8:D35)),""),IF(_xlpm.x=0,"",_xlpm.x))</f>
        <v/>
      </c>
      <c r="E35" s="58" t="str">
        <f>IF($A35="","",IF($D35="",1,$D35))</f>
        <v/>
      </c>
      <c r="F35" s="58" t="str">
        <f>IF($A35="","",IF(ROW()=8,0,$F34+$E34))</f>
        <v/>
      </c>
      <c r="G35" s="58" t="str">
        <f>IF($A35="","",$F35+$E35)</f>
        <v/>
      </c>
      <c r="H35" s="59" t="str">
        <f>IF($A35="","",IF(AND(VALUE(H$7)&gt;$F35,VALUE(H$7)&lt;=$G35),IF($D35="","◇","■"),""))</f>
        <v/>
      </c>
      <c r="I35" s="59" t="str">
        <f>IF($A35="","",IF(AND(VALUE(I$7)&gt;$F35,VALUE(I$7)&lt;=$G35),IF($D35="","◇","■"),""))</f>
        <v/>
      </c>
      <c r="J35" s="59" t="str">
        <f>IF($A35="","",IF(AND(VALUE(J$7)&gt;$F35,VALUE(J$7)&lt;=$G35),IF($D35="","◇","■"),""))</f>
        <v/>
      </c>
      <c r="K35" s="59" t="str">
        <f>IF($A35="","",IF(AND(VALUE(K$7)&gt;$F35,VALUE(K$7)&lt;=$G35),IF($D35="","◇","■"),""))</f>
        <v/>
      </c>
      <c r="L35" s="59" t="str">
        <f>IF($A35="","",IF(AND(VALUE(L$7)&gt;$F35,VALUE(L$7)&lt;=$G35),IF($D35="","◇","■"),""))</f>
        <v/>
      </c>
      <c r="M35" s="59" t="str">
        <f>IF($A35="","",IF(AND(VALUE(M$7)&gt;$F35,VALUE(M$7)&lt;=$G35),IF($D35="","◇","■"),""))</f>
        <v/>
      </c>
      <c r="N35" s="59" t="str">
        <f>IF($A35="","",IF(AND(VALUE(N$7)&gt;$F35,VALUE(N$7)&lt;=$G35),IF($D35="","◇","■"),""))</f>
        <v/>
      </c>
      <c r="O35" s="59" t="str">
        <f>IF($A35="","",IF(AND(VALUE(O$7)&gt;$F35,VALUE(O$7)&lt;=$G35),IF($D35="","◇","■"),""))</f>
        <v/>
      </c>
      <c r="P35" s="59" t="str">
        <f>IF($A35="","",IF(AND(VALUE(P$7)&gt;$F35,VALUE(P$7)&lt;=$G35),IF($D35="","◇","■"),""))</f>
        <v/>
      </c>
      <c r="Q35" s="59" t="str">
        <f>IF($A35="","",IF(AND(VALUE(Q$7)&gt;$F35,VALUE(Q$7)&lt;=$G35),IF($D35="","◇","■"),""))</f>
        <v/>
      </c>
      <c r="R35" s="59" t="str">
        <f>IF($A35="","",IF(AND(VALUE(R$7)&gt;$F35,VALUE(R$7)&lt;=$G35),IF($D35="","◇","■"),""))</f>
        <v/>
      </c>
      <c r="S35" s="59" t="str">
        <f>IF($A35="","",IF(AND(VALUE(S$7)&gt;$F35,VALUE(S$7)&lt;=$G35),IF($D35="","◇","■"),""))</f>
        <v/>
      </c>
      <c r="T35" s="59" t="str">
        <f>IF($A35="","",IF(AND(VALUE(T$7)&gt;$F35,VALUE(T$7)&lt;=$G35),IF($D35="","◇","■"),""))</f>
        <v/>
      </c>
      <c r="U35" s="59" t="str">
        <f>IF($A35="","",IF(AND(VALUE(U$7)&gt;$F35,VALUE(U$7)&lt;=$G35),IF($D35="","◇","■"),""))</f>
        <v/>
      </c>
      <c r="V35" s="59" t="str">
        <f>IF($A35="","",IF(AND(VALUE(V$7)&gt;$F35,VALUE(V$7)&lt;=$G35),IF($D35="","◇","■"),""))</f>
        <v/>
      </c>
      <c r="W35" s="59" t="str">
        <f>IF($A35="","",IF(AND(VALUE(W$7)&gt;$F35,VALUE(W$7)&lt;=$G35),IF($D35="","◇","■"),""))</f>
        <v/>
      </c>
      <c r="X35" s="59" t="str">
        <f>IF($A35="","",IF(AND(VALUE(X$7)&gt;$F35,VALUE(X$7)&lt;=$G35),IF($D35="","◇","■"),""))</f>
        <v/>
      </c>
      <c r="Y35" s="59" t="str">
        <f>IF($A35="","",IF(AND(VALUE(Y$7)&gt;$F35,VALUE(Y$7)&lt;=$G35),IF($D35="","◇","■"),""))</f>
        <v/>
      </c>
      <c r="Z35" s="59" t="str">
        <f>IF($A35="","",IF(AND(VALUE(Z$7)&gt;$F35,VALUE(Z$7)&lt;=$G35),IF($D35="","◇","■"),""))</f>
        <v/>
      </c>
      <c r="AA35" s="59" t="str">
        <f>IF($A35="","",IF(AND(VALUE(AA$7)&gt;$F35,VALUE(AA$7)&lt;=$G35),IF($D35="","◇","■"),""))</f>
        <v/>
      </c>
      <c r="AB35" s="59" t="str">
        <f>IF($A35="","",IF(AND(VALUE(AB$7)&gt;$F35,VALUE(AB$7)&lt;=$G35),IF($D35="","◇","■"),""))</f>
        <v/>
      </c>
      <c r="AC35" s="59" t="str">
        <f>IF($A35="","",IF(AND(VALUE(AC$7)&gt;$F35,VALUE(AC$7)&lt;=$G35),IF($D35="","◇","■"),""))</f>
        <v/>
      </c>
      <c r="AD35" s="59" t="str">
        <f>IF($A35="","",IF(AND(VALUE(AD$7)&gt;$F35,VALUE(AD$7)&lt;=$G35),IF($D35="","◇","■"),""))</f>
        <v/>
      </c>
      <c r="AE35" s="59" t="str">
        <f>IF($A35="","",IF(AND(VALUE(AE$7)&gt;$F35,VALUE(AE$7)&lt;=$G35),IF($D35="","◇","■"),""))</f>
        <v/>
      </c>
      <c r="AF35" s="59" t="str">
        <f>IF($A35="","",IF(AND(VALUE(AF$7)&gt;$F35,VALUE(AF$7)&lt;=$G35),IF($D35="","◇","■"),""))</f>
        <v/>
      </c>
      <c r="AG35" s="59" t="str">
        <f>IF($A35="","",IF(AND(VALUE(AG$7)&gt;$F35,VALUE(AG$7)&lt;=$G35),IF($D35="","◇","■"),""))</f>
        <v/>
      </c>
      <c r="AH35" s="59" t="str">
        <f>IF($A35="","",IF(AND(VALUE(AH$7)&gt;$F35,VALUE(AH$7)&lt;=$G35),IF($D35="","◇","■"),""))</f>
        <v/>
      </c>
      <c r="AI35" s="59" t="str">
        <f>IF($A35="","",IF(AND(VALUE(AI$7)&gt;$F35,VALUE(AI$7)&lt;=$G35),IF($D35="","◇","■"),""))</f>
        <v/>
      </c>
      <c r="AJ35" s="59" t="str">
        <f>IF($A35="","",IF(AND(VALUE(AJ$7)&gt;$F35,VALUE(AJ$7)&lt;=$G35),IF($D35="","◇","■"),""))</f>
        <v/>
      </c>
      <c r="AK35" s="59" t="str">
        <f>IF($A35="","",IF(AND(VALUE(AK$7)&gt;$F35,VALUE(AK$7)&lt;=$G35),IF($D35="","◇","■"),""))</f>
        <v/>
      </c>
      <c r="AL35" s="59" t="str">
        <f>IF($A35="","",IF(AND(VALUE(AL$7)&gt;$F35,VALUE(AL$7)&lt;=$G35),IF($D35="","◇","■"),""))</f>
        <v/>
      </c>
      <c r="AM35" s="59" t="str">
        <f>IF($A35="","",IF(AND(VALUE(AM$7)&gt;$F35,VALUE(AM$7)&lt;=$G35),IF($D35="","◇","■"),""))</f>
        <v/>
      </c>
    </row>
    <row r="36" spans="1:39" ht="18" customHeight="1" x14ac:dyDescent="0.35">
      <c r="A36" s="55" t="str" cm="1">
        <f t="array" ref="A36">IFERROR(INDEX(_xlfn._xlws.FILTER(tblProjectTasks[TaskGroup],(tblProjectTasks[IsWorkPackage]="Yes")*(tblProjectTasks[CaptureStatus]&lt;&gt;"Removed")),ROWS($A$8:A36)),"")</f>
        <v/>
      </c>
      <c r="B36" s="56" t="str" cm="1">
        <f t="array" ref="B36">IFERROR(INDEX(_xlfn._xlws.FILTER(tblProjectTasks[WBSCode],(tblProjectTasks[IsWorkPackage]="Yes")*(tblProjectTasks[CaptureStatus]&lt;&gt;"Removed")),ROWS($B$8:B36)),"")</f>
        <v/>
      </c>
      <c r="C36" s="57" t="str" cm="1">
        <f t="array" ref="C36">IFERROR(INDEX(_xlfn._xlws.FILTER(tblProjectTasks[TaskName],(tblProjectTasks[IsWorkPackage]="Yes")*(tblProjectTasks[CaptureStatus]&lt;&gt;"Removed")),ROWS($C$8:C36)),"")</f>
        <v/>
      </c>
      <c r="D36" s="58" t="str" cm="1">
        <f t="array" ref="D36">_xlfn.LET(_xlpm.x,IFERROR(INDEX(_xlfn._xlws.FILTER(tblProjectTasks[Elapsed Time in Weeks],(tblProjectTasks[IsWorkPackage]="Yes")*(tblProjectTasks[CaptureStatus]&lt;&gt;"Removed")),ROWS($D$8:D36)),""),IF(_xlpm.x=0,"",_xlpm.x))</f>
        <v/>
      </c>
      <c r="E36" s="58" t="str">
        <f>IF($A36="","",IF($D36="",1,$D36))</f>
        <v/>
      </c>
      <c r="F36" s="58" t="str">
        <f>IF($A36="","",IF(ROW()=8,0,$F35+$E35))</f>
        <v/>
      </c>
      <c r="G36" s="58" t="str">
        <f>IF($A36="","",$F36+$E36)</f>
        <v/>
      </c>
      <c r="H36" s="59" t="str">
        <f>IF($A36="","",IF(AND(VALUE(H$7)&gt;$F36,VALUE(H$7)&lt;=$G36),IF($D36="","◇","■"),""))</f>
        <v/>
      </c>
      <c r="I36" s="59" t="str">
        <f>IF($A36="","",IF(AND(VALUE(I$7)&gt;$F36,VALUE(I$7)&lt;=$G36),IF($D36="","◇","■"),""))</f>
        <v/>
      </c>
      <c r="J36" s="59" t="str">
        <f>IF($A36="","",IF(AND(VALUE(J$7)&gt;$F36,VALUE(J$7)&lt;=$G36),IF($D36="","◇","■"),""))</f>
        <v/>
      </c>
      <c r="K36" s="59" t="str">
        <f>IF($A36="","",IF(AND(VALUE(K$7)&gt;$F36,VALUE(K$7)&lt;=$G36),IF($D36="","◇","■"),""))</f>
        <v/>
      </c>
      <c r="L36" s="59" t="str">
        <f>IF($A36="","",IF(AND(VALUE(L$7)&gt;$F36,VALUE(L$7)&lt;=$G36),IF($D36="","◇","■"),""))</f>
        <v/>
      </c>
      <c r="M36" s="59" t="str">
        <f>IF($A36="","",IF(AND(VALUE(M$7)&gt;$F36,VALUE(M$7)&lt;=$G36),IF($D36="","◇","■"),""))</f>
        <v/>
      </c>
      <c r="N36" s="59" t="str">
        <f>IF($A36="","",IF(AND(VALUE(N$7)&gt;$F36,VALUE(N$7)&lt;=$G36),IF($D36="","◇","■"),""))</f>
        <v/>
      </c>
      <c r="O36" s="59" t="str">
        <f>IF($A36="","",IF(AND(VALUE(O$7)&gt;$F36,VALUE(O$7)&lt;=$G36),IF($D36="","◇","■"),""))</f>
        <v/>
      </c>
      <c r="P36" s="59" t="str">
        <f>IF($A36="","",IF(AND(VALUE(P$7)&gt;$F36,VALUE(P$7)&lt;=$G36),IF($D36="","◇","■"),""))</f>
        <v/>
      </c>
      <c r="Q36" s="59" t="str">
        <f>IF($A36="","",IF(AND(VALUE(Q$7)&gt;$F36,VALUE(Q$7)&lt;=$G36),IF($D36="","◇","■"),""))</f>
        <v/>
      </c>
      <c r="R36" s="59" t="str">
        <f>IF($A36="","",IF(AND(VALUE(R$7)&gt;$F36,VALUE(R$7)&lt;=$G36),IF($D36="","◇","■"),""))</f>
        <v/>
      </c>
      <c r="S36" s="59" t="str">
        <f>IF($A36="","",IF(AND(VALUE(S$7)&gt;$F36,VALUE(S$7)&lt;=$G36),IF($D36="","◇","■"),""))</f>
        <v/>
      </c>
      <c r="T36" s="59" t="str">
        <f>IF($A36="","",IF(AND(VALUE(T$7)&gt;$F36,VALUE(T$7)&lt;=$G36),IF($D36="","◇","■"),""))</f>
        <v/>
      </c>
      <c r="U36" s="59" t="str">
        <f>IF($A36="","",IF(AND(VALUE(U$7)&gt;$F36,VALUE(U$7)&lt;=$G36),IF($D36="","◇","■"),""))</f>
        <v/>
      </c>
      <c r="V36" s="59" t="str">
        <f>IF($A36="","",IF(AND(VALUE(V$7)&gt;$F36,VALUE(V$7)&lt;=$G36),IF($D36="","◇","■"),""))</f>
        <v/>
      </c>
      <c r="W36" s="59" t="str">
        <f>IF($A36="","",IF(AND(VALUE(W$7)&gt;$F36,VALUE(W$7)&lt;=$G36),IF($D36="","◇","■"),""))</f>
        <v/>
      </c>
      <c r="X36" s="59" t="str">
        <f>IF($A36="","",IF(AND(VALUE(X$7)&gt;$F36,VALUE(X$7)&lt;=$G36),IF($D36="","◇","■"),""))</f>
        <v/>
      </c>
      <c r="Y36" s="59" t="str">
        <f>IF($A36="","",IF(AND(VALUE(Y$7)&gt;$F36,VALUE(Y$7)&lt;=$G36),IF($D36="","◇","■"),""))</f>
        <v/>
      </c>
      <c r="Z36" s="59" t="str">
        <f>IF($A36="","",IF(AND(VALUE(Z$7)&gt;$F36,VALUE(Z$7)&lt;=$G36),IF($D36="","◇","■"),""))</f>
        <v/>
      </c>
      <c r="AA36" s="59" t="str">
        <f>IF($A36="","",IF(AND(VALUE(AA$7)&gt;$F36,VALUE(AA$7)&lt;=$G36),IF($D36="","◇","■"),""))</f>
        <v/>
      </c>
      <c r="AB36" s="59" t="str">
        <f>IF($A36="","",IF(AND(VALUE(AB$7)&gt;$F36,VALUE(AB$7)&lt;=$G36),IF($D36="","◇","■"),""))</f>
        <v/>
      </c>
      <c r="AC36" s="59" t="str">
        <f>IF($A36="","",IF(AND(VALUE(AC$7)&gt;$F36,VALUE(AC$7)&lt;=$G36),IF($D36="","◇","■"),""))</f>
        <v/>
      </c>
      <c r="AD36" s="59" t="str">
        <f>IF($A36="","",IF(AND(VALUE(AD$7)&gt;$F36,VALUE(AD$7)&lt;=$G36),IF($D36="","◇","■"),""))</f>
        <v/>
      </c>
      <c r="AE36" s="59" t="str">
        <f>IF($A36="","",IF(AND(VALUE(AE$7)&gt;$F36,VALUE(AE$7)&lt;=$G36),IF($D36="","◇","■"),""))</f>
        <v/>
      </c>
      <c r="AF36" s="59" t="str">
        <f>IF($A36="","",IF(AND(VALUE(AF$7)&gt;$F36,VALUE(AF$7)&lt;=$G36),IF($D36="","◇","■"),""))</f>
        <v/>
      </c>
      <c r="AG36" s="59" t="str">
        <f>IF($A36="","",IF(AND(VALUE(AG$7)&gt;$F36,VALUE(AG$7)&lt;=$G36),IF($D36="","◇","■"),""))</f>
        <v/>
      </c>
      <c r="AH36" s="59" t="str">
        <f>IF($A36="","",IF(AND(VALUE(AH$7)&gt;$F36,VALUE(AH$7)&lt;=$G36),IF($D36="","◇","■"),""))</f>
        <v/>
      </c>
      <c r="AI36" s="59" t="str">
        <f>IF($A36="","",IF(AND(VALUE(AI$7)&gt;$F36,VALUE(AI$7)&lt;=$G36),IF($D36="","◇","■"),""))</f>
        <v/>
      </c>
      <c r="AJ36" s="59" t="str">
        <f>IF($A36="","",IF(AND(VALUE(AJ$7)&gt;$F36,VALUE(AJ$7)&lt;=$G36),IF($D36="","◇","■"),""))</f>
        <v/>
      </c>
      <c r="AK36" s="59" t="str">
        <f>IF($A36="","",IF(AND(VALUE(AK$7)&gt;$F36,VALUE(AK$7)&lt;=$G36),IF($D36="","◇","■"),""))</f>
        <v/>
      </c>
      <c r="AL36" s="59" t="str">
        <f>IF($A36="","",IF(AND(VALUE(AL$7)&gt;$F36,VALUE(AL$7)&lt;=$G36),IF($D36="","◇","■"),""))</f>
        <v/>
      </c>
      <c r="AM36" s="59" t="str">
        <f>IF($A36="","",IF(AND(VALUE(AM$7)&gt;$F36,VALUE(AM$7)&lt;=$G36),IF($D36="","◇","■"),""))</f>
        <v/>
      </c>
    </row>
    <row r="37" spans="1:39" ht="18" customHeight="1" x14ac:dyDescent="0.35">
      <c r="A37" s="55" t="str" cm="1">
        <f t="array" ref="A37">IFERROR(INDEX(_xlfn._xlws.FILTER(tblProjectTasks[TaskGroup],(tblProjectTasks[IsWorkPackage]="Yes")*(tblProjectTasks[CaptureStatus]&lt;&gt;"Removed")),ROWS($A$8:A37)),"")</f>
        <v/>
      </c>
      <c r="B37" s="56" t="str" cm="1">
        <f t="array" ref="B37">IFERROR(INDEX(_xlfn._xlws.FILTER(tblProjectTasks[WBSCode],(tblProjectTasks[IsWorkPackage]="Yes")*(tblProjectTasks[CaptureStatus]&lt;&gt;"Removed")),ROWS($B$8:B37)),"")</f>
        <v/>
      </c>
      <c r="C37" s="57" t="str" cm="1">
        <f t="array" ref="C37">IFERROR(INDEX(_xlfn._xlws.FILTER(tblProjectTasks[TaskName],(tblProjectTasks[IsWorkPackage]="Yes")*(tblProjectTasks[CaptureStatus]&lt;&gt;"Removed")),ROWS($C$8:C37)),"")</f>
        <v/>
      </c>
      <c r="D37" s="58" t="str" cm="1">
        <f t="array" ref="D37">_xlfn.LET(_xlpm.x,IFERROR(INDEX(_xlfn._xlws.FILTER(tblProjectTasks[Elapsed Time in Weeks],(tblProjectTasks[IsWorkPackage]="Yes")*(tblProjectTasks[CaptureStatus]&lt;&gt;"Removed")),ROWS($D$8:D37)),""),IF(_xlpm.x=0,"",_xlpm.x))</f>
        <v/>
      </c>
      <c r="E37" s="58" t="str">
        <f>IF($A37="","",IF($D37="",1,$D37))</f>
        <v/>
      </c>
      <c r="F37" s="58" t="str">
        <f>IF($A37="","",IF(ROW()=8,0,$F36+$E36))</f>
        <v/>
      </c>
      <c r="G37" s="58" t="str">
        <f>IF($A37="","",$F37+$E37)</f>
        <v/>
      </c>
      <c r="H37" s="59" t="str">
        <f>IF($A37="","",IF(AND(VALUE(H$7)&gt;$F37,VALUE(H$7)&lt;=$G37),IF($D37="","◇","■"),""))</f>
        <v/>
      </c>
      <c r="I37" s="59" t="str">
        <f>IF($A37="","",IF(AND(VALUE(I$7)&gt;$F37,VALUE(I$7)&lt;=$G37),IF($D37="","◇","■"),""))</f>
        <v/>
      </c>
      <c r="J37" s="59" t="str">
        <f>IF($A37="","",IF(AND(VALUE(J$7)&gt;$F37,VALUE(J$7)&lt;=$G37),IF($D37="","◇","■"),""))</f>
        <v/>
      </c>
      <c r="K37" s="59" t="str">
        <f>IF($A37="","",IF(AND(VALUE(K$7)&gt;$F37,VALUE(K$7)&lt;=$G37),IF($D37="","◇","■"),""))</f>
        <v/>
      </c>
      <c r="L37" s="59" t="str">
        <f>IF($A37="","",IF(AND(VALUE(L$7)&gt;$F37,VALUE(L$7)&lt;=$G37),IF($D37="","◇","■"),""))</f>
        <v/>
      </c>
      <c r="M37" s="59" t="str">
        <f>IF($A37="","",IF(AND(VALUE(M$7)&gt;$F37,VALUE(M$7)&lt;=$G37),IF($D37="","◇","■"),""))</f>
        <v/>
      </c>
      <c r="N37" s="59" t="str">
        <f>IF($A37="","",IF(AND(VALUE(N$7)&gt;$F37,VALUE(N$7)&lt;=$G37),IF($D37="","◇","■"),""))</f>
        <v/>
      </c>
      <c r="O37" s="59" t="str">
        <f>IF($A37="","",IF(AND(VALUE(O$7)&gt;$F37,VALUE(O$7)&lt;=$G37),IF($D37="","◇","■"),""))</f>
        <v/>
      </c>
      <c r="P37" s="59" t="str">
        <f>IF($A37="","",IF(AND(VALUE(P$7)&gt;$F37,VALUE(P$7)&lt;=$G37),IF($D37="","◇","■"),""))</f>
        <v/>
      </c>
      <c r="Q37" s="59" t="str">
        <f>IF($A37="","",IF(AND(VALUE(Q$7)&gt;$F37,VALUE(Q$7)&lt;=$G37),IF($D37="","◇","■"),""))</f>
        <v/>
      </c>
      <c r="R37" s="59" t="str">
        <f>IF($A37="","",IF(AND(VALUE(R$7)&gt;$F37,VALUE(R$7)&lt;=$G37),IF($D37="","◇","■"),""))</f>
        <v/>
      </c>
      <c r="S37" s="59" t="str">
        <f>IF($A37="","",IF(AND(VALUE(S$7)&gt;$F37,VALUE(S$7)&lt;=$G37),IF($D37="","◇","■"),""))</f>
        <v/>
      </c>
      <c r="T37" s="59" t="str">
        <f>IF($A37="","",IF(AND(VALUE(T$7)&gt;$F37,VALUE(T$7)&lt;=$G37),IF($D37="","◇","■"),""))</f>
        <v/>
      </c>
      <c r="U37" s="59" t="str">
        <f>IF($A37="","",IF(AND(VALUE(U$7)&gt;$F37,VALUE(U$7)&lt;=$G37),IF($D37="","◇","■"),""))</f>
        <v/>
      </c>
      <c r="V37" s="59" t="str">
        <f>IF($A37="","",IF(AND(VALUE(V$7)&gt;$F37,VALUE(V$7)&lt;=$G37),IF($D37="","◇","■"),""))</f>
        <v/>
      </c>
      <c r="W37" s="59" t="str">
        <f>IF($A37="","",IF(AND(VALUE(W$7)&gt;$F37,VALUE(W$7)&lt;=$G37),IF($D37="","◇","■"),""))</f>
        <v/>
      </c>
      <c r="X37" s="59" t="str">
        <f>IF($A37="","",IF(AND(VALUE(X$7)&gt;$F37,VALUE(X$7)&lt;=$G37),IF($D37="","◇","■"),""))</f>
        <v/>
      </c>
      <c r="Y37" s="59" t="str">
        <f>IF($A37="","",IF(AND(VALUE(Y$7)&gt;$F37,VALUE(Y$7)&lt;=$G37),IF($D37="","◇","■"),""))</f>
        <v/>
      </c>
      <c r="Z37" s="59" t="str">
        <f>IF($A37="","",IF(AND(VALUE(Z$7)&gt;$F37,VALUE(Z$7)&lt;=$G37),IF($D37="","◇","■"),""))</f>
        <v/>
      </c>
      <c r="AA37" s="59" t="str">
        <f>IF($A37="","",IF(AND(VALUE(AA$7)&gt;$F37,VALUE(AA$7)&lt;=$G37),IF($D37="","◇","■"),""))</f>
        <v/>
      </c>
      <c r="AB37" s="59" t="str">
        <f>IF($A37="","",IF(AND(VALUE(AB$7)&gt;$F37,VALUE(AB$7)&lt;=$G37),IF($D37="","◇","■"),""))</f>
        <v/>
      </c>
      <c r="AC37" s="59" t="str">
        <f>IF($A37="","",IF(AND(VALUE(AC$7)&gt;$F37,VALUE(AC$7)&lt;=$G37),IF($D37="","◇","■"),""))</f>
        <v/>
      </c>
      <c r="AD37" s="59" t="str">
        <f>IF($A37="","",IF(AND(VALUE(AD$7)&gt;$F37,VALUE(AD$7)&lt;=$G37),IF($D37="","◇","■"),""))</f>
        <v/>
      </c>
      <c r="AE37" s="59" t="str">
        <f>IF($A37="","",IF(AND(VALUE(AE$7)&gt;$F37,VALUE(AE$7)&lt;=$G37),IF($D37="","◇","■"),""))</f>
        <v/>
      </c>
      <c r="AF37" s="59" t="str">
        <f>IF($A37="","",IF(AND(VALUE(AF$7)&gt;$F37,VALUE(AF$7)&lt;=$G37),IF($D37="","◇","■"),""))</f>
        <v/>
      </c>
      <c r="AG37" s="59" t="str">
        <f>IF($A37="","",IF(AND(VALUE(AG$7)&gt;$F37,VALUE(AG$7)&lt;=$G37),IF($D37="","◇","■"),""))</f>
        <v/>
      </c>
      <c r="AH37" s="59" t="str">
        <f>IF($A37="","",IF(AND(VALUE(AH$7)&gt;$F37,VALUE(AH$7)&lt;=$G37),IF($D37="","◇","■"),""))</f>
        <v/>
      </c>
      <c r="AI37" s="59" t="str">
        <f>IF($A37="","",IF(AND(VALUE(AI$7)&gt;$F37,VALUE(AI$7)&lt;=$G37),IF($D37="","◇","■"),""))</f>
        <v/>
      </c>
      <c r="AJ37" s="59" t="str">
        <f>IF($A37="","",IF(AND(VALUE(AJ$7)&gt;$F37,VALUE(AJ$7)&lt;=$G37),IF($D37="","◇","■"),""))</f>
        <v/>
      </c>
      <c r="AK37" s="59" t="str">
        <f>IF($A37="","",IF(AND(VALUE(AK$7)&gt;$F37,VALUE(AK$7)&lt;=$G37),IF($D37="","◇","■"),""))</f>
        <v/>
      </c>
      <c r="AL37" s="59" t="str">
        <f>IF($A37="","",IF(AND(VALUE(AL$7)&gt;$F37,VALUE(AL$7)&lt;=$G37),IF($D37="","◇","■"),""))</f>
        <v/>
      </c>
      <c r="AM37" s="59" t="str">
        <f>IF($A37="","",IF(AND(VALUE(AM$7)&gt;$F37,VALUE(AM$7)&lt;=$G37),IF($D37="","◇","■"),""))</f>
        <v/>
      </c>
    </row>
    <row r="38" spans="1:39" ht="18" customHeight="1" x14ac:dyDescent="0.35">
      <c r="A38" s="55" t="str" cm="1">
        <f t="array" ref="A38">IFERROR(INDEX(_xlfn._xlws.FILTER(tblProjectTasks[TaskGroup],(tblProjectTasks[IsWorkPackage]="Yes")*(tblProjectTasks[CaptureStatus]&lt;&gt;"Removed")),ROWS($A$8:A38)),"")</f>
        <v/>
      </c>
      <c r="B38" s="56" t="str" cm="1">
        <f t="array" ref="B38">IFERROR(INDEX(_xlfn._xlws.FILTER(tblProjectTasks[WBSCode],(tblProjectTasks[IsWorkPackage]="Yes")*(tblProjectTasks[CaptureStatus]&lt;&gt;"Removed")),ROWS($B$8:B38)),"")</f>
        <v/>
      </c>
      <c r="C38" s="57" t="str" cm="1">
        <f t="array" ref="C38">IFERROR(INDEX(_xlfn._xlws.FILTER(tblProjectTasks[TaskName],(tblProjectTasks[IsWorkPackage]="Yes")*(tblProjectTasks[CaptureStatus]&lt;&gt;"Removed")),ROWS($C$8:C38)),"")</f>
        <v/>
      </c>
      <c r="D38" s="58" t="str" cm="1">
        <f t="array" ref="D38">_xlfn.LET(_xlpm.x,IFERROR(INDEX(_xlfn._xlws.FILTER(tblProjectTasks[Elapsed Time in Weeks],(tblProjectTasks[IsWorkPackage]="Yes")*(tblProjectTasks[CaptureStatus]&lt;&gt;"Removed")),ROWS($D$8:D38)),""),IF(_xlpm.x=0,"",_xlpm.x))</f>
        <v/>
      </c>
      <c r="E38" s="58" t="str">
        <f>IF($A38="","",IF($D38="",1,$D38))</f>
        <v/>
      </c>
      <c r="F38" s="58" t="str">
        <f>IF($A38="","",IF(ROW()=8,0,$F37+$E37))</f>
        <v/>
      </c>
      <c r="G38" s="58" t="str">
        <f>IF($A38="","",$F38+$E38)</f>
        <v/>
      </c>
      <c r="H38" s="59" t="str">
        <f>IF($A38="","",IF(AND(VALUE(H$7)&gt;$F38,VALUE(H$7)&lt;=$G38),IF($D38="","◇","■"),""))</f>
        <v/>
      </c>
      <c r="I38" s="59" t="str">
        <f>IF($A38="","",IF(AND(VALUE(I$7)&gt;$F38,VALUE(I$7)&lt;=$G38),IF($D38="","◇","■"),""))</f>
        <v/>
      </c>
      <c r="J38" s="59" t="str">
        <f>IF($A38="","",IF(AND(VALUE(J$7)&gt;$F38,VALUE(J$7)&lt;=$G38),IF($D38="","◇","■"),""))</f>
        <v/>
      </c>
      <c r="K38" s="59" t="str">
        <f>IF($A38="","",IF(AND(VALUE(K$7)&gt;$F38,VALUE(K$7)&lt;=$G38),IF($D38="","◇","■"),""))</f>
        <v/>
      </c>
      <c r="L38" s="59" t="str">
        <f>IF($A38="","",IF(AND(VALUE(L$7)&gt;$F38,VALUE(L$7)&lt;=$G38),IF($D38="","◇","■"),""))</f>
        <v/>
      </c>
      <c r="M38" s="59" t="str">
        <f>IF($A38="","",IF(AND(VALUE(M$7)&gt;$F38,VALUE(M$7)&lt;=$G38),IF($D38="","◇","■"),""))</f>
        <v/>
      </c>
      <c r="N38" s="59" t="str">
        <f>IF($A38="","",IF(AND(VALUE(N$7)&gt;$F38,VALUE(N$7)&lt;=$G38),IF($D38="","◇","■"),""))</f>
        <v/>
      </c>
      <c r="O38" s="59" t="str">
        <f>IF($A38="","",IF(AND(VALUE(O$7)&gt;$F38,VALUE(O$7)&lt;=$G38),IF($D38="","◇","■"),""))</f>
        <v/>
      </c>
      <c r="P38" s="59" t="str">
        <f>IF($A38="","",IF(AND(VALUE(P$7)&gt;$F38,VALUE(P$7)&lt;=$G38),IF($D38="","◇","■"),""))</f>
        <v/>
      </c>
      <c r="Q38" s="59" t="str">
        <f>IF($A38="","",IF(AND(VALUE(Q$7)&gt;$F38,VALUE(Q$7)&lt;=$G38),IF($D38="","◇","■"),""))</f>
        <v/>
      </c>
      <c r="R38" s="59" t="str">
        <f>IF($A38="","",IF(AND(VALUE(R$7)&gt;$F38,VALUE(R$7)&lt;=$G38),IF($D38="","◇","■"),""))</f>
        <v/>
      </c>
      <c r="S38" s="59" t="str">
        <f>IF($A38="","",IF(AND(VALUE(S$7)&gt;$F38,VALUE(S$7)&lt;=$G38),IF($D38="","◇","■"),""))</f>
        <v/>
      </c>
      <c r="T38" s="59" t="str">
        <f>IF($A38="","",IF(AND(VALUE(T$7)&gt;$F38,VALUE(T$7)&lt;=$G38),IF($D38="","◇","■"),""))</f>
        <v/>
      </c>
      <c r="U38" s="59" t="str">
        <f>IF($A38="","",IF(AND(VALUE(U$7)&gt;$F38,VALUE(U$7)&lt;=$G38),IF($D38="","◇","■"),""))</f>
        <v/>
      </c>
      <c r="V38" s="59" t="str">
        <f>IF($A38="","",IF(AND(VALUE(V$7)&gt;$F38,VALUE(V$7)&lt;=$G38),IF($D38="","◇","■"),""))</f>
        <v/>
      </c>
      <c r="W38" s="59" t="str">
        <f>IF($A38="","",IF(AND(VALUE(W$7)&gt;$F38,VALUE(W$7)&lt;=$G38),IF($D38="","◇","■"),""))</f>
        <v/>
      </c>
      <c r="X38" s="59" t="str">
        <f>IF($A38="","",IF(AND(VALUE(X$7)&gt;$F38,VALUE(X$7)&lt;=$G38),IF($D38="","◇","■"),""))</f>
        <v/>
      </c>
      <c r="Y38" s="59" t="str">
        <f>IF($A38="","",IF(AND(VALUE(Y$7)&gt;$F38,VALUE(Y$7)&lt;=$G38),IF($D38="","◇","■"),""))</f>
        <v/>
      </c>
      <c r="Z38" s="59" t="str">
        <f>IF($A38="","",IF(AND(VALUE(Z$7)&gt;$F38,VALUE(Z$7)&lt;=$G38),IF($D38="","◇","■"),""))</f>
        <v/>
      </c>
      <c r="AA38" s="59" t="str">
        <f>IF($A38="","",IF(AND(VALUE(AA$7)&gt;$F38,VALUE(AA$7)&lt;=$G38),IF($D38="","◇","■"),""))</f>
        <v/>
      </c>
      <c r="AB38" s="59" t="str">
        <f>IF($A38="","",IF(AND(VALUE(AB$7)&gt;$F38,VALUE(AB$7)&lt;=$G38),IF($D38="","◇","■"),""))</f>
        <v/>
      </c>
      <c r="AC38" s="59" t="str">
        <f>IF($A38="","",IF(AND(VALUE(AC$7)&gt;$F38,VALUE(AC$7)&lt;=$G38),IF($D38="","◇","■"),""))</f>
        <v/>
      </c>
      <c r="AD38" s="59" t="str">
        <f>IF($A38="","",IF(AND(VALUE(AD$7)&gt;$F38,VALUE(AD$7)&lt;=$G38),IF($D38="","◇","■"),""))</f>
        <v/>
      </c>
      <c r="AE38" s="59" t="str">
        <f>IF($A38="","",IF(AND(VALUE(AE$7)&gt;$F38,VALUE(AE$7)&lt;=$G38),IF($D38="","◇","■"),""))</f>
        <v/>
      </c>
      <c r="AF38" s="59" t="str">
        <f>IF($A38="","",IF(AND(VALUE(AF$7)&gt;$F38,VALUE(AF$7)&lt;=$G38),IF($D38="","◇","■"),""))</f>
        <v/>
      </c>
      <c r="AG38" s="59" t="str">
        <f>IF($A38="","",IF(AND(VALUE(AG$7)&gt;$F38,VALUE(AG$7)&lt;=$G38),IF($D38="","◇","■"),""))</f>
        <v/>
      </c>
      <c r="AH38" s="59" t="str">
        <f>IF($A38="","",IF(AND(VALUE(AH$7)&gt;$F38,VALUE(AH$7)&lt;=$G38),IF($D38="","◇","■"),""))</f>
        <v/>
      </c>
      <c r="AI38" s="59" t="str">
        <f>IF($A38="","",IF(AND(VALUE(AI$7)&gt;$F38,VALUE(AI$7)&lt;=$G38),IF($D38="","◇","■"),""))</f>
        <v/>
      </c>
      <c r="AJ38" s="59" t="str">
        <f>IF($A38="","",IF(AND(VALUE(AJ$7)&gt;$F38,VALUE(AJ$7)&lt;=$G38),IF($D38="","◇","■"),""))</f>
        <v/>
      </c>
      <c r="AK38" s="59" t="str">
        <f>IF($A38="","",IF(AND(VALUE(AK$7)&gt;$F38,VALUE(AK$7)&lt;=$G38),IF($D38="","◇","■"),""))</f>
        <v/>
      </c>
      <c r="AL38" s="59" t="str">
        <f>IF($A38="","",IF(AND(VALUE(AL$7)&gt;$F38,VALUE(AL$7)&lt;=$G38),IF($D38="","◇","■"),""))</f>
        <v/>
      </c>
      <c r="AM38" s="59" t="str">
        <f>IF($A38="","",IF(AND(VALUE(AM$7)&gt;$F38,VALUE(AM$7)&lt;=$G38),IF($D38="","◇","■"),""))</f>
        <v/>
      </c>
    </row>
    <row r="39" spans="1:39" ht="18" customHeight="1" x14ac:dyDescent="0.35">
      <c r="A39" s="55" t="str" cm="1">
        <f t="array" ref="A39">IFERROR(INDEX(_xlfn._xlws.FILTER(tblProjectTasks[TaskGroup],(tblProjectTasks[IsWorkPackage]="Yes")*(tblProjectTasks[CaptureStatus]&lt;&gt;"Removed")),ROWS($A$8:A39)),"")</f>
        <v/>
      </c>
      <c r="B39" s="56" t="str" cm="1">
        <f t="array" ref="B39">IFERROR(INDEX(_xlfn._xlws.FILTER(tblProjectTasks[WBSCode],(tblProjectTasks[IsWorkPackage]="Yes")*(tblProjectTasks[CaptureStatus]&lt;&gt;"Removed")),ROWS($B$8:B39)),"")</f>
        <v/>
      </c>
      <c r="C39" s="57" t="str" cm="1">
        <f t="array" ref="C39">IFERROR(INDEX(_xlfn._xlws.FILTER(tblProjectTasks[TaskName],(tblProjectTasks[IsWorkPackage]="Yes")*(tblProjectTasks[CaptureStatus]&lt;&gt;"Removed")),ROWS($C$8:C39)),"")</f>
        <v/>
      </c>
      <c r="D39" s="58" t="str" cm="1">
        <f t="array" ref="D39">_xlfn.LET(_xlpm.x,IFERROR(INDEX(_xlfn._xlws.FILTER(tblProjectTasks[Elapsed Time in Weeks],(tblProjectTasks[IsWorkPackage]="Yes")*(tblProjectTasks[CaptureStatus]&lt;&gt;"Removed")),ROWS($D$8:D39)),""),IF(_xlpm.x=0,"",_xlpm.x))</f>
        <v/>
      </c>
      <c r="E39" s="58" t="str">
        <f>IF($A39="","",IF($D39="",1,$D39))</f>
        <v/>
      </c>
      <c r="F39" s="58" t="str">
        <f>IF($A39="","",IF(ROW()=8,0,$F38+$E38))</f>
        <v/>
      </c>
      <c r="G39" s="58" t="str">
        <f>IF($A39="","",$F39+$E39)</f>
        <v/>
      </c>
      <c r="H39" s="59" t="str">
        <f>IF($A39="","",IF(AND(VALUE(H$7)&gt;$F39,VALUE(H$7)&lt;=$G39),IF($D39="","◇","■"),""))</f>
        <v/>
      </c>
      <c r="I39" s="59" t="str">
        <f>IF($A39="","",IF(AND(VALUE(I$7)&gt;$F39,VALUE(I$7)&lt;=$G39),IF($D39="","◇","■"),""))</f>
        <v/>
      </c>
      <c r="J39" s="59" t="str">
        <f>IF($A39="","",IF(AND(VALUE(J$7)&gt;$F39,VALUE(J$7)&lt;=$G39),IF($D39="","◇","■"),""))</f>
        <v/>
      </c>
      <c r="K39" s="59" t="str">
        <f>IF($A39="","",IF(AND(VALUE(K$7)&gt;$F39,VALUE(K$7)&lt;=$G39),IF($D39="","◇","■"),""))</f>
        <v/>
      </c>
      <c r="L39" s="59" t="str">
        <f>IF($A39="","",IF(AND(VALUE(L$7)&gt;$F39,VALUE(L$7)&lt;=$G39),IF($D39="","◇","■"),""))</f>
        <v/>
      </c>
      <c r="M39" s="59" t="str">
        <f>IF($A39="","",IF(AND(VALUE(M$7)&gt;$F39,VALUE(M$7)&lt;=$G39),IF($D39="","◇","■"),""))</f>
        <v/>
      </c>
      <c r="N39" s="59" t="str">
        <f>IF($A39="","",IF(AND(VALUE(N$7)&gt;$F39,VALUE(N$7)&lt;=$G39),IF($D39="","◇","■"),""))</f>
        <v/>
      </c>
      <c r="O39" s="59" t="str">
        <f>IF($A39="","",IF(AND(VALUE(O$7)&gt;$F39,VALUE(O$7)&lt;=$G39),IF($D39="","◇","■"),""))</f>
        <v/>
      </c>
      <c r="P39" s="59" t="str">
        <f>IF($A39="","",IF(AND(VALUE(P$7)&gt;$F39,VALUE(P$7)&lt;=$G39),IF($D39="","◇","■"),""))</f>
        <v/>
      </c>
      <c r="Q39" s="59" t="str">
        <f>IF($A39="","",IF(AND(VALUE(Q$7)&gt;$F39,VALUE(Q$7)&lt;=$G39),IF($D39="","◇","■"),""))</f>
        <v/>
      </c>
      <c r="R39" s="59" t="str">
        <f>IF($A39="","",IF(AND(VALUE(R$7)&gt;$F39,VALUE(R$7)&lt;=$G39),IF($D39="","◇","■"),""))</f>
        <v/>
      </c>
      <c r="S39" s="59" t="str">
        <f>IF($A39="","",IF(AND(VALUE(S$7)&gt;$F39,VALUE(S$7)&lt;=$G39),IF($D39="","◇","■"),""))</f>
        <v/>
      </c>
      <c r="T39" s="59" t="str">
        <f>IF($A39="","",IF(AND(VALUE(T$7)&gt;$F39,VALUE(T$7)&lt;=$G39),IF($D39="","◇","■"),""))</f>
        <v/>
      </c>
      <c r="U39" s="59" t="str">
        <f>IF($A39="","",IF(AND(VALUE(U$7)&gt;$F39,VALUE(U$7)&lt;=$G39),IF($D39="","◇","■"),""))</f>
        <v/>
      </c>
      <c r="V39" s="59" t="str">
        <f>IF($A39="","",IF(AND(VALUE(V$7)&gt;$F39,VALUE(V$7)&lt;=$G39),IF($D39="","◇","■"),""))</f>
        <v/>
      </c>
      <c r="W39" s="59" t="str">
        <f>IF($A39="","",IF(AND(VALUE(W$7)&gt;$F39,VALUE(W$7)&lt;=$G39),IF($D39="","◇","■"),""))</f>
        <v/>
      </c>
      <c r="X39" s="59" t="str">
        <f>IF($A39="","",IF(AND(VALUE(X$7)&gt;$F39,VALUE(X$7)&lt;=$G39),IF($D39="","◇","■"),""))</f>
        <v/>
      </c>
      <c r="Y39" s="59" t="str">
        <f>IF($A39="","",IF(AND(VALUE(Y$7)&gt;$F39,VALUE(Y$7)&lt;=$G39),IF($D39="","◇","■"),""))</f>
        <v/>
      </c>
      <c r="Z39" s="59" t="str">
        <f>IF($A39="","",IF(AND(VALUE(Z$7)&gt;$F39,VALUE(Z$7)&lt;=$G39),IF($D39="","◇","■"),""))</f>
        <v/>
      </c>
      <c r="AA39" s="59" t="str">
        <f>IF($A39="","",IF(AND(VALUE(AA$7)&gt;$F39,VALUE(AA$7)&lt;=$G39),IF($D39="","◇","■"),""))</f>
        <v/>
      </c>
      <c r="AB39" s="59" t="str">
        <f>IF($A39="","",IF(AND(VALUE(AB$7)&gt;$F39,VALUE(AB$7)&lt;=$G39),IF($D39="","◇","■"),""))</f>
        <v/>
      </c>
      <c r="AC39" s="59" t="str">
        <f>IF($A39="","",IF(AND(VALUE(AC$7)&gt;$F39,VALUE(AC$7)&lt;=$G39),IF($D39="","◇","■"),""))</f>
        <v/>
      </c>
      <c r="AD39" s="59" t="str">
        <f>IF($A39="","",IF(AND(VALUE(AD$7)&gt;$F39,VALUE(AD$7)&lt;=$G39),IF($D39="","◇","■"),""))</f>
        <v/>
      </c>
      <c r="AE39" s="59" t="str">
        <f>IF($A39="","",IF(AND(VALUE(AE$7)&gt;$F39,VALUE(AE$7)&lt;=$G39),IF($D39="","◇","■"),""))</f>
        <v/>
      </c>
      <c r="AF39" s="59" t="str">
        <f>IF($A39="","",IF(AND(VALUE(AF$7)&gt;$F39,VALUE(AF$7)&lt;=$G39),IF($D39="","◇","■"),""))</f>
        <v/>
      </c>
      <c r="AG39" s="59" t="str">
        <f>IF($A39="","",IF(AND(VALUE(AG$7)&gt;$F39,VALUE(AG$7)&lt;=$G39),IF($D39="","◇","■"),""))</f>
        <v/>
      </c>
      <c r="AH39" s="59" t="str">
        <f>IF($A39="","",IF(AND(VALUE(AH$7)&gt;$F39,VALUE(AH$7)&lt;=$G39),IF($D39="","◇","■"),""))</f>
        <v/>
      </c>
      <c r="AI39" s="59" t="str">
        <f>IF($A39="","",IF(AND(VALUE(AI$7)&gt;$F39,VALUE(AI$7)&lt;=$G39),IF($D39="","◇","■"),""))</f>
        <v/>
      </c>
      <c r="AJ39" s="59" t="str">
        <f>IF($A39="","",IF(AND(VALUE(AJ$7)&gt;$F39,VALUE(AJ$7)&lt;=$G39),IF($D39="","◇","■"),""))</f>
        <v/>
      </c>
      <c r="AK39" s="59" t="str">
        <f>IF($A39="","",IF(AND(VALUE(AK$7)&gt;$F39,VALUE(AK$7)&lt;=$G39),IF($D39="","◇","■"),""))</f>
        <v/>
      </c>
      <c r="AL39" s="59" t="str">
        <f>IF($A39="","",IF(AND(VALUE(AL$7)&gt;$F39,VALUE(AL$7)&lt;=$G39),IF($D39="","◇","■"),""))</f>
        <v/>
      </c>
      <c r="AM39" s="59" t="str">
        <f>IF($A39="","",IF(AND(VALUE(AM$7)&gt;$F39,VALUE(AM$7)&lt;=$G39),IF($D39="","◇","■"),""))</f>
        <v/>
      </c>
    </row>
    <row r="40" spans="1:39" ht="18" customHeight="1" x14ac:dyDescent="0.35">
      <c r="A40" s="55" t="str" cm="1">
        <f t="array" ref="A40">IFERROR(INDEX(_xlfn._xlws.FILTER(tblProjectTasks[TaskGroup],(tblProjectTasks[IsWorkPackage]="Yes")*(tblProjectTasks[CaptureStatus]&lt;&gt;"Removed")),ROWS($A$8:A40)),"")</f>
        <v/>
      </c>
      <c r="B40" s="56" t="str" cm="1">
        <f t="array" ref="B40">IFERROR(INDEX(_xlfn._xlws.FILTER(tblProjectTasks[WBSCode],(tblProjectTasks[IsWorkPackage]="Yes")*(tblProjectTasks[CaptureStatus]&lt;&gt;"Removed")),ROWS($B$8:B40)),"")</f>
        <v/>
      </c>
      <c r="C40" s="57" t="str" cm="1">
        <f t="array" ref="C40">IFERROR(INDEX(_xlfn._xlws.FILTER(tblProjectTasks[TaskName],(tblProjectTasks[IsWorkPackage]="Yes")*(tblProjectTasks[CaptureStatus]&lt;&gt;"Removed")),ROWS($C$8:C40)),"")</f>
        <v/>
      </c>
      <c r="D40" s="58" t="str" cm="1">
        <f t="array" ref="D40">_xlfn.LET(_xlpm.x,IFERROR(INDEX(_xlfn._xlws.FILTER(tblProjectTasks[Elapsed Time in Weeks],(tblProjectTasks[IsWorkPackage]="Yes")*(tblProjectTasks[CaptureStatus]&lt;&gt;"Removed")),ROWS($D$8:D40)),""),IF(_xlpm.x=0,"",_xlpm.x))</f>
        <v/>
      </c>
      <c r="E40" s="58" t="str">
        <f>IF($A40="","",IF($D40="",1,$D40))</f>
        <v/>
      </c>
      <c r="F40" s="58" t="str">
        <f>IF($A40="","",IF(ROW()=8,0,$F39+$E39))</f>
        <v/>
      </c>
      <c r="G40" s="58" t="str">
        <f>IF($A40="","",$F40+$E40)</f>
        <v/>
      </c>
      <c r="H40" s="59" t="str">
        <f>IF($A40="","",IF(AND(VALUE(H$7)&gt;$F40,VALUE(H$7)&lt;=$G40),IF($D40="","◇","■"),""))</f>
        <v/>
      </c>
      <c r="I40" s="59" t="str">
        <f>IF($A40="","",IF(AND(VALUE(I$7)&gt;$F40,VALUE(I$7)&lt;=$G40),IF($D40="","◇","■"),""))</f>
        <v/>
      </c>
      <c r="J40" s="59" t="str">
        <f>IF($A40="","",IF(AND(VALUE(J$7)&gt;$F40,VALUE(J$7)&lt;=$G40),IF($D40="","◇","■"),""))</f>
        <v/>
      </c>
      <c r="K40" s="59" t="str">
        <f>IF($A40="","",IF(AND(VALUE(K$7)&gt;$F40,VALUE(K$7)&lt;=$G40),IF($D40="","◇","■"),""))</f>
        <v/>
      </c>
      <c r="L40" s="59" t="str">
        <f>IF($A40="","",IF(AND(VALUE(L$7)&gt;$F40,VALUE(L$7)&lt;=$G40),IF($D40="","◇","■"),""))</f>
        <v/>
      </c>
      <c r="M40" s="59" t="str">
        <f>IF($A40="","",IF(AND(VALUE(M$7)&gt;$F40,VALUE(M$7)&lt;=$G40),IF($D40="","◇","■"),""))</f>
        <v/>
      </c>
      <c r="N40" s="59" t="str">
        <f>IF($A40="","",IF(AND(VALUE(N$7)&gt;$F40,VALUE(N$7)&lt;=$G40),IF($D40="","◇","■"),""))</f>
        <v/>
      </c>
      <c r="O40" s="59" t="str">
        <f>IF($A40="","",IF(AND(VALUE(O$7)&gt;$F40,VALUE(O$7)&lt;=$G40),IF($D40="","◇","■"),""))</f>
        <v/>
      </c>
      <c r="P40" s="59" t="str">
        <f>IF($A40="","",IF(AND(VALUE(P$7)&gt;$F40,VALUE(P$7)&lt;=$G40),IF($D40="","◇","■"),""))</f>
        <v/>
      </c>
      <c r="Q40" s="59" t="str">
        <f>IF($A40="","",IF(AND(VALUE(Q$7)&gt;$F40,VALUE(Q$7)&lt;=$G40),IF($D40="","◇","■"),""))</f>
        <v/>
      </c>
      <c r="R40" s="59" t="str">
        <f>IF($A40="","",IF(AND(VALUE(R$7)&gt;$F40,VALUE(R$7)&lt;=$G40),IF($D40="","◇","■"),""))</f>
        <v/>
      </c>
      <c r="S40" s="59" t="str">
        <f>IF($A40="","",IF(AND(VALUE(S$7)&gt;$F40,VALUE(S$7)&lt;=$G40),IF($D40="","◇","■"),""))</f>
        <v/>
      </c>
      <c r="T40" s="59" t="str">
        <f>IF($A40="","",IF(AND(VALUE(T$7)&gt;$F40,VALUE(T$7)&lt;=$G40),IF($D40="","◇","■"),""))</f>
        <v/>
      </c>
      <c r="U40" s="59" t="str">
        <f>IF($A40="","",IF(AND(VALUE(U$7)&gt;$F40,VALUE(U$7)&lt;=$G40),IF($D40="","◇","■"),""))</f>
        <v/>
      </c>
      <c r="V40" s="59" t="str">
        <f>IF($A40="","",IF(AND(VALUE(V$7)&gt;$F40,VALUE(V$7)&lt;=$G40),IF($D40="","◇","■"),""))</f>
        <v/>
      </c>
      <c r="W40" s="59" t="str">
        <f>IF($A40="","",IF(AND(VALUE(W$7)&gt;$F40,VALUE(W$7)&lt;=$G40),IF($D40="","◇","■"),""))</f>
        <v/>
      </c>
      <c r="X40" s="59" t="str">
        <f>IF($A40="","",IF(AND(VALUE(X$7)&gt;$F40,VALUE(X$7)&lt;=$G40),IF($D40="","◇","■"),""))</f>
        <v/>
      </c>
      <c r="Y40" s="59" t="str">
        <f>IF($A40="","",IF(AND(VALUE(Y$7)&gt;$F40,VALUE(Y$7)&lt;=$G40),IF($D40="","◇","■"),""))</f>
        <v/>
      </c>
      <c r="Z40" s="59" t="str">
        <f>IF($A40="","",IF(AND(VALUE(Z$7)&gt;$F40,VALUE(Z$7)&lt;=$G40),IF($D40="","◇","■"),""))</f>
        <v/>
      </c>
      <c r="AA40" s="59" t="str">
        <f>IF($A40="","",IF(AND(VALUE(AA$7)&gt;$F40,VALUE(AA$7)&lt;=$G40),IF($D40="","◇","■"),""))</f>
        <v/>
      </c>
      <c r="AB40" s="59" t="str">
        <f>IF($A40="","",IF(AND(VALUE(AB$7)&gt;$F40,VALUE(AB$7)&lt;=$G40),IF($D40="","◇","■"),""))</f>
        <v/>
      </c>
      <c r="AC40" s="59" t="str">
        <f>IF($A40="","",IF(AND(VALUE(AC$7)&gt;$F40,VALUE(AC$7)&lt;=$G40),IF($D40="","◇","■"),""))</f>
        <v/>
      </c>
      <c r="AD40" s="59" t="str">
        <f>IF($A40="","",IF(AND(VALUE(AD$7)&gt;$F40,VALUE(AD$7)&lt;=$G40),IF($D40="","◇","■"),""))</f>
        <v/>
      </c>
      <c r="AE40" s="59" t="str">
        <f>IF($A40="","",IF(AND(VALUE(AE$7)&gt;$F40,VALUE(AE$7)&lt;=$G40),IF($D40="","◇","■"),""))</f>
        <v/>
      </c>
      <c r="AF40" s="59" t="str">
        <f>IF($A40="","",IF(AND(VALUE(AF$7)&gt;$F40,VALUE(AF$7)&lt;=$G40),IF($D40="","◇","■"),""))</f>
        <v/>
      </c>
      <c r="AG40" s="59" t="str">
        <f>IF($A40="","",IF(AND(VALUE(AG$7)&gt;$F40,VALUE(AG$7)&lt;=$G40),IF($D40="","◇","■"),""))</f>
        <v/>
      </c>
      <c r="AH40" s="59" t="str">
        <f>IF($A40="","",IF(AND(VALUE(AH$7)&gt;$F40,VALUE(AH$7)&lt;=$G40),IF($D40="","◇","■"),""))</f>
        <v/>
      </c>
      <c r="AI40" s="59" t="str">
        <f>IF($A40="","",IF(AND(VALUE(AI$7)&gt;$F40,VALUE(AI$7)&lt;=$G40),IF($D40="","◇","■"),""))</f>
        <v/>
      </c>
      <c r="AJ40" s="59" t="str">
        <f>IF($A40="","",IF(AND(VALUE(AJ$7)&gt;$F40,VALUE(AJ$7)&lt;=$G40),IF($D40="","◇","■"),""))</f>
        <v/>
      </c>
      <c r="AK40" s="59" t="str">
        <f>IF($A40="","",IF(AND(VALUE(AK$7)&gt;$F40,VALUE(AK$7)&lt;=$G40),IF($D40="","◇","■"),""))</f>
        <v/>
      </c>
      <c r="AL40" s="59" t="str">
        <f>IF($A40="","",IF(AND(VALUE(AL$7)&gt;$F40,VALUE(AL$7)&lt;=$G40),IF($D40="","◇","■"),""))</f>
        <v/>
      </c>
      <c r="AM40" s="59" t="str">
        <f>IF($A40="","",IF(AND(VALUE(AM$7)&gt;$F40,VALUE(AM$7)&lt;=$G40),IF($D40="","◇","■"),""))</f>
        <v/>
      </c>
    </row>
    <row r="41" spans="1:39" ht="18" customHeight="1" x14ac:dyDescent="0.35">
      <c r="A41" s="55" t="str" cm="1">
        <f t="array" ref="A41">IFERROR(INDEX(_xlfn._xlws.FILTER(tblProjectTasks[TaskGroup],(tblProjectTasks[IsWorkPackage]="Yes")*(tblProjectTasks[CaptureStatus]&lt;&gt;"Removed")),ROWS($A$8:A41)),"")</f>
        <v/>
      </c>
      <c r="B41" s="56" t="str" cm="1">
        <f t="array" ref="B41">IFERROR(INDEX(_xlfn._xlws.FILTER(tblProjectTasks[WBSCode],(tblProjectTasks[IsWorkPackage]="Yes")*(tblProjectTasks[CaptureStatus]&lt;&gt;"Removed")),ROWS($B$8:B41)),"")</f>
        <v/>
      </c>
      <c r="C41" s="57" t="str" cm="1">
        <f t="array" ref="C41">IFERROR(INDEX(_xlfn._xlws.FILTER(tblProjectTasks[TaskName],(tblProjectTasks[IsWorkPackage]="Yes")*(tblProjectTasks[CaptureStatus]&lt;&gt;"Removed")),ROWS($C$8:C41)),"")</f>
        <v/>
      </c>
      <c r="D41" s="58" t="str" cm="1">
        <f t="array" ref="D41">_xlfn.LET(_xlpm.x,IFERROR(INDEX(_xlfn._xlws.FILTER(tblProjectTasks[Elapsed Time in Weeks],(tblProjectTasks[IsWorkPackage]="Yes")*(tblProjectTasks[CaptureStatus]&lt;&gt;"Removed")),ROWS($D$8:D41)),""),IF(_xlpm.x=0,"",_xlpm.x))</f>
        <v/>
      </c>
      <c r="E41" s="58" t="str">
        <f>IF($A41="","",IF($D41="",1,$D41))</f>
        <v/>
      </c>
      <c r="F41" s="58" t="str">
        <f>IF($A41="","",IF(ROW()=8,0,$F40+$E40))</f>
        <v/>
      </c>
      <c r="G41" s="58" t="str">
        <f>IF($A41="","",$F41+$E41)</f>
        <v/>
      </c>
      <c r="H41" s="59" t="str">
        <f>IF($A41="","",IF(AND(VALUE(H$7)&gt;$F41,VALUE(H$7)&lt;=$G41),IF($D41="","◇","■"),""))</f>
        <v/>
      </c>
      <c r="I41" s="59" t="str">
        <f>IF($A41="","",IF(AND(VALUE(I$7)&gt;$F41,VALUE(I$7)&lt;=$G41),IF($D41="","◇","■"),""))</f>
        <v/>
      </c>
      <c r="J41" s="59" t="str">
        <f>IF($A41="","",IF(AND(VALUE(J$7)&gt;$F41,VALUE(J$7)&lt;=$G41),IF($D41="","◇","■"),""))</f>
        <v/>
      </c>
      <c r="K41" s="59" t="str">
        <f>IF($A41="","",IF(AND(VALUE(K$7)&gt;$F41,VALUE(K$7)&lt;=$G41),IF($D41="","◇","■"),""))</f>
        <v/>
      </c>
      <c r="L41" s="59" t="str">
        <f>IF($A41="","",IF(AND(VALUE(L$7)&gt;$F41,VALUE(L$7)&lt;=$G41),IF($D41="","◇","■"),""))</f>
        <v/>
      </c>
      <c r="M41" s="59" t="str">
        <f>IF($A41="","",IF(AND(VALUE(M$7)&gt;$F41,VALUE(M$7)&lt;=$G41),IF($D41="","◇","■"),""))</f>
        <v/>
      </c>
      <c r="N41" s="59" t="str">
        <f>IF($A41="","",IF(AND(VALUE(N$7)&gt;$F41,VALUE(N$7)&lt;=$G41),IF($D41="","◇","■"),""))</f>
        <v/>
      </c>
      <c r="O41" s="59" t="str">
        <f>IF($A41="","",IF(AND(VALUE(O$7)&gt;$F41,VALUE(O$7)&lt;=$G41),IF($D41="","◇","■"),""))</f>
        <v/>
      </c>
      <c r="P41" s="59" t="str">
        <f>IF($A41="","",IF(AND(VALUE(P$7)&gt;$F41,VALUE(P$7)&lt;=$G41),IF($D41="","◇","■"),""))</f>
        <v/>
      </c>
      <c r="Q41" s="59" t="str">
        <f>IF($A41="","",IF(AND(VALUE(Q$7)&gt;$F41,VALUE(Q$7)&lt;=$G41),IF($D41="","◇","■"),""))</f>
        <v/>
      </c>
      <c r="R41" s="59" t="str">
        <f>IF($A41="","",IF(AND(VALUE(R$7)&gt;$F41,VALUE(R$7)&lt;=$G41),IF($D41="","◇","■"),""))</f>
        <v/>
      </c>
      <c r="S41" s="59" t="str">
        <f>IF($A41="","",IF(AND(VALUE(S$7)&gt;$F41,VALUE(S$7)&lt;=$G41),IF($D41="","◇","■"),""))</f>
        <v/>
      </c>
      <c r="T41" s="59" t="str">
        <f>IF($A41="","",IF(AND(VALUE(T$7)&gt;$F41,VALUE(T$7)&lt;=$G41),IF($D41="","◇","■"),""))</f>
        <v/>
      </c>
      <c r="U41" s="59" t="str">
        <f>IF($A41="","",IF(AND(VALUE(U$7)&gt;$F41,VALUE(U$7)&lt;=$G41),IF($D41="","◇","■"),""))</f>
        <v/>
      </c>
      <c r="V41" s="59" t="str">
        <f>IF($A41="","",IF(AND(VALUE(V$7)&gt;$F41,VALUE(V$7)&lt;=$G41),IF($D41="","◇","■"),""))</f>
        <v/>
      </c>
      <c r="W41" s="59" t="str">
        <f>IF($A41="","",IF(AND(VALUE(W$7)&gt;$F41,VALUE(W$7)&lt;=$G41),IF($D41="","◇","■"),""))</f>
        <v/>
      </c>
      <c r="X41" s="59" t="str">
        <f>IF($A41="","",IF(AND(VALUE(X$7)&gt;$F41,VALUE(X$7)&lt;=$G41),IF($D41="","◇","■"),""))</f>
        <v/>
      </c>
      <c r="Y41" s="59" t="str">
        <f>IF($A41="","",IF(AND(VALUE(Y$7)&gt;$F41,VALUE(Y$7)&lt;=$G41),IF($D41="","◇","■"),""))</f>
        <v/>
      </c>
      <c r="Z41" s="59" t="str">
        <f>IF($A41="","",IF(AND(VALUE(Z$7)&gt;$F41,VALUE(Z$7)&lt;=$G41),IF($D41="","◇","■"),""))</f>
        <v/>
      </c>
      <c r="AA41" s="59" t="str">
        <f>IF($A41="","",IF(AND(VALUE(AA$7)&gt;$F41,VALUE(AA$7)&lt;=$G41),IF($D41="","◇","■"),""))</f>
        <v/>
      </c>
      <c r="AB41" s="59" t="str">
        <f>IF($A41="","",IF(AND(VALUE(AB$7)&gt;$F41,VALUE(AB$7)&lt;=$G41),IF($D41="","◇","■"),""))</f>
        <v/>
      </c>
      <c r="AC41" s="59" t="str">
        <f>IF($A41="","",IF(AND(VALUE(AC$7)&gt;$F41,VALUE(AC$7)&lt;=$G41),IF($D41="","◇","■"),""))</f>
        <v/>
      </c>
      <c r="AD41" s="59" t="str">
        <f>IF($A41="","",IF(AND(VALUE(AD$7)&gt;$F41,VALUE(AD$7)&lt;=$G41),IF($D41="","◇","■"),""))</f>
        <v/>
      </c>
      <c r="AE41" s="59" t="str">
        <f>IF($A41="","",IF(AND(VALUE(AE$7)&gt;$F41,VALUE(AE$7)&lt;=$G41),IF($D41="","◇","■"),""))</f>
        <v/>
      </c>
      <c r="AF41" s="59" t="str">
        <f>IF($A41="","",IF(AND(VALUE(AF$7)&gt;$F41,VALUE(AF$7)&lt;=$G41),IF($D41="","◇","■"),""))</f>
        <v/>
      </c>
      <c r="AG41" s="59" t="str">
        <f>IF($A41="","",IF(AND(VALUE(AG$7)&gt;$F41,VALUE(AG$7)&lt;=$G41),IF($D41="","◇","■"),""))</f>
        <v/>
      </c>
      <c r="AH41" s="59" t="str">
        <f>IF($A41="","",IF(AND(VALUE(AH$7)&gt;$F41,VALUE(AH$7)&lt;=$G41),IF($D41="","◇","■"),""))</f>
        <v/>
      </c>
      <c r="AI41" s="59" t="str">
        <f>IF($A41="","",IF(AND(VALUE(AI$7)&gt;$F41,VALUE(AI$7)&lt;=$G41),IF($D41="","◇","■"),""))</f>
        <v/>
      </c>
      <c r="AJ41" s="59" t="str">
        <f>IF($A41="","",IF(AND(VALUE(AJ$7)&gt;$F41,VALUE(AJ$7)&lt;=$G41),IF($D41="","◇","■"),""))</f>
        <v/>
      </c>
      <c r="AK41" s="59" t="str">
        <f>IF($A41="","",IF(AND(VALUE(AK$7)&gt;$F41,VALUE(AK$7)&lt;=$G41),IF($D41="","◇","■"),""))</f>
        <v/>
      </c>
      <c r="AL41" s="59" t="str">
        <f>IF($A41="","",IF(AND(VALUE(AL$7)&gt;$F41,VALUE(AL$7)&lt;=$G41),IF($D41="","◇","■"),""))</f>
        <v/>
      </c>
      <c r="AM41" s="59" t="str">
        <f>IF($A41="","",IF(AND(VALUE(AM$7)&gt;$F41,VALUE(AM$7)&lt;=$G41),IF($D41="","◇","■"),""))</f>
        <v/>
      </c>
    </row>
    <row r="42" spans="1:39" ht="18" customHeight="1" x14ac:dyDescent="0.35">
      <c r="A42" s="55" t="str" cm="1">
        <f t="array" ref="A42">IFERROR(INDEX(_xlfn._xlws.FILTER(tblProjectTasks[TaskGroup],(tblProjectTasks[IsWorkPackage]="Yes")*(tblProjectTasks[CaptureStatus]&lt;&gt;"Removed")),ROWS($A$8:A42)),"")</f>
        <v/>
      </c>
      <c r="B42" s="56" t="str" cm="1">
        <f t="array" ref="B42">IFERROR(INDEX(_xlfn._xlws.FILTER(tblProjectTasks[WBSCode],(tblProjectTasks[IsWorkPackage]="Yes")*(tblProjectTasks[CaptureStatus]&lt;&gt;"Removed")),ROWS($B$8:B42)),"")</f>
        <v/>
      </c>
      <c r="C42" s="57" t="str" cm="1">
        <f t="array" ref="C42">IFERROR(INDEX(_xlfn._xlws.FILTER(tblProjectTasks[TaskName],(tblProjectTasks[IsWorkPackage]="Yes")*(tblProjectTasks[CaptureStatus]&lt;&gt;"Removed")),ROWS($C$8:C42)),"")</f>
        <v/>
      </c>
      <c r="D42" s="58" t="str" cm="1">
        <f t="array" ref="D42">_xlfn.LET(_xlpm.x,IFERROR(INDEX(_xlfn._xlws.FILTER(tblProjectTasks[Elapsed Time in Weeks],(tblProjectTasks[IsWorkPackage]="Yes")*(tblProjectTasks[CaptureStatus]&lt;&gt;"Removed")),ROWS($D$8:D42)),""),IF(_xlpm.x=0,"",_xlpm.x))</f>
        <v/>
      </c>
      <c r="E42" s="58" t="str">
        <f>IF($A42="","",IF($D42="",1,$D42))</f>
        <v/>
      </c>
      <c r="F42" s="58" t="str">
        <f>IF($A42="","",IF(ROW()=8,0,$F41+$E41))</f>
        <v/>
      </c>
      <c r="G42" s="58" t="str">
        <f>IF($A42="","",$F42+$E42)</f>
        <v/>
      </c>
      <c r="H42" s="59" t="str">
        <f>IF($A42="","",IF(AND(VALUE(H$7)&gt;$F42,VALUE(H$7)&lt;=$G42),IF($D42="","◇","■"),""))</f>
        <v/>
      </c>
      <c r="I42" s="59" t="str">
        <f>IF($A42="","",IF(AND(VALUE(I$7)&gt;$F42,VALUE(I$7)&lt;=$G42),IF($D42="","◇","■"),""))</f>
        <v/>
      </c>
      <c r="J42" s="59" t="str">
        <f>IF($A42="","",IF(AND(VALUE(J$7)&gt;$F42,VALUE(J$7)&lt;=$G42),IF($D42="","◇","■"),""))</f>
        <v/>
      </c>
      <c r="K42" s="59" t="str">
        <f>IF($A42="","",IF(AND(VALUE(K$7)&gt;$F42,VALUE(K$7)&lt;=$G42),IF($D42="","◇","■"),""))</f>
        <v/>
      </c>
      <c r="L42" s="59" t="str">
        <f>IF($A42="","",IF(AND(VALUE(L$7)&gt;$F42,VALUE(L$7)&lt;=$G42),IF($D42="","◇","■"),""))</f>
        <v/>
      </c>
      <c r="M42" s="59" t="str">
        <f>IF($A42="","",IF(AND(VALUE(M$7)&gt;$F42,VALUE(M$7)&lt;=$G42),IF($D42="","◇","■"),""))</f>
        <v/>
      </c>
      <c r="N42" s="59" t="str">
        <f>IF($A42="","",IF(AND(VALUE(N$7)&gt;$F42,VALUE(N$7)&lt;=$G42),IF($D42="","◇","■"),""))</f>
        <v/>
      </c>
      <c r="O42" s="59" t="str">
        <f>IF($A42="","",IF(AND(VALUE(O$7)&gt;$F42,VALUE(O$7)&lt;=$G42),IF($D42="","◇","■"),""))</f>
        <v/>
      </c>
      <c r="P42" s="59" t="str">
        <f>IF($A42="","",IF(AND(VALUE(P$7)&gt;$F42,VALUE(P$7)&lt;=$G42),IF($D42="","◇","■"),""))</f>
        <v/>
      </c>
      <c r="Q42" s="59" t="str">
        <f>IF($A42="","",IF(AND(VALUE(Q$7)&gt;$F42,VALUE(Q$7)&lt;=$G42),IF($D42="","◇","■"),""))</f>
        <v/>
      </c>
      <c r="R42" s="59" t="str">
        <f>IF($A42="","",IF(AND(VALUE(R$7)&gt;$F42,VALUE(R$7)&lt;=$G42),IF($D42="","◇","■"),""))</f>
        <v/>
      </c>
      <c r="S42" s="59" t="str">
        <f>IF($A42="","",IF(AND(VALUE(S$7)&gt;$F42,VALUE(S$7)&lt;=$G42),IF($D42="","◇","■"),""))</f>
        <v/>
      </c>
      <c r="T42" s="59" t="str">
        <f>IF($A42="","",IF(AND(VALUE(T$7)&gt;$F42,VALUE(T$7)&lt;=$G42),IF($D42="","◇","■"),""))</f>
        <v/>
      </c>
      <c r="U42" s="59" t="str">
        <f>IF($A42="","",IF(AND(VALUE(U$7)&gt;$F42,VALUE(U$7)&lt;=$G42),IF($D42="","◇","■"),""))</f>
        <v/>
      </c>
      <c r="V42" s="59" t="str">
        <f>IF($A42="","",IF(AND(VALUE(V$7)&gt;$F42,VALUE(V$7)&lt;=$G42),IF($D42="","◇","■"),""))</f>
        <v/>
      </c>
      <c r="W42" s="59" t="str">
        <f>IF($A42="","",IF(AND(VALUE(W$7)&gt;$F42,VALUE(W$7)&lt;=$G42),IF($D42="","◇","■"),""))</f>
        <v/>
      </c>
      <c r="X42" s="59" t="str">
        <f>IF($A42="","",IF(AND(VALUE(X$7)&gt;$F42,VALUE(X$7)&lt;=$G42),IF($D42="","◇","■"),""))</f>
        <v/>
      </c>
      <c r="Y42" s="59" t="str">
        <f>IF($A42="","",IF(AND(VALUE(Y$7)&gt;$F42,VALUE(Y$7)&lt;=$G42),IF($D42="","◇","■"),""))</f>
        <v/>
      </c>
      <c r="Z42" s="59" t="str">
        <f>IF($A42="","",IF(AND(VALUE(Z$7)&gt;$F42,VALUE(Z$7)&lt;=$G42),IF($D42="","◇","■"),""))</f>
        <v/>
      </c>
      <c r="AA42" s="59" t="str">
        <f>IF($A42="","",IF(AND(VALUE(AA$7)&gt;$F42,VALUE(AA$7)&lt;=$G42),IF($D42="","◇","■"),""))</f>
        <v/>
      </c>
      <c r="AB42" s="59" t="str">
        <f>IF($A42="","",IF(AND(VALUE(AB$7)&gt;$F42,VALUE(AB$7)&lt;=$G42),IF($D42="","◇","■"),""))</f>
        <v/>
      </c>
      <c r="AC42" s="59" t="str">
        <f>IF($A42="","",IF(AND(VALUE(AC$7)&gt;$F42,VALUE(AC$7)&lt;=$G42),IF($D42="","◇","■"),""))</f>
        <v/>
      </c>
      <c r="AD42" s="59" t="str">
        <f>IF($A42="","",IF(AND(VALUE(AD$7)&gt;$F42,VALUE(AD$7)&lt;=$G42),IF($D42="","◇","■"),""))</f>
        <v/>
      </c>
      <c r="AE42" s="59" t="str">
        <f>IF($A42="","",IF(AND(VALUE(AE$7)&gt;$F42,VALUE(AE$7)&lt;=$G42),IF($D42="","◇","■"),""))</f>
        <v/>
      </c>
      <c r="AF42" s="59" t="str">
        <f>IF($A42="","",IF(AND(VALUE(AF$7)&gt;$F42,VALUE(AF$7)&lt;=$G42),IF($D42="","◇","■"),""))</f>
        <v/>
      </c>
      <c r="AG42" s="59" t="str">
        <f>IF($A42="","",IF(AND(VALUE(AG$7)&gt;$F42,VALUE(AG$7)&lt;=$G42),IF($D42="","◇","■"),""))</f>
        <v/>
      </c>
      <c r="AH42" s="59" t="str">
        <f>IF($A42="","",IF(AND(VALUE(AH$7)&gt;$F42,VALUE(AH$7)&lt;=$G42),IF($D42="","◇","■"),""))</f>
        <v/>
      </c>
      <c r="AI42" s="59" t="str">
        <f>IF($A42="","",IF(AND(VALUE(AI$7)&gt;$F42,VALUE(AI$7)&lt;=$G42),IF($D42="","◇","■"),""))</f>
        <v/>
      </c>
      <c r="AJ42" s="59" t="str">
        <f>IF($A42="","",IF(AND(VALUE(AJ$7)&gt;$F42,VALUE(AJ$7)&lt;=$G42),IF($D42="","◇","■"),""))</f>
        <v/>
      </c>
      <c r="AK42" s="59" t="str">
        <f>IF($A42="","",IF(AND(VALUE(AK$7)&gt;$F42,VALUE(AK$7)&lt;=$G42),IF($D42="","◇","■"),""))</f>
        <v/>
      </c>
      <c r="AL42" s="59" t="str">
        <f>IF($A42="","",IF(AND(VALUE(AL$7)&gt;$F42,VALUE(AL$7)&lt;=$G42),IF($D42="","◇","■"),""))</f>
        <v/>
      </c>
      <c r="AM42" s="59" t="str">
        <f>IF($A42="","",IF(AND(VALUE(AM$7)&gt;$F42,VALUE(AM$7)&lt;=$G42),IF($D42="","◇","■"),""))</f>
        <v/>
      </c>
    </row>
    <row r="43" spans="1:39" ht="18" customHeight="1" x14ac:dyDescent="0.35">
      <c r="A43" s="55" t="str" cm="1">
        <f t="array" ref="A43">IFERROR(INDEX(_xlfn._xlws.FILTER(tblProjectTasks[TaskGroup],(tblProjectTasks[IsWorkPackage]="Yes")*(tblProjectTasks[CaptureStatus]&lt;&gt;"Removed")),ROWS($A$8:A43)),"")</f>
        <v/>
      </c>
      <c r="B43" s="56" t="str" cm="1">
        <f t="array" ref="B43">IFERROR(INDEX(_xlfn._xlws.FILTER(tblProjectTasks[WBSCode],(tblProjectTasks[IsWorkPackage]="Yes")*(tblProjectTasks[CaptureStatus]&lt;&gt;"Removed")),ROWS($B$8:B43)),"")</f>
        <v/>
      </c>
      <c r="C43" s="57" t="str" cm="1">
        <f t="array" ref="C43">IFERROR(INDEX(_xlfn._xlws.FILTER(tblProjectTasks[TaskName],(tblProjectTasks[IsWorkPackage]="Yes")*(tblProjectTasks[CaptureStatus]&lt;&gt;"Removed")),ROWS($C$8:C43)),"")</f>
        <v/>
      </c>
      <c r="D43" s="58" t="str" cm="1">
        <f t="array" ref="D43">_xlfn.LET(_xlpm.x,IFERROR(INDEX(_xlfn._xlws.FILTER(tblProjectTasks[Elapsed Time in Weeks],(tblProjectTasks[IsWorkPackage]="Yes")*(tblProjectTasks[CaptureStatus]&lt;&gt;"Removed")),ROWS($D$8:D43)),""),IF(_xlpm.x=0,"",_xlpm.x))</f>
        <v/>
      </c>
      <c r="E43" s="58" t="str">
        <f>IF($A43="","",IF($D43="",1,$D43))</f>
        <v/>
      </c>
      <c r="F43" s="58" t="str">
        <f>IF($A43="","",IF(ROW()=8,0,$F42+$E42))</f>
        <v/>
      </c>
      <c r="G43" s="58" t="str">
        <f>IF($A43="","",$F43+$E43)</f>
        <v/>
      </c>
      <c r="H43" s="59" t="str">
        <f>IF($A43="","",IF(AND(VALUE(H$7)&gt;$F43,VALUE(H$7)&lt;=$G43),IF($D43="","◇","■"),""))</f>
        <v/>
      </c>
      <c r="I43" s="59" t="str">
        <f>IF($A43="","",IF(AND(VALUE(I$7)&gt;$F43,VALUE(I$7)&lt;=$G43),IF($D43="","◇","■"),""))</f>
        <v/>
      </c>
      <c r="J43" s="59" t="str">
        <f>IF($A43="","",IF(AND(VALUE(J$7)&gt;$F43,VALUE(J$7)&lt;=$G43),IF($D43="","◇","■"),""))</f>
        <v/>
      </c>
      <c r="K43" s="59" t="str">
        <f>IF($A43="","",IF(AND(VALUE(K$7)&gt;$F43,VALUE(K$7)&lt;=$G43),IF($D43="","◇","■"),""))</f>
        <v/>
      </c>
      <c r="L43" s="59" t="str">
        <f>IF($A43="","",IF(AND(VALUE(L$7)&gt;$F43,VALUE(L$7)&lt;=$G43),IF($D43="","◇","■"),""))</f>
        <v/>
      </c>
      <c r="M43" s="59" t="str">
        <f>IF($A43="","",IF(AND(VALUE(M$7)&gt;$F43,VALUE(M$7)&lt;=$G43),IF($D43="","◇","■"),""))</f>
        <v/>
      </c>
      <c r="N43" s="59" t="str">
        <f>IF($A43="","",IF(AND(VALUE(N$7)&gt;$F43,VALUE(N$7)&lt;=$G43),IF($D43="","◇","■"),""))</f>
        <v/>
      </c>
      <c r="O43" s="59" t="str">
        <f>IF($A43="","",IF(AND(VALUE(O$7)&gt;$F43,VALUE(O$7)&lt;=$G43),IF($D43="","◇","■"),""))</f>
        <v/>
      </c>
      <c r="P43" s="59" t="str">
        <f>IF($A43="","",IF(AND(VALUE(P$7)&gt;$F43,VALUE(P$7)&lt;=$G43),IF($D43="","◇","■"),""))</f>
        <v/>
      </c>
      <c r="Q43" s="59" t="str">
        <f>IF($A43="","",IF(AND(VALUE(Q$7)&gt;$F43,VALUE(Q$7)&lt;=$G43),IF($D43="","◇","■"),""))</f>
        <v/>
      </c>
      <c r="R43" s="59" t="str">
        <f>IF($A43="","",IF(AND(VALUE(R$7)&gt;$F43,VALUE(R$7)&lt;=$G43),IF($D43="","◇","■"),""))</f>
        <v/>
      </c>
      <c r="S43" s="59" t="str">
        <f>IF($A43="","",IF(AND(VALUE(S$7)&gt;$F43,VALUE(S$7)&lt;=$G43),IF($D43="","◇","■"),""))</f>
        <v/>
      </c>
      <c r="T43" s="59" t="str">
        <f>IF($A43="","",IF(AND(VALUE(T$7)&gt;$F43,VALUE(T$7)&lt;=$G43),IF($D43="","◇","■"),""))</f>
        <v/>
      </c>
      <c r="U43" s="59" t="str">
        <f>IF($A43="","",IF(AND(VALUE(U$7)&gt;$F43,VALUE(U$7)&lt;=$G43),IF($D43="","◇","■"),""))</f>
        <v/>
      </c>
      <c r="V43" s="59" t="str">
        <f>IF($A43="","",IF(AND(VALUE(V$7)&gt;$F43,VALUE(V$7)&lt;=$G43),IF($D43="","◇","■"),""))</f>
        <v/>
      </c>
      <c r="W43" s="59" t="str">
        <f>IF($A43="","",IF(AND(VALUE(W$7)&gt;$F43,VALUE(W$7)&lt;=$G43),IF($D43="","◇","■"),""))</f>
        <v/>
      </c>
      <c r="X43" s="59" t="str">
        <f>IF($A43="","",IF(AND(VALUE(X$7)&gt;$F43,VALUE(X$7)&lt;=$G43),IF($D43="","◇","■"),""))</f>
        <v/>
      </c>
      <c r="Y43" s="59" t="str">
        <f>IF($A43="","",IF(AND(VALUE(Y$7)&gt;$F43,VALUE(Y$7)&lt;=$G43),IF($D43="","◇","■"),""))</f>
        <v/>
      </c>
      <c r="Z43" s="59" t="str">
        <f>IF($A43="","",IF(AND(VALUE(Z$7)&gt;$F43,VALUE(Z$7)&lt;=$G43),IF($D43="","◇","■"),""))</f>
        <v/>
      </c>
      <c r="AA43" s="59" t="str">
        <f>IF($A43="","",IF(AND(VALUE(AA$7)&gt;$F43,VALUE(AA$7)&lt;=$G43),IF($D43="","◇","■"),""))</f>
        <v/>
      </c>
      <c r="AB43" s="59" t="str">
        <f>IF($A43="","",IF(AND(VALUE(AB$7)&gt;$F43,VALUE(AB$7)&lt;=$G43),IF($D43="","◇","■"),""))</f>
        <v/>
      </c>
      <c r="AC43" s="59" t="str">
        <f>IF($A43="","",IF(AND(VALUE(AC$7)&gt;$F43,VALUE(AC$7)&lt;=$G43),IF($D43="","◇","■"),""))</f>
        <v/>
      </c>
      <c r="AD43" s="59" t="str">
        <f>IF($A43="","",IF(AND(VALUE(AD$7)&gt;$F43,VALUE(AD$7)&lt;=$G43),IF($D43="","◇","■"),""))</f>
        <v/>
      </c>
      <c r="AE43" s="59" t="str">
        <f>IF($A43="","",IF(AND(VALUE(AE$7)&gt;$F43,VALUE(AE$7)&lt;=$G43),IF($D43="","◇","■"),""))</f>
        <v/>
      </c>
      <c r="AF43" s="59" t="str">
        <f>IF($A43="","",IF(AND(VALUE(AF$7)&gt;$F43,VALUE(AF$7)&lt;=$G43),IF($D43="","◇","■"),""))</f>
        <v/>
      </c>
      <c r="AG43" s="59" t="str">
        <f>IF($A43="","",IF(AND(VALUE(AG$7)&gt;$F43,VALUE(AG$7)&lt;=$G43),IF($D43="","◇","■"),""))</f>
        <v/>
      </c>
      <c r="AH43" s="59" t="str">
        <f>IF($A43="","",IF(AND(VALUE(AH$7)&gt;$F43,VALUE(AH$7)&lt;=$G43),IF($D43="","◇","■"),""))</f>
        <v/>
      </c>
      <c r="AI43" s="59" t="str">
        <f>IF($A43="","",IF(AND(VALUE(AI$7)&gt;$F43,VALUE(AI$7)&lt;=$G43),IF($D43="","◇","■"),""))</f>
        <v/>
      </c>
      <c r="AJ43" s="59" t="str">
        <f>IF($A43="","",IF(AND(VALUE(AJ$7)&gt;$F43,VALUE(AJ$7)&lt;=$G43),IF($D43="","◇","■"),""))</f>
        <v/>
      </c>
      <c r="AK43" s="59" t="str">
        <f>IF($A43="","",IF(AND(VALUE(AK$7)&gt;$F43,VALUE(AK$7)&lt;=$G43),IF($D43="","◇","■"),""))</f>
        <v/>
      </c>
      <c r="AL43" s="59" t="str">
        <f>IF($A43="","",IF(AND(VALUE(AL$7)&gt;$F43,VALUE(AL$7)&lt;=$G43),IF($D43="","◇","■"),""))</f>
        <v/>
      </c>
      <c r="AM43" s="59" t="str">
        <f>IF($A43="","",IF(AND(VALUE(AM$7)&gt;$F43,VALUE(AM$7)&lt;=$G43),IF($D43="","◇","■"),""))</f>
        <v/>
      </c>
    </row>
    <row r="44" spans="1:39" ht="18" customHeight="1" x14ac:dyDescent="0.35">
      <c r="A44" s="55" t="str" cm="1">
        <f t="array" ref="A44">IFERROR(INDEX(_xlfn._xlws.FILTER(tblProjectTasks[TaskGroup],(tblProjectTasks[IsWorkPackage]="Yes")*(tblProjectTasks[CaptureStatus]&lt;&gt;"Removed")),ROWS($A$8:A44)),"")</f>
        <v/>
      </c>
      <c r="B44" s="56" t="str" cm="1">
        <f t="array" ref="B44">IFERROR(INDEX(_xlfn._xlws.FILTER(tblProjectTasks[WBSCode],(tblProjectTasks[IsWorkPackage]="Yes")*(tblProjectTasks[CaptureStatus]&lt;&gt;"Removed")),ROWS($B$8:B44)),"")</f>
        <v/>
      </c>
      <c r="C44" s="57" t="str" cm="1">
        <f t="array" ref="C44">IFERROR(INDEX(_xlfn._xlws.FILTER(tblProjectTasks[TaskName],(tblProjectTasks[IsWorkPackage]="Yes")*(tblProjectTasks[CaptureStatus]&lt;&gt;"Removed")),ROWS($C$8:C44)),"")</f>
        <v/>
      </c>
      <c r="D44" s="58" t="str" cm="1">
        <f t="array" ref="D44">_xlfn.LET(_xlpm.x,IFERROR(INDEX(_xlfn._xlws.FILTER(tblProjectTasks[Elapsed Time in Weeks],(tblProjectTasks[IsWorkPackage]="Yes")*(tblProjectTasks[CaptureStatus]&lt;&gt;"Removed")),ROWS($D$8:D44)),""),IF(_xlpm.x=0,"",_xlpm.x))</f>
        <v/>
      </c>
      <c r="E44" s="58" t="str">
        <f>IF($A44="","",IF($D44="",1,$D44))</f>
        <v/>
      </c>
      <c r="F44" s="58" t="str">
        <f>IF($A44="","",IF(ROW()=8,0,$F43+$E43))</f>
        <v/>
      </c>
      <c r="G44" s="58" t="str">
        <f>IF($A44="","",$F44+$E44)</f>
        <v/>
      </c>
      <c r="H44" s="59" t="str">
        <f>IF($A44="","",IF(AND(VALUE(H$7)&gt;$F44,VALUE(H$7)&lt;=$G44),IF($D44="","◇","■"),""))</f>
        <v/>
      </c>
      <c r="I44" s="59" t="str">
        <f>IF($A44="","",IF(AND(VALUE(I$7)&gt;$F44,VALUE(I$7)&lt;=$G44),IF($D44="","◇","■"),""))</f>
        <v/>
      </c>
      <c r="J44" s="59" t="str">
        <f>IF($A44="","",IF(AND(VALUE(J$7)&gt;$F44,VALUE(J$7)&lt;=$G44),IF($D44="","◇","■"),""))</f>
        <v/>
      </c>
      <c r="K44" s="59" t="str">
        <f>IF($A44="","",IF(AND(VALUE(K$7)&gt;$F44,VALUE(K$7)&lt;=$G44),IF($D44="","◇","■"),""))</f>
        <v/>
      </c>
      <c r="L44" s="59" t="str">
        <f>IF($A44="","",IF(AND(VALUE(L$7)&gt;$F44,VALUE(L$7)&lt;=$G44),IF($D44="","◇","■"),""))</f>
        <v/>
      </c>
      <c r="M44" s="59" t="str">
        <f>IF($A44="","",IF(AND(VALUE(M$7)&gt;$F44,VALUE(M$7)&lt;=$G44),IF($D44="","◇","■"),""))</f>
        <v/>
      </c>
      <c r="N44" s="59" t="str">
        <f>IF($A44="","",IF(AND(VALUE(N$7)&gt;$F44,VALUE(N$7)&lt;=$G44),IF($D44="","◇","■"),""))</f>
        <v/>
      </c>
      <c r="O44" s="59" t="str">
        <f>IF($A44="","",IF(AND(VALUE(O$7)&gt;$F44,VALUE(O$7)&lt;=$G44),IF($D44="","◇","■"),""))</f>
        <v/>
      </c>
      <c r="P44" s="59" t="str">
        <f>IF($A44="","",IF(AND(VALUE(P$7)&gt;$F44,VALUE(P$7)&lt;=$G44),IF($D44="","◇","■"),""))</f>
        <v/>
      </c>
      <c r="Q44" s="59" t="str">
        <f>IF($A44="","",IF(AND(VALUE(Q$7)&gt;$F44,VALUE(Q$7)&lt;=$G44),IF($D44="","◇","■"),""))</f>
        <v/>
      </c>
      <c r="R44" s="59" t="str">
        <f>IF($A44="","",IF(AND(VALUE(R$7)&gt;$F44,VALUE(R$7)&lt;=$G44),IF($D44="","◇","■"),""))</f>
        <v/>
      </c>
      <c r="S44" s="59" t="str">
        <f>IF($A44="","",IF(AND(VALUE(S$7)&gt;$F44,VALUE(S$7)&lt;=$G44),IF($D44="","◇","■"),""))</f>
        <v/>
      </c>
      <c r="T44" s="59" t="str">
        <f>IF($A44="","",IF(AND(VALUE(T$7)&gt;$F44,VALUE(T$7)&lt;=$G44),IF($D44="","◇","■"),""))</f>
        <v/>
      </c>
      <c r="U44" s="59" t="str">
        <f>IF($A44="","",IF(AND(VALUE(U$7)&gt;$F44,VALUE(U$7)&lt;=$G44),IF($D44="","◇","■"),""))</f>
        <v/>
      </c>
      <c r="V44" s="59" t="str">
        <f>IF($A44="","",IF(AND(VALUE(V$7)&gt;$F44,VALUE(V$7)&lt;=$G44),IF($D44="","◇","■"),""))</f>
        <v/>
      </c>
      <c r="W44" s="59" t="str">
        <f>IF($A44="","",IF(AND(VALUE(W$7)&gt;$F44,VALUE(W$7)&lt;=$G44),IF($D44="","◇","■"),""))</f>
        <v/>
      </c>
      <c r="X44" s="59" t="str">
        <f>IF($A44="","",IF(AND(VALUE(X$7)&gt;$F44,VALUE(X$7)&lt;=$G44),IF($D44="","◇","■"),""))</f>
        <v/>
      </c>
      <c r="Y44" s="59" t="str">
        <f>IF($A44="","",IF(AND(VALUE(Y$7)&gt;$F44,VALUE(Y$7)&lt;=$G44),IF($D44="","◇","■"),""))</f>
        <v/>
      </c>
      <c r="Z44" s="59" t="str">
        <f>IF($A44="","",IF(AND(VALUE(Z$7)&gt;$F44,VALUE(Z$7)&lt;=$G44),IF($D44="","◇","■"),""))</f>
        <v/>
      </c>
      <c r="AA44" s="59" t="str">
        <f>IF($A44="","",IF(AND(VALUE(AA$7)&gt;$F44,VALUE(AA$7)&lt;=$G44),IF($D44="","◇","■"),""))</f>
        <v/>
      </c>
      <c r="AB44" s="59" t="str">
        <f>IF($A44="","",IF(AND(VALUE(AB$7)&gt;$F44,VALUE(AB$7)&lt;=$G44),IF($D44="","◇","■"),""))</f>
        <v/>
      </c>
      <c r="AC44" s="59" t="str">
        <f>IF($A44="","",IF(AND(VALUE(AC$7)&gt;$F44,VALUE(AC$7)&lt;=$G44),IF($D44="","◇","■"),""))</f>
        <v/>
      </c>
      <c r="AD44" s="59" t="str">
        <f>IF($A44="","",IF(AND(VALUE(AD$7)&gt;$F44,VALUE(AD$7)&lt;=$G44),IF($D44="","◇","■"),""))</f>
        <v/>
      </c>
      <c r="AE44" s="59" t="str">
        <f>IF($A44="","",IF(AND(VALUE(AE$7)&gt;$F44,VALUE(AE$7)&lt;=$G44),IF($D44="","◇","■"),""))</f>
        <v/>
      </c>
      <c r="AF44" s="59" t="str">
        <f>IF($A44="","",IF(AND(VALUE(AF$7)&gt;$F44,VALUE(AF$7)&lt;=$G44),IF($D44="","◇","■"),""))</f>
        <v/>
      </c>
      <c r="AG44" s="59" t="str">
        <f>IF($A44="","",IF(AND(VALUE(AG$7)&gt;$F44,VALUE(AG$7)&lt;=$G44),IF($D44="","◇","■"),""))</f>
        <v/>
      </c>
      <c r="AH44" s="59" t="str">
        <f>IF($A44="","",IF(AND(VALUE(AH$7)&gt;$F44,VALUE(AH$7)&lt;=$G44),IF($D44="","◇","■"),""))</f>
        <v/>
      </c>
      <c r="AI44" s="59" t="str">
        <f>IF($A44="","",IF(AND(VALUE(AI$7)&gt;$F44,VALUE(AI$7)&lt;=$G44),IF($D44="","◇","■"),""))</f>
        <v/>
      </c>
      <c r="AJ44" s="59" t="str">
        <f>IF($A44="","",IF(AND(VALUE(AJ$7)&gt;$F44,VALUE(AJ$7)&lt;=$G44),IF($D44="","◇","■"),""))</f>
        <v/>
      </c>
      <c r="AK44" s="59" t="str">
        <f>IF($A44="","",IF(AND(VALUE(AK$7)&gt;$F44,VALUE(AK$7)&lt;=$G44),IF($D44="","◇","■"),""))</f>
        <v/>
      </c>
      <c r="AL44" s="59" t="str">
        <f>IF($A44="","",IF(AND(VALUE(AL$7)&gt;$F44,VALUE(AL$7)&lt;=$G44),IF($D44="","◇","■"),""))</f>
        <v/>
      </c>
      <c r="AM44" s="59" t="str">
        <f>IF($A44="","",IF(AND(VALUE(AM$7)&gt;$F44,VALUE(AM$7)&lt;=$G44),IF($D44="","◇","■"),""))</f>
        <v/>
      </c>
    </row>
    <row r="45" spans="1:39" ht="18" customHeight="1" x14ac:dyDescent="0.35">
      <c r="A45" s="55" t="str" cm="1">
        <f t="array" ref="A45">IFERROR(INDEX(_xlfn._xlws.FILTER(tblProjectTasks[TaskGroup],(tblProjectTasks[IsWorkPackage]="Yes")*(tblProjectTasks[CaptureStatus]&lt;&gt;"Removed")),ROWS($A$8:A45)),"")</f>
        <v/>
      </c>
      <c r="B45" s="56" t="str" cm="1">
        <f t="array" ref="B45">IFERROR(INDEX(_xlfn._xlws.FILTER(tblProjectTasks[WBSCode],(tblProjectTasks[IsWorkPackage]="Yes")*(tblProjectTasks[CaptureStatus]&lt;&gt;"Removed")),ROWS($B$8:B45)),"")</f>
        <v/>
      </c>
      <c r="C45" s="57" t="str" cm="1">
        <f t="array" ref="C45">IFERROR(INDEX(_xlfn._xlws.FILTER(tblProjectTasks[TaskName],(tblProjectTasks[IsWorkPackage]="Yes")*(tblProjectTasks[CaptureStatus]&lt;&gt;"Removed")),ROWS($C$8:C45)),"")</f>
        <v/>
      </c>
      <c r="D45" s="58" t="str" cm="1">
        <f t="array" ref="D45">_xlfn.LET(_xlpm.x,IFERROR(INDEX(_xlfn._xlws.FILTER(tblProjectTasks[Elapsed Time in Weeks],(tblProjectTasks[IsWorkPackage]="Yes")*(tblProjectTasks[CaptureStatus]&lt;&gt;"Removed")),ROWS($D$8:D45)),""),IF(_xlpm.x=0,"",_xlpm.x))</f>
        <v/>
      </c>
      <c r="E45" s="58" t="str">
        <f>IF($A45="","",IF($D45="",1,$D45))</f>
        <v/>
      </c>
      <c r="F45" s="58" t="str">
        <f>IF($A45="","",IF(ROW()=8,0,$F44+$E44))</f>
        <v/>
      </c>
      <c r="G45" s="58" t="str">
        <f>IF($A45="","",$F45+$E45)</f>
        <v/>
      </c>
      <c r="H45" s="59" t="str">
        <f>IF($A45="","",IF(AND(VALUE(H$7)&gt;$F45,VALUE(H$7)&lt;=$G45),IF($D45="","◇","■"),""))</f>
        <v/>
      </c>
      <c r="I45" s="59" t="str">
        <f>IF($A45="","",IF(AND(VALUE(I$7)&gt;$F45,VALUE(I$7)&lt;=$G45),IF($D45="","◇","■"),""))</f>
        <v/>
      </c>
      <c r="J45" s="59" t="str">
        <f>IF($A45="","",IF(AND(VALUE(J$7)&gt;$F45,VALUE(J$7)&lt;=$G45),IF($D45="","◇","■"),""))</f>
        <v/>
      </c>
      <c r="K45" s="59" t="str">
        <f>IF($A45="","",IF(AND(VALUE(K$7)&gt;$F45,VALUE(K$7)&lt;=$G45),IF($D45="","◇","■"),""))</f>
        <v/>
      </c>
      <c r="L45" s="59" t="str">
        <f>IF($A45="","",IF(AND(VALUE(L$7)&gt;$F45,VALUE(L$7)&lt;=$G45),IF($D45="","◇","■"),""))</f>
        <v/>
      </c>
      <c r="M45" s="59" t="str">
        <f>IF($A45="","",IF(AND(VALUE(M$7)&gt;$F45,VALUE(M$7)&lt;=$G45),IF($D45="","◇","■"),""))</f>
        <v/>
      </c>
      <c r="N45" s="59" t="str">
        <f>IF($A45="","",IF(AND(VALUE(N$7)&gt;$F45,VALUE(N$7)&lt;=$G45),IF($D45="","◇","■"),""))</f>
        <v/>
      </c>
      <c r="O45" s="59" t="str">
        <f>IF($A45="","",IF(AND(VALUE(O$7)&gt;$F45,VALUE(O$7)&lt;=$G45),IF($D45="","◇","■"),""))</f>
        <v/>
      </c>
      <c r="P45" s="59" t="str">
        <f>IF($A45="","",IF(AND(VALUE(P$7)&gt;$F45,VALUE(P$7)&lt;=$G45),IF($D45="","◇","■"),""))</f>
        <v/>
      </c>
      <c r="Q45" s="59" t="str">
        <f>IF($A45="","",IF(AND(VALUE(Q$7)&gt;$F45,VALUE(Q$7)&lt;=$G45),IF($D45="","◇","■"),""))</f>
        <v/>
      </c>
      <c r="R45" s="59" t="str">
        <f>IF($A45="","",IF(AND(VALUE(R$7)&gt;$F45,VALUE(R$7)&lt;=$G45),IF($D45="","◇","■"),""))</f>
        <v/>
      </c>
      <c r="S45" s="59" t="str">
        <f>IF($A45="","",IF(AND(VALUE(S$7)&gt;$F45,VALUE(S$7)&lt;=$G45),IF($D45="","◇","■"),""))</f>
        <v/>
      </c>
      <c r="T45" s="59" t="str">
        <f>IF($A45="","",IF(AND(VALUE(T$7)&gt;$F45,VALUE(T$7)&lt;=$G45),IF($D45="","◇","■"),""))</f>
        <v/>
      </c>
      <c r="U45" s="59" t="str">
        <f>IF($A45="","",IF(AND(VALUE(U$7)&gt;$F45,VALUE(U$7)&lt;=$G45),IF($D45="","◇","■"),""))</f>
        <v/>
      </c>
      <c r="V45" s="59" t="str">
        <f>IF($A45="","",IF(AND(VALUE(V$7)&gt;$F45,VALUE(V$7)&lt;=$G45),IF($D45="","◇","■"),""))</f>
        <v/>
      </c>
      <c r="W45" s="59" t="str">
        <f>IF($A45="","",IF(AND(VALUE(W$7)&gt;$F45,VALUE(W$7)&lt;=$G45),IF($D45="","◇","■"),""))</f>
        <v/>
      </c>
      <c r="X45" s="59" t="str">
        <f>IF($A45="","",IF(AND(VALUE(X$7)&gt;$F45,VALUE(X$7)&lt;=$G45),IF($D45="","◇","■"),""))</f>
        <v/>
      </c>
      <c r="Y45" s="59" t="str">
        <f>IF($A45="","",IF(AND(VALUE(Y$7)&gt;$F45,VALUE(Y$7)&lt;=$G45),IF($D45="","◇","■"),""))</f>
        <v/>
      </c>
      <c r="Z45" s="59" t="str">
        <f>IF($A45="","",IF(AND(VALUE(Z$7)&gt;$F45,VALUE(Z$7)&lt;=$G45),IF($D45="","◇","■"),""))</f>
        <v/>
      </c>
      <c r="AA45" s="59" t="str">
        <f>IF($A45="","",IF(AND(VALUE(AA$7)&gt;$F45,VALUE(AA$7)&lt;=$G45),IF($D45="","◇","■"),""))</f>
        <v/>
      </c>
      <c r="AB45" s="59" t="str">
        <f>IF($A45="","",IF(AND(VALUE(AB$7)&gt;$F45,VALUE(AB$7)&lt;=$G45),IF($D45="","◇","■"),""))</f>
        <v/>
      </c>
      <c r="AC45" s="59" t="str">
        <f>IF($A45="","",IF(AND(VALUE(AC$7)&gt;$F45,VALUE(AC$7)&lt;=$G45),IF($D45="","◇","■"),""))</f>
        <v/>
      </c>
      <c r="AD45" s="59" t="str">
        <f>IF($A45="","",IF(AND(VALUE(AD$7)&gt;$F45,VALUE(AD$7)&lt;=$G45),IF($D45="","◇","■"),""))</f>
        <v/>
      </c>
      <c r="AE45" s="59" t="str">
        <f>IF($A45="","",IF(AND(VALUE(AE$7)&gt;$F45,VALUE(AE$7)&lt;=$G45),IF($D45="","◇","■"),""))</f>
        <v/>
      </c>
      <c r="AF45" s="59" t="str">
        <f>IF($A45="","",IF(AND(VALUE(AF$7)&gt;$F45,VALUE(AF$7)&lt;=$G45),IF($D45="","◇","■"),""))</f>
        <v/>
      </c>
      <c r="AG45" s="59" t="str">
        <f>IF($A45="","",IF(AND(VALUE(AG$7)&gt;$F45,VALUE(AG$7)&lt;=$G45),IF($D45="","◇","■"),""))</f>
        <v/>
      </c>
      <c r="AH45" s="59" t="str">
        <f>IF($A45="","",IF(AND(VALUE(AH$7)&gt;$F45,VALUE(AH$7)&lt;=$G45),IF($D45="","◇","■"),""))</f>
        <v/>
      </c>
      <c r="AI45" s="59" t="str">
        <f>IF($A45="","",IF(AND(VALUE(AI$7)&gt;$F45,VALUE(AI$7)&lt;=$G45),IF($D45="","◇","■"),""))</f>
        <v/>
      </c>
      <c r="AJ45" s="59" t="str">
        <f>IF($A45="","",IF(AND(VALUE(AJ$7)&gt;$F45,VALUE(AJ$7)&lt;=$G45),IF($D45="","◇","■"),""))</f>
        <v/>
      </c>
      <c r="AK45" s="59" t="str">
        <f>IF($A45="","",IF(AND(VALUE(AK$7)&gt;$F45,VALUE(AK$7)&lt;=$G45),IF($D45="","◇","■"),""))</f>
        <v/>
      </c>
      <c r="AL45" s="59" t="str">
        <f>IF($A45="","",IF(AND(VALUE(AL$7)&gt;$F45,VALUE(AL$7)&lt;=$G45),IF($D45="","◇","■"),""))</f>
        <v/>
      </c>
      <c r="AM45" s="59" t="str">
        <f>IF($A45="","",IF(AND(VALUE(AM$7)&gt;$F45,VALUE(AM$7)&lt;=$G45),IF($D45="","◇","■"),""))</f>
        <v/>
      </c>
    </row>
    <row r="46" spans="1:39" ht="18" customHeight="1" x14ac:dyDescent="0.35">
      <c r="A46" s="55" t="str" cm="1">
        <f t="array" ref="A46">IFERROR(INDEX(_xlfn._xlws.FILTER(tblProjectTasks[TaskGroup],(tblProjectTasks[IsWorkPackage]="Yes")*(tblProjectTasks[CaptureStatus]&lt;&gt;"Removed")),ROWS($A$8:A46)),"")</f>
        <v/>
      </c>
      <c r="B46" s="56" t="str" cm="1">
        <f t="array" ref="B46">IFERROR(INDEX(_xlfn._xlws.FILTER(tblProjectTasks[WBSCode],(tblProjectTasks[IsWorkPackage]="Yes")*(tblProjectTasks[CaptureStatus]&lt;&gt;"Removed")),ROWS($B$8:B46)),"")</f>
        <v/>
      </c>
      <c r="C46" s="57" t="str" cm="1">
        <f t="array" ref="C46">IFERROR(INDEX(_xlfn._xlws.FILTER(tblProjectTasks[TaskName],(tblProjectTasks[IsWorkPackage]="Yes")*(tblProjectTasks[CaptureStatus]&lt;&gt;"Removed")),ROWS($C$8:C46)),"")</f>
        <v/>
      </c>
      <c r="D46" s="58" t="str" cm="1">
        <f t="array" ref="D46">_xlfn.LET(_xlpm.x,IFERROR(INDEX(_xlfn._xlws.FILTER(tblProjectTasks[Elapsed Time in Weeks],(tblProjectTasks[IsWorkPackage]="Yes")*(tblProjectTasks[CaptureStatus]&lt;&gt;"Removed")),ROWS($D$8:D46)),""),IF(_xlpm.x=0,"",_xlpm.x))</f>
        <v/>
      </c>
      <c r="E46" s="58" t="str">
        <f>IF($A46="","",IF($D46="",1,$D46))</f>
        <v/>
      </c>
      <c r="F46" s="58" t="str">
        <f>IF($A46="","",IF(ROW()=8,0,$F45+$E45))</f>
        <v/>
      </c>
      <c r="G46" s="58" t="str">
        <f>IF($A46="","",$F46+$E46)</f>
        <v/>
      </c>
      <c r="H46" s="59" t="str">
        <f>IF($A46="","",IF(AND(VALUE(H$7)&gt;$F46,VALUE(H$7)&lt;=$G46),IF($D46="","◇","■"),""))</f>
        <v/>
      </c>
      <c r="I46" s="59" t="str">
        <f>IF($A46="","",IF(AND(VALUE(I$7)&gt;$F46,VALUE(I$7)&lt;=$G46),IF($D46="","◇","■"),""))</f>
        <v/>
      </c>
      <c r="J46" s="59" t="str">
        <f>IF($A46="","",IF(AND(VALUE(J$7)&gt;$F46,VALUE(J$7)&lt;=$G46),IF($D46="","◇","■"),""))</f>
        <v/>
      </c>
      <c r="K46" s="59" t="str">
        <f>IF($A46="","",IF(AND(VALUE(K$7)&gt;$F46,VALUE(K$7)&lt;=$G46),IF($D46="","◇","■"),""))</f>
        <v/>
      </c>
      <c r="L46" s="59" t="str">
        <f>IF($A46="","",IF(AND(VALUE(L$7)&gt;$F46,VALUE(L$7)&lt;=$G46),IF($D46="","◇","■"),""))</f>
        <v/>
      </c>
      <c r="M46" s="59" t="str">
        <f>IF($A46="","",IF(AND(VALUE(M$7)&gt;$F46,VALUE(M$7)&lt;=$G46),IF($D46="","◇","■"),""))</f>
        <v/>
      </c>
      <c r="N46" s="59" t="str">
        <f>IF($A46="","",IF(AND(VALUE(N$7)&gt;$F46,VALUE(N$7)&lt;=$G46),IF($D46="","◇","■"),""))</f>
        <v/>
      </c>
      <c r="O46" s="59" t="str">
        <f>IF($A46="","",IF(AND(VALUE(O$7)&gt;$F46,VALUE(O$7)&lt;=$G46),IF($D46="","◇","■"),""))</f>
        <v/>
      </c>
      <c r="P46" s="59" t="str">
        <f>IF($A46="","",IF(AND(VALUE(P$7)&gt;$F46,VALUE(P$7)&lt;=$G46),IF($D46="","◇","■"),""))</f>
        <v/>
      </c>
      <c r="Q46" s="59" t="str">
        <f>IF($A46="","",IF(AND(VALUE(Q$7)&gt;$F46,VALUE(Q$7)&lt;=$G46),IF($D46="","◇","■"),""))</f>
        <v/>
      </c>
      <c r="R46" s="59" t="str">
        <f>IF($A46="","",IF(AND(VALUE(R$7)&gt;$F46,VALUE(R$7)&lt;=$G46),IF($D46="","◇","■"),""))</f>
        <v/>
      </c>
      <c r="S46" s="59" t="str">
        <f>IF($A46="","",IF(AND(VALUE(S$7)&gt;$F46,VALUE(S$7)&lt;=$G46),IF($D46="","◇","■"),""))</f>
        <v/>
      </c>
      <c r="T46" s="59" t="str">
        <f>IF($A46="","",IF(AND(VALUE(T$7)&gt;$F46,VALUE(T$7)&lt;=$G46),IF($D46="","◇","■"),""))</f>
        <v/>
      </c>
      <c r="U46" s="59" t="str">
        <f>IF($A46="","",IF(AND(VALUE(U$7)&gt;$F46,VALUE(U$7)&lt;=$G46),IF($D46="","◇","■"),""))</f>
        <v/>
      </c>
      <c r="V46" s="59" t="str">
        <f>IF($A46="","",IF(AND(VALUE(V$7)&gt;$F46,VALUE(V$7)&lt;=$G46),IF($D46="","◇","■"),""))</f>
        <v/>
      </c>
      <c r="W46" s="59" t="str">
        <f>IF($A46="","",IF(AND(VALUE(W$7)&gt;$F46,VALUE(W$7)&lt;=$G46),IF($D46="","◇","■"),""))</f>
        <v/>
      </c>
      <c r="X46" s="59" t="str">
        <f>IF($A46="","",IF(AND(VALUE(X$7)&gt;$F46,VALUE(X$7)&lt;=$G46),IF($D46="","◇","■"),""))</f>
        <v/>
      </c>
      <c r="Y46" s="59" t="str">
        <f>IF($A46="","",IF(AND(VALUE(Y$7)&gt;$F46,VALUE(Y$7)&lt;=$G46),IF($D46="","◇","■"),""))</f>
        <v/>
      </c>
      <c r="Z46" s="59" t="str">
        <f>IF($A46="","",IF(AND(VALUE(Z$7)&gt;$F46,VALUE(Z$7)&lt;=$G46),IF($D46="","◇","■"),""))</f>
        <v/>
      </c>
      <c r="AA46" s="59" t="str">
        <f>IF($A46="","",IF(AND(VALUE(AA$7)&gt;$F46,VALUE(AA$7)&lt;=$G46),IF($D46="","◇","■"),""))</f>
        <v/>
      </c>
      <c r="AB46" s="59" t="str">
        <f>IF($A46="","",IF(AND(VALUE(AB$7)&gt;$F46,VALUE(AB$7)&lt;=$G46),IF($D46="","◇","■"),""))</f>
        <v/>
      </c>
      <c r="AC46" s="59" t="str">
        <f>IF($A46="","",IF(AND(VALUE(AC$7)&gt;$F46,VALUE(AC$7)&lt;=$G46),IF($D46="","◇","■"),""))</f>
        <v/>
      </c>
      <c r="AD46" s="59" t="str">
        <f>IF($A46="","",IF(AND(VALUE(AD$7)&gt;$F46,VALUE(AD$7)&lt;=$G46),IF($D46="","◇","■"),""))</f>
        <v/>
      </c>
      <c r="AE46" s="59" t="str">
        <f>IF($A46="","",IF(AND(VALUE(AE$7)&gt;$F46,VALUE(AE$7)&lt;=$G46),IF($D46="","◇","■"),""))</f>
        <v/>
      </c>
      <c r="AF46" s="59" t="str">
        <f>IF($A46="","",IF(AND(VALUE(AF$7)&gt;$F46,VALUE(AF$7)&lt;=$G46),IF($D46="","◇","■"),""))</f>
        <v/>
      </c>
      <c r="AG46" s="59" t="str">
        <f>IF($A46="","",IF(AND(VALUE(AG$7)&gt;$F46,VALUE(AG$7)&lt;=$G46),IF($D46="","◇","■"),""))</f>
        <v/>
      </c>
      <c r="AH46" s="59" t="str">
        <f>IF($A46="","",IF(AND(VALUE(AH$7)&gt;$F46,VALUE(AH$7)&lt;=$G46),IF($D46="","◇","■"),""))</f>
        <v/>
      </c>
      <c r="AI46" s="59" t="str">
        <f>IF($A46="","",IF(AND(VALUE(AI$7)&gt;$F46,VALUE(AI$7)&lt;=$G46),IF($D46="","◇","■"),""))</f>
        <v/>
      </c>
      <c r="AJ46" s="59" t="str">
        <f>IF($A46="","",IF(AND(VALUE(AJ$7)&gt;$F46,VALUE(AJ$7)&lt;=$G46),IF($D46="","◇","■"),""))</f>
        <v/>
      </c>
      <c r="AK46" s="59" t="str">
        <f>IF($A46="","",IF(AND(VALUE(AK$7)&gt;$F46,VALUE(AK$7)&lt;=$G46),IF($D46="","◇","■"),""))</f>
        <v/>
      </c>
      <c r="AL46" s="59" t="str">
        <f>IF($A46="","",IF(AND(VALUE(AL$7)&gt;$F46,VALUE(AL$7)&lt;=$G46),IF($D46="","◇","■"),""))</f>
        <v/>
      </c>
      <c r="AM46" s="59" t="str">
        <f>IF($A46="","",IF(AND(VALUE(AM$7)&gt;$F46,VALUE(AM$7)&lt;=$G46),IF($D46="","◇","■"),""))</f>
        <v/>
      </c>
    </row>
    <row r="47" spans="1:39" ht="18" customHeight="1" x14ac:dyDescent="0.35">
      <c r="A47" s="55" t="str" cm="1">
        <f t="array" ref="A47">IFERROR(INDEX(_xlfn._xlws.FILTER(tblProjectTasks[TaskGroup],(tblProjectTasks[IsWorkPackage]="Yes")*(tblProjectTasks[CaptureStatus]&lt;&gt;"Removed")),ROWS($A$8:A47)),"")</f>
        <v/>
      </c>
      <c r="B47" s="56" t="str" cm="1">
        <f t="array" ref="B47">IFERROR(INDEX(_xlfn._xlws.FILTER(tblProjectTasks[WBSCode],(tblProjectTasks[IsWorkPackage]="Yes")*(tblProjectTasks[CaptureStatus]&lt;&gt;"Removed")),ROWS($B$8:B47)),"")</f>
        <v/>
      </c>
      <c r="C47" s="57" t="str" cm="1">
        <f t="array" ref="C47">IFERROR(INDEX(_xlfn._xlws.FILTER(tblProjectTasks[TaskName],(tblProjectTasks[IsWorkPackage]="Yes")*(tblProjectTasks[CaptureStatus]&lt;&gt;"Removed")),ROWS($C$8:C47)),"")</f>
        <v/>
      </c>
      <c r="D47" s="58" t="str" cm="1">
        <f t="array" ref="D47">_xlfn.LET(_xlpm.x,IFERROR(INDEX(_xlfn._xlws.FILTER(tblProjectTasks[Elapsed Time in Weeks],(tblProjectTasks[IsWorkPackage]="Yes")*(tblProjectTasks[CaptureStatus]&lt;&gt;"Removed")),ROWS($D$8:D47)),""),IF(_xlpm.x=0,"",_xlpm.x))</f>
        <v/>
      </c>
      <c r="E47" s="58" t="str">
        <f>IF($A47="","",IF($D47="",1,$D47))</f>
        <v/>
      </c>
      <c r="F47" s="58" t="str">
        <f>IF($A47="","",IF(ROW()=8,0,$F46+$E46))</f>
        <v/>
      </c>
      <c r="G47" s="58" t="str">
        <f>IF($A47="","",$F47+$E47)</f>
        <v/>
      </c>
      <c r="H47" s="59" t="str">
        <f>IF($A47="","",IF(AND(VALUE(H$7)&gt;$F47,VALUE(H$7)&lt;=$G47),IF($D47="","◇","■"),""))</f>
        <v/>
      </c>
      <c r="I47" s="59" t="str">
        <f>IF($A47="","",IF(AND(VALUE(I$7)&gt;$F47,VALUE(I$7)&lt;=$G47),IF($D47="","◇","■"),""))</f>
        <v/>
      </c>
      <c r="J47" s="59" t="str">
        <f>IF($A47="","",IF(AND(VALUE(J$7)&gt;$F47,VALUE(J$7)&lt;=$G47),IF($D47="","◇","■"),""))</f>
        <v/>
      </c>
      <c r="K47" s="59" t="str">
        <f>IF($A47="","",IF(AND(VALUE(K$7)&gt;$F47,VALUE(K$7)&lt;=$G47),IF($D47="","◇","■"),""))</f>
        <v/>
      </c>
      <c r="L47" s="59" t="str">
        <f>IF($A47="","",IF(AND(VALUE(L$7)&gt;$F47,VALUE(L$7)&lt;=$G47),IF($D47="","◇","■"),""))</f>
        <v/>
      </c>
      <c r="M47" s="59" t="str">
        <f>IF($A47="","",IF(AND(VALUE(M$7)&gt;$F47,VALUE(M$7)&lt;=$G47),IF($D47="","◇","■"),""))</f>
        <v/>
      </c>
      <c r="N47" s="59" t="str">
        <f>IF($A47="","",IF(AND(VALUE(N$7)&gt;$F47,VALUE(N$7)&lt;=$G47),IF($D47="","◇","■"),""))</f>
        <v/>
      </c>
      <c r="O47" s="59" t="str">
        <f>IF($A47="","",IF(AND(VALUE(O$7)&gt;$F47,VALUE(O$7)&lt;=$G47),IF($D47="","◇","■"),""))</f>
        <v/>
      </c>
      <c r="P47" s="59" t="str">
        <f>IF($A47="","",IF(AND(VALUE(P$7)&gt;$F47,VALUE(P$7)&lt;=$G47),IF($D47="","◇","■"),""))</f>
        <v/>
      </c>
      <c r="Q47" s="59" t="str">
        <f>IF($A47="","",IF(AND(VALUE(Q$7)&gt;$F47,VALUE(Q$7)&lt;=$G47),IF($D47="","◇","■"),""))</f>
        <v/>
      </c>
      <c r="R47" s="59" t="str">
        <f>IF($A47="","",IF(AND(VALUE(R$7)&gt;$F47,VALUE(R$7)&lt;=$G47),IF($D47="","◇","■"),""))</f>
        <v/>
      </c>
      <c r="S47" s="59" t="str">
        <f>IF($A47="","",IF(AND(VALUE(S$7)&gt;$F47,VALUE(S$7)&lt;=$G47),IF($D47="","◇","■"),""))</f>
        <v/>
      </c>
      <c r="T47" s="59" t="str">
        <f>IF($A47="","",IF(AND(VALUE(T$7)&gt;$F47,VALUE(T$7)&lt;=$G47),IF($D47="","◇","■"),""))</f>
        <v/>
      </c>
      <c r="U47" s="59" t="str">
        <f>IF($A47="","",IF(AND(VALUE(U$7)&gt;$F47,VALUE(U$7)&lt;=$G47),IF($D47="","◇","■"),""))</f>
        <v/>
      </c>
      <c r="V47" s="59" t="str">
        <f>IF($A47="","",IF(AND(VALUE(V$7)&gt;$F47,VALUE(V$7)&lt;=$G47),IF($D47="","◇","■"),""))</f>
        <v/>
      </c>
      <c r="W47" s="59" t="str">
        <f>IF($A47="","",IF(AND(VALUE(W$7)&gt;$F47,VALUE(W$7)&lt;=$G47),IF($D47="","◇","■"),""))</f>
        <v/>
      </c>
      <c r="X47" s="59" t="str">
        <f>IF($A47="","",IF(AND(VALUE(X$7)&gt;$F47,VALUE(X$7)&lt;=$G47),IF($D47="","◇","■"),""))</f>
        <v/>
      </c>
      <c r="Y47" s="59" t="str">
        <f>IF($A47="","",IF(AND(VALUE(Y$7)&gt;$F47,VALUE(Y$7)&lt;=$G47),IF($D47="","◇","■"),""))</f>
        <v/>
      </c>
      <c r="Z47" s="59" t="str">
        <f>IF($A47="","",IF(AND(VALUE(Z$7)&gt;$F47,VALUE(Z$7)&lt;=$G47),IF($D47="","◇","■"),""))</f>
        <v/>
      </c>
      <c r="AA47" s="59" t="str">
        <f>IF($A47="","",IF(AND(VALUE(AA$7)&gt;$F47,VALUE(AA$7)&lt;=$G47),IF($D47="","◇","■"),""))</f>
        <v/>
      </c>
      <c r="AB47" s="59" t="str">
        <f>IF($A47="","",IF(AND(VALUE(AB$7)&gt;$F47,VALUE(AB$7)&lt;=$G47),IF($D47="","◇","■"),""))</f>
        <v/>
      </c>
      <c r="AC47" s="59" t="str">
        <f>IF($A47="","",IF(AND(VALUE(AC$7)&gt;$F47,VALUE(AC$7)&lt;=$G47),IF($D47="","◇","■"),""))</f>
        <v/>
      </c>
      <c r="AD47" s="59" t="str">
        <f>IF($A47="","",IF(AND(VALUE(AD$7)&gt;$F47,VALUE(AD$7)&lt;=$G47),IF($D47="","◇","■"),""))</f>
        <v/>
      </c>
      <c r="AE47" s="59" t="str">
        <f>IF($A47="","",IF(AND(VALUE(AE$7)&gt;$F47,VALUE(AE$7)&lt;=$G47),IF($D47="","◇","■"),""))</f>
        <v/>
      </c>
      <c r="AF47" s="59" t="str">
        <f>IF($A47="","",IF(AND(VALUE(AF$7)&gt;$F47,VALUE(AF$7)&lt;=$G47),IF($D47="","◇","■"),""))</f>
        <v/>
      </c>
      <c r="AG47" s="59" t="str">
        <f>IF($A47="","",IF(AND(VALUE(AG$7)&gt;$F47,VALUE(AG$7)&lt;=$G47),IF($D47="","◇","■"),""))</f>
        <v/>
      </c>
      <c r="AH47" s="59" t="str">
        <f>IF($A47="","",IF(AND(VALUE(AH$7)&gt;$F47,VALUE(AH$7)&lt;=$G47),IF($D47="","◇","■"),""))</f>
        <v/>
      </c>
      <c r="AI47" s="59" t="str">
        <f>IF($A47="","",IF(AND(VALUE(AI$7)&gt;$F47,VALUE(AI$7)&lt;=$G47),IF($D47="","◇","■"),""))</f>
        <v/>
      </c>
      <c r="AJ47" s="59" t="str">
        <f>IF($A47="","",IF(AND(VALUE(AJ$7)&gt;$F47,VALUE(AJ$7)&lt;=$G47),IF($D47="","◇","■"),""))</f>
        <v/>
      </c>
      <c r="AK47" s="59" t="str">
        <f>IF($A47="","",IF(AND(VALUE(AK$7)&gt;$F47,VALUE(AK$7)&lt;=$G47),IF($D47="","◇","■"),""))</f>
        <v/>
      </c>
      <c r="AL47" s="59" t="str">
        <f>IF($A47="","",IF(AND(VALUE(AL$7)&gt;$F47,VALUE(AL$7)&lt;=$G47),IF($D47="","◇","■"),""))</f>
        <v/>
      </c>
      <c r="AM47" s="59" t="str">
        <f>IF($A47="","",IF(AND(VALUE(AM$7)&gt;$F47,VALUE(AM$7)&lt;=$G47),IF($D47="","◇","■"),""))</f>
        <v/>
      </c>
    </row>
    <row r="48" spans="1:39" ht="18" customHeight="1" x14ac:dyDescent="0.35">
      <c r="A48" s="55" t="str" cm="1">
        <f t="array" ref="A48">IFERROR(INDEX(_xlfn._xlws.FILTER(tblProjectTasks[TaskGroup],(tblProjectTasks[IsWorkPackage]="Yes")*(tblProjectTasks[CaptureStatus]&lt;&gt;"Removed")),ROWS($A$8:A48)),"")</f>
        <v/>
      </c>
      <c r="B48" s="56" t="str" cm="1">
        <f t="array" ref="B48">IFERROR(INDEX(_xlfn._xlws.FILTER(tblProjectTasks[WBSCode],(tblProjectTasks[IsWorkPackage]="Yes")*(tblProjectTasks[CaptureStatus]&lt;&gt;"Removed")),ROWS($B$8:B48)),"")</f>
        <v/>
      </c>
      <c r="C48" s="57" t="str" cm="1">
        <f t="array" ref="C48">IFERROR(INDEX(_xlfn._xlws.FILTER(tblProjectTasks[TaskName],(tblProjectTasks[IsWorkPackage]="Yes")*(tblProjectTasks[CaptureStatus]&lt;&gt;"Removed")),ROWS($C$8:C48)),"")</f>
        <v/>
      </c>
      <c r="D48" s="58" t="str" cm="1">
        <f t="array" ref="D48">_xlfn.LET(_xlpm.x,IFERROR(INDEX(_xlfn._xlws.FILTER(tblProjectTasks[Elapsed Time in Weeks],(tblProjectTasks[IsWorkPackage]="Yes")*(tblProjectTasks[CaptureStatus]&lt;&gt;"Removed")),ROWS($D$8:D48)),""),IF(_xlpm.x=0,"",_xlpm.x))</f>
        <v/>
      </c>
      <c r="E48" s="58" t="str">
        <f>IF($A48="","",IF($D48="",1,$D48))</f>
        <v/>
      </c>
      <c r="F48" s="58" t="str">
        <f>IF($A48="","",IF(ROW()=8,0,$F47+$E47))</f>
        <v/>
      </c>
      <c r="G48" s="58" t="str">
        <f>IF($A48="","",$F48+$E48)</f>
        <v/>
      </c>
      <c r="H48" s="59" t="str">
        <f>IF($A48="","",IF(AND(VALUE(H$7)&gt;$F48,VALUE(H$7)&lt;=$G48),IF($D48="","◇","■"),""))</f>
        <v/>
      </c>
      <c r="I48" s="59" t="str">
        <f>IF($A48="","",IF(AND(VALUE(I$7)&gt;$F48,VALUE(I$7)&lt;=$G48),IF($D48="","◇","■"),""))</f>
        <v/>
      </c>
      <c r="J48" s="59" t="str">
        <f>IF($A48="","",IF(AND(VALUE(J$7)&gt;$F48,VALUE(J$7)&lt;=$G48),IF($D48="","◇","■"),""))</f>
        <v/>
      </c>
      <c r="K48" s="59" t="str">
        <f>IF($A48="","",IF(AND(VALUE(K$7)&gt;$F48,VALUE(K$7)&lt;=$G48),IF($D48="","◇","■"),""))</f>
        <v/>
      </c>
      <c r="L48" s="59" t="str">
        <f>IF($A48="","",IF(AND(VALUE(L$7)&gt;$F48,VALUE(L$7)&lt;=$G48),IF($D48="","◇","■"),""))</f>
        <v/>
      </c>
      <c r="M48" s="59" t="str">
        <f>IF($A48="","",IF(AND(VALUE(M$7)&gt;$F48,VALUE(M$7)&lt;=$G48),IF($D48="","◇","■"),""))</f>
        <v/>
      </c>
      <c r="N48" s="59" t="str">
        <f>IF($A48="","",IF(AND(VALUE(N$7)&gt;$F48,VALUE(N$7)&lt;=$G48),IF($D48="","◇","■"),""))</f>
        <v/>
      </c>
      <c r="O48" s="59" t="str">
        <f>IF($A48="","",IF(AND(VALUE(O$7)&gt;$F48,VALUE(O$7)&lt;=$G48),IF($D48="","◇","■"),""))</f>
        <v/>
      </c>
      <c r="P48" s="59" t="str">
        <f>IF($A48="","",IF(AND(VALUE(P$7)&gt;$F48,VALUE(P$7)&lt;=$G48),IF($D48="","◇","■"),""))</f>
        <v/>
      </c>
      <c r="Q48" s="59" t="str">
        <f>IF($A48="","",IF(AND(VALUE(Q$7)&gt;$F48,VALUE(Q$7)&lt;=$G48),IF($D48="","◇","■"),""))</f>
        <v/>
      </c>
      <c r="R48" s="59" t="str">
        <f>IF($A48="","",IF(AND(VALUE(R$7)&gt;$F48,VALUE(R$7)&lt;=$G48),IF($D48="","◇","■"),""))</f>
        <v/>
      </c>
      <c r="S48" s="59" t="str">
        <f>IF($A48="","",IF(AND(VALUE(S$7)&gt;$F48,VALUE(S$7)&lt;=$G48),IF($D48="","◇","■"),""))</f>
        <v/>
      </c>
      <c r="T48" s="59" t="str">
        <f>IF($A48="","",IF(AND(VALUE(T$7)&gt;$F48,VALUE(T$7)&lt;=$G48),IF($D48="","◇","■"),""))</f>
        <v/>
      </c>
      <c r="U48" s="59" t="str">
        <f>IF($A48="","",IF(AND(VALUE(U$7)&gt;$F48,VALUE(U$7)&lt;=$G48),IF($D48="","◇","■"),""))</f>
        <v/>
      </c>
      <c r="V48" s="59" t="str">
        <f>IF($A48="","",IF(AND(VALUE(V$7)&gt;$F48,VALUE(V$7)&lt;=$G48),IF($D48="","◇","■"),""))</f>
        <v/>
      </c>
      <c r="W48" s="59" t="str">
        <f>IF($A48="","",IF(AND(VALUE(W$7)&gt;$F48,VALUE(W$7)&lt;=$G48),IF($D48="","◇","■"),""))</f>
        <v/>
      </c>
      <c r="X48" s="59" t="str">
        <f>IF($A48="","",IF(AND(VALUE(X$7)&gt;$F48,VALUE(X$7)&lt;=$G48),IF($D48="","◇","■"),""))</f>
        <v/>
      </c>
      <c r="Y48" s="59" t="str">
        <f>IF($A48="","",IF(AND(VALUE(Y$7)&gt;$F48,VALUE(Y$7)&lt;=$G48),IF($D48="","◇","■"),""))</f>
        <v/>
      </c>
      <c r="Z48" s="59" t="str">
        <f>IF($A48="","",IF(AND(VALUE(Z$7)&gt;$F48,VALUE(Z$7)&lt;=$G48),IF($D48="","◇","■"),""))</f>
        <v/>
      </c>
      <c r="AA48" s="59" t="str">
        <f>IF($A48="","",IF(AND(VALUE(AA$7)&gt;$F48,VALUE(AA$7)&lt;=$G48),IF($D48="","◇","■"),""))</f>
        <v/>
      </c>
      <c r="AB48" s="59" t="str">
        <f>IF($A48="","",IF(AND(VALUE(AB$7)&gt;$F48,VALUE(AB$7)&lt;=$G48),IF($D48="","◇","■"),""))</f>
        <v/>
      </c>
      <c r="AC48" s="59" t="str">
        <f>IF($A48="","",IF(AND(VALUE(AC$7)&gt;$F48,VALUE(AC$7)&lt;=$G48),IF($D48="","◇","■"),""))</f>
        <v/>
      </c>
      <c r="AD48" s="59" t="str">
        <f>IF($A48="","",IF(AND(VALUE(AD$7)&gt;$F48,VALUE(AD$7)&lt;=$G48),IF($D48="","◇","■"),""))</f>
        <v/>
      </c>
      <c r="AE48" s="59" t="str">
        <f>IF($A48="","",IF(AND(VALUE(AE$7)&gt;$F48,VALUE(AE$7)&lt;=$G48),IF($D48="","◇","■"),""))</f>
        <v/>
      </c>
      <c r="AF48" s="59" t="str">
        <f>IF($A48="","",IF(AND(VALUE(AF$7)&gt;$F48,VALUE(AF$7)&lt;=$G48),IF($D48="","◇","■"),""))</f>
        <v/>
      </c>
      <c r="AG48" s="59" t="str">
        <f>IF($A48="","",IF(AND(VALUE(AG$7)&gt;$F48,VALUE(AG$7)&lt;=$G48),IF($D48="","◇","■"),""))</f>
        <v/>
      </c>
      <c r="AH48" s="59" t="str">
        <f>IF($A48="","",IF(AND(VALUE(AH$7)&gt;$F48,VALUE(AH$7)&lt;=$G48),IF($D48="","◇","■"),""))</f>
        <v/>
      </c>
      <c r="AI48" s="59" t="str">
        <f>IF($A48="","",IF(AND(VALUE(AI$7)&gt;$F48,VALUE(AI$7)&lt;=$G48),IF($D48="","◇","■"),""))</f>
        <v/>
      </c>
      <c r="AJ48" s="59" t="str">
        <f>IF($A48="","",IF(AND(VALUE(AJ$7)&gt;$F48,VALUE(AJ$7)&lt;=$G48),IF($D48="","◇","■"),""))</f>
        <v/>
      </c>
      <c r="AK48" s="59" t="str">
        <f>IF($A48="","",IF(AND(VALUE(AK$7)&gt;$F48,VALUE(AK$7)&lt;=$G48),IF($D48="","◇","■"),""))</f>
        <v/>
      </c>
      <c r="AL48" s="59" t="str">
        <f>IF($A48="","",IF(AND(VALUE(AL$7)&gt;$F48,VALUE(AL$7)&lt;=$G48),IF($D48="","◇","■"),""))</f>
        <v/>
      </c>
      <c r="AM48" s="59" t="str">
        <f>IF($A48="","",IF(AND(VALUE(AM$7)&gt;$F48,VALUE(AM$7)&lt;=$G48),IF($D48="","◇","■"),""))</f>
        <v/>
      </c>
    </row>
    <row r="49" spans="1:39" ht="18" customHeight="1" x14ac:dyDescent="0.35">
      <c r="A49" s="55" t="str" cm="1">
        <f t="array" ref="A49">IFERROR(INDEX(_xlfn._xlws.FILTER(tblProjectTasks[TaskGroup],(tblProjectTasks[IsWorkPackage]="Yes")*(tblProjectTasks[CaptureStatus]&lt;&gt;"Removed")),ROWS($A$8:A49)),"")</f>
        <v/>
      </c>
      <c r="B49" s="56" t="str" cm="1">
        <f t="array" ref="B49">IFERROR(INDEX(_xlfn._xlws.FILTER(tblProjectTasks[WBSCode],(tblProjectTasks[IsWorkPackage]="Yes")*(tblProjectTasks[CaptureStatus]&lt;&gt;"Removed")),ROWS($B$8:B49)),"")</f>
        <v/>
      </c>
      <c r="C49" s="57" t="str" cm="1">
        <f t="array" ref="C49">IFERROR(INDEX(_xlfn._xlws.FILTER(tblProjectTasks[TaskName],(tblProjectTasks[IsWorkPackage]="Yes")*(tblProjectTasks[CaptureStatus]&lt;&gt;"Removed")),ROWS($C$8:C49)),"")</f>
        <v/>
      </c>
      <c r="D49" s="58" t="str" cm="1">
        <f t="array" ref="D49">_xlfn.LET(_xlpm.x,IFERROR(INDEX(_xlfn._xlws.FILTER(tblProjectTasks[Elapsed Time in Weeks],(tblProjectTasks[IsWorkPackage]="Yes")*(tblProjectTasks[CaptureStatus]&lt;&gt;"Removed")),ROWS($D$8:D49)),""),IF(_xlpm.x=0,"",_xlpm.x))</f>
        <v/>
      </c>
      <c r="E49" s="58" t="str">
        <f>IF($A49="","",IF($D49="",1,$D49))</f>
        <v/>
      </c>
      <c r="F49" s="58" t="str">
        <f>IF($A49="","",IF(ROW()=8,0,$F48+$E48))</f>
        <v/>
      </c>
      <c r="G49" s="58" t="str">
        <f>IF($A49="","",$F49+$E49)</f>
        <v/>
      </c>
      <c r="H49" s="59" t="str">
        <f>IF($A49="","",IF(AND(VALUE(H$7)&gt;$F49,VALUE(H$7)&lt;=$G49),IF($D49="","◇","■"),""))</f>
        <v/>
      </c>
      <c r="I49" s="59" t="str">
        <f>IF($A49="","",IF(AND(VALUE(I$7)&gt;$F49,VALUE(I$7)&lt;=$G49),IF($D49="","◇","■"),""))</f>
        <v/>
      </c>
      <c r="J49" s="59" t="str">
        <f>IF($A49="","",IF(AND(VALUE(J$7)&gt;$F49,VALUE(J$7)&lt;=$G49),IF($D49="","◇","■"),""))</f>
        <v/>
      </c>
      <c r="K49" s="59" t="str">
        <f>IF($A49="","",IF(AND(VALUE(K$7)&gt;$F49,VALUE(K$7)&lt;=$G49),IF($D49="","◇","■"),""))</f>
        <v/>
      </c>
      <c r="L49" s="59" t="str">
        <f>IF($A49="","",IF(AND(VALUE(L$7)&gt;$F49,VALUE(L$7)&lt;=$G49),IF($D49="","◇","■"),""))</f>
        <v/>
      </c>
      <c r="M49" s="59" t="str">
        <f>IF($A49="","",IF(AND(VALUE(M$7)&gt;$F49,VALUE(M$7)&lt;=$G49),IF($D49="","◇","■"),""))</f>
        <v/>
      </c>
      <c r="N49" s="59" t="str">
        <f>IF($A49="","",IF(AND(VALUE(N$7)&gt;$F49,VALUE(N$7)&lt;=$G49),IF($D49="","◇","■"),""))</f>
        <v/>
      </c>
      <c r="O49" s="59" t="str">
        <f>IF($A49="","",IF(AND(VALUE(O$7)&gt;$F49,VALUE(O$7)&lt;=$G49),IF($D49="","◇","■"),""))</f>
        <v/>
      </c>
      <c r="P49" s="59" t="str">
        <f>IF($A49="","",IF(AND(VALUE(P$7)&gt;$F49,VALUE(P$7)&lt;=$G49),IF($D49="","◇","■"),""))</f>
        <v/>
      </c>
      <c r="Q49" s="59" t="str">
        <f>IF($A49="","",IF(AND(VALUE(Q$7)&gt;$F49,VALUE(Q$7)&lt;=$G49),IF($D49="","◇","■"),""))</f>
        <v/>
      </c>
      <c r="R49" s="59" t="str">
        <f>IF($A49="","",IF(AND(VALUE(R$7)&gt;$F49,VALUE(R$7)&lt;=$G49),IF($D49="","◇","■"),""))</f>
        <v/>
      </c>
      <c r="S49" s="59" t="str">
        <f>IF($A49="","",IF(AND(VALUE(S$7)&gt;$F49,VALUE(S$7)&lt;=$G49),IF($D49="","◇","■"),""))</f>
        <v/>
      </c>
      <c r="T49" s="59" t="str">
        <f>IF($A49="","",IF(AND(VALUE(T$7)&gt;$F49,VALUE(T$7)&lt;=$G49),IF($D49="","◇","■"),""))</f>
        <v/>
      </c>
      <c r="U49" s="59" t="str">
        <f>IF($A49="","",IF(AND(VALUE(U$7)&gt;$F49,VALUE(U$7)&lt;=$G49),IF($D49="","◇","■"),""))</f>
        <v/>
      </c>
      <c r="V49" s="59" t="str">
        <f>IF($A49="","",IF(AND(VALUE(V$7)&gt;$F49,VALUE(V$7)&lt;=$G49),IF($D49="","◇","■"),""))</f>
        <v/>
      </c>
      <c r="W49" s="59" t="str">
        <f>IF($A49="","",IF(AND(VALUE(W$7)&gt;$F49,VALUE(W$7)&lt;=$G49),IF($D49="","◇","■"),""))</f>
        <v/>
      </c>
      <c r="X49" s="59" t="str">
        <f>IF($A49="","",IF(AND(VALUE(X$7)&gt;$F49,VALUE(X$7)&lt;=$G49),IF($D49="","◇","■"),""))</f>
        <v/>
      </c>
      <c r="Y49" s="59" t="str">
        <f>IF($A49="","",IF(AND(VALUE(Y$7)&gt;$F49,VALUE(Y$7)&lt;=$G49),IF($D49="","◇","■"),""))</f>
        <v/>
      </c>
      <c r="Z49" s="59" t="str">
        <f>IF($A49="","",IF(AND(VALUE(Z$7)&gt;$F49,VALUE(Z$7)&lt;=$G49),IF($D49="","◇","■"),""))</f>
        <v/>
      </c>
      <c r="AA49" s="59" t="str">
        <f>IF($A49="","",IF(AND(VALUE(AA$7)&gt;$F49,VALUE(AA$7)&lt;=$G49),IF($D49="","◇","■"),""))</f>
        <v/>
      </c>
      <c r="AB49" s="59" t="str">
        <f>IF($A49="","",IF(AND(VALUE(AB$7)&gt;$F49,VALUE(AB$7)&lt;=$G49),IF($D49="","◇","■"),""))</f>
        <v/>
      </c>
      <c r="AC49" s="59" t="str">
        <f>IF($A49="","",IF(AND(VALUE(AC$7)&gt;$F49,VALUE(AC$7)&lt;=$G49),IF($D49="","◇","■"),""))</f>
        <v/>
      </c>
      <c r="AD49" s="59" t="str">
        <f>IF($A49="","",IF(AND(VALUE(AD$7)&gt;$F49,VALUE(AD$7)&lt;=$G49),IF($D49="","◇","■"),""))</f>
        <v/>
      </c>
      <c r="AE49" s="59" t="str">
        <f>IF($A49="","",IF(AND(VALUE(AE$7)&gt;$F49,VALUE(AE$7)&lt;=$G49),IF($D49="","◇","■"),""))</f>
        <v/>
      </c>
      <c r="AF49" s="59" t="str">
        <f>IF($A49="","",IF(AND(VALUE(AF$7)&gt;$F49,VALUE(AF$7)&lt;=$G49),IF($D49="","◇","■"),""))</f>
        <v/>
      </c>
      <c r="AG49" s="59" t="str">
        <f>IF($A49="","",IF(AND(VALUE(AG$7)&gt;$F49,VALUE(AG$7)&lt;=$G49),IF($D49="","◇","■"),""))</f>
        <v/>
      </c>
      <c r="AH49" s="59" t="str">
        <f>IF($A49="","",IF(AND(VALUE(AH$7)&gt;$F49,VALUE(AH$7)&lt;=$G49),IF($D49="","◇","■"),""))</f>
        <v/>
      </c>
      <c r="AI49" s="59" t="str">
        <f>IF($A49="","",IF(AND(VALUE(AI$7)&gt;$F49,VALUE(AI$7)&lt;=$G49),IF($D49="","◇","■"),""))</f>
        <v/>
      </c>
      <c r="AJ49" s="59" t="str">
        <f>IF($A49="","",IF(AND(VALUE(AJ$7)&gt;$F49,VALUE(AJ$7)&lt;=$G49),IF($D49="","◇","■"),""))</f>
        <v/>
      </c>
      <c r="AK49" s="59" t="str">
        <f>IF($A49="","",IF(AND(VALUE(AK$7)&gt;$F49,VALUE(AK$7)&lt;=$G49),IF($D49="","◇","■"),""))</f>
        <v/>
      </c>
      <c r="AL49" s="59" t="str">
        <f>IF($A49="","",IF(AND(VALUE(AL$7)&gt;$F49,VALUE(AL$7)&lt;=$G49),IF($D49="","◇","■"),""))</f>
        <v/>
      </c>
      <c r="AM49" s="59" t="str">
        <f>IF($A49="","",IF(AND(VALUE(AM$7)&gt;$F49,VALUE(AM$7)&lt;=$G49),IF($D49="","◇","■"),""))</f>
        <v/>
      </c>
    </row>
    <row r="50" spans="1:39" ht="18" customHeight="1" x14ac:dyDescent="0.35">
      <c r="A50" s="55" t="str" cm="1">
        <f t="array" ref="A50">IFERROR(INDEX(_xlfn._xlws.FILTER(tblProjectTasks[TaskGroup],(tblProjectTasks[IsWorkPackage]="Yes")*(tblProjectTasks[CaptureStatus]&lt;&gt;"Removed")),ROWS($A$8:A50)),"")</f>
        <v/>
      </c>
      <c r="B50" s="56" t="str" cm="1">
        <f t="array" ref="B50">IFERROR(INDEX(_xlfn._xlws.FILTER(tblProjectTasks[WBSCode],(tblProjectTasks[IsWorkPackage]="Yes")*(tblProjectTasks[CaptureStatus]&lt;&gt;"Removed")),ROWS($B$8:B50)),"")</f>
        <v/>
      </c>
      <c r="C50" s="57" t="str" cm="1">
        <f t="array" ref="C50">IFERROR(INDEX(_xlfn._xlws.FILTER(tblProjectTasks[TaskName],(tblProjectTasks[IsWorkPackage]="Yes")*(tblProjectTasks[CaptureStatus]&lt;&gt;"Removed")),ROWS($C$8:C50)),"")</f>
        <v/>
      </c>
      <c r="D50" s="58" t="str" cm="1">
        <f t="array" ref="D50">_xlfn.LET(_xlpm.x,IFERROR(INDEX(_xlfn._xlws.FILTER(tblProjectTasks[Elapsed Time in Weeks],(tblProjectTasks[IsWorkPackage]="Yes")*(tblProjectTasks[CaptureStatus]&lt;&gt;"Removed")),ROWS($D$8:D50)),""),IF(_xlpm.x=0,"",_xlpm.x))</f>
        <v/>
      </c>
      <c r="E50" s="58" t="str">
        <f>IF($A50="","",IF($D50="",1,$D50))</f>
        <v/>
      </c>
      <c r="F50" s="58" t="str">
        <f>IF($A50="","",IF(ROW()=8,0,$F49+$E49))</f>
        <v/>
      </c>
      <c r="G50" s="58" t="str">
        <f>IF($A50="","",$F50+$E50)</f>
        <v/>
      </c>
      <c r="H50" s="59" t="str">
        <f>IF($A50="","",IF(AND(VALUE(H$7)&gt;$F50,VALUE(H$7)&lt;=$G50),IF($D50="","◇","■"),""))</f>
        <v/>
      </c>
      <c r="I50" s="59" t="str">
        <f>IF($A50="","",IF(AND(VALUE(I$7)&gt;$F50,VALUE(I$7)&lt;=$G50),IF($D50="","◇","■"),""))</f>
        <v/>
      </c>
      <c r="J50" s="59" t="str">
        <f>IF($A50="","",IF(AND(VALUE(J$7)&gt;$F50,VALUE(J$7)&lt;=$G50),IF($D50="","◇","■"),""))</f>
        <v/>
      </c>
      <c r="K50" s="59" t="str">
        <f>IF($A50="","",IF(AND(VALUE(K$7)&gt;$F50,VALUE(K$7)&lt;=$G50),IF($D50="","◇","■"),""))</f>
        <v/>
      </c>
      <c r="L50" s="59" t="str">
        <f>IF($A50="","",IF(AND(VALUE(L$7)&gt;$F50,VALUE(L$7)&lt;=$G50),IF($D50="","◇","■"),""))</f>
        <v/>
      </c>
      <c r="M50" s="59" t="str">
        <f>IF($A50="","",IF(AND(VALUE(M$7)&gt;$F50,VALUE(M$7)&lt;=$G50),IF($D50="","◇","■"),""))</f>
        <v/>
      </c>
      <c r="N50" s="59" t="str">
        <f>IF($A50="","",IF(AND(VALUE(N$7)&gt;$F50,VALUE(N$7)&lt;=$G50),IF($D50="","◇","■"),""))</f>
        <v/>
      </c>
      <c r="O50" s="59" t="str">
        <f>IF($A50="","",IF(AND(VALUE(O$7)&gt;$F50,VALUE(O$7)&lt;=$G50),IF($D50="","◇","■"),""))</f>
        <v/>
      </c>
      <c r="P50" s="59" t="str">
        <f>IF($A50="","",IF(AND(VALUE(P$7)&gt;$F50,VALUE(P$7)&lt;=$G50),IF($D50="","◇","■"),""))</f>
        <v/>
      </c>
      <c r="Q50" s="59" t="str">
        <f>IF($A50="","",IF(AND(VALUE(Q$7)&gt;$F50,VALUE(Q$7)&lt;=$G50),IF($D50="","◇","■"),""))</f>
        <v/>
      </c>
      <c r="R50" s="59" t="str">
        <f>IF($A50="","",IF(AND(VALUE(R$7)&gt;$F50,VALUE(R$7)&lt;=$G50),IF($D50="","◇","■"),""))</f>
        <v/>
      </c>
      <c r="S50" s="59" t="str">
        <f>IF($A50="","",IF(AND(VALUE(S$7)&gt;$F50,VALUE(S$7)&lt;=$G50),IF($D50="","◇","■"),""))</f>
        <v/>
      </c>
      <c r="T50" s="59" t="str">
        <f>IF($A50="","",IF(AND(VALUE(T$7)&gt;$F50,VALUE(T$7)&lt;=$G50),IF($D50="","◇","■"),""))</f>
        <v/>
      </c>
      <c r="U50" s="59" t="str">
        <f>IF($A50="","",IF(AND(VALUE(U$7)&gt;$F50,VALUE(U$7)&lt;=$G50),IF($D50="","◇","■"),""))</f>
        <v/>
      </c>
      <c r="V50" s="59" t="str">
        <f>IF($A50="","",IF(AND(VALUE(V$7)&gt;$F50,VALUE(V$7)&lt;=$G50),IF($D50="","◇","■"),""))</f>
        <v/>
      </c>
      <c r="W50" s="59" t="str">
        <f>IF($A50="","",IF(AND(VALUE(W$7)&gt;$F50,VALUE(W$7)&lt;=$G50),IF($D50="","◇","■"),""))</f>
        <v/>
      </c>
      <c r="X50" s="59" t="str">
        <f>IF($A50="","",IF(AND(VALUE(X$7)&gt;$F50,VALUE(X$7)&lt;=$G50),IF($D50="","◇","■"),""))</f>
        <v/>
      </c>
      <c r="Y50" s="59" t="str">
        <f>IF($A50="","",IF(AND(VALUE(Y$7)&gt;$F50,VALUE(Y$7)&lt;=$G50),IF($D50="","◇","■"),""))</f>
        <v/>
      </c>
      <c r="Z50" s="59" t="str">
        <f>IF($A50="","",IF(AND(VALUE(Z$7)&gt;$F50,VALUE(Z$7)&lt;=$G50),IF($D50="","◇","■"),""))</f>
        <v/>
      </c>
      <c r="AA50" s="59" t="str">
        <f>IF($A50="","",IF(AND(VALUE(AA$7)&gt;$F50,VALUE(AA$7)&lt;=$G50),IF($D50="","◇","■"),""))</f>
        <v/>
      </c>
      <c r="AB50" s="59" t="str">
        <f>IF($A50="","",IF(AND(VALUE(AB$7)&gt;$F50,VALUE(AB$7)&lt;=$G50),IF($D50="","◇","■"),""))</f>
        <v/>
      </c>
      <c r="AC50" s="59" t="str">
        <f>IF($A50="","",IF(AND(VALUE(AC$7)&gt;$F50,VALUE(AC$7)&lt;=$G50),IF($D50="","◇","■"),""))</f>
        <v/>
      </c>
      <c r="AD50" s="59" t="str">
        <f>IF($A50="","",IF(AND(VALUE(AD$7)&gt;$F50,VALUE(AD$7)&lt;=$G50),IF($D50="","◇","■"),""))</f>
        <v/>
      </c>
      <c r="AE50" s="59" t="str">
        <f>IF($A50="","",IF(AND(VALUE(AE$7)&gt;$F50,VALUE(AE$7)&lt;=$G50),IF($D50="","◇","■"),""))</f>
        <v/>
      </c>
      <c r="AF50" s="59" t="str">
        <f>IF($A50="","",IF(AND(VALUE(AF$7)&gt;$F50,VALUE(AF$7)&lt;=$G50),IF($D50="","◇","■"),""))</f>
        <v/>
      </c>
      <c r="AG50" s="59" t="str">
        <f>IF($A50="","",IF(AND(VALUE(AG$7)&gt;$F50,VALUE(AG$7)&lt;=$G50),IF($D50="","◇","■"),""))</f>
        <v/>
      </c>
      <c r="AH50" s="59" t="str">
        <f>IF($A50="","",IF(AND(VALUE(AH$7)&gt;$F50,VALUE(AH$7)&lt;=$G50),IF($D50="","◇","■"),""))</f>
        <v/>
      </c>
      <c r="AI50" s="59" t="str">
        <f>IF($A50="","",IF(AND(VALUE(AI$7)&gt;$F50,VALUE(AI$7)&lt;=$G50),IF($D50="","◇","■"),""))</f>
        <v/>
      </c>
      <c r="AJ50" s="59" t="str">
        <f>IF($A50="","",IF(AND(VALUE(AJ$7)&gt;$F50,VALUE(AJ$7)&lt;=$G50),IF($D50="","◇","■"),""))</f>
        <v/>
      </c>
      <c r="AK50" s="59" t="str">
        <f>IF($A50="","",IF(AND(VALUE(AK$7)&gt;$F50,VALUE(AK$7)&lt;=$G50),IF($D50="","◇","■"),""))</f>
        <v/>
      </c>
      <c r="AL50" s="59" t="str">
        <f>IF($A50="","",IF(AND(VALUE(AL$7)&gt;$F50,VALUE(AL$7)&lt;=$G50),IF($D50="","◇","■"),""))</f>
        <v/>
      </c>
      <c r="AM50" s="59" t="str">
        <f>IF($A50="","",IF(AND(VALUE(AM$7)&gt;$F50,VALUE(AM$7)&lt;=$G50),IF($D50="","◇","■"),""))</f>
        <v/>
      </c>
    </row>
    <row r="51" spans="1:39" ht="18" customHeight="1" x14ac:dyDescent="0.35">
      <c r="A51" s="55" t="str" cm="1">
        <f t="array" ref="A51">IFERROR(INDEX(_xlfn._xlws.FILTER(tblProjectTasks[TaskGroup],(tblProjectTasks[IsWorkPackage]="Yes")*(tblProjectTasks[CaptureStatus]&lt;&gt;"Removed")),ROWS($A$8:A51)),"")</f>
        <v/>
      </c>
      <c r="B51" s="56" t="str" cm="1">
        <f t="array" ref="B51">IFERROR(INDEX(_xlfn._xlws.FILTER(tblProjectTasks[WBSCode],(tblProjectTasks[IsWorkPackage]="Yes")*(tblProjectTasks[CaptureStatus]&lt;&gt;"Removed")),ROWS($B$8:B51)),"")</f>
        <v/>
      </c>
      <c r="C51" s="57" t="str" cm="1">
        <f t="array" ref="C51">IFERROR(INDEX(_xlfn._xlws.FILTER(tblProjectTasks[TaskName],(tblProjectTasks[IsWorkPackage]="Yes")*(tblProjectTasks[CaptureStatus]&lt;&gt;"Removed")),ROWS($C$8:C51)),"")</f>
        <v/>
      </c>
      <c r="D51" s="58" t="str" cm="1">
        <f t="array" ref="D51">_xlfn.LET(_xlpm.x,IFERROR(INDEX(_xlfn._xlws.FILTER(tblProjectTasks[Elapsed Time in Weeks],(tblProjectTasks[IsWorkPackage]="Yes")*(tblProjectTasks[CaptureStatus]&lt;&gt;"Removed")),ROWS($D$8:D51)),""),IF(_xlpm.x=0,"",_xlpm.x))</f>
        <v/>
      </c>
      <c r="E51" s="58" t="str">
        <f>IF($A51="","",IF($D51="",1,$D51))</f>
        <v/>
      </c>
      <c r="F51" s="58" t="str">
        <f>IF($A51="","",IF(ROW()=8,0,$F50+$E50))</f>
        <v/>
      </c>
      <c r="G51" s="58" t="str">
        <f>IF($A51="","",$F51+$E51)</f>
        <v/>
      </c>
      <c r="H51" s="59" t="str">
        <f>IF($A51="","",IF(AND(VALUE(H$7)&gt;$F51,VALUE(H$7)&lt;=$G51),IF($D51="","◇","■"),""))</f>
        <v/>
      </c>
      <c r="I51" s="59" t="str">
        <f>IF($A51="","",IF(AND(VALUE(I$7)&gt;$F51,VALUE(I$7)&lt;=$G51),IF($D51="","◇","■"),""))</f>
        <v/>
      </c>
      <c r="J51" s="59" t="str">
        <f>IF($A51="","",IF(AND(VALUE(J$7)&gt;$F51,VALUE(J$7)&lt;=$G51),IF($D51="","◇","■"),""))</f>
        <v/>
      </c>
      <c r="K51" s="59" t="str">
        <f>IF($A51="","",IF(AND(VALUE(K$7)&gt;$F51,VALUE(K$7)&lt;=$G51),IF($D51="","◇","■"),""))</f>
        <v/>
      </c>
      <c r="L51" s="59" t="str">
        <f>IF($A51="","",IF(AND(VALUE(L$7)&gt;$F51,VALUE(L$7)&lt;=$G51),IF($D51="","◇","■"),""))</f>
        <v/>
      </c>
      <c r="M51" s="59" t="str">
        <f>IF($A51="","",IF(AND(VALUE(M$7)&gt;$F51,VALUE(M$7)&lt;=$G51),IF($D51="","◇","■"),""))</f>
        <v/>
      </c>
      <c r="N51" s="59" t="str">
        <f>IF($A51="","",IF(AND(VALUE(N$7)&gt;$F51,VALUE(N$7)&lt;=$G51),IF($D51="","◇","■"),""))</f>
        <v/>
      </c>
      <c r="O51" s="59" t="str">
        <f>IF($A51="","",IF(AND(VALUE(O$7)&gt;$F51,VALUE(O$7)&lt;=$G51),IF($D51="","◇","■"),""))</f>
        <v/>
      </c>
      <c r="P51" s="59" t="str">
        <f>IF($A51="","",IF(AND(VALUE(P$7)&gt;$F51,VALUE(P$7)&lt;=$G51),IF($D51="","◇","■"),""))</f>
        <v/>
      </c>
      <c r="Q51" s="59" t="str">
        <f>IF($A51="","",IF(AND(VALUE(Q$7)&gt;$F51,VALUE(Q$7)&lt;=$G51),IF($D51="","◇","■"),""))</f>
        <v/>
      </c>
      <c r="R51" s="59" t="str">
        <f>IF($A51="","",IF(AND(VALUE(R$7)&gt;$F51,VALUE(R$7)&lt;=$G51),IF($D51="","◇","■"),""))</f>
        <v/>
      </c>
      <c r="S51" s="59" t="str">
        <f>IF($A51="","",IF(AND(VALUE(S$7)&gt;$F51,VALUE(S$7)&lt;=$G51),IF($D51="","◇","■"),""))</f>
        <v/>
      </c>
      <c r="T51" s="59" t="str">
        <f>IF($A51="","",IF(AND(VALUE(T$7)&gt;$F51,VALUE(T$7)&lt;=$G51),IF($D51="","◇","■"),""))</f>
        <v/>
      </c>
      <c r="U51" s="59" t="str">
        <f>IF($A51="","",IF(AND(VALUE(U$7)&gt;$F51,VALUE(U$7)&lt;=$G51),IF($D51="","◇","■"),""))</f>
        <v/>
      </c>
      <c r="V51" s="59" t="str">
        <f>IF($A51="","",IF(AND(VALUE(V$7)&gt;$F51,VALUE(V$7)&lt;=$G51),IF($D51="","◇","■"),""))</f>
        <v/>
      </c>
      <c r="W51" s="59" t="str">
        <f>IF($A51="","",IF(AND(VALUE(W$7)&gt;$F51,VALUE(W$7)&lt;=$G51),IF($D51="","◇","■"),""))</f>
        <v/>
      </c>
      <c r="X51" s="59" t="str">
        <f>IF($A51="","",IF(AND(VALUE(X$7)&gt;$F51,VALUE(X$7)&lt;=$G51),IF($D51="","◇","■"),""))</f>
        <v/>
      </c>
      <c r="Y51" s="59" t="str">
        <f>IF($A51="","",IF(AND(VALUE(Y$7)&gt;$F51,VALUE(Y$7)&lt;=$G51),IF($D51="","◇","■"),""))</f>
        <v/>
      </c>
      <c r="Z51" s="59" t="str">
        <f>IF($A51="","",IF(AND(VALUE(Z$7)&gt;$F51,VALUE(Z$7)&lt;=$G51),IF($D51="","◇","■"),""))</f>
        <v/>
      </c>
      <c r="AA51" s="59" t="str">
        <f>IF($A51="","",IF(AND(VALUE(AA$7)&gt;$F51,VALUE(AA$7)&lt;=$G51),IF($D51="","◇","■"),""))</f>
        <v/>
      </c>
      <c r="AB51" s="59" t="str">
        <f>IF($A51="","",IF(AND(VALUE(AB$7)&gt;$F51,VALUE(AB$7)&lt;=$G51),IF($D51="","◇","■"),""))</f>
        <v/>
      </c>
      <c r="AC51" s="59" t="str">
        <f>IF($A51="","",IF(AND(VALUE(AC$7)&gt;$F51,VALUE(AC$7)&lt;=$G51),IF($D51="","◇","■"),""))</f>
        <v/>
      </c>
      <c r="AD51" s="59" t="str">
        <f>IF($A51="","",IF(AND(VALUE(AD$7)&gt;$F51,VALUE(AD$7)&lt;=$G51),IF($D51="","◇","■"),""))</f>
        <v/>
      </c>
      <c r="AE51" s="59" t="str">
        <f>IF($A51="","",IF(AND(VALUE(AE$7)&gt;$F51,VALUE(AE$7)&lt;=$G51),IF($D51="","◇","■"),""))</f>
        <v/>
      </c>
      <c r="AF51" s="59" t="str">
        <f>IF($A51="","",IF(AND(VALUE(AF$7)&gt;$F51,VALUE(AF$7)&lt;=$G51),IF($D51="","◇","■"),""))</f>
        <v/>
      </c>
      <c r="AG51" s="59" t="str">
        <f>IF($A51="","",IF(AND(VALUE(AG$7)&gt;$F51,VALUE(AG$7)&lt;=$G51),IF($D51="","◇","■"),""))</f>
        <v/>
      </c>
      <c r="AH51" s="59" t="str">
        <f>IF($A51="","",IF(AND(VALUE(AH$7)&gt;$F51,VALUE(AH$7)&lt;=$G51),IF($D51="","◇","■"),""))</f>
        <v/>
      </c>
      <c r="AI51" s="59" t="str">
        <f>IF($A51="","",IF(AND(VALUE(AI$7)&gt;$F51,VALUE(AI$7)&lt;=$G51),IF($D51="","◇","■"),""))</f>
        <v/>
      </c>
      <c r="AJ51" s="59" t="str">
        <f>IF($A51="","",IF(AND(VALUE(AJ$7)&gt;$F51,VALUE(AJ$7)&lt;=$G51),IF($D51="","◇","■"),""))</f>
        <v/>
      </c>
      <c r="AK51" s="59" t="str">
        <f>IF($A51="","",IF(AND(VALUE(AK$7)&gt;$F51,VALUE(AK$7)&lt;=$G51),IF($D51="","◇","■"),""))</f>
        <v/>
      </c>
      <c r="AL51" s="59" t="str">
        <f>IF($A51="","",IF(AND(VALUE(AL$7)&gt;$F51,VALUE(AL$7)&lt;=$G51),IF($D51="","◇","■"),""))</f>
        <v/>
      </c>
      <c r="AM51" s="59" t="str">
        <f>IF($A51="","",IF(AND(VALUE(AM$7)&gt;$F51,VALUE(AM$7)&lt;=$G51),IF($D51="","◇","■"),""))</f>
        <v/>
      </c>
    </row>
    <row r="52" spans="1:39" ht="18" customHeight="1" x14ac:dyDescent="0.35">
      <c r="A52" s="55" t="str" cm="1">
        <f t="array" ref="A52">IFERROR(INDEX(_xlfn._xlws.FILTER(tblProjectTasks[TaskGroup],(tblProjectTasks[IsWorkPackage]="Yes")*(tblProjectTasks[CaptureStatus]&lt;&gt;"Removed")),ROWS($A$8:A52)),"")</f>
        <v/>
      </c>
      <c r="B52" s="56" t="str" cm="1">
        <f t="array" ref="B52">IFERROR(INDEX(_xlfn._xlws.FILTER(tblProjectTasks[WBSCode],(tblProjectTasks[IsWorkPackage]="Yes")*(tblProjectTasks[CaptureStatus]&lt;&gt;"Removed")),ROWS($B$8:B52)),"")</f>
        <v/>
      </c>
      <c r="C52" s="57" t="str" cm="1">
        <f t="array" ref="C52">IFERROR(INDEX(_xlfn._xlws.FILTER(tblProjectTasks[TaskName],(tblProjectTasks[IsWorkPackage]="Yes")*(tblProjectTasks[CaptureStatus]&lt;&gt;"Removed")),ROWS($C$8:C52)),"")</f>
        <v/>
      </c>
      <c r="D52" s="58" t="str" cm="1">
        <f t="array" ref="D52">_xlfn.LET(_xlpm.x,IFERROR(INDEX(_xlfn._xlws.FILTER(tblProjectTasks[Elapsed Time in Weeks],(tblProjectTasks[IsWorkPackage]="Yes")*(tblProjectTasks[CaptureStatus]&lt;&gt;"Removed")),ROWS($D$8:D52)),""),IF(_xlpm.x=0,"",_xlpm.x))</f>
        <v/>
      </c>
      <c r="E52" s="58" t="str">
        <f>IF($A52="","",IF($D52="",1,$D52))</f>
        <v/>
      </c>
      <c r="F52" s="58" t="str">
        <f>IF($A52="","",IF(ROW()=8,0,$F51+$E51))</f>
        <v/>
      </c>
      <c r="G52" s="58" t="str">
        <f>IF($A52="","",$F52+$E52)</f>
        <v/>
      </c>
      <c r="H52" s="59" t="str">
        <f>IF($A52="","",IF(AND(VALUE(H$7)&gt;$F52,VALUE(H$7)&lt;=$G52),IF($D52="","◇","■"),""))</f>
        <v/>
      </c>
      <c r="I52" s="59" t="str">
        <f>IF($A52="","",IF(AND(VALUE(I$7)&gt;$F52,VALUE(I$7)&lt;=$G52),IF($D52="","◇","■"),""))</f>
        <v/>
      </c>
      <c r="J52" s="59" t="str">
        <f>IF($A52="","",IF(AND(VALUE(J$7)&gt;$F52,VALUE(J$7)&lt;=$G52),IF($D52="","◇","■"),""))</f>
        <v/>
      </c>
      <c r="K52" s="59" t="str">
        <f>IF($A52="","",IF(AND(VALUE(K$7)&gt;$F52,VALUE(K$7)&lt;=$G52),IF($D52="","◇","■"),""))</f>
        <v/>
      </c>
      <c r="L52" s="59" t="str">
        <f>IF($A52="","",IF(AND(VALUE(L$7)&gt;$F52,VALUE(L$7)&lt;=$G52),IF($D52="","◇","■"),""))</f>
        <v/>
      </c>
      <c r="M52" s="59" t="str">
        <f>IF($A52="","",IF(AND(VALUE(M$7)&gt;$F52,VALUE(M$7)&lt;=$G52),IF($D52="","◇","■"),""))</f>
        <v/>
      </c>
      <c r="N52" s="59" t="str">
        <f>IF($A52="","",IF(AND(VALUE(N$7)&gt;$F52,VALUE(N$7)&lt;=$G52),IF($D52="","◇","■"),""))</f>
        <v/>
      </c>
      <c r="O52" s="59" t="str">
        <f>IF($A52="","",IF(AND(VALUE(O$7)&gt;$F52,VALUE(O$7)&lt;=$G52),IF($D52="","◇","■"),""))</f>
        <v/>
      </c>
      <c r="P52" s="59" t="str">
        <f>IF($A52="","",IF(AND(VALUE(P$7)&gt;$F52,VALUE(P$7)&lt;=$G52),IF($D52="","◇","■"),""))</f>
        <v/>
      </c>
      <c r="Q52" s="59" t="str">
        <f>IF($A52="","",IF(AND(VALUE(Q$7)&gt;$F52,VALUE(Q$7)&lt;=$G52),IF($D52="","◇","■"),""))</f>
        <v/>
      </c>
      <c r="R52" s="59" t="str">
        <f>IF($A52="","",IF(AND(VALUE(R$7)&gt;$F52,VALUE(R$7)&lt;=$G52),IF($D52="","◇","■"),""))</f>
        <v/>
      </c>
      <c r="S52" s="59" t="str">
        <f>IF($A52="","",IF(AND(VALUE(S$7)&gt;$F52,VALUE(S$7)&lt;=$G52),IF($D52="","◇","■"),""))</f>
        <v/>
      </c>
      <c r="T52" s="59" t="str">
        <f>IF($A52="","",IF(AND(VALUE(T$7)&gt;$F52,VALUE(T$7)&lt;=$G52),IF($D52="","◇","■"),""))</f>
        <v/>
      </c>
      <c r="U52" s="59" t="str">
        <f>IF($A52="","",IF(AND(VALUE(U$7)&gt;$F52,VALUE(U$7)&lt;=$G52),IF($D52="","◇","■"),""))</f>
        <v/>
      </c>
      <c r="V52" s="59" t="str">
        <f>IF($A52="","",IF(AND(VALUE(V$7)&gt;$F52,VALUE(V$7)&lt;=$G52),IF($D52="","◇","■"),""))</f>
        <v/>
      </c>
      <c r="W52" s="59" t="str">
        <f>IF($A52="","",IF(AND(VALUE(W$7)&gt;$F52,VALUE(W$7)&lt;=$G52),IF($D52="","◇","■"),""))</f>
        <v/>
      </c>
      <c r="X52" s="59" t="str">
        <f>IF($A52="","",IF(AND(VALUE(X$7)&gt;$F52,VALUE(X$7)&lt;=$G52),IF($D52="","◇","■"),""))</f>
        <v/>
      </c>
      <c r="Y52" s="59" t="str">
        <f>IF($A52="","",IF(AND(VALUE(Y$7)&gt;$F52,VALUE(Y$7)&lt;=$G52),IF($D52="","◇","■"),""))</f>
        <v/>
      </c>
      <c r="Z52" s="59" t="str">
        <f>IF($A52="","",IF(AND(VALUE(Z$7)&gt;$F52,VALUE(Z$7)&lt;=$G52),IF($D52="","◇","■"),""))</f>
        <v/>
      </c>
      <c r="AA52" s="59" t="str">
        <f>IF($A52="","",IF(AND(VALUE(AA$7)&gt;$F52,VALUE(AA$7)&lt;=$G52),IF($D52="","◇","■"),""))</f>
        <v/>
      </c>
      <c r="AB52" s="59" t="str">
        <f>IF($A52="","",IF(AND(VALUE(AB$7)&gt;$F52,VALUE(AB$7)&lt;=$G52),IF($D52="","◇","■"),""))</f>
        <v/>
      </c>
      <c r="AC52" s="59" t="str">
        <f>IF($A52="","",IF(AND(VALUE(AC$7)&gt;$F52,VALUE(AC$7)&lt;=$G52),IF($D52="","◇","■"),""))</f>
        <v/>
      </c>
      <c r="AD52" s="59" t="str">
        <f>IF($A52="","",IF(AND(VALUE(AD$7)&gt;$F52,VALUE(AD$7)&lt;=$G52),IF($D52="","◇","■"),""))</f>
        <v/>
      </c>
      <c r="AE52" s="59" t="str">
        <f>IF($A52="","",IF(AND(VALUE(AE$7)&gt;$F52,VALUE(AE$7)&lt;=$G52),IF($D52="","◇","■"),""))</f>
        <v/>
      </c>
      <c r="AF52" s="59" t="str">
        <f>IF($A52="","",IF(AND(VALUE(AF$7)&gt;$F52,VALUE(AF$7)&lt;=$G52),IF($D52="","◇","■"),""))</f>
        <v/>
      </c>
      <c r="AG52" s="59" t="str">
        <f>IF($A52="","",IF(AND(VALUE(AG$7)&gt;$F52,VALUE(AG$7)&lt;=$G52),IF($D52="","◇","■"),""))</f>
        <v/>
      </c>
      <c r="AH52" s="59" t="str">
        <f>IF($A52="","",IF(AND(VALUE(AH$7)&gt;$F52,VALUE(AH$7)&lt;=$G52),IF($D52="","◇","■"),""))</f>
        <v/>
      </c>
      <c r="AI52" s="59" t="str">
        <f>IF($A52="","",IF(AND(VALUE(AI$7)&gt;$F52,VALUE(AI$7)&lt;=$G52),IF($D52="","◇","■"),""))</f>
        <v/>
      </c>
      <c r="AJ52" s="59" t="str">
        <f>IF($A52="","",IF(AND(VALUE(AJ$7)&gt;$F52,VALUE(AJ$7)&lt;=$G52),IF($D52="","◇","■"),""))</f>
        <v/>
      </c>
      <c r="AK52" s="59" t="str">
        <f>IF($A52="","",IF(AND(VALUE(AK$7)&gt;$F52,VALUE(AK$7)&lt;=$G52),IF($D52="","◇","■"),""))</f>
        <v/>
      </c>
      <c r="AL52" s="59" t="str">
        <f>IF($A52="","",IF(AND(VALUE(AL$7)&gt;$F52,VALUE(AL$7)&lt;=$G52),IF($D52="","◇","■"),""))</f>
        <v/>
      </c>
      <c r="AM52" s="59" t="str">
        <f>IF($A52="","",IF(AND(VALUE(AM$7)&gt;$F52,VALUE(AM$7)&lt;=$G52),IF($D52="","◇","■"),""))</f>
        <v/>
      </c>
    </row>
    <row r="53" spans="1:39" ht="18" customHeight="1" x14ac:dyDescent="0.35">
      <c r="A53" s="55" t="str" cm="1">
        <f t="array" ref="A53">IFERROR(INDEX(_xlfn._xlws.FILTER(tblProjectTasks[TaskGroup],(tblProjectTasks[IsWorkPackage]="Yes")*(tblProjectTasks[CaptureStatus]&lt;&gt;"Removed")),ROWS($A$8:A53)),"")</f>
        <v/>
      </c>
      <c r="B53" s="56" t="str" cm="1">
        <f t="array" ref="B53">IFERROR(INDEX(_xlfn._xlws.FILTER(tblProjectTasks[WBSCode],(tblProjectTasks[IsWorkPackage]="Yes")*(tblProjectTasks[CaptureStatus]&lt;&gt;"Removed")),ROWS($B$8:B53)),"")</f>
        <v/>
      </c>
      <c r="C53" s="57" t="str" cm="1">
        <f t="array" ref="C53">IFERROR(INDEX(_xlfn._xlws.FILTER(tblProjectTasks[TaskName],(tblProjectTasks[IsWorkPackage]="Yes")*(tblProjectTasks[CaptureStatus]&lt;&gt;"Removed")),ROWS($C$8:C53)),"")</f>
        <v/>
      </c>
      <c r="D53" s="58" t="str" cm="1">
        <f t="array" ref="D53">_xlfn.LET(_xlpm.x,IFERROR(INDEX(_xlfn._xlws.FILTER(tblProjectTasks[Elapsed Time in Weeks],(tblProjectTasks[IsWorkPackage]="Yes")*(tblProjectTasks[CaptureStatus]&lt;&gt;"Removed")),ROWS($D$8:D53)),""),IF(_xlpm.x=0,"",_xlpm.x))</f>
        <v/>
      </c>
      <c r="E53" s="58" t="str">
        <f>IF($A53="","",IF($D53="",1,$D53))</f>
        <v/>
      </c>
      <c r="F53" s="58" t="str">
        <f>IF($A53="","",IF(ROW()=8,0,$F52+$E52))</f>
        <v/>
      </c>
      <c r="G53" s="58" t="str">
        <f>IF($A53="","",$F53+$E53)</f>
        <v/>
      </c>
      <c r="H53" s="59" t="str">
        <f>IF($A53="","",IF(AND(VALUE(H$7)&gt;$F53,VALUE(H$7)&lt;=$G53),IF($D53="","◇","■"),""))</f>
        <v/>
      </c>
      <c r="I53" s="59" t="str">
        <f>IF($A53="","",IF(AND(VALUE(I$7)&gt;$F53,VALUE(I$7)&lt;=$G53),IF($D53="","◇","■"),""))</f>
        <v/>
      </c>
      <c r="J53" s="59" t="str">
        <f>IF($A53="","",IF(AND(VALUE(J$7)&gt;$F53,VALUE(J$7)&lt;=$G53),IF($D53="","◇","■"),""))</f>
        <v/>
      </c>
      <c r="K53" s="59" t="str">
        <f>IF($A53="","",IF(AND(VALUE(K$7)&gt;$F53,VALUE(K$7)&lt;=$G53),IF($D53="","◇","■"),""))</f>
        <v/>
      </c>
      <c r="L53" s="59" t="str">
        <f>IF($A53="","",IF(AND(VALUE(L$7)&gt;$F53,VALUE(L$7)&lt;=$G53),IF($D53="","◇","■"),""))</f>
        <v/>
      </c>
      <c r="M53" s="59" t="str">
        <f>IF($A53="","",IF(AND(VALUE(M$7)&gt;$F53,VALUE(M$7)&lt;=$G53),IF($D53="","◇","■"),""))</f>
        <v/>
      </c>
      <c r="N53" s="59" t="str">
        <f>IF($A53="","",IF(AND(VALUE(N$7)&gt;$F53,VALUE(N$7)&lt;=$G53),IF($D53="","◇","■"),""))</f>
        <v/>
      </c>
      <c r="O53" s="59" t="str">
        <f>IF($A53="","",IF(AND(VALUE(O$7)&gt;$F53,VALUE(O$7)&lt;=$G53),IF($D53="","◇","■"),""))</f>
        <v/>
      </c>
      <c r="P53" s="59" t="str">
        <f>IF($A53="","",IF(AND(VALUE(P$7)&gt;$F53,VALUE(P$7)&lt;=$G53),IF($D53="","◇","■"),""))</f>
        <v/>
      </c>
      <c r="Q53" s="59" t="str">
        <f>IF($A53="","",IF(AND(VALUE(Q$7)&gt;$F53,VALUE(Q$7)&lt;=$G53),IF($D53="","◇","■"),""))</f>
        <v/>
      </c>
      <c r="R53" s="59" t="str">
        <f>IF($A53="","",IF(AND(VALUE(R$7)&gt;$F53,VALUE(R$7)&lt;=$G53),IF($D53="","◇","■"),""))</f>
        <v/>
      </c>
      <c r="S53" s="59" t="str">
        <f>IF($A53="","",IF(AND(VALUE(S$7)&gt;$F53,VALUE(S$7)&lt;=$G53),IF($D53="","◇","■"),""))</f>
        <v/>
      </c>
      <c r="T53" s="59" t="str">
        <f>IF($A53="","",IF(AND(VALUE(T$7)&gt;$F53,VALUE(T$7)&lt;=$G53),IF($D53="","◇","■"),""))</f>
        <v/>
      </c>
      <c r="U53" s="59" t="str">
        <f>IF($A53="","",IF(AND(VALUE(U$7)&gt;$F53,VALUE(U$7)&lt;=$G53),IF($D53="","◇","■"),""))</f>
        <v/>
      </c>
      <c r="V53" s="59" t="str">
        <f>IF($A53="","",IF(AND(VALUE(V$7)&gt;$F53,VALUE(V$7)&lt;=$G53),IF($D53="","◇","■"),""))</f>
        <v/>
      </c>
      <c r="W53" s="59" t="str">
        <f>IF($A53="","",IF(AND(VALUE(W$7)&gt;$F53,VALUE(W$7)&lt;=$G53),IF($D53="","◇","■"),""))</f>
        <v/>
      </c>
      <c r="X53" s="59" t="str">
        <f>IF($A53="","",IF(AND(VALUE(X$7)&gt;$F53,VALUE(X$7)&lt;=$G53),IF($D53="","◇","■"),""))</f>
        <v/>
      </c>
      <c r="Y53" s="59" t="str">
        <f>IF($A53="","",IF(AND(VALUE(Y$7)&gt;$F53,VALUE(Y$7)&lt;=$G53),IF($D53="","◇","■"),""))</f>
        <v/>
      </c>
      <c r="Z53" s="59" t="str">
        <f>IF($A53="","",IF(AND(VALUE(Z$7)&gt;$F53,VALUE(Z$7)&lt;=$G53),IF($D53="","◇","■"),""))</f>
        <v/>
      </c>
      <c r="AA53" s="59" t="str">
        <f>IF($A53="","",IF(AND(VALUE(AA$7)&gt;$F53,VALUE(AA$7)&lt;=$G53),IF($D53="","◇","■"),""))</f>
        <v/>
      </c>
      <c r="AB53" s="59" t="str">
        <f>IF($A53="","",IF(AND(VALUE(AB$7)&gt;$F53,VALUE(AB$7)&lt;=$G53),IF($D53="","◇","■"),""))</f>
        <v/>
      </c>
      <c r="AC53" s="59" t="str">
        <f>IF($A53="","",IF(AND(VALUE(AC$7)&gt;$F53,VALUE(AC$7)&lt;=$G53),IF($D53="","◇","■"),""))</f>
        <v/>
      </c>
      <c r="AD53" s="59" t="str">
        <f>IF($A53="","",IF(AND(VALUE(AD$7)&gt;$F53,VALUE(AD$7)&lt;=$G53),IF($D53="","◇","■"),""))</f>
        <v/>
      </c>
      <c r="AE53" s="59" t="str">
        <f>IF($A53="","",IF(AND(VALUE(AE$7)&gt;$F53,VALUE(AE$7)&lt;=$G53),IF($D53="","◇","■"),""))</f>
        <v/>
      </c>
      <c r="AF53" s="59" t="str">
        <f>IF($A53="","",IF(AND(VALUE(AF$7)&gt;$F53,VALUE(AF$7)&lt;=$G53),IF($D53="","◇","■"),""))</f>
        <v/>
      </c>
      <c r="AG53" s="59" t="str">
        <f>IF($A53="","",IF(AND(VALUE(AG$7)&gt;$F53,VALUE(AG$7)&lt;=$G53),IF($D53="","◇","■"),""))</f>
        <v/>
      </c>
      <c r="AH53" s="59" t="str">
        <f>IF($A53="","",IF(AND(VALUE(AH$7)&gt;$F53,VALUE(AH$7)&lt;=$G53),IF($D53="","◇","■"),""))</f>
        <v/>
      </c>
      <c r="AI53" s="59" t="str">
        <f>IF($A53="","",IF(AND(VALUE(AI$7)&gt;$F53,VALUE(AI$7)&lt;=$G53),IF($D53="","◇","■"),""))</f>
        <v/>
      </c>
      <c r="AJ53" s="59" t="str">
        <f>IF($A53="","",IF(AND(VALUE(AJ$7)&gt;$F53,VALUE(AJ$7)&lt;=$G53),IF($D53="","◇","■"),""))</f>
        <v/>
      </c>
      <c r="AK53" s="59" t="str">
        <f>IF($A53="","",IF(AND(VALUE(AK$7)&gt;$F53,VALUE(AK$7)&lt;=$G53),IF($D53="","◇","■"),""))</f>
        <v/>
      </c>
      <c r="AL53" s="59" t="str">
        <f>IF($A53="","",IF(AND(VALUE(AL$7)&gt;$F53,VALUE(AL$7)&lt;=$G53),IF($D53="","◇","■"),""))</f>
        <v/>
      </c>
      <c r="AM53" s="59" t="str">
        <f>IF($A53="","",IF(AND(VALUE(AM$7)&gt;$F53,VALUE(AM$7)&lt;=$G53),IF($D53="","◇","■"),""))</f>
        <v/>
      </c>
    </row>
    <row r="54" spans="1:39" ht="18" customHeight="1" x14ac:dyDescent="0.35">
      <c r="A54" s="55" t="str" cm="1">
        <f t="array" ref="A54">IFERROR(INDEX(_xlfn._xlws.FILTER(tblProjectTasks[TaskGroup],(tblProjectTasks[IsWorkPackage]="Yes")*(tblProjectTasks[CaptureStatus]&lt;&gt;"Removed")),ROWS($A$8:A54)),"")</f>
        <v/>
      </c>
      <c r="B54" s="56" t="str" cm="1">
        <f t="array" ref="B54">IFERROR(INDEX(_xlfn._xlws.FILTER(tblProjectTasks[WBSCode],(tblProjectTasks[IsWorkPackage]="Yes")*(tblProjectTasks[CaptureStatus]&lt;&gt;"Removed")),ROWS($B$8:B54)),"")</f>
        <v/>
      </c>
      <c r="C54" s="57" t="str" cm="1">
        <f t="array" ref="C54">IFERROR(INDEX(_xlfn._xlws.FILTER(tblProjectTasks[TaskName],(tblProjectTasks[IsWorkPackage]="Yes")*(tblProjectTasks[CaptureStatus]&lt;&gt;"Removed")),ROWS($C$8:C54)),"")</f>
        <v/>
      </c>
      <c r="D54" s="58" t="str" cm="1">
        <f t="array" ref="D54">_xlfn.LET(_xlpm.x,IFERROR(INDEX(_xlfn._xlws.FILTER(tblProjectTasks[Elapsed Time in Weeks],(tblProjectTasks[IsWorkPackage]="Yes")*(tblProjectTasks[CaptureStatus]&lt;&gt;"Removed")),ROWS($D$8:D54)),""),IF(_xlpm.x=0,"",_xlpm.x))</f>
        <v/>
      </c>
      <c r="E54" s="58" t="str">
        <f>IF($A54="","",IF($D54="",1,$D54))</f>
        <v/>
      </c>
      <c r="F54" s="58" t="str">
        <f>IF($A54="","",IF(ROW()=8,0,$F53+$E53))</f>
        <v/>
      </c>
      <c r="G54" s="58" t="str">
        <f>IF($A54="","",$F54+$E54)</f>
        <v/>
      </c>
      <c r="H54" s="59" t="str">
        <f>IF($A54="","",IF(AND(VALUE(H$7)&gt;$F54,VALUE(H$7)&lt;=$G54),IF($D54="","◇","■"),""))</f>
        <v/>
      </c>
      <c r="I54" s="59" t="str">
        <f>IF($A54="","",IF(AND(VALUE(I$7)&gt;$F54,VALUE(I$7)&lt;=$G54),IF($D54="","◇","■"),""))</f>
        <v/>
      </c>
      <c r="J54" s="59" t="str">
        <f>IF($A54="","",IF(AND(VALUE(J$7)&gt;$F54,VALUE(J$7)&lt;=$G54),IF($D54="","◇","■"),""))</f>
        <v/>
      </c>
      <c r="K54" s="59" t="str">
        <f>IF($A54="","",IF(AND(VALUE(K$7)&gt;$F54,VALUE(K$7)&lt;=$G54),IF($D54="","◇","■"),""))</f>
        <v/>
      </c>
      <c r="L54" s="59" t="str">
        <f>IF($A54="","",IF(AND(VALUE(L$7)&gt;$F54,VALUE(L$7)&lt;=$G54),IF($D54="","◇","■"),""))</f>
        <v/>
      </c>
      <c r="M54" s="59" t="str">
        <f>IF($A54="","",IF(AND(VALUE(M$7)&gt;$F54,VALUE(M$7)&lt;=$G54),IF($D54="","◇","■"),""))</f>
        <v/>
      </c>
      <c r="N54" s="59" t="str">
        <f>IF($A54="","",IF(AND(VALUE(N$7)&gt;$F54,VALUE(N$7)&lt;=$G54),IF($D54="","◇","■"),""))</f>
        <v/>
      </c>
      <c r="O54" s="59" t="str">
        <f>IF($A54="","",IF(AND(VALUE(O$7)&gt;$F54,VALUE(O$7)&lt;=$G54),IF($D54="","◇","■"),""))</f>
        <v/>
      </c>
      <c r="P54" s="59" t="str">
        <f>IF($A54="","",IF(AND(VALUE(P$7)&gt;$F54,VALUE(P$7)&lt;=$G54),IF($D54="","◇","■"),""))</f>
        <v/>
      </c>
      <c r="Q54" s="59" t="str">
        <f>IF($A54="","",IF(AND(VALUE(Q$7)&gt;$F54,VALUE(Q$7)&lt;=$G54),IF($D54="","◇","■"),""))</f>
        <v/>
      </c>
      <c r="R54" s="59" t="str">
        <f>IF($A54="","",IF(AND(VALUE(R$7)&gt;$F54,VALUE(R$7)&lt;=$G54),IF($D54="","◇","■"),""))</f>
        <v/>
      </c>
      <c r="S54" s="59" t="str">
        <f>IF($A54="","",IF(AND(VALUE(S$7)&gt;$F54,VALUE(S$7)&lt;=$G54),IF($D54="","◇","■"),""))</f>
        <v/>
      </c>
      <c r="T54" s="59" t="str">
        <f>IF($A54="","",IF(AND(VALUE(T$7)&gt;$F54,VALUE(T$7)&lt;=$G54),IF($D54="","◇","■"),""))</f>
        <v/>
      </c>
      <c r="U54" s="59" t="str">
        <f>IF($A54="","",IF(AND(VALUE(U$7)&gt;$F54,VALUE(U$7)&lt;=$G54),IF($D54="","◇","■"),""))</f>
        <v/>
      </c>
      <c r="V54" s="59" t="str">
        <f>IF($A54="","",IF(AND(VALUE(V$7)&gt;$F54,VALUE(V$7)&lt;=$G54),IF($D54="","◇","■"),""))</f>
        <v/>
      </c>
      <c r="W54" s="59" t="str">
        <f>IF($A54="","",IF(AND(VALUE(W$7)&gt;$F54,VALUE(W$7)&lt;=$G54),IF($D54="","◇","■"),""))</f>
        <v/>
      </c>
      <c r="X54" s="59" t="str">
        <f>IF($A54="","",IF(AND(VALUE(X$7)&gt;$F54,VALUE(X$7)&lt;=$G54),IF($D54="","◇","■"),""))</f>
        <v/>
      </c>
      <c r="Y54" s="59" t="str">
        <f>IF($A54="","",IF(AND(VALUE(Y$7)&gt;$F54,VALUE(Y$7)&lt;=$G54),IF($D54="","◇","■"),""))</f>
        <v/>
      </c>
      <c r="Z54" s="59" t="str">
        <f>IF($A54="","",IF(AND(VALUE(Z$7)&gt;$F54,VALUE(Z$7)&lt;=$G54),IF($D54="","◇","■"),""))</f>
        <v/>
      </c>
      <c r="AA54" s="59" t="str">
        <f>IF($A54="","",IF(AND(VALUE(AA$7)&gt;$F54,VALUE(AA$7)&lt;=$G54),IF($D54="","◇","■"),""))</f>
        <v/>
      </c>
      <c r="AB54" s="59" t="str">
        <f>IF($A54="","",IF(AND(VALUE(AB$7)&gt;$F54,VALUE(AB$7)&lt;=$G54),IF($D54="","◇","■"),""))</f>
        <v/>
      </c>
      <c r="AC54" s="59" t="str">
        <f>IF($A54="","",IF(AND(VALUE(AC$7)&gt;$F54,VALUE(AC$7)&lt;=$G54),IF($D54="","◇","■"),""))</f>
        <v/>
      </c>
      <c r="AD54" s="59" t="str">
        <f>IF($A54="","",IF(AND(VALUE(AD$7)&gt;$F54,VALUE(AD$7)&lt;=$G54),IF($D54="","◇","■"),""))</f>
        <v/>
      </c>
      <c r="AE54" s="59" t="str">
        <f>IF($A54="","",IF(AND(VALUE(AE$7)&gt;$F54,VALUE(AE$7)&lt;=$G54),IF($D54="","◇","■"),""))</f>
        <v/>
      </c>
      <c r="AF54" s="59" t="str">
        <f>IF($A54="","",IF(AND(VALUE(AF$7)&gt;$F54,VALUE(AF$7)&lt;=$G54),IF($D54="","◇","■"),""))</f>
        <v/>
      </c>
      <c r="AG54" s="59" t="str">
        <f>IF($A54="","",IF(AND(VALUE(AG$7)&gt;$F54,VALUE(AG$7)&lt;=$G54),IF($D54="","◇","■"),""))</f>
        <v/>
      </c>
      <c r="AH54" s="59" t="str">
        <f>IF($A54="","",IF(AND(VALUE(AH$7)&gt;$F54,VALUE(AH$7)&lt;=$G54),IF($D54="","◇","■"),""))</f>
        <v/>
      </c>
      <c r="AI54" s="59" t="str">
        <f>IF($A54="","",IF(AND(VALUE(AI$7)&gt;$F54,VALUE(AI$7)&lt;=$G54),IF($D54="","◇","■"),""))</f>
        <v/>
      </c>
      <c r="AJ54" s="59" t="str">
        <f>IF($A54="","",IF(AND(VALUE(AJ$7)&gt;$F54,VALUE(AJ$7)&lt;=$G54),IF($D54="","◇","■"),""))</f>
        <v/>
      </c>
      <c r="AK54" s="59" t="str">
        <f>IF($A54="","",IF(AND(VALUE(AK$7)&gt;$F54,VALUE(AK$7)&lt;=$G54),IF($D54="","◇","■"),""))</f>
        <v/>
      </c>
      <c r="AL54" s="59" t="str">
        <f>IF($A54="","",IF(AND(VALUE(AL$7)&gt;$F54,VALUE(AL$7)&lt;=$G54),IF($D54="","◇","■"),""))</f>
        <v/>
      </c>
      <c r="AM54" s="59" t="str">
        <f>IF($A54="","",IF(AND(VALUE(AM$7)&gt;$F54,VALUE(AM$7)&lt;=$G54),IF($D54="","◇","■"),""))</f>
        <v/>
      </c>
    </row>
    <row r="55" spans="1:39" ht="18" customHeight="1" x14ac:dyDescent="0.35">
      <c r="A55" s="55" t="str" cm="1">
        <f t="array" ref="A55">IFERROR(INDEX(_xlfn._xlws.FILTER(tblProjectTasks[TaskGroup],(tblProjectTasks[IsWorkPackage]="Yes")*(tblProjectTasks[CaptureStatus]&lt;&gt;"Removed")),ROWS($A$8:A55)),"")</f>
        <v/>
      </c>
      <c r="B55" s="56" t="str" cm="1">
        <f t="array" ref="B55">IFERROR(INDEX(_xlfn._xlws.FILTER(tblProjectTasks[WBSCode],(tblProjectTasks[IsWorkPackage]="Yes")*(tblProjectTasks[CaptureStatus]&lt;&gt;"Removed")),ROWS($B$8:B55)),"")</f>
        <v/>
      </c>
      <c r="C55" s="57" t="str" cm="1">
        <f t="array" ref="C55">IFERROR(INDEX(_xlfn._xlws.FILTER(tblProjectTasks[TaskName],(tblProjectTasks[IsWorkPackage]="Yes")*(tblProjectTasks[CaptureStatus]&lt;&gt;"Removed")),ROWS($C$8:C55)),"")</f>
        <v/>
      </c>
      <c r="D55" s="58" t="str" cm="1">
        <f t="array" ref="D55">_xlfn.LET(_xlpm.x,IFERROR(INDEX(_xlfn._xlws.FILTER(tblProjectTasks[Elapsed Time in Weeks],(tblProjectTasks[IsWorkPackage]="Yes")*(tblProjectTasks[CaptureStatus]&lt;&gt;"Removed")),ROWS($D$8:D55)),""),IF(_xlpm.x=0,"",_xlpm.x))</f>
        <v/>
      </c>
      <c r="E55" s="58" t="str">
        <f>IF($A55="","",IF($D55="",1,$D55))</f>
        <v/>
      </c>
      <c r="F55" s="58" t="str">
        <f>IF($A55="","",IF(ROW()=8,0,$F54+$E54))</f>
        <v/>
      </c>
      <c r="G55" s="58" t="str">
        <f>IF($A55="","",$F55+$E55)</f>
        <v/>
      </c>
      <c r="H55" s="59" t="str">
        <f>IF($A55="","",IF(AND(VALUE(H$7)&gt;$F55,VALUE(H$7)&lt;=$G55),IF($D55="","◇","■"),""))</f>
        <v/>
      </c>
      <c r="I55" s="59" t="str">
        <f>IF($A55="","",IF(AND(VALUE(I$7)&gt;$F55,VALUE(I$7)&lt;=$G55),IF($D55="","◇","■"),""))</f>
        <v/>
      </c>
      <c r="J55" s="59" t="str">
        <f>IF($A55="","",IF(AND(VALUE(J$7)&gt;$F55,VALUE(J$7)&lt;=$G55),IF($D55="","◇","■"),""))</f>
        <v/>
      </c>
      <c r="K55" s="59" t="str">
        <f>IF($A55="","",IF(AND(VALUE(K$7)&gt;$F55,VALUE(K$7)&lt;=$G55),IF($D55="","◇","■"),""))</f>
        <v/>
      </c>
      <c r="L55" s="59" t="str">
        <f>IF($A55="","",IF(AND(VALUE(L$7)&gt;$F55,VALUE(L$7)&lt;=$G55),IF($D55="","◇","■"),""))</f>
        <v/>
      </c>
      <c r="M55" s="59" t="str">
        <f>IF($A55="","",IF(AND(VALUE(M$7)&gt;$F55,VALUE(M$7)&lt;=$G55),IF($D55="","◇","■"),""))</f>
        <v/>
      </c>
      <c r="N55" s="59" t="str">
        <f>IF($A55="","",IF(AND(VALUE(N$7)&gt;$F55,VALUE(N$7)&lt;=$G55),IF($D55="","◇","■"),""))</f>
        <v/>
      </c>
      <c r="O55" s="59" t="str">
        <f>IF($A55="","",IF(AND(VALUE(O$7)&gt;$F55,VALUE(O$7)&lt;=$G55),IF($D55="","◇","■"),""))</f>
        <v/>
      </c>
      <c r="P55" s="59" t="str">
        <f>IF($A55="","",IF(AND(VALUE(P$7)&gt;$F55,VALUE(P$7)&lt;=$G55),IF($D55="","◇","■"),""))</f>
        <v/>
      </c>
      <c r="Q55" s="59" t="str">
        <f>IF($A55="","",IF(AND(VALUE(Q$7)&gt;$F55,VALUE(Q$7)&lt;=$G55),IF($D55="","◇","■"),""))</f>
        <v/>
      </c>
      <c r="R55" s="59" t="str">
        <f>IF($A55="","",IF(AND(VALUE(R$7)&gt;$F55,VALUE(R$7)&lt;=$G55),IF($D55="","◇","■"),""))</f>
        <v/>
      </c>
      <c r="S55" s="59" t="str">
        <f>IF($A55="","",IF(AND(VALUE(S$7)&gt;$F55,VALUE(S$7)&lt;=$G55),IF($D55="","◇","■"),""))</f>
        <v/>
      </c>
      <c r="T55" s="59" t="str">
        <f>IF($A55="","",IF(AND(VALUE(T$7)&gt;$F55,VALUE(T$7)&lt;=$G55),IF($D55="","◇","■"),""))</f>
        <v/>
      </c>
      <c r="U55" s="59" t="str">
        <f>IF($A55="","",IF(AND(VALUE(U$7)&gt;$F55,VALUE(U$7)&lt;=$G55),IF($D55="","◇","■"),""))</f>
        <v/>
      </c>
      <c r="V55" s="59" t="str">
        <f>IF($A55="","",IF(AND(VALUE(V$7)&gt;$F55,VALUE(V$7)&lt;=$G55),IF($D55="","◇","■"),""))</f>
        <v/>
      </c>
      <c r="W55" s="59" t="str">
        <f>IF($A55="","",IF(AND(VALUE(W$7)&gt;$F55,VALUE(W$7)&lt;=$G55),IF($D55="","◇","■"),""))</f>
        <v/>
      </c>
      <c r="X55" s="59" t="str">
        <f>IF($A55="","",IF(AND(VALUE(X$7)&gt;$F55,VALUE(X$7)&lt;=$G55),IF($D55="","◇","■"),""))</f>
        <v/>
      </c>
      <c r="Y55" s="59" t="str">
        <f>IF($A55="","",IF(AND(VALUE(Y$7)&gt;$F55,VALUE(Y$7)&lt;=$G55),IF($D55="","◇","■"),""))</f>
        <v/>
      </c>
      <c r="Z55" s="59" t="str">
        <f>IF($A55="","",IF(AND(VALUE(Z$7)&gt;$F55,VALUE(Z$7)&lt;=$G55),IF($D55="","◇","■"),""))</f>
        <v/>
      </c>
      <c r="AA55" s="59" t="str">
        <f>IF($A55="","",IF(AND(VALUE(AA$7)&gt;$F55,VALUE(AA$7)&lt;=$G55),IF($D55="","◇","■"),""))</f>
        <v/>
      </c>
      <c r="AB55" s="59" t="str">
        <f>IF($A55="","",IF(AND(VALUE(AB$7)&gt;$F55,VALUE(AB$7)&lt;=$G55),IF($D55="","◇","■"),""))</f>
        <v/>
      </c>
      <c r="AC55" s="59" t="str">
        <f>IF($A55="","",IF(AND(VALUE(AC$7)&gt;$F55,VALUE(AC$7)&lt;=$G55),IF($D55="","◇","■"),""))</f>
        <v/>
      </c>
      <c r="AD55" s="59" t="str">
        <f>IF($A55="","",IF(AND(VALUE(AD$7)&gt;$F55,VALUE(AD$7)&lt;=$G55),IF($D55="","◇","■"),""))</f>
        <v/>
      </c>
      <c r="AE55" s="59" t="str">
        <f>IF($A55="","",IF(AND(VALUE(AE$7)&gt;$F55,VALUE(AE$7)&lt;=$G55),IF($D55="","◇","■"),""))</f>
        <v/>
      </c>
      <c r="AF55" s="59" t="str">
        <f>IF($A55="","",IF(AND(VALUE(AF$7)&gt;$F55,VALUE(AF$7)&lt;=$G55),IF($D55="","◇","■"),""))</f>
        <v/>
      </c>
      <c r="AG55" s="59" t="str">
        <f>IF($A55="","",IF(AND(VALUE(AG$7)&gt;$F55,VALUE(AG$7)&lt;=$G55),IF($D55="","◇","■"),""))</f>
        <v/>
      </c>
      <c r="AH55" s="59" t="str">
        <f>IF($A55="","",IF(AND(VALUE(AH$7)&gt;$F55,VALUE(AH$7)&lt;=$G55),IF($D55="","◇","■"),""))</f>
        <v/>
      </c>
      <c r="AI55" s="59" t="str">
        <f>IF($A55="","",IF(AND(VALUE(AI$7)&gt;$F55,VALUE(AI$7)&lt;=$G55),IF($D55="","◇","■"),""))</f>
        <v/>
      </c>
      <c r="AJ55" s="59" t="str">
        <f>IF($A55="","",IF(AND(VALUE(AJ$7)&gt;$F55,VALUE(AJ$7)&lt;=$G55),IF($D55="","◇","■"),""))</f>
        <v/>
      </c>
      <c r="AK55" s="59" t="str">
        <f>IF($A55="","",IF(AND(VALUE(AK$7)&gt;$F55,VALUE(AK$7)&lt;=$G55),IF($D55="","◇","■"),""))</f>
        <v/>
      </c>
      <c r="AL55" s="59" t="str">
        <f>IF($A55="","",IF(AND(VALUE(AL$7)&gt;$F55,VALUE(AL$7)&lt;=$G55),IF($D55="","◇","■"),""))</f>
        <v/>
      </c>
      <c r="AM55" s="59" t="str">
        <f>IF($A55="","",IF(AND(VALUE(AM$7)&gt;$F55,VALUE(AM$7)&lt;=$G55),IF($D55="","◇","■"),""))</f>
        <v/>
      </c>
    </row>
    <row r="56" spans="1:39" ht="18" customHeight="1" x14ac:dyDescent="0.35">
      <c r="A56" s="55" t="str" cm="1">
        <f t="array" ref="A56">IFERROR(INDEX(_xlfn._xlws.FILTER(tblProjectTasks[TaskGroup],(tblProjectTasks[IsWorkPackage]="Yes")*(tblProjectTasks[CaptureStatus]&lt;&gt;"Removed")),ROWS($A$8:A56)),"")</f>
        <v/>
      </c>
      <c r="B56" s="56" t="str" cm="1">
        <f t="array" ref="B56">IFERROR(INDEX(_xlfn._xlws.FILTER(tblProjectTasks[WBSCode],(tblProjectTasks[IsWorkPackage]="Yes")*(tblProjectTasks[CaptureStatus]&lt;&gt;"Removed")),ROWS($B$8:B56)),"")</f>
        <v/>
      </c>
      <c r="C56" s="57" t="str" cm="1">
        <f t="array" ref="C56">IFERROR(INDEX(_xlfn._xlws.FILTER(tblProjectTasks[TaskName],(tblProjectTasks[IsWorkPackage]="Yes")*(tblProjectTasks[CaptureStatus]&lt;&gt;"Removed")),ROWS($C$8:C56)),"")</f>
        <v/>
      </c>
      <c r="D56" s="58" t="str" cm="1">
        <f t="array" ref="D56">_xlfn.LET(_xlpm.x,IFERROR(INDEX(_xlfn._xlws.FILTER(tblProjectTasks[Elapsed Time in Weeks],(tblProjectTasks[IsWorkPackage]="Yes")*(tblProjectTasks[CaptureStatus]&lt;&gt;"Removed")),ROWS($D$8:D56)),""),IF(_xlpm.x=0,"",_xlpm.x))</f>
        <v/>
      </c>
      <c r="E56" s="58" t="str">
        <f>IF($A56="","",IF($D56="",1,$D56))</f>
        <v/>
      </c>
      <c r="F56" s="58" t="str">
        <f>IF($A56="","",IF(ROW()=8,0,$F55+$E55))</f>
        <v/>
      </c>
      <c r="G56" s="58" t="str">
        <f>IF($A56="","",$F56+$E56)</f>
        <v/>
      </c>
      <c r="H56" s="59" t="str">
        <f>IF($A56="","",IF(AND(VALUE(H$7)&gt;$F56,VALUE(H$7)&lt;=$G56),IF($D56="","◇","■"),""))</f>
        <v/>
      </c>
      <c r="I56" s="59" t="str">
        <f>IF($A56="","",IF(AND(VALUE(I$7)&gt;$F56,VALUE(I$7)&lt;=$G56),IF($D56="","◇","■"),""))</f>
        <v/>
      </c>
      <c r="J56" s="59" t="str">
        <f>IF($A56="","",IF(AND(VALUE(J$7)&gt;$F56,VALUE(J$7)&lt;=$G56),IF($D56="","◇","■"),""))</f>
        <v/>
      </c>
      <c r="K56" s="59" t="str">
        <f>IF($A56="","",IF(AND(VALUE(K$7)&gt;$F56,VALUE(K$7)&lt;=$G56),IF($D56="","◇","■"),""))</f>
        <v/>
      </c>
      <c r="L56" s="59" t="str">
        <f>IF($A56="","",IF(AND(VALUE(L$7)&gt;$F56,VALUE(L$7)&lt;=$G56),IF($D56="","◇","■"),""))</f>
        <v/>
      </c>
      <c r="M56" s="59" t="str">
        <f>IF($A56="","",IF(AND(VALUE(M$7)&gt;$F56,VALUE(M$7)&lt;=$G56),IF($D56="","◇","■"),""))</f>
        <v/>
      </c>
      <c r="N56" s="59" t="str">
        <f>IF($A56="","",IF(AND(VALUE(N$7)&gt;$F56,VALUE(N$7)&lt;=$G56),IF($D56="","◇","■"),""))</f>
        <v/>
      </c>
      <c r="O56" s="59" t="str">
        <f>IF($A56="","",IF(AND(VALUE(O$7)&gt;$F56,VALUE(O$7)&lt;=$G56),IF($D56="","◇","■"),""))</f>
        <v/>
      </c>
      <c r="P56" s="59" t="str">
        <f>IF($A56="","",IF(AND(VALUE(P$7)&gt;$F56,VALUE(P$7)&lt;=$G56),IF($D56="","◇","■"),""))</f>
        <v/>
      </c>
      <c r="Q56" s="59" t="str">
        <f>IF($A56="","",IF(AND(VALUE(Q$7)&gt;$F56,VALUE(Q$7)&lt;=$G56),IF($D56="","◇","■"),""))</f>
        <v/>
      </c>
      <c r="R56" s="59" t="str">
        <f>IF($A56="","",IF(AND(VALUE(R$7)&gt;$F56,VALUE(R$7)&lt;=$G56),IF($D56="","◇","■"),""))</f>
        <v/>
      </c>
      <c r="S56" s="59" t="str">
        <f>IF($A56="","",IF(AND(VALUE(S$7)&gt;$F56,VALUE(S$7)&lt;=$G56),IF($D56="","◇","■"),""))</f>
        <v/>
      </c>
      <c r="T56" s="59" t="str">
        <f>IF($A56="","",IF(AND(VALUE(T$7)&gt;$F56,VALUE(T$7)&lt;=$G56),IF($D56="","◇","■"),""))</f>
        <v/>
      </c>
      <c r="U56" s="59" t="str">
        <f>IF($A56="","",IF(AND(VALUE(U$7)&gt;$F56,VALUE(U$7)&lt;=$G56),IF($D56="","◇","■"),""))</f>
        <v/>
      </c>
      <c r="V56" s="59" t="str">
        <f>IF($A56="","",IF(AND(VALUE(V$7)&gt;$F56,VALUE(V$7)&lt;=$G56),IF($D56="","◇","■"),""))</f>
        <v/>
      </c>
      <c r="W56" s="59" t="str">
        <f>IF($A56="","",IF(AND(VALUE(W$7)&gt;$F56,VALUE(W$7)&lt;=$G56),IF($D56="","◇","■"),""))</f>
        <v/>
      </c>
      <c r="X56" s="59" t="str">
        <f>IF($A56="","",IF(AND(VALUE(X$7)&gt;$F56,VALUE(X$7)&lt;=$G56),IF($D56="","◇","■"),""))</f>
        <v/>
      </c>
      <c r="Y56" s="59" t="str">
        <f>IF($A56="","",IF(AND(VALUE(Y$7)&gt;$F56,VALUE(Y$7)&lt;=$G56),IF($D56="","◇","■"),""))</f>
        <v/>
      </c>
      <c r="Z56" s="59" t="str">
        <f>IF($A56="","",IF(AND(VALUE(Z$7)&gt;$F56,VALUE(Z$7)&lt;=$G56),IF($D56="","◇","■"),""))</f>
        <v/>
      </c>
      <c r="AA56" s="59" t="str">
        <f>IF($A56="","",IF(AND(VALUE(AA$7)&gt;$F56,VALUE(AA$7)&lt;=$G56),IF($D56="","◇","■"),""))</f>
        <v/>
      </c>
      <c r="AB56" s="59" t="str">
        <f>IF($A56="","",IF(AND(VALUE(AB$7)&gt;$F56,VALUE(AB$7)&lt;=$G56),IF($D56="","◇","■"),""))</f>
        <v/>
      </c>
      <c r="AC56" s="59" t="str">
        <f>IF($A56="","",IF(AND(VALUE(AC$7)&gt;$F56,VALUE(AC$7)&lt;=$G56),IF($D56="","◇","■"),""))</f>
        <v/>
      </c>
      <c r="AD56" s="59" t="str">
        <f>IF($A56="","",IF(AND(VALUE(AD$7)&gt;$F56,VALUE(AD$7)&lt;=$G56),IF($D56="","◇","■"),""))</f>
        <v/>
      </c>
      <c r="AE56" s="59" t="str">
        <f>IF($A56="","",IF(AND(VALUE(AE$7)&gt;$F56,VALUE(AE$7)&lt;=$G56),IF($D56="","◇","■"),""))</f>
        <v/>
      </c>
      <c r="AF56" s="59" t="str">
        <f>IF($A56="","",IF(AND(VALUE(AF$7)&gt;$F56,VALUE(AF$7)&lt;=$G56),IF($D56="","◇","■"),""))</f>
        <v/>
      </c>
      <c r="AG56" s="59" t="str">
        <f>IF($A56="","",IF(AND(VALUE(AG$7)&gt;$F56,VALUE(AG$7)&lt;=$G56),IF($D56="","◇","■"),""))</f>
        <v/>
      </c>
      <c r="AH56" s="59" t="str">
        <f>IF($A56="","",IF(AND(VALUE(AH$7)&gt;$F56,VALUE(AH$7)&lt;=$G56),IF($D56="","◇","■"),""))</f>
        <v/>
      </c>
      <c r="AI56" s="59" t="str">
        <f>IF($A56="","",IF(AND(VALUE(AI$7)&gt;$F56,VALUE(AI$7)&lt;=$G56),IF($D56="","◇","■"),""))</f>
        <v/>
      </c>
      <c r="AJ56" s="59" t="str">
        <f>IF($A56="","",IF(AND(VALUE(AJ$7)&gt;$F56,VALUE(AJ$7)&lt;=$G56),IF($D56="","◇","■"),""))</f>
        <v/>
      </c>
      <c r="AK56" s="59" t="str">
        <f>IF($A56="","",IF(AND(VALUE(AK$7)&gt;$F56,VALUE(AK$7)&lt;=$G56),IF($D56="","◇","■"),""))</f>
        <v/>
      </c>
      <c r="AL56" s="59" t="str">
        <f>IF($A56="","",IF(AND(VALUE(AL$7)&gt;$F56,VALUE(AL$7)&lt;=$G56),IF($D56="","◇","■"),""))</f>
        <v/>
      </c>
      <c r="AM56" s="59" t="str">
        <f>IF($A56="","",IF(AND(VALUE(AM$7)&gt;$F56,VALUE(AM$7)&lt;=$G56),IF($D56="","◇","■"),""))</f>
        <v/>
      </c>
    </row>
    <row r="57" spans="1:39" ht="18" customHeight="1" x14ac:dyDescent="0.35">
      <c r="A57" s="55" t="str" cm="1">
        <f t="array" ref="A57">IFERROR(INDEX(_xlfn._xlws.FILTER(tblProjectTasks[TaskGroup],(tblProjectTasks[IsWorkPackage]="Yes")*(tblProjectTasks[CaptureStatus]&lt;&gt;"Removed")),ROWS($A$8:A57)),"")</f>
        <v/>
      </c>
      <c r="B57" s="56" t="str" cm="1">
        <f t="array" ref="B57">IFERROR(INDEX(_xlfn._xlws.FILTER(tblProjectTasks[WBSCode],(tblProjectTasks[IsWorkPackage]="Yes")*(tblProjectTasks[CaptureStatus]&lt;&gt;"Removed")),ROWS($B$8:B57)),"")</f>
        <v/>
      </c>
      <c r="C57" s="57" t="str" cm="1">
        <f t="array" ref="C57">IFERROR(INDEX(_xlfn._xlws.FILTER(tblProjectTasks[TaskName],(tblProjectTasks[IsWorkPackage]="Yes")*(tblProjectTasks[CaptureStatus]&lt;&gt;"Removed")),ROWS($C$8:C57)),"")</f>
        <v/>
      </c>
      <c r="D57" s="58" t="str" cm="1">
        <f t="array" ref="D57">_xlfn.LET(_xlpm.x,IFERROR(INDEX(_xlfn._xlws.FILTER(tblProjectTasks[Elapsed Time in Weeks],(tblProjectTasks[IsWorkPackage]="Yes")*(tblProjectTasks[CaptureStatus]&lt;&gt;"Removed")),ROWS($D$8:D57)),""),IF(_xlpm.x=0,"",_xlpm.x))</f>
        <v/>
      </c>
      <c r="E57" s="58" t="str">
        <f>IF($A57="","",IF($D57="",1,$D57))</f>
        <v/>
      </c>
      <c r="F57" s="58" t="str">
        <f>IF($A57="","",IF(ROW()=8,0,$F56+$E56))</f>
        <v/>
      </c>
      <c r="G57" s="58" t="str">
        <f>IF($A57="","",$F57+$E57)</f>
        <v/>
      </c>
      <c r="H57" s="59" t="str">
        <f>IF($A57="","",IF(AND(VALUE(H$7)&gt;$F57,VALUE(H$7)&lt;=$G57),IF($D57="","◇","■"),""))</f>
        <v/>
      </c>
      <c r="I57" s="59" t="str">
        <f>IF($A57="","",IF(AND(VALUE(I$7)&gt;$F57,VALUE(I$7)&lt;=$G57),IF($D57="","◇","■"),""))</f>
        <v/>
      </c>
      <c r="J57" s="59" t="str">
        <f>IF($A57="","",IF(AND(VALUE(J$7)&gt;$F57,VALUE(J$7)&lt;=$G57),IF($D57="","◇","■"),""))</f>
        <v/>
      </c>
      <c r="K57" s="59" t="str">
        <f>IF($A57="","",IF(AND(VALUE(K$7)&gt;$F57,VALUE(K$7)&lt;=$G57),IF($D57="","◇","■"),""))</f>
        <v/>
      </c>
      <c r="L57" s="59" t="str">
        <f>IF($A57="","",IF(AND(VALUE(L$7)&gt;$F57,VALUE(L$7)&lt;=$G57),IF($D57="","◇","■"),""))</f>
        <v/>
      </c>
      <c r="M57" s="59" t="str">
        <f>IF($A57="","",IF(AND(VALUE(M$7)&gt;$F57,VALUE(M$7)&lt;=$G57),IF($D57="","◇","■"),""))</f>
        <v/>
      </c>
      <c r="N57" s="59" t="str">
        <f>IF($A57="","",IF(AND(VALUE(N$7)&gt;$F57,VALUE(N$7)&lt;=$G57),IF($D57="","◇","■"),""))</f>
        <v/>
      </c>
      <c r="O57" s="59" t="str">
        <f>IF($A57="","",IF(AND(VALUE(O$7)&gt;$F57,VALUE(O$7)&lt;=$G57),IF($D57="","◇","■"),""))</f>
        <v/>
      </c>
      <c r="P57" s="59" t="str">
        <f>IF($A57="","",IF(AND(VALUE(P$7)&gt;$F57,VALUE(P$7)&lt;=$G57),IF($D57="","◇","■"),""))</f>
        <v/>
      </c>
      <c r="Q57" s="59" t="str">
        <f>IF($A57="","",IF(AND(VALUE(Q$7)&gt;$F57,VALUE(Q$7)&lt;=$G57),IF($D57="","◇","■"),""))</f>
        <v/>
      </c>
      <c r="R57" s="59" t="str">
        <f>IF($A57="","",IF(AND(VALUE(R$7)&gt;$F57,VALUE(R$7)&lt;=$G57),IF($D57="","◇","■"),""))</f>
        <v/>
      </c>
      <c r="S57" s="59" t="str">
        <f>IF($A57="","",IF(AND(VALUE(S$7)&gt;$F57,VALUE(S$7)&lt;=$G57),IF($D57="","◇","■"),""))</f>
        <v/>
      </c>
      <c r="T57" s="59" t="str">
        <f>IF($A57="","",IF(AND(VALUE(T$7)&gt;$F57,VALUE(T$7)&lt;=$G57),IF($D57="","◇","■"),""))</f>
        <v/>
      </c>
      <c r="U57" s="59" t="str">
        <f>IF($A57="","",IF(AND(VALUE(U$7)&gt;$F57,VALUE(U$7)&lt;=$G57),IF($D57="","◇","■"),""))</f>
        <v/>
      </c>
      <c r="V57" s="59" t="str">
        <f>IF($A57="","",IF(AND(VALUE(V$7)&gt;$F57,VALUE(V$7)&lt;=$G57),IF($D57="","◇","■"),""))</f>
        <v/>
      </c>
      <c r="W57" s="59" t="str">
        <f>IF($A57="","",IF(AND(VALUE(W$7)&gt;$F57,VALUE(W$7)&lt;=$G57),IF($D57="","◇","■"),""))</f>
        <v/>
      </c>
      <c r="X57" s="59" t="str">
        <f>IF($A57="","",IF(AND(VALUE(X$7)&gt;$F57,VALUE(X$7)&lt;=$G57),IF($D57="","◇","■"),""))</f>
        <v/>
      </c>
      <c r="Y57" s="59" t="str">
        <f>IF($A57="","",IF(AND(VALUE(Y$7)&gt;$F57,VALUE(Y$7)&lt;=$G57),IF($D57="","◇","■"),""))</f>
        <v/>
      </c>
      <c r="Z57" s="59" t="str">
        <f>IF($A57="","",IF(AND(VALUE(Z$7)&gt;$F57,VALUE(Z$7)&lt;=$G57),IF($D57="","◇","■"),""))</f>
        <v/>
      </c>
      <c r="AA57" s="59" t="str">
        <f>IF($A57="","",IF(AND(VALUE(AA$7)&gt;$F57,VALUE(AA$7)&lt;=$G57),IF($D57="","◇","■"),""))</f>
        <v/>
      </c>
      <c r="AB57" s="59" t="str">
        <f>IF($A57="","",IF(AND(VALUE(AB$7)&gt;$F57,VALUE(AB$7)&lt;=$G57),IF($D57="","◇","■"),""))</f>
        <v/>
      </c>
      <c r="AC57" s="59" t="str">
        <f>IF($A57="","",IF(AND(VALUE(AC$7)&gt;$F57,VALUE(AC$7)&lt;=$G57),IF($D57="","◇","■"),""))</f>
        <v/>
      </c>
      <c r="AD57" s="59" t="str">
        <f>IF($A57="","",IF(AND(VALUE(AD$7)&gt;$F57,VALUE(AD$7)&lt;=$G57),IF($D57="","◇","■"),""))</f>
        <v/>
      </c>
      <c r="AE57" s="59" t="str">
        <f>IF($A57="","",IF(AND(VALUE(AE$7)&gt;$F57,VALUE(AE$7)&lt;=$G57),IF($D57="","◇","■"),""))</f>
        <v/>
      </c>
      <c r="AF57" s="59" t="str">
        <f>IF($A57="","",IF(AND(VALUE(AF$7)&gt;$F57,VALUE(AF$7)&lt;=$G57),IF($D57="","◇","■"),""))</f>
        <v/>
      </c>
      <c r="AG57" s="59" t="str">
        <f>IF($A57="","",IF(AND(VALUE(AG$7)&gt;$F57,VALUE(AG$7)&lt;=$G57),IF($D57="","◇","■"),""))</f>
        <v/>
      </c>
      <c r="AH57" s="59" t="str">
        <f>IF($A57="","",IF(AND(VALUE(AH$7)&gt;$F57,VALUE(AH$7)&lt;=$G57),IF($D57="","◇","■"),""))</f>
        <v/>
      </c>
      <c r="AI57" s="59" t="str">
        <f>IF($A57="","",IF(AND(VALUE(AI$7)&gt;$F57,VALUE(AI$7)&lt;=$G57),IF($D57="","◇","■"),""))</f>
        <v/>
      </c>
      <c r="AJ57" s="59" t="str">
        <f>IF($A57="","",IF(AND(VALUE(AJ$7)&gt;$F57,VALUE(AJ$7)&lt;=$G57),IF($D57="","◇","■"),""))</f>
        <v/>
      </c>
      <c r="AK57" s="59" t="str">
        <f>IF($A57="","",IF(AND(VALUE(AK$7)&gt;$F57,VALUE(AK$7)&lt;=$G57),IF($D57="","◇","■"),""))</f>
        <v/>
      </c>
      <c r="AL57" s="59" t="str">
        <f>IF($A57="","",IF(AND(VALUE(AL$7)&gt;$F57,VALUE(AL$7)&lt;=$G57),IF($D57="","◇","■"),""))</f>
        <v/>
      </c>
      <c r="AM57" s="59" t="str">
        <f>IF($A57="","",IF(AND(VALUE(AM$7)&gt;$F57,VALUE(AM$7)&lt;=$G57),IF($D57="","◇","■"),""))</f>
        <v/>
      </c>
    </row>
    <row r="58" spans="1:39" ht="18" customHeight="1" x14ac:dyDescent="0.35">
      <c r="A58" s="55" t="str" cm="1">
        <f t="array" ref="A58">IFERROR(INDEX(_xlfn._xlws.FILTER(tblProjectTasks[TaskGroup],(tblProjectTasks[IsWorkPackage]="Yes")*(tblProjectTasks[CaptureStatus]&lt;&gt;"Removed")),ROWS($A$8:A58)),"")</f>
        <v/>
      </c>
      <c r="B58" s="56" t="str" cm="1">
        <f t="array" ref="B58">IFERROR(INDEX(_xlfn._xlws.FILTER(tblProjectTasks[WBSCode],(tblProjectTasks[IsWorkPackage]="Yes")*(tblProjectTasks[CaptureStatus]&lt;&gt;"Removed")),ROWS($B$8:B58)),"")</f>
        <v/>
      </c>
      <c r="C58" s="57" t="str" cm="1">
        <f t="array" ref="C58">IFERROR(INDEX(_xlfn._xlws.FILTER(tblProjectTasks[TaskName],(tblProjectTasks[IsWorkPackage]="Yes")*(tblProjectTasks[CaptureStatus]&lt;&gt;"Removed")),ROWS($C$8:C58)),"")</f>
        <v/>
      </c>
      <c r="D58" s="58" t="str" cm="1">
        <f t="array" ref="D58">_xlfn.LET(_xlpm.x,IFERROR(INDEX(_xlfn._xlws.FILTER(tblProjectTasks[Elapsed Time in Weeks],(tblProjectTasks[IsWorkPackage]="Yes")*(tblProjectTasks[CaptureStatus]&lt;&gt;"Removed")),ROWS($D$8:D58)),""),IF(_xlpm.x=0,"",_xlpm.x))</f>
        <v/>
      </c>
      <c r="E58" s="58" t="str">
        <f>IF($A58="","",IF($D58="",1,$D58))</f>
        <v/>
      </c>
      <c r="F58" s="58" t="str">
        <f>IF($A58="","",IF(ROW()=8,0,$F57+$E57))</f>
        <v/>
      </c>
      <c r="G58" s="58" t="str">
        <f>IF($A58="","",$F58+$E58)</f>
        <v/>
      </c>
      <c r="H58" s="59" t="str">
        <f>IF($A58="","",IF(AND(VALUE(H$7)&gt;$F58,VALUE(H$7)&lt;=$G58),IF($D58="","◇","■"),""))</f>
        <v/>
      </c>
      <c r="I58" s="59" t="str">
        <f>IF($A58="","",IF(AND(VALUE(I$7)&gt;$F58,VALUE(I$7)&lt;=$G58),IF($D58="","◇","■"),""))</f>
        <v/>
      </c>
      <c r="J58" s="59" t="str">
        <f>IF($A58="","",IF(AND(VALUE(J$7)&gt;$F58,VALUE(J$7)&lt;=$G58),IF($D58="","◇","■"),""))</f>
        <v/>
      </c>
      <c r="K58" s="59" t="str">
        <f>IF($A58="","",IF(AND(VALUE(K$7)&gt;$F58,VALUE(K$7)&lt;=$G58),IF($D58="","◇","■"),""))</f>
        <v/>
      </c>
      <c r="L58" s="59" t="str">
        <f>IF($A58="","",IF(AND(VALUE(L$7)&gt;$F58,VALUE(L$7)&lt;=$G58),IF($D58="","◇","■"),""))</f>
        <v/>
      </c>
      <c r="M58" s="59" t="str">
        <f>IF($A58="","",IF(AND(VALUE(M$7)&gt;$F58,VALUE(M$7)&lt;=$G58),IF($D58="","◇","■"),""))</f>
        <v/>
      </c>
      <c r="N58" s="59" t="str">
        <f>IF($A58="","",IF(AND(VALUE(N$7)&gt;$F58,VALUE(N$7)&lt;=$G58),IF($D58="","◇","■"),""))</f>
        <v/>
      </c>
      <c r="O58" s="59" t="str">
        <f>IF($A58="","",IF(AND(VALUE(O$7)&gt;$F58,VALUE(O$7)&lt;=$G58),IF($D58="","◇","■"),""))</f>
        <v/>
      </c>
      <c r="P58" s="59" t="str">
        <f>IF($A58="","",IF(AND(VALUE(P$7)&gt;$F58,VALUE(P$7)&lt;=$G58),IF($D58="","◇","■"),""))</f>
        <v/>
      </c>
      <c r="Q58" s="59" t="str">
        <f>IF($A58="","",IF(AND(VALUE(Q$7)&gt;$F58,VALUE(Q$7)&lt;=$G58),IF($D58="","◇","■"),""))</f>
        <v/>
      </c>
      <c r="R58" s="59" t="str">
        <f>IF($A58="","",IF(AND(VALUE(R$7)&gt;$F58,VALUE(R$7)&lt;=$G58),IF($D58="","◇","■"),""))</f>
        <v/>
      </c>
      <c r="S58" s="59" t="str">
        <f>IF($A58="","",IF(AND(VALUE(S$7)&gt;$F58,VALUE(S$7)&lt;=$G58),IF($D58="","◇","■"),""))</f>
        <v/>
      </c>
      <c r="T58" s="59" t="str">
        <f>IF($A58="","",IF(AND(VALUE(T$7)&gt;$F58,VALUE(T$7)&lt;=$G58),IF($D58="","◇","■"),""))</f>
        <v/>
      </c>
      <c r="U58" s="59" t="str">
        <f>IF($A58="","",IF(AND(VALUE(U$7)&gt;$F58,VALUE(U$7)&lt;=$G58),IF($D58="","◇","■"),""))</f>
        <v/>
      </c>
      <c r="V58" s="59" t="str">
        <f>IF($A58="","",IF(AND(VALUE(V$7)&gt;$F58,VALUE(V$7)&lt;=$G58),IF($D58="","◇","■"),""))</f>
        <v/>
      </c>
      <c r="W58" s="59" t="str">
        <f>IF($A58="","",IF(AND(VALUE(W$7)&gt;$F58,VALUE(W$7)&lt;=$G58),IF($D58="","◇","■"),""))</f>
        <v/>
      </c>
      <c r="X58" s="59" t="str">
        <f>IF($A58="","",IF(AND(VALUE(X$7)&gt;$F58,VALUE(X$7)&lt;=$G58),IF($D58="","◇","■"),""))</f>
        <v/>
      </c>
      <c r="Y58" s="59" t="str">
        <f>IF($A58="","",IF(AND(VALUE(Y$7)&gt;$F58,VALUE(Y$7)&lt;=$G58),IF($D58="","◇","■"),""))</f>
        <v/>
      </c>
      <c r="Z58" s="59" t="str">
        <f>IF($A58="","",IF(AND(VALUE(Z$7)&gt;$F58,VALUE(Z$7)&lt;=$G58),IF($D58="","◇","■"),""))</f>
        <v/>
      </c>
      <c r="AA58" s="59" t="str">
        <f>IF($A58="","",IF(AND(VALUE(AA$7)&gt;$F58,VALUE(AA$7)&lt;=$G58),IF($D58="","◇","■"),""))</f>
        <v/>
      </c>
      <c r="AB58" s="59" t="str">
        <f>IF($A58="","",IF(AND(VALUE(AB$7)&gt;$F58,VALUE(AB$7)&lt;=$G58),IF($D58="","◇","■"),""))</f>
        <v/>
      </c>
      <c r="AC58" s="59" t="str">
        <f>IF($A58="","",IF(AND(VALUE(AC$7)&gt;$F58,VALUE(AC$7)&lt;=$G58),IF($D58="","◇","■"),""))</f>
        <v/>
      </c>
      <c r="AD58" s="59" t="str">
        <f>IF($A58="","",IF(AND(VALUE(AD$7)&gt;$F58,VALUE(AD$7)&lt;=$G58),IF($D58="","◇","■"),""))</f>
        <v/>
      </c>
      <c r="AE58" s="59" t="str">
        <f>IF($A58="","",IF(AND(VALUE(AE$7)&gt;$F58,VALUE(AE$7)&lt;=$G58),IF($D58="","◇","■"),""))</f>
        <v/>
      </c>
      <c r="AF58" s="59" t="str">
        <f>IF($A58="","",IF(AND(VALUE(AF$7)&gt;$F58,VALUE(AF$7)&lt;=$G58),IF($D58="","◇","■"),""))</f>
        <v/>
      </c>
      <c r="AG58" s="59" t="str">
        <f>IF($A58="","",IF(AND(VALUE(AG$7)&gt;$F58,VALUE(AG$7)&lt;=$G58),IF($D58="","◇","■"),""))</f>
        <v/>
      </c>
      <c r="AH58" s="59" t="str">
        <f>IF($A58="","",IF(AND(VALUE(AH$7)&gt;$F58,VALUE(AH$7)&lt;=$G58),IF($D58="","◇","■"),""))</f>
        <v/>
      </c>
      <c r="AI58" s="59" t="str">
        <f>IF($A58="","",IF(AND(VALUE(AI$7)&gt;$F58,VALUE(AI$7)&lt;=$G58),IF($D58="","◇","■"),""))</f>
        <v/>
      </c>
      <c r="AJ58" s="59" t="str">
        <f>IF($A58="","",IF(AND(VALUE(AJ$7)&gt;$F58,VALUE(AJ$7)&lt;=$G58),IF($D58="","◇","■"),""))</f>
        <v/>
      </c>
      <c r="AK58" s="59" t="str">
        <f>IF($A58="","",IF(AND(VALUE(AK$7)&gt;$F58,VALUE(AK$7)&lt;=$G58),IF($D58="","◇","■"),""))</f>
        <v/>
      </c>
      <c r="AL58" s="59" t="str">
        <f>IF($A58="","",IF(AND(VALUE(AL$7)&gt;$F58,VALUE(AL$7)&lt;=$G58),IF($D58="","◇","■"),""))</f>
        <v/>
      </c>
      <c r="AM58" s="59" t="str">
        <f>IF($A58="","",IF(AND(VALUE(AM$7)&gt;$F58,VALUE(AM$7)&lt;=$G58),IF($D58="","◇","■"),""))</f>
        <v/>
      </c>
    </row>
    <row r="59" spans="1:39" ht="18" customHeight="1" x14ac:dyDescent="0.35">
      <c r="A59" s="55" t="str" cm="1">
        <f t="array" ref="A59">IFERROR(INDEX(_xlfn._xlws.FILTER(tblProjectTasks[TaskGroup],(tblProjectTasks[IsWorkPackage]="Yes")*(tblProjectTasks[CaptureStatus]&lt;&gt;"Removed")),ROWS($A$8:A59)),"")</f>
        <v/>
      </c>
      <c r="B59" s="56" t="str" cm="1">
        <f t="array" ref="B59">IFERROR(INDEX(_xlfn._xlws.FILTER(tblProjectTasks[WBSCode],(tblProjectTasks[IsWorkPackage]="Yes")*(tblProjectTasks[CaptureStatus]&lt;&gt;"Removed")),ROWS($B$8:B59)),"")</f>
        <v/>
      </c>
      <c r="C59" s="57" t="str" cm="1">
        <f t="array" ref="C59">IFERROR(INDEX(_xlfn._xlws.FILTER(tblProjectTasks[TaskName],(tblProjectTasks[IsWorkPackage]="Yes")*(tblProjectTasks[CaptureStatus]&lt;&gt;"Removed")),ROWS($C$8:C59)),"")</f>
        <v/>
      </c>
      <c r="D59" s="58" t="str" cm="1">
        <f t="array" ref="D59">_xlfn.LET(_xlpm.x,IFERROR(INDEX(_xlfn._xlws.FILTER(tblProjectTasks[Elapsed Time in Weeks],(tblProjectTasks[IsWorkPackage]="Yes")*(tblProjectTasks[CaptureStatus]&lt;&gt;"Removed")),ROWS($D$8:D59)),""),IF(_xlpm.x=0,"",_xlpm.x))</f>
        <v/>
      </c>
      <c r="E59" s="58" t="str">
        <f>IF($A59="","",IF($D59="",1,$D59))</f>
        <v/>
      </c>
      <c r="F59" s="58" t="str">
        <f>IF($A59="","",IF(ROW()=8,0,$F58+$E58))</f>
        <v/>
      </c>
      <c r="G59" s="58" t="str">
        <f>IF($A59="","",$F59+$E59)</f>
        <v/>
      </c>
      <c r="H59" s="59" t="str">
        <f>IF($A59="","",IF(AND(VALUE(H$7)&gt;$F59,VALUE(H$7)&lt;=$G59),IF($D59="","◇","■"),""))</f>
        <v/>
      </c>
      <c r="I59" s="59" t="str">
        <f>IF($A59="","",IF(AND(VALUE(I$7)&gt;$F59,VALUE(I$7)&lt;=$G59),IF($D59="","◇","■"),""))</f>
        <v/>
      </c>
      <c r="J59" s="59" t="str">
        <f>IF($A59="","",IF(AND(VALUE(J$7)&gt;$F59,VALUE(J$7)&lt;=$G59),IF($D59="","◇","■"),""))</f>
        <v/>
      </c>
      <c r="K59" s="59" t="str">
        <f>IF($A59="","",IF(AND(VALUE(K$7)&gt;$F59,VALUE(K$7)&lt;=$G59),IF($D59="","◇","■"),""))</f>
        <v/>
      </c>
      <c r="L59" s="59" t="str">
        <f>IF($A59="","",IF(AND(VALUE(L$7)&gt;$F59,VALUE(L$7)&lt;=$G59),IF($D59="","◇","■"),""))</f>
        <v/>
      </c>
      <c r="M59" s="59" t="str">
        <f>IF($A59="","",IF(AND(VALUE(M$7)&gt;$F59,VALUE(M$7)&lt;=$G59),IF($D59="","◇","■"),""))</f>
        <v/>
      </c>
      <c r="N59" s="59" t="str">
        <f>IF($A59="","",IF(AND(VALUE(N$7)&gt;$F59,VALUE(N$7)&lt;=$G59),IF($D59="","◇","■"),""))</f>
        <v/>
      </c>
      <c r="O59" s="59" t="str">
        <f>IF($A59="","",IF(AND(VALUE(O$7)&gt;$F59,VALUE(O$7)&lt;=$G59),IF($D59="","◇","■"),""))</f>
        <v/>
      </c>
      <c r="P59" s="59" t="str">
        <f>IF($A59="","",IF(AND(VALUE(P$7)&gt;$F59,VALUE(P$7)&lt;=$G59),IF($D59="","◇","■"),""))</f>
        <v/>
      </c>
      <c r="Q59" s="59" t="str">
        <f>IF($A59="","",IF(AND(VALUE(Q$7)&gt;$F59,VALUE(Q$7)&lt;=$G59),IF($D59="","◇","■"),""))</f>
        <v/>
      </c>
      <c r="R59" s="59" t="str">
        <f>IF($A59="","",IF(AND(VALUE(R$7)&gt;$F59,VALUE(R$7)&lt;=$G59),IF($D59="","◇","■"),""))</f>
        <v/>
      </c>
      <c r="S59" s="59" t="str">
        <f>IF($A59="","",IF(AND(VALUE(S$7)&gt;$F59,VALUE(S$7)&lt;=$G59),IF($D59="","◇","■"),""))</f>
        <v/>
      </c>
      <c r="T59" s="59" t="str">
        <f>IF($A59="","",IF(AND(VALUE(T$7)&gt;$F59,VALUE(T$7)&lt;=$G59),IF($D59="","◇","■"),""))</f>
        <v/>
      </c>
      <c r="U59" s="59" t="str">
        <f>IF($A59="","",IF(AND(VALUE(U$7)&gt;$F59,VALUE(U$7)&lt;=$G59),IF($D59="","◇","■"),""))</f>
        <v/>
      </c>
      <c r="V59" s="59" t="str">
        <f>IF($A59="","",IF(AND(VALUE(V$7)&gt;$F59,VALUE(V$7)&lt;=$G59),IF($D59="","◇","■"),""))</f>
        <v/>
      </c>
      <c r="W59" s="59" t="str">
        <f>IF($A59="","",IF(AND(VALUE(W$7)&gt;$F59,VALUE(W$7)&lt;=$G59),IF($D59="","◇","■"),""))</f>
        <v/>
      </c>
      <c r="X59" s="59" t="str">
        <f>IF($A59="","",IF(AND(VALUE(X$7)&gt;$F59,VALUE(X$7)&lt;=$G59),IF($D59="","◇","■"),""))</f>
        <v/>
      </c>
      <c r="Y59" s="59" t="str">
        <f>IF($A59="","",IF(AND(VALUE(Y$7)&gt;$F59,VALUE(Y$7)&lt;=$G59),IF($D59="","◇","■"),""))</f>
        <v/>
      </c>
      <c r="Z59" s="59" t="str">
        <f>IF($A59="","",IF(AND(VALUE(Z$7)&gt;$F59,VALUE(Z$7)&lt;=$G59),IF($D59="","◇","■"),""))</f>
        <v/>
      </c>
      <c r="AA59" s="59" t="str">
        <f>IF($A59="","",IF(AND(VALUE(AA$7)&gt;$F59,VALUE(AA$7)&lt;=$G59),IF($D59="","◇","■"),""))</f>
        <v/>
      </c>
      <c r="AB59" s="59" t="str">
        <f>IF($A59="","",IF(AND(VALUE(AB$7)&gt;$F59,VALUE(AB$7)&lt;=$G59),IF($D59="","◇","■"),""))</f>
        <v/>
      </c>
      <c r="AC59" s="59" t="str">
        <f>IF($A59="","",IF(AND(VALUE(AC$7)&gt;$F59,VALUE(AC$7)&lt;=$G59),IF($D59="","◇","■"),""))</f>
        <v/>
      </c>
      <c r="AD59" s="59" t="str">
        <f>IF($A59="","",IF(AND(VALUE(AD$7)&gt;$F59,VALUE(AD$7)&lt;=$G59),IF($D59="","◇","■"),""))</f>
        <v/>
      </c>
      <c r="AE59" s="59" t="str">
        <f>IF($A59="","",IF(AND(VALUE(AE$7)&gt;$F59,VALUE(AE$7)&lt;=$G59),IF($D59="","◇","■"),""))</f>
        <v/>
      </c>
      <c r="AF59" s="59" t="str">
        <f>IF($A59="","",IF(AND(VALUE(AF$7)&gt;$F59,VALUE(AF$7)&lt;=$G59),IF($D59="","◇","■"),""))</f>
        <v/>
      </c>
      <c r="AG59" s="59" t="str">
        <f>IF($A59="","",IF(AND(VALUE(AG$7)&gt;$F59,VALUE(AG$7)&lt;=$G59),IF($D59="","◇","■"),""))</f>
        <v/>
      </c>
      <c r="AH59" s="59" t="str">
        <f>IF($A59="","",IF(AND(VALUE(AH$7)&gt;$F59,VALUE(AH$7)&lt;=$G59),IF($D59="","◇","■"),""))</f>
        <v/>
      </c>
      <c r="AI59" s="59" t="str">
        <f>IF($A59="","",IF(AND(VALUE(AI$7)&gt;$F59,VALUE(AI$7)&lt;=$G59),IF($D59="","◇","■"),""))</f>
        <v/>
      </c>
      <c r="AJ59" s="59" t="str">
        <f>IF($A59="","",IF(AND(VALUE(AJ$7)&gt;$F59,VALUE(AJ$7)&lt;=$G59),IF($D59="","◇","■"),""))</f>
        <v/>
      </c>
      <c r="AK59" s="59" t="str">
        <f>IF($A59="","",IF(AND(VALUE(AK$7)&gt;$F59,VALUE(AK$7)&lt;=$G59),IF($D59="","◇","■"),""))</f>
        <v/>
      </c>
      <c r="AL59" s="59" t="str">
        <f>IF($A59="","",IF(AND(VALUE(AL$7)&gt;$F59,VALUE(AL$7)&lt;=$G59),IF($D59="","◇","■"),""))</f>
        <v/>
      </c>
      <c r="AM59" s="59" t="str">
        <f>IF($A59="","",IF(AND(VALUE(AM$7)&gt;$F59,VALUE(AM$7)&lt;=$G59),IF($D59="","◇","■"),""))</f>
        <v/>
      </c>
    </row>
    <row r="60" spans="1:39" ht="18" customHeight="1" x14ac:dyDescent="0.35">
      <c r="A60" s="55" t="str" cm="1">
        <f t="array" ref="A60">IFERROR(INDEX(_xlfn._xlws.FILTER(tblProjectTasks[TaskGroup],(tblProjectTasks[IsWorkPackage]="Yes")*(tblProjectTasks[CaptureStatus]&lt;&gt;"Removed")),ROWS($A$8:A60)),"")</f>
        <v/>
      </c>
      <c r="B60" s="56" t="str" cm="1">
        <f t="array" ref="B60">IFERROR(INDEX(_xlfn._xlws.FILTER(tblProjectTasks[WBSCode],(tblProjectTasks[IsWorkPackage]="Yes")*(tblProjectTasks[CaptureStatus]&lt;&gt;"Removed")),ROWS($B$8:B60)),"")</f>
        <v/>
      </c>
      <c r="C60" s="57" t="str" cm="1">
        <f t="array" ref="C60">IFERROR(INDEX(_xlfn._xlws.FILTER(tblProjectTasks[TaskName],(tblProjectTasks[IsWorkPackage]="Yes")*(tblProjectTasks[CaptureStatus]&lt;&gt;"Removed")),ROWS($C$8:C60)),"")</f>
        <v/>
      </c>
      <c r="D60" s="58" t="str" cm="1">
        <f t="array" ref="D60">_xlfn.LET(_xlpm.x,IFERROR(INDEX(_xlfn._xlws.FILTER(tblProjectTasks[Elapsed Time in Weeks],(tblProjectTasks[IsWorkPackage]="Yes")*(tblProjectTasks[CaptureStatus]&lt;&gt;"Removed")),ROWS($D$8:D60)),""),IF(_xlpm.x=0,"",_xlpm.x))</f>
        <v/>
      </c>
      <c r="E60" s="58" t="str">
        <f>IF($A60="","",IF($D60="",1,$D60))</f>
        <v/>
      </c>
      <c r="F60" s="58" t="str">
        <f>IF($A60="","",IF(ROW()=8,0,$F59+$E59))</f>
        <v/>
      </c>
      <c r="G60" s="58" t="str">
        <f>IF($A60="","",$F60+$E60)</f>
        <v/>
      </c>
      <c r="H60" s="59" t="str">
        <f>IF($A60="","",IF(AND(VALUE(H$7)&gt;$F60,VALUE(H$7)&lt;=$G60),IF($D60="","◇","■"),""))</f>
        <v/>
      </c>
      <c r="I60" s="59" t="str">
        <f>IF($A60="","",IF(AND(VALUE(I$7)&gt;$F60,VALUE(I$7)&lt;=$G60),IF($D60="","◇","■"),""))</f>
        <v/>
      </c>
      <c r="J60" s="59" t="str">
        <f>IF($A60="","",IF(AND(VALUE(J$7)&gt;$F60,VALUE(J$7)&lt;=$G60),IF($D60="","◇","■"),""))</f>
        <v/>
      </c>
      <c r="K60" s="59" t="str">
        <f>IF($A60="","",IF(AND(VALUE(K$7)&gt;$F60,VALUE(K$7)&lt;=$G60),IF($D60="","◇","■"),""))</f>
        <v/>
      </c>
      <c r="L60" s="59" t="str">
        <f>IF($A60="","",IF(AND(VALUE(L$7)&gt;$F60,VALUE(L$7)&lt;=$G60),IF($D60="","◇","■"),""))</f>
        <v/>
      </c>
      <c r="M60" s="59" t="str">
        <f>IF($A60="","",IF(AND(VALUE(M$7)&gt;$F60,VALUE(M$7)&lt;=$G60),IF($D60="","◇","■"),""))</f>
        <v/>
      </c>
      <c r="N60" s="59" t="str">
        <f>IF($A60="","",IF(AND(VALUE(N$7)&gt;$F60,VALUE(N$7)&lt;=$G60),IF($D60="","◇","■"),""))</f>
        <v/>
      </c>
      <c r="O60" s="59" t="str">
        <f>IF($A60="","",IF(AND(VALUE(O$7)&gt;$F60,VALUE(O$7)&lt;=$G60),IF($D60="","◇","■"),""))</f>
        <v/>
      </c>
      <c r="P60" s="59" t="str">
        <f>IF($A60="","",IF(AND(VALUE(P$7)&gt;$F60,VALUE(P$7)&lt;=$G60),IF($D60="","◇","■"),""))</f>
        <v/>
      </c>
      <c r="Q60" s="59" t="str">
        <f>IF($A60="","",IF(AND(VALUE(Q$7)&gt;$F60,VALUE(Q$7)&lt;=$G60),IF($D60="","◇","■"),""))</f>
        <v/>
      </c>
      <c r="R60" s="59" t="str">
        <f>IF($A60="","",IF(AND(VALUE(R$7)&gt;$F60,VALUE(R$7)&lt;=$G60),IF($D60="","◇","■"),""))</f>
        <v/>
      </c>
      <c r="S60" s="59" t="str">
        <f>IF($A60="","",IF(AND(VALUE(S$7)&gt;$F60,VALUE(S$7)&lt;=$G60),IF($D60="","◇","■"),""))</f>
        <v/>
      </c>
      <c r="T60" s="59" t="str">
        <f>IF($A60="","",IF(AND(VALUE(T$7)&gt;$F60,VALUE(T$7)&lt;=$G60),IF($D60="","◇","■"),""))</f>
        <v/>
      </c>
      <c r="U60" s="59" t="str">
        <f>IF($A60="","",IF(AND(VALUE(U$7)&gt;$F60,VALUE(U$7)&lt;=$G60),IF($D60="","◇","■"),""))</f>
        <v/>
      </c>
      <c r="V60" s="59" t="str">
        <f>IF($A60="","",IF(AND(VALUE(V$7)&gt;$F60,VALUE(V$7)&lt;=$G60),IF($D60="","◇","■"),""))</f>
        <v/>
      </c>
      <c r="W60" s="59" t="str">
        <f>IF($A60="","",IF(AND(VALUE(W$7)&gt;$F60,VALUE(W$7)&lt;=$G60),IF($D60="","◇","■"),""))</f>
        <v/>
      </c>
      <c r="X60" s="59" t="str">
        <f>IF($A60="","",IF(AND(VALUE(X$7)&gt;$F60,VALUE(X$7)&lt;=$G60),IF($D60="","◇","■"),""))</f>
        <v/>
      </c>
      <c r="Y60" s="59" t="str">
        <f>IF($A60="","",IF(AND(VALUE(Y$7)&gt;$F60,VALUE(Y$7)&lt;=$G60),IF($D60="","◇","■"),""))</f>
        <v/>
      </c>
      <c r="Z60" s="59" t="str">
        <f>IF($A60="","",IF(AND(VALUE(Z$7)&gt;$F60,VALUE(Z$7)&lt;=$G60),IF($D60="","◇","■"),""))</f>
        <v/>
      </c>
      <c r="AA60" s="59" t="str">
        <f>IF($A60="","",IF(AND(VALUE(AA$7)&gt;$F60,VALUE(AA$7)&lt;=$G60),IF($D60="","◇","■"),""))</f>
        <v/>
      </c>
      <c r="AB60" s="59" t="str">
        <f>IF($A60="","",IF(AND(VALUE(AB$7)&gt;$F60,VALUE(AB$7)&lt;=$G60),IF($D60="","◇","■"),""))</f>
        <v/>
      </c>
      <c r="AC60" s="59" t="str">
        <f>IF($A60="","",IF(AND(VALUE(AC$7)&gt;$F60,VALUE(AC$7)&lt;=$G60),IF($D60="","◇","■"),""))</f>
        <v/>
      </c>
      <c r="AD60" s="59" t="str">
        <f>IF($A60="","",IF(AND(VALUE(AD$7)&gt;$F60,VALUE(AD$7)&lt;=$G60),IF($D60="","◇","■"),""))</f>
        <v/>
      </c>
      <c r="AE60" s="59" t="str">
        <f>IF($A60="","",IF(AND(VALUE(AE$7)&gt;$F60,VALUE(AE$7)&lt;=$G60),IF($D60="","◇","■"),""))</f>
        <v/>
      </c>
      <c r="AF60" s="59" t="str">
        <f>IF($A60="","",IF(AND(VALUE(AF$7)&gt;$F60,VALUE(AF$7)&lt;=$G60),IF($D60="","◇","■"),""))</f>
        <v/>
      </c>
      <c r="AG60" s="59" t="str">
        <f>IF($A60="","",IF(AND(VALUE(AG$7)&gt;$F60,VALUE(AG$7)&lt;=$G60),IF($D60="","◇","■"),""))</f>
        <v/>
      </c>
      <c r="AH60" s="59" t="str">
        <f>IF($A60="","",IF(AND(VALUE(AH$7)&gt;$F60,VALUE(AH$7)&lt;=$G60),IF($D60="","◇","■"),""))</f>
        <v/>
      </c>
      <c r="AI60" s="59" t="str">
        <f>IF($A60="","",IF(AND(VALUE(AI$7)&gt;$F60,VALUE(AI$7)&lt;=$G60),IF($D60="","◇","■"),""))</f>
        <v/>
      </c>
      <c r="AJ60" s="59" t="str">
        <f>IF($A60="","",IF(AND(VALUE(AJ$7)&gt;$F60,VALUE(AJ$7)&lt;=$G60),IF($D60="","◇","■"),""))</f>
        <v/>
      </c>
      <c r="AK60" s="59" t="str">
        <f>IF($A60="","",IF(AND(VALUE(AK$7)&gt;$F60,VALUE(AK$7)&lt;=$G60),IF($D60="","◇","■"),""))</f>
        <v/>
      </c>
      <c r="AL60" s="59" t="str">
        <f>IF($A60="","",IF(AND(VALUE(AL$7)&gt;$F60,VALUE(AL$7)&lt;=$G60),IF($D60="","◇","■"),""))</f>
        <v/>
      </c>
      <c r="AM60" s="59" t="str">
        <f>IF($A60="","",IF(AND(VALUE(AM$7)&gt;$F60,VALUE(AM$7)&lt;=$G60),IF($D60="","◇","■"),""))</f>
        <v/>
      </c>
    </row>
    <row r="61" spans="1:39" ht="18" customHeight="1" x14ac:dyDescent="0.35">
      <c r="A61" s="55" t="str" cm="1">
        <f t="array" ref="A61">IFERROR(INDEX(_xlfn._xlws.FILTER(tblProjectTasks[TaskGroup],(tblProjectTasks[IsWorkPackage]="Yes")*(tblProjectTasks[CaptureStatus]&lt;&gt;"Removed")),ROWS($A$8:A61)),"")</f>
        <v/>
      </c>
      <c r="B61" s="56" t="str" cm="1">
        <f t="array" ref="B61">IFERROR(INDEX(_xlfn._xlws.FILTER(tblProjectTasks[WBSCode],(tblProjectTasks[IsWorkPackage]="Yes")*(tblProjectTasks[CaptureStatus]&lt;&gt;"Removed")),ROWS($B$8:B61)),"")</f>
        <v/>
      </c>
      <c r="C61" s="57" t="str" cm="1">
        <f t="array" ref="C61">IFERROR(INDEX(_xlfn._xlws.FILTER(tblProjectTasks[TaskName],(tblProjectTasks[IsWorkPackage]="Yes")*(tblProjectTasks[CaptureStatus]&lt;&gt;"Removed")),ROWS($C$8:C61)),"")</f>
        <v/>
      </c>
      <c r="D61" s="58" t="str" cm="1">
        <f t="array" ref="D61">_xlfn.LET(_xlpm.x,IFERROR(INDEX(_xlfn._xlws.FILTER(tblProjectTasks[Elapsed Time in Weeks],(tblProjectTasks[IsWorkPackage]="Yes")*(tblProjectTasks[CaptureStatus]&lt;&gt;"Removed")),ROWS($D$8:D61)),""),IF(_xlpm.x=0,"",_xlpm.x))</f>
        <v/>
      </c>
      <c r="E61" s="58" t="str">
        <f>IF($A61="","",IF($D61="",1,$D61))</f>
        <v/>
      </c>
      <c r="F61" s="58" t="str">
        <f>IF($A61="","",IF(ROW()=8,0,$F60+$E60))</f>
        <v/>
      </c>
      <c r="G61" s="58" t="str">
        <f>IF($A61="","",$F61+$E61)</f>
        <v/>
      </c>
      <c r="H61" s="59" t="str">
        <f>IF($A61="","",IF(AND(VALUE(H$7)&gt;$F61,VALUE(H$7)&lt;=$G61),IF($D61="","◇","■"),""))</f>
        <v/>
      </c>
      <c r="I61" s="59" t="str">
        <f>IF($A61="","",IF(AND(VALUE(I$7)&gt;$F61,VALUE(I$7)&lt;=$G61),IF($D61="","◇","■"),""))</f>
        <v/>
      </c>
      <c r="J61" s="59" t="str">
        <f>IF($A61="","",IF(AND(VALUE(J$7)&gt;$F61,VALUE(J$7)&lt;=$G61),IF($D61="","◇","■"),""))</f>
        <v/>
      </c>
      <c r="K61" s="59" t="str">
        <f>IF($A61="","",IF(AND(VALUE(K$7)&gt;$F61,VALUE(K$7)&lt;=$G61),IF($D61="","◇","■"),""))</f>
        <v/>
      </c>
      <c r="L61" s="59" t="str">
        <f>IF($A61="","",IF(AND(VALUE(L$7)&gt;$F61,VALUE(L$7)&lt;=$G61),IF($D61="","◇","■"),""))</f>
        <v/>
      </c>
      <c r="M61" s="59" t="str">
        <f>IF($A61="","",IF(AND(VALUE(M$7)&gt;$F61,VALUE(M$7)&lt;=$G61),IF($D61="","◇","■"),""))</f>
        <v/>
      </c>
      <c r="N61" s="59" t="str">
        <f>IF($A61="","",IF(AND(VALUE(N$7)&gt;$F61,VALUE(N$7)&lt;=$G61),IF($D61="","◇","■"),""))</f>
        <v/>
      </c>
      <c r="O61" s="59" t="str">
        <f>IF($A61="","",IF(AND(VALUE(O$7)&gt;$F61,VALUE(O$7)&lt;=$G61),IF($D61="","◇","■"),""))</f>
        <v/>
      </c>
      <c r="P61" s="59" t="str">
        <f>IF($A61="","",IF(AND(VALUE(P$7)&gt;$F61,VALUE(P$7)&lt;=$G61),IF($D61="","◇","■"),""))</f>
        <v/>
      </c>
      <c r="Q61" s="59" t="str">
        <f>IF($A61="","",IF(AND(VALUE(Q$7)&gt;$F61,VALUE(Q$7)&lt;=$G61),IF($D61="","◇","■"),""))</f>
        <v/>
      </c>
      <c r="R61" s="59" t="str">
        <f>IF($A61="","",IF(AND(VALUE(R$7)&gt;$F61,VALUE(R$7)&lt;=$G61),IF($D61="","◇","■"),""))</f>
        <v/>
      </c>
      <c r="S61" s="59" t="str">
        <f>IF($A61="","",IF(AND(VALUE(S$7)&gt;$F61,VALUE(S$7)&lt;=$G61),IF($D61="","◇","■"),""))</f>
        <v/>
      </c>
      <c r="T61" s="59" t="str">
        <f>IF($A61="","",IF(AND(VALUE(T$7)&gt;$F61,VALUE(T$7)&lt;=$G61),IF($D61="","◇","■"),""))</f>
        <v/>
      </c>
      <c r="U61" s="59" t="str">
        <f>IF($A61="","",IF(AND(VALUE(U$7)&gt;$F61,VALUE(U$7)&lt;=$G61),IF($D61="","◇","■"),""))</f>
        <v/>
      </c>
      <c r="V61" s="59" t="str">
        <f>IF($A61="","",IF(AND(VALUE(V$7)&gt;$F61,VALUE(V$7)&lt;=$G61),IF($D61="","◇","■"),""))</f>
        <v/>
      </c>
      <c r="W61" s="59" t="str">
        <f>IF($A61="","",IF(AND(VALUE(W$7)&gt;$F61,VALUE(W$7)&lt;=$G61),IF($D61="","◇","■"),""))</f>
        <v/>
      </c>
      <c r="X61" s="59" t="str">
        <f>IF($A61="","",IF(AND(VALUE(X$7)&gt;$F61,VALUE(X$7)&lt;=$G61),IF($D61="","◇","■"),""))</f>
        <v/>
      </c>
      <c r="Y61" s="59" t="str">
        <f>IF($A61="","",IF(AND(VALUE(Y$7)&gt;$F61,VALUE(Y$7)&lt;=$G61),IF($D61="","◇","■"),""))</f>
        <v/>
      </c>
      <c r="Z61" s="59" t="str">
        <f>IF($A61="","",IF(AND(VALUE(Z$7)&gt;$F61,VALUE(Z$7)&lt;=$G61),IF($D61="","◇","■"),""))</f>
        <v/>
      </c>
      <c r="AA61" s="59" t="str">
        <f>IF($A61="","",IF(AND(VALUE(AA$7)&gt;$F61,VALUE(AA$7)&lt;=$G61),IF($D61="","◇","■"),""))</f>
        <v/>
      </c>
      <c r="AB61" s="59" t="str">
        <f>IF($A61="","",IF(AND(VALUE(AB$7)&gt;$F61,VALUE(AB$7)&lt;=$G61),IF($D61="","◇","■"),""))</f>
        <v/>
      </c>
      <c r="AC61" s="59" t="str">
        <f>IF($A61="","",IF(AND(VALUE(AC$7)&gt;$F61,VALUE(AC$7)&lt;=$G61),IF($D61="","◇","■"),""))</f>
        <v/>
      </c>
      <c r="AD61" s="59" t="str">
        <f>IF($A61="","",IF(AND(VALUE(AD$7)&gt;$F61,VALUE(AD$7)&lt;=$G61),IF($D61="","◇","■"),""))</f>
        <v/>
      </c>
      <c r="AE61" s="59" t="str">
        <f>IF($A61="","",IF(AND(VALUE(AE$7)&gt;$F61,VALUE(AE$7)&lt;=$G61),IF($D61="","◇","■"),""))</f>
        <v/>
      </c>
      <c r="AF61" s="59" t="str">
        <f>IF($A61="","",IF(AND(VALUE(AF$7)&gt;$F61,VALUE(AF$7)&lt;=$G61),IF($D61="","◇","■"),""))</f>
        <v/>
      </c>
      <c r="AG61" s="59" t="str">
        <f>IF($A61="","",IF(AND(VALUE(AG$7)&gt;$F61,VALUE(AG$7)&lt;=$G61),IF($D61="","◇","■"),""))</f>
        <v/>
      </c>
      <c r="AH61" s="59" t="str">
        <f>IF($A61="","",IF(AND(VALUE(AH$7)&gt;$F61,VALUE(AH$7)&lt;=$G61),IF($D61="","◇","■"),""))</f>
        <v/>
      </c>
      <c r="AI61" s="59" t="str">
        <f>IF($A61="","",IF(AND(VALUE(AI$7)&gt;$F61,VALUE(AI$7)&lt;=$G61),IF($D61="","◇","■"),""))</f>
        <v/>
      </c>
      <c r="AJ61" s="59" t="str">
        <f>IF($A61="","",IF(AND(VALUE(AJ$7)&gt;$F61,VALUE(AJ$7)&lt;=$G61),IF($D61="","◇","■"),""))</f>
        <v/>
      </c>
      <c r="AK61" s="59" t="str">
        <f>IF($A61="","",IF(AND(VALUE(AK$7)&gt;$F61,VALUE(AK$7)&lt;=$G61),IF($D61="","◇","■"),""))</f>
        <v/>
      </c>
      <c r="AL61" s="59" t="str">
        <f>IF($A61="","",IF(AND(VALUE(AL$7)&gt;$F61,VALUE(AL$7)&lt;=$G61),IF($D61="","◇","■"),""))</f>
        <v/>
      </c>
      <c r="AM61" s="59" t="str">
        <f>IF($A61="","",IF(AND(VALUE(AM$7)&gt;$F61,VALUE(AM$7)&lt;=$G61),IF($D61="","◇","■"),""))</f>
        <v/>
      </c>
    </row>
    <row r="62" spans="1:39" ht="18" customHeight="1" x14ac:dyDescent="0.35">
      <c r="A62" s="55" t="str" cm="1">
        <f t="array" ref="A62">IFERROR(INDEX(_xlfn._xlws.FILTER(tblProjectTasks[TaskGroup],(tblProjectTasks[IsWorkPackage]="Yes")*(tblProjectTasks[CaptureStatus]&lt;&gt;"Removed")),ROWS($A$8:A62)),"")</f>
        <v/>
      </c>
      <c r="B62" s="56" t="str" cm="1">
        <f t="array" ref="B62">IFERROR(INDEX(_xlfn._xlws.FILTER(tblProjectTasks[WBSCode],(tblProjectTasks[IsWorkPackage]="Yes")*(tblProjectTasks[CaptureStatus]&lt;&gt;"Removed")),ROWS($B$8:B62)),"")</f>
        <v/>
      </c>
      <c r="C62" s="57" t="str" cm="1">
        <f t="array" ref="C62">IFERROR(INDEX(_xlfn._xlws.FILTER(tblProjectTasks[TaskName],(tblProjectTasks[IsWorkPackage]="Yes")*(tblProjectTasks[CaptureStatus]&lt;&gt;"Removed")),ROWS($C$8:C62)),"")</f>
        <v/>
      </c>
      <c r="D62" s="58" t="str" cm="1">
        <f t="array" ref="D62">_xlfn.LET(_xlpm.x,IFERROR(INDEX(_xlfn._xlws.FILTER(tblProjectTasks[Elapsed Time in Weeks],(tblProjectTasks[IsWorkPackage]="Yes")*(tblProjectTasks[CaptureStatus]&lt;&gt;"Removed")),ROWS($D$8:D62)),""),IF(_xlpm.x=0,"",_xlpm.x))</f>
        <v/>
      </c>
      <c r="E62" s="58" t="str">
        <f>IF($A62="","",IF($D62="",1,$D62))</f>
        <v/>
      </c>
      <c r="F62" s="58" t="str">
        <f>IF($A62="","",IF(ROW()=8,0,$F61+$E61))</f>
        <v/>
      </c>
      <c r="G62" s="58" t="str">
        <f>IF($A62="","",$F62+$E62)</f>
        <v/>
      </c>
      <c r="H62" s="59" t="str">
        <f>IF($A62="","",IF(AND(VALUE(H$7)&gt;$F62,VALUE(H$7)&lt;=$G62),IF($D62="","◇","■"),""))</f>
        <v/>
      </c>
      <c r="I62" s="59" t="str">
        <f>IF($A62="","",IF(AND(VALUE(I$7)&gt;$F62,VALUE(I$7)&lt;=$G62),IF($D62="","◇","■"),""))</f>
        <v/>
      </c>
      <c r="J62" s="59" t="str">
        <f>IF($A62="","",IF(AND(VALUE(J$7)&gt;$F62,VALUE(J$7)&lt;=$G62),IF($D62="","◇","■"),""))</f>
        <v/>
      </c>
      <c r="K62" s="59" t="str">
        <f>IF($A62="","",IF(AND(VALUE(K$7)&gt;$F62,VALUE(K$7)&lt;=$G62),IF($D62="","◇","■"),""))</f>
        <v/>
      </c>
      <c r="L62" s="59" t="str">
        <f>IF($A62="","",IF(AND(VALUE(L$7)&gt;$F62,VALUE(L$7)&lt;=$G62),IF($D62="","◇","■"),""))</f>
        <v/>
      </c>
      <c r="M62" s="59" t="str">
        <f>IF($A62="","",IF(AND(VALUE(M$7)&gt;$F62,VALUE(M$7)&lt;=$G62),IF($D62="","◇","■"),""))</f>
        <v/>
      </c>
      <c r="N62" s="59" t="str">
        <f>IF($A62="","",IF(AND(VALUE(N$7)&gt;$F62,VALUE(N$7)&lt;=$G62),IF($D62="","◇","■"),""))</f>
        <v/>
      </c>
      <c r="O62" s="59" t="str">
        <f>IF($A62="","",IF(AND(VALUE(O$7)&gt;$F62,VALUE(O$7)&lt;=$G62),IF($D62="","◇","■"),""))</f>
        <v/>
      </c>
      <c r="P62" s="59" t="str">
        <f>IF($A62="","",IF(AND(VALUE(P$7)&gt;$F62,VALUE(P$7)&lt;=$G62),IF($D62="","◇","■"),""))</f>
        <v/>
      </c>
      <c r="Q62" s="59" t="str">
        <f>IF($A62="","",IF(AND(VALUE(Q$7)&gt;$F62,VALUE(Q$7)&lt;=$G62),IF($D62="","◇","■"),""))</f>
        <v/>
      </c>
      <c r="R62" s="59" t="str">
        <f>IF($A62="","",IF(AND(VALUE(R$7)&gt;$F62,VALUE(R$7)&lt;=$G62),IF($D62="","◇","■"),""))</f>
        <v/>
      </c>
      <c r="S62" s="59" t="str">
        <f>IF($A62="","",IF(AND(VALUE(S$7)&gt;$F62,VALUE(S$7)&lt;=$G62),IF($D62="","◇","■"),""))</f>
        <v/>
      </c>
      <c r="T62" s="59" t="str">
        <f>IF($A62="","",IF(AND(VALUE(T$7)&gt;$F62,VALUE(T$7)&lt;=$G62),IF($D62="","◇","■"),""))</f>
        <v/>
      </c>
      <c r="U62" s="59" t="str">
        <f>IF($A62="","",IF(AND(VALUE(U$7)&gt;$F62,VALUE(U$7)&lt;=$G62),IF($D62="","◇","■"),""))</f>
        <v/>
      </c>
      <c r="V62" s="59" t="str">
        <f>IF($A62="","",IF(AND(VALUE(V$7)&gt;$F62,VALUE(V$7)&lt;=$G62),IF($D62="","◇","■"),""))</f>
        <v/>
      </c>
      <c r="W62" s="59" t="str">
        <f>IF($A62="","",IF(AND(VALUE(W$7)&gt;$F62,VALUE(W$7)&lt;=$G62),IF($D62="","◇","■"),""))</f>
        <v/>
      </c>
      <c r="X62" s="59" t="str">
        <f>IF($A62="","",IF(AND(VALUE(X$7)&gt;$F62,VALUE(X$7)&lt;=$G62),IF($D62="","◇","■"),""))</f>
        <v/>
      </c>
      <c r="Y62" s="59" t="str">
        <f>IF($A62="","",IF(AND(VALUE(Y$7)&gt;$F62,VALUE(Y$7)&lt;=$G62),IF($D62="","◇","■"),""))</f>
        <v/>
      </c>
      <c r="Z62" s="59" t="str">
        <f>IF($A62="","",IF(AND(VALUE(Z$7)&gt;$F62,VALUE(Z$7)&lt;=$G62),IF($D62="","◇","■"),""))</f>
        <v/>
      </c>
      <c r="AA62" s="59" t="str">
        <f>IF($A62="","",IF(AND(VALUE(AA$7)&gt;$F62,VALUE(AA$7)&lt;=$G62),IF($D62="","◇","■"),""))</f>
        <v/>
      </c>
      <c r="AB62" s="59" t="str">
        <f>IF($A62="","",IF(AND(VALUE(AB$7)&gt;$F62,VALUE(AB$7)&lt;=$G62),IF($D62="","◇","■"),""))</f>
        <v/>
      </c>
      <c r="AC62" s="59" t="str">
        <f>IF($A62="","",IF(AND(VALUE(AC$7)&gt;$F62,VALUE(AC$7)&lt;=$G62),IF($D62="","◇","■"),""))</f>
        <v/>
      </c>
      <c r="AD62" s="59" t="str">
        <f>IF($A62="","",IF(AND(VALUE(AD$7)&gt;$F62,VALUE(AD$7)&lt;=$G62),IF($D62="","◇","■"),""))</f>
        <v/>
      </c>
      <c r="AE62" s="59" t="str">
        <f>IF($A62="","",IF(AND(VALUE(AE$7)&gt;$F62,VALUE(AE$7)&lt;=$G62),IF($D62="","◇","■"),""))</f>
        <v/>
      </c>
      <c r="AF62" s="59" t="str">
        <f>IF($A62="","",IF(AND(VALUE(AF$7)&gt;$F62,VALUE(AF$7)&lt;=$G62),IF($D62="","◇","■"),""))</f>
        <v/>
      </c>
      <c r="AG62" s="59" t="str">
        <f>IF($A62="","",IF(AND(VALUE(AG$7)&gt;$F62,VALUE(AG$7)&lt;=$G62),IF($D62="","◇","■"),""))</f>
        <v/>
      </c>
      <c r="AH62" s="59" t="str">
        <f>IF($A62="","",IF(AND(VALUE(AH$7)&gt;$F62,VALUE(AH$7)&lt;=$G62),IF($D62="","◇","■"),""))</f>
        <v/>
      </c>
      <c r="AI62" s="59" t="str">
        <f>IF($A62="","",IF(AND(VALUE(AI$7)&gt;$F62,VALUE(AI$7)&lt;=$G62),IF($D62="","◇","■"),""))</f>
        <v/>
      </c>
      <c r="AJ62" s="59" t="str">
        <f>IF($A62="","",IF(AND(VALUE(AJ$7)&gt;$F62,VALUE(AJ$7)&lt;=$G62),IF($D62="","◇","■"),""))</f>
        <v/>
      </c>
      <c r="AK62" s="59" t="str">
        <f>IF($A62="","",IF(AND(VALUE(AK$7)&gt;$F62,VALUE(AK$7)&lt;=$G62),IF($D62="","◇","■"),""))</f>
        <v/>
      </c>
      <c r="AL62" s="59" t="str">
        <f>IF($A62="","",IF(AND(VALUE(AL$7)&gt;$F62,VALUE(AL$7)&lt;=$G62),IF($D62="","◇","■"),""))</f>
        <v/>
      </c>
      <c r="AM62" s="59" t="str">
        <f>IF($A62="","",IF(AND(VALUE(AM$7)&gt;$F62,VALUE(AM$7)&lt;=$G62),IF($D62="","◇","■"),""))</f>
        <v/>
      </c>
    </row>
    <row r="63" spans="1:39" ht="18" customHeight="1" x14ac:dyDescent="0.35">
      <c r="A63" s="55" t="str" cm="1">
        <f t="array" ref="A63">IFERROR(INDEX(_xlfn._xlws.FILTER(tblProjectTasks[TaskGroup],(tblProjectTasks[IsWorkPackage]="Yes")*(tblProjectTasks[CaptureStatus]&lt;&gt;"Removed")),ROWS($A$8:A63)),"")</f>
        <v/>
      </c>
      <c r="B63" s="56" t="str" cm="1">
        <f t="array" ref="B63">IFERROR(INDEX(_xlfn._xlws.FILTER(tblProjectTasks[WBSCode],(tblProjectTasks[IsWorkPackage]="Yes")*(tblProjectTasks[CaptureStatus]&lt;&gt;"Removed")),ROWS($B$8:B63)),"")</f>
        <v/>
      </c>
      <c r="C63" s="57" t="str" cm="1">
        <f t="array" ref="C63">IFERROR(INDEX(_xlfn._xlws.FILTER(tblProjectTasks[TaskName],(tblProjectTasks[IsWorkPackage]="Yes")*(tblProjectTasks[CaptureStatus]&lt;&gt;"Removed")),ROWS($C$8:C63)),"")</f>
        <v/>
      </c>
      <c r="D63" s="58" t="str" cm="1">
        <f t="array" ref="D63">_xlfn.LET(_xlpm.x,IFERROR(INDEX(_xlfn._xlws.FILTER(tblProjectTasks[Elapsed Time in Weeks],(tblProjectTasks[IsWorkPackage]="Yes")*(tblProjectTasks[CaptureStatus]&lt;&gt;"Removed")),ROWS($D$8:D63)),""),IF(_xlpm.x=0,"",_xlpm.x))</f>
        <v/>
      </c>
      <c r="E63" s="58" t="str">
        <f>IF($A63="","",IF($D63="",1,$D63))</f>
        <v/>
      </c>
      <c r="F63" s="58" t="str">
        <f>IF($A63="","",IF(ROW()=8,0,$F62+$E62))</f>
        <v/>
      </c>
      <c r="G63" s="58" t="str">
        <f>IF($A63="","",$F63+$E63)</f>
        <v/>
      </c>
      <c r="H63" s="59" t="str">
        <f>IF($A63="","",IF(AND(VALUE(H$7)&gt;$F63,VALUE(H$7)&lt;=$G63),IF($D63="","◇","■"),""))</f>
        <v/>
      </c>
      <c r="I63" s="59" t="str">
        <f>IF($A63="","",IF(AND(VALUE(I$7)&gt;$F63,VALUE(I$7)&lt;=$G63),IF($D63="","◇","■"),""))</f>
        <v/>
      </c>
      <c r="J63" s="59" t="str">
        <f>IF($A63="","",IF(AND(VALUE(J$7)&gt;$F63,VALUE(J$7)&lt;=$G63),IF($D63="","◇","■"),""))</f>
        <v/>
      </c>
      <c r="K63" s="59" t="str">
        <f>IF($A63="","",IF(AND(VALUE(K$7)&gt;$F63,VALUE(K$7)&lt;=$G63),IF($D63="","◇","■"),""))</f>
        <v/>
      </c>
      <c r="L63" s="59" t="str">
        <f>IF($A63="","",IF(AND(VALUE(L$7)&gt;$F63,VALUE(L$7)&lt;=$G63),IF($D63="","◇","■"),""))</f>
        <v/>
      </c>
      <c r="M63" s="59" t="str">
        <f>IF($A63="","",IF(AND(VALUE(M$7)&gt;$F63,VALUE(M$7)&lt;=$G63),IF($D63="","◇","■"),""))</f>
        <v/>
      </c>
      <c r="N63" s="59" t="str">
        <f>IF($A63="","",IF(AND(VALUE(N$7)&gt;$F63,VALUE(N$7)&lt;=$G63),IF($D63="","◇","■"),""))</f>
        <v/>
      </c>
      <c r="O63" s="59" t="str">
        <f>IF($A63="","",IF(AND(VALUE(O$7)&gt;$F63,VALUE(O$7)&lt;=$G63),IF($D63="","◇","■"),""))</f>
        <v/>
      </c>
      <c r="P63" s="59" t="str">
        <f>IF($A63="","",IF(AND(VALUE(P$7)&gt;$F63,VALUE(P$7)&lt;=$G63),IF($D63="","◇","■"),""))</f>
        <v/>
      </c>
      <c r="Q63" s="59" t="str">
        <f>IF($A63="","",IF(AND(VALUE(Q$7)&gt;$F63,VALUE(Q$7)&lt;=$G63),IF($D63="","◇","■"),""))</f>
        <v/>
      </c>
      <c r="R63" s="59" t="str">
        <f>IF($A63="","",IF(AND(VALUE(R$7)&gt;$F63,VALUE(R$7)&lt;=$G63),IF($D63="","◇","■"),""))</f>
        <v/>
      </c>
      <c r="S63" s="59" t="str">
        <f>IF($A63="","",IF(AND(VALUE(S$7)&gt;$F63,VALUE(S$7)&lt;=$G63),IF($D63="","◇","■"),""))</f>
        <v/>
      </c>
      <c r="T63" s="59" t="str">
        <f>IF($A63="","",IF(AND(VALUE(T$7)&gt;$F63,VALUE(T$7)&lt;=$G63),IF($D63="","◇","■"),""))</f>
        <v/>
      </c>
      <c r="U63" s="59" t="str">
        <f>IF($A63="","",IF(AND(VALUE(U$7)&gt;$F63,VALUE(U$7)&lt;=$G63),IF($D63="","◇","■"),""))</f>
        <v/>
      </c>
      <c r="V63" s="59" t="str">
        <f>IF($A63="","",IF(AND(VALUE(V$7)&gt;$F63,VALUE(V$7)&lt;=$G63),IF($D63="","◇","■"),""))</f>
        <v/>
      </c>
      <c r="W63" s="59" t="str">
        <f>IF($A63="","",IF(AND(VALUE(W$7)&gt;$F63,VALUE(W$7)&lt;=$G63),IF($D63="","◇","■"),""))</f>
        <v/>
      </c>
      <c r="X63" s="59" t="str">
        <f>IF($A63="","",IF(AND(VALUE(X$7)&gt;$F63,VALUE(X$7)&lt;=$G63),IF($D63="","◇","■"),""))</f>
        <v/>
      </c>
      <c r="Y63" s="59" t="str">
        <f>IF($A63="","",IF(AND(VALUE(Y$7)&gt;$F63,VALUE(Y$7)&lt;=$G63),IF($D63="","◇","■"),""))</f>
        <v/>
      </c>
      <c r="Z63" s="59" t="str">
        <f>IF($A63="","",IF(AND(VALUE(Z$7)&gt;$F63,VALUE(Z$7)&lt;=$G63),IF($D63="","◇","■"),""))</f>
        <v/>
      </c>
      <c r="AA63" s="59" t="str">
        <f>IF($A63="","",IF(AND(VALUE(AA$7)&gt;$F63,VALUE(AA$7)&lt;=$G63),IF($D63="","◇","■"),""))</f>
        <v/>
      </c>
      <c r="AB63" s="59" t="str">
        <f>IF($A63="","",IF(AND(VALUE(AB$7)&gt;$F63,VALUE(AB$7)&lt;=$G63),IF($D63="","◇","■"),""))</f>
        <v/>
      </c>
      <c r="AC63" s="59" t="str">
        <f>IF($A63="","",IF(AND(VALUE(AC$7)&gt;$F63,VALUE(AC$7)&lt;=$G63),IF($D63="","◇","■"),""))</f>
        <v/>
      </c>
      <c r="AD63" s="59" t="str">
        <f>IF($A63="","",IF(AND(VALUE(AD$7)&gt;$F63,VALUE(AD$7)&lt;=$G63),IF($D63="","◇","■"),""))</f>
        <v/>
      </c>
      <c r="AE63" s="59" t="str">
        <f>IF($A63="","",IF(AND(VALUE(AE$7)&gt;$F63,VALUE(AE$7)&lt;=$G63),IF($D63="","◇","■"),""))</f>
        <v/>
      </c>
      <c r="AF63" s="59" t="str">
        <f>IF($A63="","",IF(AND(VALUE(AF$7)&gt;$F63,VALUE(AF$7)&lt;=$G63),IF($D63="","◇","■"),""))</f>
        <v/>
      </c>
      <c r="AG63" s="59" t="str">
        <f>IF($A63="","",IF(AND(VALUE(AG$7)&gt;$F63,VALUE(AG$7)&lt;=$G63),IF($D63="","◇","■"),""))</f>
        <v/>
      </c>
      <c r="AH63" s="59" t="str">
        <f>IF($A63="","",IF(AND(VALUE(AH$7)&gt;$F63,VALUE(AH$7)&lt;=$G63),IF($D63="","◇","■"),""))</f>
        <v/>
      </c>
      <c r="AI63" s="59" t="str">
        <f>IF($A63="","",IF(AND(VALUE(AI$7)&gt;$F63,VALUE(AI$7)&lt;=$G63),IF($D63="","◇","■"),""))</f>
        <v/>
      </c>
      <c r="AJ63" s="59" t="str">
        <f>IF($A63="","",IF(AND(VALUE(AJ$7)&gt;$F63,VALUE(AJ$7)&lt;=$G63),IF($D63="","◇","■"),""))</f>
        <v/>
      </c>
      <c r="AK63" s="59" t="str">
        <f>IF($A63="","",IF(AND(VALUE(AK$7)&gt;$F63,VALUE(AK$7)&lt;=$G63),IF($D63="","◇","■"),""))</f>
        <v/>
      </c>
      <c r="AL63" s="59" t="str">
        <f>IF($A63="","",IF(AND(VALUE(AL$7)&gt;$F63,VALUE(AL$7)&lt;=$G63),IF($D63="","◇","■"),""))</f>
        <v/>
      </c>
      <c r="AM63" s="59" t="str">
        <f>IF($A63="","",IF(AND(VALUE(AM$7)&gt;$F63,VALUE(AM$7)&lt;=$G63),IF($D63="","◇","■"),""))</f>
        <v/>
      </c>
    </row>
    <row r="64" spans="1:39" ht="18" customHeight="1" x14ac:dyDescent="0.35">
      <c r="A64" s="55" t="str" cm="1">
        <f t="array" ref="A64">IFERROR(INDEX(_xlfn._xlws.FILTER(tblProjectTasks[TaskGroup],(tblProjectTasks[IsWorkPackage]="Yes")*(tblProjectTasks[CaptureStatus]&lt;&gt;"Removed")),ROWS($A$8:A64)),"")</f>
        <v/>
      </c>
      <c r="B64" s="56" t="str" cm="1">
        <f t="array" ref="B64">IFERROR(INDEX(_xlfn._xlws.FILTER(tblProjectTasks[WBSCode],(tblProjectTasks[IsWorkPackage]="Yes")*(tblProjectTasks[CaptureStatus]&lt;&gt;"Removed")),ROWS($B$8:B64)),"")</f>
        <v/>
      </c>
      <c r="C64" s="57" t="str" cm="1">
        <f t="array" ref="C64">IFERROR(INDEX(_xlfn._xlws.FILTER(tblProjectTasks[TaskName],(tblProjectTasks[IsWorkPackage]="Yes")*(tblProjectTasks[CaptureStatus]&lt;&gt;"Removed")),ROWS($C$8:C64)),"")</f>
        <v/>
      </c>
      <c r="D64" s="58" t="str" cm="1">
        <f t="array" ref="D64">_xlfn.LET(_xlpm.x,IFERROR(INDEX(_xlfn._xlws.FILTER(tblProjectTasks[Elapsed Time in Weeks],(tblProjectTasks[IsWorkPackage]="Yes")*(tblProjectTasks[CaptureStatus]&lt;&gt;"Removed")),ROWS($D$8:D64)),""),IF(_xlpm.x=0,"",_xlpm.x))</f>
        <v/>
      </c>
      <c r="E64" s="58" t="str">
        <f>IF($A64="","",IF($D64="",1,$D64))</f>
        <v/>
      </c>
      <c r="F64" s="58" t="str">
        <f>IF($A64="","",IF(ROW()=8,0,$F63+$E63))</f>
        <v/>
      </c>
      <c r="G64" s="58" t="str">
        <f>IF($A64="","",$F64+$E64)</f>
        <v/>
      </c>
      <c r="H64" s="59" t="str">
        <f>IF($A64="","",IF(AND(VALUE(H$7)&gt;$F64,VALUE(H$7)&lt;=$G64),IF($D64="","◇","■"),""))</f>
        <v/>
      </c>
      <c r="I64" s="59" t="str">
        <f>IF($A64="","",IF(AND(VALUE(I$7)&gt;$F64,VALUE(I$7)&lt;=$G64),IF($D64="","◇","■"),""))</f>
        <v/>
      </c>
      <c r="J64" s="59" t="str">
        <f>IF($A64="","",IF(AND(VALUE(J$7)&gt;$F64,VALUE(J$7)&lt;=$G64),IF($D64="","◇","■"),""))</f>
        <v/>
      </c>
      <c r="K64" s="59" t="str">
        <f>IF($A64="","",IF(AND(VALUE(K$7)&gt;$F64,VALUE(K$7)&lt;=$G64),IF($D64="","◇","■"),""))</f>
        <v/>
      </c>
      <c r="L64" s="59" t="str">
        <f>IF($A64="","",IF(AND(VALUE(L$7)&gt;$F64,VALUE(L$7)&lt;=$G64),IF($D64="","◇","■"),""))</f>
        <v/>
      </c>
      <c r="M64" s="59" t="str">
        <f>IF($A64="","",IF(AND(VALUE(M$7)&gt;$F64,VALUE(M$7)&lt;=$G64),IF($D64="","◇","■"),""))</f>
        <v/>
      </c>
      <c r="N64" s="59" t="str">
        <f>IF($A64="","",IF(AND(VALUE(N$7)&gt;$F64,VALUE(N$7)&lt;=$G64),IF($D64="","◇","■"),""))</f>
        <v/>
      </c>
      <c r="O64" s="59" t="str">
        <f>IF($A64="","",IF(AND(VALUE(O$7)&gt;$F64,VALUE(O$7)&lt;=$G64),IF($D64="","◇","■"),""))</f>
        <v/>
      </c>
      <c r="P64" s="59" t="str">
        <f>IF($A64="","",IF(AND(VALUE(P$7)&gt;$F64,VALUE(P$7)&lt;=$G64),IF($D64="","◇","■"),""))</f>
        <v/>
      </c>
      <c r="Q64" s="59" t="str">
        <f>IF($A64="","",IF(AND(VALUE(Q$7)&gt;$F64,VALUE(Q$7)&lt;=$G64),IF($D64="","◇","■"),""))</f>
        <v/>
      </c>
      <c r="R64" s="59" t="str">
        <f>IF($A64="","",IF(AND(VALUE(R$7)&gt;$F64,VALUE(R$7)&lt;=$G64),IF($D64="","◇","■"),""))</f>
        <v/>
      </c>
      <c r="S64" s="59" t="str">
        <f>IF($A64="","",IF(AND(VALUE(S$7)&gt;$F64,VALUE(S$7)&lt;=$G64),IF($D64="","◇","■"),""))</f>
        <v/>
      </c>
      <c r="T64" s="59" t="str">
        <f>IF($A64="","",IF(AND(VALUE(T$7)&gt;$F64,VALUE(T$7)&lt;=$G64),IF($D64="","◇","■"),""))</f>
        <v/>
      </c>
      <c r="U64" s="59" t="str">
        <f>IF($A64="","",IF(AND(VALUE(U$7)&gt;$F64,VALUE(U$7)&lt;=$G64),IF($D64="","◇","■"),""))</f>
        <v/>
      </c>
      <c r="V64" s="59" t="str">
        <f>IF($A64="","",IF(AND(VALUE(V$7)&gt;$F64,VALUE(V$7)&lt;=$G64),IF($D64="","◇","■"),""))</f>
        <v/>
      </c>
      <c r="W64" s="59" t="str">
        <f>IF($A64="","",IF(AND(VALUE(W$7)&gt;$F64,VALUE(W$7)&lt;=$G64),IF($D64="","◇","■"),""))</f>
        <v/>
      </c>
      <c r="X64" s="59" t="str">
        <f>IF($A64="","",IF(AND(VALUE(X$7)&gt;$F64,VALUE(X$7)&lt;=$G64),IF($D64="","◇","■"),""))</f>
        <v/>
      </c>
      <c r="Y64" s="59" t="str">
        <f>IF($A64="","",IF(AND(VALUE(Y$7)&gt;$F64,VALUE(Y$7)&lt;=$G64),IF($D64="","◇","■"),""))</f>
        <v/>
      </c>
      <c r="Z64" s="59" t="str">
        <f>IF($A64="","",IF(AND(VALUE(Z$7)&gt;$F64,VALUE(Z$7)&lt;=$G64),IF($D64="","◇","■"),""))</f>
        <v/>
      </c>
      <c r="AA64" s="59" t="str">
        <f>IF($A64="","",IF(AND(VALUE(AA$7)&gt;$F64,VALUE(AA$7)&lt;=$G64),IF($D64="","◇","■"),""))</f>
        <v/>
      </c>
      <c r="AB64" s="59" t="str">
        <f>IF($A64="","",IF(AND(VALUE(AB$7)&gt;$F64,VALUE(AB$7)&lt;=$G64),IF($D64="","◇","■"),""))</f>
        <v/>
      </c>
      <c r="AC64" s="59" t="str">
        <f>IF($A64="","",IF(AND(VALUE(AC$7)&gt;$F64,VALUE(AC$7)&lt;=$G64),IF($D64="","◇","■"),""))</f>
        <v/>
      </c>
      <c r="AD64" s="59" t="str">
        <f>IF($A64="","",IF(AND(VALUE(AD$7)&gt;$F64,VALUE(AD$7)&lt;=$G64),IF($D64="","◇","■"),""))</f>
        <v/>
      </c>
      <c r="AE64" s="59" t="str">
        <f>IF($A64="","",IF(AND(VALUE(AE$7)&gt;$F64,VALUE(AE$7)&lt;=$G64),IF($D64="","◇","■"),""))</f>
        <v/>
      </c>
      <c r="AF64" s="59" t="str">
        <f>IF($A64="","",IF(AND(VALUE(AF$7)&gt;$F64,VALUE(AF$7)&lt;=$G64),IF($D64="","◇","■"),""))</f>
        <v/>
      </c>
      <c r="AG64" s="59" t="str">
        <f>IF($A64="","",IF(AND(VALUE(AG$7)&gt;$F64,VALUE(AG$7)&lt;=$G64),IF($D64="","◇","■"),""))</f>
        <v/>
      </c>
      <c r="AH64" s="59" t="str">
        <f>IF($A64="","",IF(AND(VALUE(AH$7)&gt;$F64,VALUE(AH$7)&lt;=$G64),IF($D64="","◇","■"),""))</f>
        <v/>
      </c>
      <c r="AI64" s="59" t="str">
        <f>IF($A64="","",IF(AND(VALUE(AI$7)&gt;$F64,VALUE(AI$7)&lt;=$G64),IF($D64="","◇","■"),""))</f>
        <v/>
      </c>
      <c r="AJ64" s="59" t="str">
        <f>IF($A64="","",IF(AND(VALUE(AJ$7)&gt;$F64,VALUE(AJ$7)&lt;=$G64),IF($D64="","◇","■"),""))</f>
        <v/>
      </c>
      <c r="AK64" s="59" t="str">
        <f>IF($A64="","",IF(AND(VALUE(AK$7)&gt;$F64,VALUE(AK$7)&lt;=$G64),IF($D64="","◇","■"),""))</f>
        <v/>
      </c>
      <c r="AL64" s="59" t="str">
        <f>IF($A64="","",IF(AND(VALUE(AL$7)&gt;$F64,VALUE(AL$7)&lt;=$G64),IF($D64="","◇","■"),""))</f>
        <v/>
      </c>
      <c r="AM64" s="59" t="str">
        <f>IF($A64="","",IF(AND(VALUE(AM$7)&gt;$F64,VALUE(AM$7)&lt;=$G64),IF($D64="","◇","■"),""))</f>
        <v/>
      </c>
    </row>
    <row r="65" spans="1:39" ht="18" customHeight="1" x14ac:dyDescent="0.35">
      <c r="A65" s="55" t="str" cm="1">
        <f t="array" ref="A65">IFERROR(INDEX(_xlfn._xlws.FILTER(tblProjectTasks[TaskGroup],(tblProjectTasks[IsWorkPackage]="Yes")*(tblProjectTasks[CaptureStatus]&lt;&gt;"Removed")),ROWS($A$8:A65)),"")</f>
        <v/>
      </c>
      <c r="B65" s="56" t="str" cm="1">
        <f t="array" ref="B65">IFERROR(INDEX(_xlfn._xlws.FILTER(tblProjectTasks[WBSCode],(tblProjectTasks[IsWorkPackage]="Yes")*(tblProjectTasks[CaptureStatus]&lt;&gt;"Removed")),ROWS($B$8:B65)),"")</f>
        <v/>
      </c>
      <c r="C65" s="57" t="str" cm="1">
        <f t="array" ref="C65">IFERROR(INDEX(_xlfn._xlws.FILTER(tblProjectTasks[TaskName],(tblProjectTasks[IsWorkPackage]="Yes")*(tblProjectTasks[CaptureStatus]&lt;&gt;"Removed")),ROWS($C$8:C65)),"")</f>
        <v/>
      </c>
      <c r="D65" s="58" t="str" cm="1">
        <f t="array" ref="D65">_xlfn.LET(_xlpm.x,IFERROR(INDEX(_xlfn._xlws.FILTER(tblProjectTasks[Elapsed Time in Weeks],(tblProjectTasks[IsWorkPackage]="Yes")*(tblProjectTasks[CaptureStatus]&lt;&gt;"Removed")),ROWS($D$8:D65)),""),IF(_xlpm.x=0,"",_xlpm.x))</f>
        <v/>
      </c>
      <c r="E65" s="58" t="str">
        <f>IF($A65="","",IF($D65="",1,$D65))</f>
        <v/>
      </c>
      <c r="F65" s="58" t="str">
        <f>IF($A65="","",IF(ROW()=8,0,$F64+$E64))</f>
        <v/>
      </c>
      <c r="G65" s="58" t="str">
        <f>IF($A65="","",$F65+$E65)</f>
        <v/>
      </c>
      <c r="H65" s="59" t="str">
        <f>IF($A65="","",IF(AND(VALUE(H$7)&gt;$F65,VALUE(H$7)&lt;=$G65),IF($D65="","◇","■"),""))</f>
        <v/>
      </c>
      <c r="I65" s="59" t="str">
        <f>IF($A65="","",IF(AND(VALUE(I$7)&gt;$F65,VALUE(I$7)&lt;=$G65),IF($D65="","◇","■"),""))</f>
        <v/>
      </c>
      <c r="J65" s="59" t="str">
        <f>IF($A65="","",IF(AND(VALUE(J$7)&gt;$F65,VALUE(J$7)&lt;=$G65),IF($D65="","◇","■"),""))</f>
        <v/>
      </c>
      <c r="K65" s="59" t="str">
        <f>IF($A65="","",IF(AND(VALUE(K$7)&gt;$F65,VALUE(K$7)&lt;=$G65),IF($D65="","◇","■"),""))</f>
        <v/>
      </c>
      <c r="L65" s="59" t="str">
        <f>IF($A65="","",IF(AND(VALUE(L$7)&gt;$F65,VALUE(L$7)&lt;=$G65),IF($D65="","◇","■"),""))</f>
        <v/>
      </c>
      <c r="M65" s="59" t="str">
        <f>IF($A65="","",IF(AND(VALUE(M$7)&gt;$F65,VALUE(M$7)&lt;=$G65),IF($D65="","◇","■"),""))</f>
        <v/>
      </c>
      <c r="N65" s="59" t="str">
        <f>IF($A65="","",IF(AND(VALUE(N$7)&gt;$F65,VALUE(N$7)&lt;=$G65),IF($D65="","◇","■"),""))</f>
        <v/>
      </c>
      <c r="O65" s="59" t="str">
        <f>IF($A65="","",IF(AND(VALUE(O$7)&gt;$F65,VALUE(O$7)&lt;=$G65),IF($D65="","◇","■"),""))</f>
        <v/>
      </c>
      <c r="P65" s="59" t="str">
        <f>IF($A65="","",IF(AND(VALUE(P$7)&gt;$F65,VALUE(P$7)&lt;=$G65),IF($D65="","◇","■"),""))</f>
        <v/>
      </c>
      <c r="Q65" s="59" t="str">
        <f>IF($A65="","",IF(AND(VALUE(Q$7)&gt;$F65,VALUE(Q$7)&lt;=$G65),IF($D65="","◇","■"),""))</f>
        <v/>
      </c>
      <c r="R65" s="59" t="str">
        <f>IF($A65="","",IF(AND(VALUE(R$7)&gt;$F65,VALUE(R$7)&lt;=$G65),IF($D65="","◇","■"),""))</f>
        <v/>
      </c>
      <c r="S65" s="59" t="str">
        <f>IF($A65="","",IF(AND(VALUE(S$7)&gt;$F65,VALUE(S$7)&lt;=$G65),IF($D65="","◇","■"),""))</f>
        <v/>
      </c>
      <c r="T65" s="59" t="str">
        <f>IF($A65="","",IF(AND(VALUE(T$7)&gt;$F65,VALUE(T$7)&lt;=$G65),IF($D65="","◇","■"),""))</f>
        <v/>
      </c>
      <c r="U65" s="59" t="str">
        <f>IF($A65="","",IF(AND(VALUE(U$7)&gt;$F65,VALUE(U$7)&lt;=$G65),IF($D65="","◇","■"),""))</f>
        <v/>
      </c>
      <c r="V65" s="59" t="str">
        <f>IF($A65="","",IF(AND(VALUE(V$7)&gt;$F65,VALUE(V$7)&lt;=$G65),IF($D65="","◇","■"),""))</f>
        <v/>
      </c>
      <c r="W65" s="59" t="str">
        <f>IF($A65="","",IF(AND(VALUE(W$7)&gt;$F65,VALUE(W$7)&lt;=$G65),IF($D65="","◇","■"),""))</f>
        <v/>
      </c>
      <c r="X65" s="59" t="str">
        <f>IF($A65="","",IF(AND(VALUE(X$7)&gt;$F65,VALUE(X$7)&lt;=$G65),IF($D65="","◇","■"),""))</f>
        <v/>
      </c>
      <c r="Y65" s="59" t="str">
        <f>IF($A65="","",IF(AND(VALUE(Y$7)&gt;$F65,VALUE(Y$7)&lt;=$G65),IF($D65="","◇","■"),""))</f>
        <v/>
      </c>
      <c r="Z65" s="59" t="str">
        <f>IF($A65="","",IF(AND(VALUE(Z$7)&gt;$F65,VALUE(Z$7)&lt;=$G65),IF($D65="","◇","■"),""))</f>
        <v/>
      </c>
      <c r="AA65" s="59" t="str">
        <f>IF($A65="","",IF(AND(VALUE(AA$7)&gt;$F65,VALUE(AA$7)&lt;=$G65),IF($D65="","◇","■"),""))</f>
        <v/>
      </c>
      <c r="AB65" s="59" t="str">
        <f>IF($A65="","",IF(AND(VALUE(AB$7)&gt;$F65,VALUE(AB$7)&lt;=$G65),IF($D65="","◇","■"),""))</f>
        <v/>
      </c>
      <c r="AC65" s="59" t="str">
        <f>IF($A65="","",IF(AND(VALUE(AC$7)&gt;$F65,VALUE(AC$7)&lt;=$G65),IF($D65="","◇","■"),""))</f>
        <v/>
      </c>
      <c r="AD65" s="59" t="str">
        <f>IF($A65="","",IF(AND(VALUE(AD$7)&gt;$F65,VALUE(AD$7)&lt;=$G65),IF($D65="","◇","■"),""))</f>
        <v/>
      </c>
      <c r="AE65" s="59" t="str">
        <f>IF($A65="","",IF(AND(VALUE(AE$7)&gt;$F65,VALUE(AE$7)&lt;=$G65),IF($D65="","◇","■"),""))</f>
        <v/>
      </c>
      <c r="AF65" s="59" t="str">
        <f>IF($A65="","",IF(AND(VALUE(AF$7)&gt;$F65,VALUE(AF$7)&lt;=$G65),IF($D65="","◇","■"),""))</f>
        <v/>
      </c>
      <c r="AG65" s="59" t="str">
        <f>IF($A65="","",IF(AND(VALUE(AG$7)&gt;$F65,VALUE(AG$7)&lt;=$G65),IF($D65="","◇","■"),""))</f>
        <v/>
      </c>
      <c r="AH65" s="59" t="str">
        <f>IF($A65="","",IF(AND(VALUE(AH$7)&gt;$F65,VALUE(AH$7)&lt;=$G65),IF($D65="","◇","■"),""))</f>
        <v/>
      </c>
      <c r="AI65" s="59" t="str">
        <f>IF($A65="","",IF(AND(VALUE(AI$7)&gt;$F65,VALUE(AI$7)&lt;=$G65),IF($D65="","◇","■"),""))</f>
        <v/>
      </c>
      <c r="AJ65" s="59" t="str">
        <f>IF($A65="","",IF(AND(VALUE(AJ$7)&gt;$F65,VALUE(AJ$7)&lt;=$G65),IF($D65="","◇","■"),""))</f>
        <v/>
      </c>
      <c r="AK65" s="59" t="str">
        <f>IF($A65="","",IF(AND(VALUE(AK$7)&gt;$F65,VALUE(AK$7)&lt;=$G65),IF($D65="","◇","■"),""))</f>
        <v/>
      </c>
      <c r="AL65" s="59" t="str">
        <f>IF($A65="","",IF(AND(VALUE(AL$7)&gt;$F65,VALUE(AL$7)&lt;=$G65),IF($D65="","◇","■"),""))</f>
        <v/>
      </c>
      <c r="AM65" s="59" t="str">
        <f>IF($A65="","",IF(AND(VALUE(AM$7)&gt;$F65,VALUE(AM$7)&lt;=$G65),IF($D65="","◇","■"),""))</f>
        <v/>
      </c>
    </row>
    <row r="66" spans="1:39" ht="18" customHeight="1" x14ac:dyDescent="0.35">
      <c r="A66" s="55" t="str" cm="1">
        <f t="array" ref="A66">IFERROR(INDEX(_xlfn._xlws.FILTER(tblProjectTasks[TaskGroup],(tblProjectTasks[IsWorkPackage]="Yes")*(tblProjectTasks[CaptureStatus]&lt;&gt;"Removed")),ROWS($A$8:A66)),"")</f>
        <v/>
      </c>
      <c r="B66" s="56" t="str" cm="1">
        <f t="array" ref="B66">IFERROR(INDEX(_xlfn._xlws.FILTER(tblProjectTasks[WBSCode],(tblProjectTasks[IsWorkPackage]="Yes")*(tblProjectTasks[CaptureStatus]&lt;&gt;"Removed")),ROWS($B$8:B66)),"")</f>
        <v/>
      </c>
      <c r="C66" s="57" t="str" cm="1">
        <f t="array" ref="C66">IFERROR(INDEX(_xlfn._xlws.FILTER(tblProjectTasks[TaskName],(tblProjectTasks[IsWorkPackage]="Yes")*(tblProjectTasks[CaptureStatus]&lt;&gt;"Removed")),ROWS($C$8:C66)),"")</f>
        <v/>
      </c>
      <c r="D66" s="58" t="str" cm="1">
        <f t="array" ref="D66">_xlfn.LET(_xlpm.x,IFERROR(INDEX(_xlfn._xlws.FILTER(tblProjectTasks[Elapsed Time in Weeks],(tblProjectTasks[IsWorkPackage]="Yes")*(tblProjectTasks[CaptureStatus]&lt;&gt;"Removed")),ROWS($D$8:D66)),""),IF(_xlpm.x=0,"",_xlpm.x))</f>
        <v/>
      </c>
      <c r="E66" s="58" t="str">
        <f>IF($A66="","",IF($D66="",1,$D66))</f>
        <v/>
      </c>
      <c r="F66" s="58" t="str">
        <f>IF($A66="","",IF(ROW()=8,0,$F65+$E65))</f>
        <v/>
      </c>
      <c r="G66" s="58" t="str">
        <f>IF($A66="","",$F66+$E66)</f>
        <v/>
      </c>
      <c r="H66" s="59" t="str">
        <f>IF($A66="","",IF(AND(VALUE(H$7)&gt;$F66,VALUE(H$7)&lt;=$G66),IF($D66="","◇","■"),""))</f>
        <v/>
      </c>
      <c r="I66" s="59" t="str">
        <f>IF($A66="","",IF(AND(VALUE(I$7)&gt;$F66,VALUE(I$7)&lt;=$G66),IF($D66="","◇","■"),""))</f>
        <v/>
      </c>
      <c r="J66" s="59" t="str">
        <f>IF($A66="","",IF(AND(VALUE(J$7)&gt;$F66,VALUE(J$7)&lt;=$G66),IF($D66="","◇","■"),""))</f>
        <v/>
      </c>
      <c r="K66" s="59" t="str">
        <f>IF($A66="","",IF(AND(VALUE(K$7)&gt;$F66,VALUE(K$7)&lt;=$G66),IF($D66="","◇","■"),""))</f>
        <v/>
      </c>
      <c r="L66" s="59" t="str">
        <f>IF($A66="","",IF(AND(VALUE(L$7)&gt;$F66,VALUE(L$7)&lt;=$G66),IF($D66="","◇","■"),""))</f>
        <v/>
      </c>
      <c r="M66" s="59" t="str">
        <f>IF($A66="","",IF(AND(VALUE(M$7)&gt;$F66,VALUE(M$7)&lt;=$G66),IF($D66="","◇","■"),""))</f>
        <v/>
      </c>
      <c r="N66" s="59" t="str">
        <f>IF($A66="","",IF(AND(VALUE(N$7)&gt;$F66,VALUE(N$7)&lt;=$G66),IF($D66="","◇","■"),""))</f>
        <v/>
      </c>
      <c r="O66" s="59" t="str">
        <f>IF($A66="","",IF(AND(VALUE(O$7)&gt;$F66,VALUE(O$7)&lt;=$G66),IF($D66="","◇","■"),""))</f>
        <v/>
      </c>
      <c r="P66" s="59" t="str">
        <f>IF($A66="","",IF(AND(VALUE(P$7)&gt;$F66,VALUE(P$7)&lt;=$G66),IF($D66="","◇","■"),""))</f>
        <v/>
      </c>
      <c r="Q66" s="59" t="str">
        <f>IF($A66="","",IF(AND(VALUE(Q$7)&gt;$F66,VALUE(Q$7)&lt;=$G66),IF($D66="","◇","■"),""))</f>
        <v/>
      </c>
      <c r="R66" s="59" t="str">
        <f>IF($A66="","",IF(AND(VALUE(R$7)&gt;$F66,VALUE(R$7)&lt;=$G66),IF($D66="","◇","■"),""))</f>
        <v/>
      </c>
      <c r="S66" s="59" t="str">
        <f>IF($A66="","",IF(AND(VALUE(S$7)&gt;$F66,VALUE(S$7)&lt;=$G66),IF($D66="","◇","■"),""))</f>
        <v/>
      </c>
      <c r="T66" s="59" t="str">
        <f>IF($A66="","",IF(AND(VALUE(T$7)&gt;$F66,VALUE(T$7)&lt;=$G66),IF($D66="","◇","■"),""))</f>
        <v/>
      </c>
      <c r="U66" s="59" t="str">
        <f>IF($A66="","",IF(AND(VALUE(U$7)&gt;$F66,VALUE(U$7)&lt;=$G66),IF($D66="","◇","■"),""))</f>
        <v/>
      </c>
      <c r="V66" s="59" t="str">
        <f>IF($A66="","",IF(AND(VALUE(V$7)&gt;$F66,VALUE(V$7)&lt;=$G66),IF($D66="","◇","■"),""))</f>
        <v/>
      </c>
      <c r="W66" s="59" t="str">
        <f>IF($A66="","",IF(AND(VALUE(W$7)&gt;$F66,VALUE(W$7)&lt;=$G66),IF($D66="","◇","■"),""))</f>
        <v/>
      </c>
      <c r="X66" s="59" t="str">
        <f>IF($A66="","",IF(AND(VALUE(X$7)&gt;$F66,VALUE(X$7)&lt;=$G66),IF($D66="","◇","■"),""))</f>
        <v/>
      </c>
      <c r="Y66" s="59" t="str">
        <f>IF($A66="","",IF(AND(VALUE(Y$7)&gt;$F66,VALUE(Y$7)&lt;=$G66),IF($D66="","◇","■"),""))</f>
        <v/>
      </c>
      <c r="Z66" s="59" t="str">
        <f>IF($A66="","",IF(AND(VALUE(Z$7)&gt;$F66,VALUE(Z$7)&lt;=$G66),IF($D66="","◇","■"),""))</f>
        <v/>
      </c>
      <c r="AA66" s="59" t="str">
        <f>IF($A66="","",IF(AND(VALUE(AA$7)&gt;$F66,VALUE(AA$7)&lt;=$G66),IF($D66="","◇","■"),""))</f>
        <v/>
      </c>
      <c r="AB66" s="59" t="str">
        <f>IF($A66="","",IF(AND(VALUE(AB$7)&gt;$F66,VALUE(AB$7)&lt;=$G66),IF($D66="","◇","■"),""))</f>
        <v/>
      </c>
      <c r="AC66" s="59" t="str">
        <f>IF($A66="","",IF(AND(VALUE(AC$7)&gt;$F66,VALUE(AC$7)&lt;=$G66),IF($D66="","◇","■"),""))</f>
        <v/>
      </c>
      <c r="AD66" s="59" t="str">
        <f>IF($A66="","",IF(AND(VALUE(AD$7)&gt;$F66,VALUE(AD$7)&lt;=$G66),IF($D66="","◇","■"),""))</f>
        <v/>
      </c>
      <c r="AE66" s="59" t="str">
        <f>IF($A66="","",IF(AND(VALUE(AE$7)&gt;$F66,VALUE(AE$7)&lt;=$G66),IF($D66="","◇","■"),""))</f>
        <v/>
      </c>
      <c r="AF66" s="59" t="str">
        <f>IF($A66="","",IF(AND(VALUE(AF$7)&gt;$F66,VALUE(AF$7)&lt;=$G66),IF($D66="","◇","■"),""))</f>
        <v/>
      </c>
      <c r="AG66" s="59" t="str">
        <f>IF($A66="","",IF(AND(VALUE(AG$7)&gt;$F66,VALUE(AG$7)&lt;=$G66),IF($D66="","◇","■"),""))</f>
        <v/>
      </c>
      <c r="AH66" s="59" t="str">
        <f>IF($A66="","",IF(AND(VALUE(AH$7)&gt;$F66,VALUE(AH$7)&lt;=$G66),IF($D66="","◇","■"),""))</f>
        <v/>
      </c>
      <c r="AI66" s="59" t="str">
        <f>IF($A66="","",IF(AND(VALUE(AI$7)&gt;$F66,VALUE(AI$7)&lt;=$G66),IF($D66="","◇","■"),""))</f>
        <v/>
      </c>
      <c r="AJ66" s="59" t="str">
        <f>IF($A66="","",IF(AND(VALUE(AJ$7)&gt;$F66,VALUE(AJ$7)&lt;=$G66),IF($D66="","◇","■"),""))</f>
        <v/>
      </c>
      <c r="AK66" s="59" t="str">
        <f>IF($A66="","",IF(AND(VALUE(AK$7)&gt;$F66,VALUE(AK$7)&lt;=$G66),IF($D66="","◇","■"),""))</f>
        <v/>
      </c>
      <c r="AL66" s="59" t="str">
        <f>IF($A66="","",IF(AND(VALUE(AL$7)&gt;$F66,VALUE(AL$7)&lt;=$G66),IF($D66="","◇","■"),""))</f>
        <v/>
      </c>
      <c r="AM66" s="59" t="str">
        <f>IF($A66="","",IF(AND(VALUE(AM$7)&gt;$F66,VALUE(AM$7)&lt;=$G66),IF($D66="","◇","■"),""))</f>
        <v/>
      </c>
    </row>
    <row r="67" spans="1:39" ht="18" customHeight="1" x14ac:dyDescent="0.35">
      <c r="A67" s="55" t="str" cm="1">
        <f t="array" ref="A67">IFERROR(INDEX(_xlfn._xlws.FILTER(tblProjectTasks[TaskGroup],(tblProjectTasks[IsWorkPackage]="Yes")*(tblProjectTasks[CaptureStatus]&lt;&gt;"Removed")),ROWS($A$8:A67)),"")</f>
        <v/>
      </c>
      <c r="B67" s="56" t="str" cm="1">
        <f t="array" ref="B67">IFERROR(INDEX(_xlfn._xlws.FILTER(tblProjectTasks[WBSCode],(tblProjectTasks[IsWorkPackage]="Yes")*(tblProjectTasks[CaptureStatus]&lt;&gt;"Removed")),ROWS($B$8:B67)),"")</f>
        <v/>
      </c>
      <c r="C67" s="57" t="str" cm="1">
        <f t="array" ref="C67">IFERROR(INDEX(_xlfn._xlws.FILTER(tblProjectTasks[TaskName],(tblProjectTasks[IsWorkPackage]="Yes")*(tblProjectTasks[CaptureStatus]&lt;&gt;"Removed")),ROWS($C$8:C67)),"")</f>
        <v/>
      </c>
      <c r="D67" s="58" t="str" cm="1">
        <f t="array" ref="D67">_xlfn.LET(_xlpm.x,IFERROR(INDEX(_xlfn._xlws.FILTER(tblProjectTasks[Elapsed Time in Weeks],(tblProjectTasks[IsWorkPackage]="Yes")*(tblProjectTasks[CaptureStatus]&lt;&gt;"Removed")),ROWS($D$8:D67)),""),IF(_xlpm.x=0,"",_xlpm.x))</f>
        <v/>
      </c>
      <c r="E67" s="58" t="str">
        <f>IF($A67="","",IF($D67="",1,$D67))</f>
        <v/>
      </c>
      <c r="F67" s="58" t="str">
        <f>IF($A67="","",IF(ROW()=8,0,$F66+$E66))</f>
        <v/>
      </c>
      <c r="G67" s="58" t="str">
        <f>IF($A67="","",$F67+$E67)</f>
        <v/>
      </c>
      <c r="H67" s="59" t="str">
        <f>IF($A67="","",IF(AND(VALUE(H$7)&gt;$F67,VALUE(H$7)&lt;=$G67),IF($D67="","◇","■"),""))</f>
        <v/>
      </c>
      <c r="I67" s="59" t="str">
        <f>IF($A67="","",IF(AND(VALUE(I$7)&gt;$F67,VALUE(I$7)&lt;=$G67),IF($D67="","◇","■"),""))</f>
        <v/>
      </c>
      <c r="J67" s="59" t="str">
        <f>IF($A67="","",IF(AND(VALUE(J$7)&gt;$F67,VALUE(J$7)&lt;=$G67),IF($D67="","◇","■"),""))</f>
        <v/>
      </c>
      <c r="K67" s="59" t="str">
        <f>IF($A67="","",IF(AND(VALUE(K$7)&gt;$F67,VALUE(K$7)&lt;=$G67),IF($D67="","◇","■"),""))</f>
        <v/>
      </c>
      <c r="L67" s="59" t="str">
        <f>IF($A67="","",IF(AND(VALUE(L$7)&gt;$F67,VALUE(L$7)&lt;=$G67),IF($D67="","◇","■"),""))</f>
        <v/>
      </c>
      <c r="M67" s="59" t="str">
        <f>IF($A67="","",IF(AND(VALUE(M$7)&gt;$F67,VALUE(M$7)&lt;=$G67),IF($D67="","◇","■"),""))</f>
        <v/>
      </c>
      <c r="N67" s="59" t="str">
        <f>IF($A67="","",IF(AND(VALUE(N$7)&gt;$F67,VALUE(N$7)&lt;=$G67),IF($D67="","◇","■"),""))</f>
        <v/>
      </c>
      <c r="O67" s="59" t="str">
        <f>IF($A67="","",IF(AND(VALUE(O$7)&gt;$F67,VALUE(O$7)&lt;=$G67),IF($D67="","◇","■"),""))</f>
        <v/>
      </c>
      <c r="P67" s="59" t="str">
        <f>IF($A67="","",IF(AND(VALUE(P$7)&gt;$F67,VALUE(P$7)&lt;=$G67),IF($D67="","◇","■"),""))</f>
        <v/>
      </c>
      <c r="Q67" s="59" t="str">
        <f>IF($A67="","",IF(AND(VALUE(Q$7)&gt;$F67,VALUE(Q$7)&lt;=$G67),IF($D67="","◇","■"),""))</f>
        <v/>
      </c>
      <c r="R67" s="59" t="str">
        <f>IF($A67="","",IF(AND(VALUE(R$7)&gt;$F67,VALUE(R$7)&lt;=$G67),IF($D67="","◇","■"),""))</f>
        <v/>
      </c>
      <c r="S67" s="59" t="str">
        <f>IF($A67="","",IF(AND(VALUE(S$7)&gt;$F67,VALUE(S$7)&lt;=$G67),IF($D67="","◇","■"),""))</f>
        <v/>
      </c>
      <c r="T67" s="59" t="str">
        <f>IF($A67="","",IF(AND(VALUE(T$7)&gt;$F67,VALUE(T$7)&lt;=$G67),IF($D67="","◇","■"),""))</f>
        <v/>
      </c>
      <c r="U67" s="59" t="str">
        <f>IF($A67="","",IF(AND(VALUE(U$7)&gt;$F67,VALUE(U$7)&lt;=$G67),IF($D67="","◇","■"),""))</f>
        <v/>
      </c>
      <c r="V67" s="59" t="str">
        <f>IF($A67="","",IF(AND(VALUE(V$7)&gt;$F67,VALUE(V$7)&lt;=$G67),IF($D67="","◇","■"),""))</f>
        <v/>
      </c>
      <c r="W67" s="59" t="str">
        <f>IF($A67="","",IF(AND(VALUE(W$7)&gt;$F67,VALUE(W$7)&lt;=$G67),IF($D67="","◇","■"),""))</f>
        <v/>
      </c>
      <c r="X67" s="59" t="str">
        <f>IF($A67="","",IF(AND(VALUE(X$7)&gt;$F67,VALUE(X$7)&lt;=$G67),IF($D67="","◇","■"),""))</f>
        <v/>
      </c>
      <c r="Y67" s="59" t="str">
        <f>IF($A67="","",IF(AND(VALUE(Y$7)&gt;$F67,VALUE(Y$7)&lt;=$G67),IF($D67="","◇","■"),""))</f>
        <v/>
      </c>
      <c r="Z67" s="59" t="str">
        <f>IF($A67="","",IF(AND(VALUE(Z$7)&gt;$F67,VALUE(Z$7)&lt;=$G67),IF($D67="","◇","■"),""))</f>
        <v/>
      </c>
      <c r="AA67" s="59" t="str">
        <f>IF($A67="","",IF(AND(VALUE(AA$7)&gt;$F67,VALUE(AA$7)&lt;=$G67),IF($D67="","◇","■"),""))</f>
        <v/>
      </c>
      <c r="AB67" s="59" t="str">
        <f>IF($A67="","",IF(AND(VALUE(AB$7)&gt;$F67,VALUE(AB$7)&lt;=$G67),IF($D67="","◇","■"),""))</f>
        <v/>
      </c>
      <c r="AC67" s="59" t="str">
        <f>IF($A67="","",IF(AND(VALUE(AC$7)&gt;$F67,VALUE(AC$7)&lt;=$G67),IF($D67="","◇","■"),""))</f>
        <v/>
      </c>
      <c r="AD67" s="59" t="str">
        <f>IF($A67="","",IF(AND(VALUE(AD$7)&gt;$F67,VALUE(AD$7)&lt;=$G67),IF($D67="","◇","■"),""))</f>
        <v/>
      </c>
      <c r="AE67" s="59" t="str">
        <f>IF($A67="","",IF(AND(VALUE(AE$7)&gt;$F67,VALUE(AE$7)&lt;=$G67),IF($D67="","◇","■"),""))</f>
        <v/>
      </c>
      <c r="AF67" s="59" t="str">
        <f>IF($A67="","",IF(AND(VALUE(AF$7)&gt;$F67,VALUE(AF$7)&lt;=$G67),IF($D67="","◇","■"),""))</f>
        <v/>
      </c>
      <c r="AG67" s="59" t="str">
        <f>IF($A67="","",IF(AND(VALUE(AG$7)&gt;$F67,VALUE(AG$7)&lt;=$G67),IF($D67="","◇","■"),""))</f>
        <v/>
      </c>
      <c r="AH67" s="59" t="str">
        <f>IF($A67="","",IF(AND(VALUE(AH$7)&gt;$F67,VALUE(AH$7)&lt;=$G67),IF($D67="","◇","■"),""))</f>
        <v/>
      </c>
      <c r="AI67" s="59" t="str">
        <f>IF($A67="","",IF(AND(VALUE(AI$7)&gt;$F67,VALUE(AI$7)&lt;=$G67),IF($D67="","◇","■"),""))</f>
        <v/>
      </c>
      <c r="AJ67" s="59" t="str">
        <f>IF($A67="","",IF(AND(VALUE(AJ$7)&gt;$F67,VALUE(AJ$7)&lt;=$G67),IF($D67="","◇","■"),""))</f>
        <v/>
      </c>
      <c r="AK67" s="59" t="str">
        <f>IF($A67="","",IF(AND(VALUE(AK$7)&gt;$F67,VALUE(AK$7)&lt;=$G67),IF($D67="","◇","■"),""))</f>
        <v/>
      </c>
      <c r="AL67" s="59" t="str">
        <f>IF($A67="","",IF(AND(VALUE(AL$7)&gt;$F67,VALUE(AL$7)&lt;=$G67),IF($D67="","◇","■"),""))</f>
        <v/>
      </c>
      <c r="AM67" s="59" t="str">
        <f>IF($A67="","",IF(AND(VALUE(AM$7)&gt;$F67,VALUE(AM$7)&lt;=$G67),IF($D67="","◇","■"),""))</f>
        <v/>
      </c>
    </row>
    <row r="68" spans="1:39" ht="18" customHeight="1" x14ac:dyDescent="0.35">
      <c r="A68" s="55" t="str" cm="1">
        <f t="array" ref="A68">IFERROR(INDEX(_xlfn._xlws.FILTER(tblProjectTasks[TaskGroup],(tblProjectTasks[IsWorkPackage]="Yes")*(tblProjectTasks[CaptureStatus]&lt;&gt;"Removed")),ROWS($A$8:A68)),"")</f>
        <v/>
      </c>
      <c r="B68" s="56" t="str" cm="1">
        <f t="array" ref="B68">IFERROR(INDEX(_xlfn._xlws.FILTER(tblProjectTasks[WBSCode],(tblProjectTasks[IsWorkPackage]="Yes")*(tblProjectTasks[CaptureStatus]&lt;&gt;"Removed")),ROWS($B$8:B68)),"")</f>
        <v/>
      </c>
      <c r="C68" s="57" t="str" cm="1">
        <f t="array" ref="C68">IFERROR(INDEX(_xlfn._xlws.FILTER(tblProjectTasks[TaskName],(tblProjectTasks[IsWorkPackage]="Yes")*(tblProjectTasks[CaptureStatus]&lt;&gt;"Removed")),ROWS($C$8:C68)),"")</f>
        <v/>
      </c>
      <c r="D68" s="58" t="str" cm="1">
        <f t="array" ref="D68">_xlfn.LET(_xlpm.x,IFERROR(INDEX(_xlfn._xlws.FILTER(tblProjectTasks[Elapsed Time in Weeks],(tblProjectTasks[IsWorkPackage]="Yes")*(tblProjectTasks[CaptureStatus]&lt;&gt;"Removed")),ROWS($D$8:D68)),""),IF(_xlpm.x=0,"",_xlpm.x))</f>
        <v/>
      </c>
      <c r="E68" s="58" t="str">
        <f>IF($A68="","",IF($D68="",1,$D68))</f>
        <v/>
      </c>
      <c r="F68" s="58" t="str">
        <f>IF($A68="","",IF(ROW()=8,0,$F67+$E67))</f>
        <v/>
      </c>
      <c r="G68" s="58" t="str">
        <f>IF($A68="","",$F68+$E68)</f>
        <v/>
      </c>
      <c r="H68" s="59" t="str">
        <f>IF($A68="","",IF(AND(VALUE(H$7)&gt;$F68,VALUE(H$7)&lt;=$G68),IF($D68="","◇","■"),""))</f>
        <v/>
      </c>
      <c r="I68" s="59" t="str">
        <f>IF($A68="","",IF(AND(VALUE(I$7)&gt;$F68,VALUE(I$7)&lt;=$G68),IF($D68="","◇","■"),""))</f>
        <v/>
      </c>
      <c r="J68" s="59" t="str">
        <f>IF($A68="","",IF(AND(VALUE(J$7)&gt;$F68,VALUE(J$7)&lt;=$G68),IF($D68="","◇","■"),""))</f>
        <v/>
      </c>
      <c r="K68" s="59" t="str">
        <f>IF($A68="","",IF(AND(VALUE(K$7)&gt;$F68,VALUE(K$7)&lt;=$G68),IF($D68="","◇","■"),""))</f>
        <v/>
      </c>
      <c r="L68" s="59" t="str">
        <f>IF($A68="","",IF(AND(VALUE(L$7)&gt;$F68,VALUE(L$7)&lt;=$G68),IF($D68="","◇","■"),""))</f>
        <v/>
      </c>
      <c r="M68" s="59" t="str">
        <f>IF($A68="","",IF(AND(VALUE(M$7)&gt;$F68,VALUE(M$7)&lt;=$G68),IF($D68="","◇","■"),""))</f>
        <v/>
      </c>
      <c r="N68" s="59" t="str">
        <f>IF($A68="","",IF(AND(VALUE(N$7)&gt;$F68,VALUE(N$7)&lt;=$G68),IF($D68="","◇","■"),""))</f>
        <v/>
      </c>
      <c r="O68" s="59" t="str">
        <f>IF($A68="","",IF(AND(VALUE(O$7)&gt;$F68,VALUE(O$7)&lt;=$G68),IF($D68="","◇","■"),""))</f>
        <v/>
      </c>
      <c r="P68" s="59" t="str">
        <f>IF($A68="","",IF(AND(VALUE(P$7)&gt;$F68,VALUE(P$7)&lt;=$G68),IF($D68="","◇","■"),""))</f>
        <v/>
      </c>
      <c r="Q68" s="59" t="str">
        <f>IF($A68="","",IF(AND(VALUE(Q$7)&gt;$F68,VALUE(Q$7)&lt;=$G68),IF($D68="","◇","■"),""))</f>
        <v/>
      </c>
      <c r="R68" s="59" t="str">
        <f>IF($A68="","",IF(AND(VALUE(R$7)&gt;$F68,VALUE(R$7)&lt;=$G68),IF($D68="","◇","■"),""))</f>
        <v/>
      </c>
      <c r="S68" s="59" t="str">
        <f>IF($A68="","",IF(AND(VALUE(S$7)&gt;$F68,VALUE(S$7)&lt;=$G68),IF($D68="","◇","■"),""))</f>
        <v/>
      </c>
      <c r="T68" s="59" t="str">
        <f>IF($A68="","",IF(AND(VALUE(T$7)&gt;$F68,VALUE(T$7)&lt;=$G68),IF($D68="","◇","■"),""))</f>
        <v/>
      </c>
      <c r="U68" s="59" t="str">
        <f>IF($A68="","",IF(AND(VALUE(U$7)&gt;$F68,VALUE(U$7)&lt;=$G68),IF($D68="","◇","■"),""))</f>
        <v/>
      </c>
      <c r="V68" s="59" t="str">
        <f>IF($A68="","",IF(AND(VALUE(V$7)&gt;$F68,VALUE(V$7)&lt;=$G68),IF($D68="","◇","■"),""))</f>
        <v/>
      </c>
      <c r="W68" s="59" t="str">
        <f>IF($A68="","",IF(AND(VALUE(W$7)&gt;$F68,VALUE(W$7)&lt;=$G68),IF($D68="","◇","■"),""))</f>
        <v/>
      </c>
      <c r="X68" s="59" t="str">
        <f>IF($A68="","",IF(AND(VALUE(X$7)&gt;$F68,VALUE(X$7)&lt;=$G68),IF($D68="","◇","■"),""))</f>
        <v/>
      </c>
      <c r="Y68" s="59" t="str">
        <f>IF($A68="","",IF(AND(VALUE(Y$7)&gt;$F68,VALUE(Y$7)&lt;=$G68),IF($D68="","◇","■"),""))</f>
        <v/>
      </c>
      <c r="Z68" s="59" t="str">
        <f>IF($A68="","",IF(AND(VALUE(Z$7)&gt;$F68,VALUE(Z$7)&lt;=$G68),IF($D68="","◇","■"),""))</f>
        <v/>
      </c>
      <c r="AA68" s="59" t="str">
        <f>IF($A68="","",IF(AND(VALUE(AA$7)&gt;$F68,VALUE(AA$7)&lt;=$G68),IF($D68="","◇","■"),""))</f>
        <v/>
      </c>
      <c r="AB68" s="59" t="str">
        <f>IF($A68="","",IF(AND(VALUE(AB$7)&gt;$F68,VALUE(AB$7)&lt;=$G68),IF($D68="","◇","■"),""))</f>
        <v/>
      </c>
      <c r="AC68" s="59" t="str">
        <f>IF($A68="","",IF(AND(VALUE(AC$7)&gt;$F68,VALUE(AC$7)&lt;=$G68),IF($D68="","◇","■"),""))</f>
        <v/>
      </c>
      <c r="AD68" s="59" t="str">
        <f>IF($A68="","",IF(AND(VALUE(AD$7)&gt;$F68,VALUE(AD$7)&lt;=$G68),IF($D68="","◇","■"),""))</f>
        <v/>
      </c>
      <c r="AE68" s="59" t="str">
        <f>IF($A68="","",IF(AND(VALUE(AE$7)&gt;$F68,VALUE(AE$7)&lt;=$G68),IF($D68="","◇","■"),""))</f>
        <v/>
      </c>
      <c r="AF68" s="59" t="str">
        <f>IF($A68="","",IF(AND(VALUE(AF$7)&gt;$F68,VALUE(AF$7)&lt;=$G68),IF($D68="","◇","■"),""))</f>
        <v/>
      </c>
      <c r="AG68" s="59" t="str">
        <f>IF($A68="","",IF(AND(VALUE(AG$7)&gt;$F68,VALUE(AG$7)&lt;=$G68),IF($D68="","◇","■"),""))</f>
        <v/>
      </c>
      <c r="AH68" s="59" t="str">
        <f>IF($A68="","",IF(AND(VALUE(AH$7)&gt;$F68,VALUE(AH$7)&lt;=$G68),IF($D68="","◇","■"),""))</f>
        <v/>
      </c>
      <c r="AI68" s="59" t="str">
        <f>IF($A68="","",IF(AND(VALUE(AI$7)&gt;$F68,VALUE(AI$7)&lt;=$G68),IF($D68="","◇","■"),""))</f>
        <v/>
      </c>
      <c r="AJ68" s="59" t="str">
        <f>IF($A68="","",IF(AND(VALUE(AJ$7)&gt;$F68,VALUE(AJ$7)&lt;=$G68),IF($D68="","◇","■"),""))</f>
        <v/>
      </c>
      <c r="AK68" s="59" t="str">
        <f>IF($A68="","",IF(AND(VALUE(AK$7)&gt;$F68,VALUE(AK$7)&lt;=$G68),IF($D68="","◇","■"),""))</f>
        <v/>
      </c>
      <c r="AL68" s="59" t="str">
        <f>IF($A68="","",IF(AND(VALUE(AL$7)&gt;$F68,VALUE(AL$7)&lt;=$G68),IF($D68="","◇","■"),""))</f>
        <v/>
      </c>
      <c r="AM68" s="59" t="str">
        <f>IF($A68="","",IF(AND(VALUE(AM$7)&gt;$F68,VALUE(AM$7)&lt;=$G68),IF($D68="","◇","■"),""))</f>
        <v/>
      </c>
    </row>
    <row r="69" spans="1:39" ht="18" customHeight="1" x14ac:dyDescent="0.35">
      <c r="A69" s="55" t="str" cm="1">
        <f t="array" ref="A69">IFERROR(INDEX(_xlfn._xlws.FILTER(tblProjectTasks[TaskGroup],(tblProjectTasks[IsWorkPackage]="Yes")*(tblProjectTasks[CaptureStatus]&lt;&gt;"Removed")),ROWS($A$8:A69)),"")</f>
        <v/>
      </c>
      <c r="B69" s="56" t="str" cm="1">
        <f t="array" ref="B69">IFERROR(INDEX(_xlfn._xlws.FILTER(tblProjectTasks[WBSCode],(tblProjectTasks[IsWorkPackage]="Yes")*(tblProjectTasks[CaptureStatus]&lt;&gt;"Removed")),ROWS($B$8:B69)),"")</f>
        <v/>
      </c>
      <c r="C69" s="57" t="str" cm="1">
        <f t="array" ref="C69">IFERROR(INDEX(_xlfn._xlws.FILTER(tblProjectTasks[TaskName],(tblProjectTasks[IsWorkPackage]="Yes")*(tblProjectTasks[CaptureStatus]&lt;&gt;"Removed")),ROWS($C$8:C69)),"")</f>
        <v/>
      </c>
      <c r="D69" s="58" t="str" cm="1">
        <f t="array" ref="D69">_xlfn.LET(_xlpm.x,IFERROR(INDEX(_xlfn._xlws.FILTER(tblProjectTasks[Elapsed Time in Weeks],(tblProjectTasks[IsWorkPackage]="Yes")*(tblProjectTasks[CaptureStatus]&lt;&gt;"Removed")),ROWS($D$8:D69)),""),IF(_xlpm.x=0,"",_xlpm.x))</f>
        <v/>
      </c>
      <c r="E69" s="58" t="str">
        <f>IF($A69="","",IF($D69="",1,$D69))</f>
        <v/>
      </c>
      <c r="F69" s="58" t="str">
        <f>IF($A69="","",IF(ROW()=8,0,$F68+$E68))</f>
        <v/>
      </c>
      <c r="G69" s="58" t="str">
        <f>IF($A69="","",$F69+$E69)</f>
        <v/>
      </c>
      <c r="H69" s="59" t="str">
        <f>IF($A69="","",IF(AND(VALUE(H$7)&gt;$F69,VALUE(H$7)&lt;=$G69),IF($D69="","◇","■"),""))</f>
        <v/>
      </c>
      <c r="I69" s="59" t="str">
        <f>IF($A69="","",IF(AND(VALUE(I$7)&gt;$F69,VALUE(I$7)&lt;=$G69),IF($D69="","◇","■"),""))</f>
        <v/>
      </c>
      <c r="J69" s="59" t="str">
        <f>IF($A69="","",IF(AND(VALUE(J$7)&gt;$F69,VALUE(J$7)&lt;=$G69),IF($D69="","◇","■"),""))</f>
        <v/>
      </c>
      <c r="K69" s="59" t="str">
        <f>IF($A69="","",IF(AND(VALUE(K$7)&gt;$F69,VALUE(K$7)&lt;=$G69),IF($D69="","◇","■"),""))</f>
        <v/>
      </c>
      <c r="L69" s="59" t="str">
        <f>IF($A69="","",IF(AND(VALUE(L$7)&gt;$F69,VALUE(L$7)&lt;=$G69),IF($D69="","◇","■"),""))</f>
        <v/>
      </c>
      <c r="M69" s="59" t="str">
        <f>IF($A69="","",IF(AND(VALUE(M$7)&gt;$F69,VALUE(M$7)&lt;=$G69),IF($D69="","◇","■"),""))</f>
        <v/>
      </c>
      <c r="N69" s="59" t="str">
        <f>IF($A69="","",IF(AND(VALUE(N$7)&gt;$F69,VALUE(N$7)&lt;=$G69),IF($D69="","◇","■"),""))</f>
        <v/>
      </c>
      <c r="O69" s="59" t="str">
        <f>IF($A69="","",IF(AND(VALUE(O$7)&gt;$F69,VALUE(O$7)&lt;=$G69),IF($D69="","◇","■"),""))</f>
        <v/>
      </c>
      <c r="P69" s="59" t="str">
        <f>IF($A69="","",IF(AND(VALUE(P$7)&gt;$F69,VALUE(P$7)&lt;=$G69),IF($D69="","◇","■"),""))</f>
        <v/>
      </c>
      <c r="Q69" s="59" t="str">
        <f>IF($A69="","",IF(AND(VALUE(Q$7)&gt;$F69,VALUE(Q$7)&lt;=$G69),IF($D69="","◇","■"),""))</f>
        <v/>
      </c>
      <c r="R69" s="59" t="str">
        <f>IF($A69="","",IF(AND(VALUE(R$7)&gt;$F69,VALUE(R$7)&lt;=$G69),IF($D69="","◇","■"),""))</f>
        <v/>
      </c>
      <c r="S69" s="59" t="str">
        <f>IF($A69="","",IF(AND(VALUE(S$7)&gt;$F69,VALUE(S$7)&lt;=$G69),IF($D69="","◇","■"),""))</f>
        <v/>
      </c>
      <c r="T69" s="59" t="str">
        <f>IF($A69="","",IF(AND(VALUE(T$7)&gt;$F69,VALUE(T$7)&lt;=$G69),IF($D69="","◇","■"),""))</f>
        <v/>
      </c>
      <c r="U69" s="59" t="str">
        <f>IF($A69="","",IF(AND(VALUE(U$7)&gt;$F69,VALUE(U$7)&lt;=$G69),IF($D69="","◇","■"),""))</f>
        <v/>
      </c>
      <c r="V69" s="59" t="str">
        <f>IF($A69="","",IF(AND(VALUE(V$7)&gt;$F69,VALUE(V$7)&lt;=$G69),IF($D69="","◇","■"),""))</f>
        <v/>
      </c>
      <c r="W69" s="59" t="str">
        <f>IF($A69="","",IF(AND(VALUE(W$7)&gt;$F69,VALUE(W$7)&lt;=$G69),IF($D69="","◇","■"),""))</f>
        <v/>
      </c>
      <c r="X69" s="59" t="str">
        <f>IF($A69="","",IF(AND(VALUE(X$7)&gt;$F69,VALUE(X$7)&lt;=$G69),IF($D69="","◇","■"),""))</f>
        <v/>
      </c>
      <c r="Y69" s="59" t="str">
        <f>IF($A69="","",IF(AND(VALUE(Y$7)&gt;$F69,VALUE(Y$7)&lt;=$G69),IF($D69="","◇","■"),""))</f>
        <v/>
      </c>
      <c r="Z69" s="59" t="str">
        <f>IF($A69="","",IF(AND(VALUE(Z$7)&gt;$F69,VALUE(Z$7)&lt;=$G69),IF($D69="","◇","■"),""))</f>
        <v/>
      </c>
      <c r="AA69" s="59" t="str">
        <f>IF($A69="","",IF(AND(VALUE(AA$7)&gt;$F69,VALUE(AA$7)&lt;=$G69),IF($D69="","◇","■"),""))</f>
        <v/>
      </c>
      <c r="AB69" s="59" t="str">
        <f>IF($A69="","",IF(AND(VALUE(AB$7)&gt;$F69,VALUE(AB$7)&lt;=$G69),IF($D69="","◇","■"),""))</f>
        <v/>
      </c>
      <c r="AC69" s="59" t="str">
        <f>IF($A69="","",IF(AND(VALUE(AC$7)&gt;$F69,VALUE(AC$7)&lt;=$G69),IF($D69="","◇","■"),""))</f>
        <v/>
      </c>
      <c r="AD69" s="59" t="str">
        <f>IF($A69="","",IF(AND(VALUE(AD$7)&gt;$F69,VALUE(AD$7)&lt;=$G69),IF($D69="","◇","■"),""))</f>
        <v/>
      </c>
      <c r="AE69" s="59" t="str">
        <f>IF($A69="","",IF(AND(VALUE(AE$7)&gt;$F69,VALUE(AE$7)&lt;=$G69),IF($D69="","◇","■"),""))</f>
        <v/>
      </c>
      <c r="AF69" s="59" t="str">
        <f>IF($A69="","",IF(AND(VALUE(AF$7)&gt;$F69,VALUE(AF$7)&lt;=$G69),IF($D69="","◇","■"),""))</f>
        <v/>
      </c>
      <c r="AG69" s="59" t="str">
        <f>IF($A69="","",IF(AND(VALUE(AG$7)&gt;$F69,VALUE(AG$7)&lt;=$G69),IF($D69="","◇","■"),""))</f>
        <v/>
      </c>
      <c r="AH69" s="59" t="str">
        <f>IF($A69="","",IF(AND(VALUE(AH$7)&gt;$F69,VALUE(AH$7)&lt;=$G69),IF($D69="","◇","■"),""))</f>
        <v/>
      </c>
      <c r="AI69" s="59" t="str">
        <f>IF($A69="","",IF(AND(VALUE(AI$7)&gt;$F69,VALUE(AI$7)&lt;=$G69),IF($D69="","◇","■"),""))</f>
        <v/>
      </c>
      <c r="AJ69" s="59" t="str">
        <f>IF($A69="","",IF(AND(VALUE(AJ$7)&gt;$F69,VALUE(AJ$7)&lt;=$G69),IF($D69="","◇","■"),""))</f>
        <v/>
      </c>
      <c r="AK69" s="59" t="str">
        <f>IF($A69="","",IF(AND(VALUE(AK$7)&gt;$F69,VALUE(AK$7)&lt;=$G69),IF($D69="","◇","■"),""))</f>
        <v/>
      </c>
      <c r="AL69" s="59" t="str">
        <f>IF($A69="","",IF(AND(VALUE(AL$7)&gt;$F69,VALUE(AL$7)&lt;=$G69),IF($D69="","◇","■"),""))</f>
        <v/>
      </c>
      <c r="AM69" s="59" t="str">
        <f>IF($A69="","",IF(AND(VALUE(AM$7)&gt;$F69,VALUE(AM$7)&lt;=$G69),IF($D69="","◇","■"),""))</f>
        <v/>
      </c>
    </row>
    <row r="70" spans="1:39" ht="18" customHeight="1" x14ac:dyDescent="0.35">
      <c r="A70" s="55" t="str" cm="1">
        <f t="array" ref="A70">IFERROR(INDEX(_xlfn._xlws.FILTER(tblProjectTasks[TaskGroup],(tblProjectTasks[IsWorkPackage]="Yes")*(tblProjectTasks[CaptureStatus]&lt;&gt;"Removed")),ROWS($A$8:A70)),"")</f>
        <v/>
      </c>
      <c r="B70" s="56" t="str" cm="1">
        <f t="array" ref="B70">IFERROR(INDEX(_xlfn._xlws.FILTER(tblProjectTasks[WBSCode],(tblProjectTasks[IsWorkPackage]="Yes")*(tblProjectTasks[CaptureStatus]&lt;&gt;"Removed")),ROWS($B$8:B70)),"")</f>
        <v/>
      </c>
      <c r="C70" s="57" t="str" cm="1">
        <f t="array" ref="C70">IFERROR(INDEX(_xlfn._xlws.FILTER(tblProjectTasks[TaskName],(tblProjectTasks[IsWorkPackage]="Yes")*(tblProjectTasks[CaptureStatus]&lt;&gt;"Removed")),ROWS($C$8:C70)),"")</f>
        <v/>
      </c>
      <c r="D70" s="58" t="str" cm="1">
        <f t="array" ref="D70">_xlfn.LET(_xlpm.x,IFERROR(INDEX(_xlfn._xlws.FILTER(tblProjectTasks[Elapsed Time in Weeks],(tblProjectTasks[IsWorkPackage]="Yes")*(tblProjectTasks[CaptureStatus]&lt;&gt;"Removed")),ROWS($D$8:D70)),""),IF(_xlpm.x=0,"",_xlpm.x))</f>
        <v/>
      </c>
      <c r="E70" s="58" t="str">
        <f>IF($A70="","",IF($D70="",1,$D70))</f>
        <v/>
      </c>
      <c r="F70" s="58" t="str">
        <f>IF($A70="","",IF(ROW()=8,0,$F69+$E69))</f>
        <v/>
      </c>
      <c r="G70" s="58" t="str">
        <f>IF($A70="","",$F70+$E70)</f>
        <v/>
      </c>
      <c r="H70" s="59" t="str">
        <f>IF($A70="","",IF(AND(VALUE(H$7)&gt;$F70,VALUE(H$7)&lt;=$G70),IF($D70="","◇","■"),""))</f>
        <v/>
      </c>
      <c r="I70" s="59" t="str">
        <f>IF($A70="","",IF(AND(VALUE(I$7)&gt;$F70,VALUE(I$7)&lt;=$G70),IF($D70="","◇","■"),""))</f>
        <v/>
      </c>
      <c r="J70" s="59" t="str">
        <f>IF($A70="","",IF(AND(VALUE(J$7)&gt;$F70,VALUE(J$7)&lt;=$G70),IF($D70="","◇","■"),""))</f>
        <v/>
      </c>
      <c r="K70" s="59" t="str">
        <f>IF($A70="","",IF(AND(VALUE(K$7)&gt;$F70,VALUE(K$7)&lt;=$G70),IF($D70="","◇","■"),""))</f>
        <v/>
      </c>
      <c r="L70" s="59" t="str">
        <f>IF($A70="","",IF(AND(VALUE(L$7)&gt;$F70,VALUE(L$7)&lt;=$G70),IF($D70="","◇","■"),""))</f>
        <v/>
      </c>
      <c r="M70" s="59" t="str">
        <f>IF($A70="","",IF(AND(VALUE(M$7)&gt;$F70,VALUE(M$7)&lt;=$G70),IF($D70="","◇","■"),""))</f>
        <v/>
      </c>
      <c r="N70" s="59" t="str">
        <f>IF($A70="","",IF(AND(VALUE(N$7)&gt;$F70,VALUE(N$7)&lt;=$G70),IF($D70="","◇","■"),""))</f>
        <v/>
      </c>
      <c r="O70" s="59" t="str">
        <f>IF($A70="","",IF(AND(VALUE(O$7)&gt;$F70,VALUE(O$7)&lt;=$G70),IF($D70="","◇","■"),""))</f>
        <v/>
      </c>
      <c r="P70" s="59" t="str">
        <f>IF($A70="","",IF(AND(VALUE(P$7)&gt;$F70,VALUE(P$7)&lt;=$G70),IF($D70="","◇","■"),""))</f>
        <v/>
      </c>
      <c r="Q70" s="59" t="str">
        <f>IF($A70="","",IF(AND(VALUE(Q$7)&gt;$F70,VALUE(Q$7)&lt;=$G70),IF($D70="","◇","■"),""))</f>
        <v/>
      </c>
      <c r="R70" s="59" t="str">
        <f>IF($A70="","",IF(AND(VALUE(R$7)&gt;$F70,VALUE(R$7)&lt;=$G70),IF($D70="","◇","■"),""))</f>
        <v/>
      </c>
      <c r="S70" s="59" t="str">
        <f>IF($A70="","",IF(AND(VALUE(S$7)&gt;$F70,VALUE(S$7)&lt;=$G70),IF($D70="","◇","■"),""))</f>
        <v/>
      </c>
      <c r="T70" s="59" t="str">
        <f>IF($A70="","",IF(AND(VALUE(T$7)&gt;$F70,VALUE(T$7)&lt;=$G70),IF($D70="","◇","■"),""))</f>
        <v/>
      </c>
      <c r="U70" s="59" t="str">
        <f>IF($A70="","",IF(AND(VALUE(U$7)&gt;$F70,VALUE(U$7)&lt;=$G70),IF($D70="","◇","■"),""))</f>
        <v/>
      </c>
      <c r="V70" s="59" t="str">
        <f>IF($A70="","",IF(AND(VALUE(V$7)&gt;$F70,VALUE(V$7)&lt;=$G70),IF($D70="","◇","■"),""))</f>
        <v/>
      </c>
      <c r="W70" s="59" t="str">
        <f>IF($A70="","",IF(AND(VALUE(W$7)&gt;$F70,VALUE(W$7)&lt;=$G70),IF($D70="","◇","■"),""))</f>
        <v/>
      </c>
      <c r="X70" s="59" t="str">
        <f>IF($A70="","",IF(AND(VALUE(X$7)&gt;$F70,VALUE(X$7)&lt;=$G70),IF($D70="","◇","■"),""))</f>
        <v/>
      </c>
      <c r="Y70" s="59" t="str">
        <f>IF($A70="","",IF(AND(VALUE(Y$7)&gt;$F70,VALUE(Y$7)&lt;=$G70),IF($D70="","◇","■"),""))</f>
        <v/>
      </c>
      <c r="Z70" s="59" t="str">
        <f>IF($A70="","",IF(AND(VALUE(Z$7)&gt;$F70,VALUE(Z$7)&lt;=$G70),IF($D70="","◇","■"),""))</f>
        <v/>
      </c>
      <c r="AA70" s="59" t="str">
        <f>IF($A70="","",IF(AND(VALUE(AA$7)&gt;$F70,VALUE(AA$7)&lt;=$G70),IF($D70="","◇","■"),""))</f>
        <v/>
      </c>
      <c r="AB70" s="59" t="str">
        <f>IF($A70="","",IF(AND(VALUE(AB$7)&gt;$F70,VALUE(AB$7)&lt;=$G70),IF($D70="","◇","■"),""))</f>
        <v/>
      </c>
      <c r="AC70" s="59" t="str">
        <f>IF($A70="","",IF(AND(VALUE(AC$7)&gt;$F70,VALUE(AC$7)&lt;=$G70),IF($D70="","◇","■"),""))</f>
        <v/>
      </c>
      <c r="AD70" s="59" t="str">
        <f>IF($A70="","",IF(AND(VALUE(AD$7)&gt;$F70,VALUE(AD$7)&lt;=$G70),IF($D70="","◇","■"),""))</f>
        <v/>
      </c>
      <c r="AE70" s="59" t="str">
        <f>IF($A70="","",IF(AND(VALUE(AE$7)&gt;$F70,VALUE(AE$7)&lt;=$G70),IF($D70="","◇","■"),""))</f>
        <v/>
      </c>
      <c r="AF70" s="59" t="str">
        <f>IF($A70="","",IF(AND(VALUE(AF$7)&gt;$F70,VALUE(AF$7)&lt;=$G70),IF($D70="","◇","■"),""))</f>
        <v/>
      </c>
      <c r="AG70" s="59" t="str">
        <f>IF($A70="","",IF(AND(VALUE(AG$7)&gt;$F70,VALUE(AG$7)&lt;=$G70),IF($D70="","◇","■"),""))</f>
        <v/>
      </c>
      <c r="AH70" s="59" t="str">
        <f>IF($A70="","",IF(AND(VALUE(AH$7)&gt;$F70,VALUE(AH$7)&lt;=$G70),IF($D70="","◇","■"),""))</f>
        <v/>
      </c>
      <c r="AI70" s="59" t="str">
        <f>IF($A70="","",IF(AND(VALUE(AI$7)&gt;$F70,VALUE(AI$7)&lt;=$G70),IF($D70="","◇","■"),""))</f>
        <v/>
      </c>
      <c r="AJ70" s="59" t="str">
        <f>IF($A70="","",IF(AND(VALUE(AJ$7)&gt;$F70,VALUE(AJ$7)&lt;=$G70),IF($D70="","◇","■"),""))</f>
        <v/>
      </c>
      <c r="AK70" s="59" t="str">
        <f>IF($A70="","",IF(AND(VALUE(AK$7)&gt;$F70,VALUE(AK$7)&lt;=$G70),IF($D70="","◇","■"),""))</f>
        <v/>
      </c>
      <c r="AL70" s="59" t="str">
        <f>IF($A70="","",IF(AND(VALUE(AL$7)&gt;$F70,VALUE(AL$7)&lt;=$G70),IF($D70="","◇","■"),""))</f>
        <v/>
      </c>
      <c r="AM70" s="59" t="str">
        <f>IF($A70="","",IF(AND(VALUE(AM$7)&gt;$F70,VALUE(AM$7)&lt;=$G70),IF($D70="","◇","■"),""))</f>
        <v/>
      </c>
    </row>
    <row r="71" spans="1:39" ht="18" customHeight="1" x14ac:dyDescent="0.35">
      <c r="A71" s="55" t="str" cm="1">
        <f t="array" ref="A71">IFERROR(INDEX(_xlfn._xlws.FILTER(tblProjectTasks[TaskGroup],(tblProjectTasks[IsWorkPackage]="Yes")*(tblProjectTasks[CaptureStatus]&lt;&gt;"Removed")),ROWS($A$8:A71)),"")</f>
        <v/>
      </c>
      <c r="B71" s="56" t="str" cm="1">
        <f t="array" ref="B71">IFERROR(INDEX(_xlfn._xlws.FILTER(tblProjectTasks[WBSCode],(tblProjectTasks[IsWorkPackage]="Yes")*(tblProjectTasks[CaptureStatus]&lt;&gt;"Removed")),ROWS($B$8:B71)),"")</f>
        <v/>
      </c>
      <c r="C71" s="57" t="str" cm="1">
        <f t="array" ref="C71">IFERROR(INDEX(_xlfn._xlws.FILTER(tblProjectTasks[TaskName],(tblProjectTasks[IsWorkPackage]="Yes")*(tblProjectTasks[CaptureStatus]&lt;&gt;"Removed")),ROWS($C$8:C71)),"")</f>
        <v/>
      </c>
      <c r="D71" s="58" t="str" cm="1">
        <f t="array" ref="D71">_xlfn.LET(_xlpm.x,IFERROR(INDEX(_xlfn._xlws.FILTER(tblProjectTasks[Elapsed Time in Weeks],(tblProjectTasks[IsWorkPackage]="Yes")*(tblProjectTasks[CaptureStatus]&lt;&gt;"Removed")),ROWS($D$8:D71)),""),IF(_xlpm.x=0,"",_xlpm.x))</f>
        <v/>
      </c>
      <c r="E71" s="58" t="str">
        <f>IF($A71="","",IF($D71="",1,$D71))</f>
        <v/>
      </c>
      <c r="F71" s="58" t="str">
        <f>IF($A71="","",IF(ROW()=8,0,$F70+$E70))</f>
        <v/>
      </c>
      <c r="G71" s="58" t="str">
        <f>IF($A71="","",$F71+$E71)</f>
        <v/>
      </c>
      <c r="H71" s="59" t="str">
        <f>IF($A71="","",IF(AND(VALUE(H$7)&gt;$F71,VALUE(H$7)&lt;=$G71),IF($D71="","◇","■"),""))</f>
        <v/>
      </c>
      <c r="I71" s="59" t="str">
        <f>IF($A71="","",IF(AND(VALUE(I$7)&gt;$F71,VALUE(I$7)&lt;=$G71),IF($D71="","◇","■"),""))</f>
        <v/>
      </c>
      <c r="J71" s="59" t="str">
        <f>IF($A71="","",IF(AND(VALUE(J$7)&gt;$F71,VALUE(J$7)&lt;=$G71),IF($D71="","◇","■"),""))</f>
        <v/>
      </c>
      <c r="K71" s="59" t="str">
        <f>IF($A71="","",IF(AND(VALUE(K$7)&gt;$F71,VALUE(K$7)&lt;=$G71),IF($D71="","◇","■"),""))</f>
        <v/>
      </c>
      <c r="L71" s="59" t="str">
        <f>IF($A71="","",IF(AND(VALUE(L$7)&gt;$F71,VALUE(L$7)&lt;=$G71),IF($D71="","◇","■"),""))</f>
        <v/>
      </c>
      <c r="M71" s="59" t="str">
        <f>IF($A71="","",IF(AND(VALUE(M$7)&gt;$F71,VALUE(M$7)&lt;=$G71),IF($D71="","◇","■"),""))</f>
        <v/>
      </c>
      <c r="N71" s="59" t="str">
        <f>IF($A71="","",IF(AND(VALUE(N$7)&gt;$F71,VALUE(N$7)&lt;=$G71),IF($D71="","◇","■"),""))</f>
        <v/>
      </c>
      <c r="O71" s="59" t="str">
        <f>IF($A71="","",IF(AND(VALUE(O$7)&gt;$F71,VALUE(O$7)&lt;=$G71),IF($D71="","◇","■"),""))</f>
        <v/>
      </c>
      <c r="P71" s="59" t="str">
        <f>IF($A71="","",IF(AND(VALUE(P$7)&gt;$F71,VALUE(P$7)&lt;=$G71),IF($D71="","◇","■"),""))</f>
        <v/>
      </c>
      <c r="Q71" s="59" t="str">
        <f>IF($A71="","",IF(AND(VALUE(Q$7)&gt;$F71,VALUE(Q$7)&lt;=$G71),IF($D71="","◇","■"),""))</f>
        <v/>
      </c>
      <c r="R71" s="59" t="str">
        <f>IF($A71="","",IF(AND(VALUE(R$7)&gt;$F71,VALUE(R$7)&lt;=$G71),IF($D71="","◇","■"),""))</f>
        <v/>
      </c>
      <c r="S71" s="59" t="str">
        <f>IF($A71="","",IF(AND(VALUE(S$7)&gt;$F71,VALUE(S$7)&lt;=$G71),IF($D71="","◇","■"),""))</f>
        <v/>
      </c>
      <c r="T71" s="59" t="str">
        <f>IF($A71="","",IF(AND(VALUE(T$7)&gt;$F71,VALUE(T$7)&lt;=$G71),IF($D71="","◇","■"),""))</f>
        <v/>
      </c>
      <c r="U71" s="59" t="str">
        <f>IF($A71="","",IF(AND(VALUE(U$7)&gt;$F71,VALUE(U$7)&lt;=$G71),IF($D71="","◇","■"),""))</f>
        <v/>
      </c>
      <c r="V71" s="59" t="str">
        <f>IF($A71="","",IF(AND(VALUE(V$7)&gt;$F71,VALUE(V$7)&lt;=$G71),IF($D71="","◇","■"),""))</f>
        <v/>
      </c>
      <c r="W71" s="59" t="str">
        <f>IF($A71="","",IF(AND(VALUE(W$7)&gt;$F71,VALUE(W$7)&lt;=$G71),IF($D71="","◇","■"),""))</f>
        <v/>
      </c>
      <c r="X71" s="59" t="str">
        <f>IF($A71="","",IF(AND(VALUE(X$7)&gt;$F71,VALUE(X$7)&lt;=$G71),IF($D71="","◇","■"),""))</f>
        <v/>
      </c>
      <c r="Y71" s="59" t="str">
        <f>IF($A71="","",IF(AND(VALUE(Y$7)&gt;$F71,VALUE(Y$7)&lt;=$G71),IF($D71="","◇","■"),""))</f>
        <v/>
      </c>
      <c r="Z71" s="59" t="str">
        <f>IF($A71="","",IF(AND(VALUE(Z$7)&gt;$F71,VALUE(Z$7)&lt;=$G71),IF($D71="","◇","■"),""))</f>
        <v/>
      </c>
      <c r="AA71" s="59" t="str">
        <f>IF($A71="","",IF(AND(VALUE(AA$7)&gt;$F71,VALUE(AA$7)&lt;=$G71),IF($D71="","◇","■"),""))</f>
        <v/>
      </c>
      <c r="AB71" s="59" t="str">
        <f>IF($A71="","",IF(AND(VALUE(AB$7)&gt;$F71,VALUE(AB$7)&lt;=$G71),IF($D71="","◇","■"),""))</f>
        <v/>
      </c>
      <c r="AC71" s="59" t="str">
        <f>IF($A71="","",IF(AND(VALUE(AC$7)&gt;$F71,VALUE(AC$7)&lt;=$G71),IF($D71="","◇","■"),""))</f>
        <v/>
      </c>
      <c r="AD71" s="59" t="str">
        <f>IF($A71="","",IF(AND(VALUE(AD$7)&gt;$F71,VALUE(AD$7)&lt;=$G71),IF($D71="","◇","■"),""))</f>
        <v/>
      </c>
      <c r="AE71" s="59" t="str">
        <f>IF($A71="","",IF(AND(VALUE(AE$7)&gt;$F71,VALUE(AE$7)&lt;=$G71),IF($D71="","◇","■"),""))</f>
        <v/>
      </c>
      <c r="AF71" s="59" t="str">
        <f>IF($A71="","",IF(AND(VALUE(AF$7)&gt;$F71,VALUE(AF$7)&lt;=$G71),IF($D71="","◇","■"),""))</f>
        <v/>
      </c>
      <c r="AG71" s="59" t="str">
        <f>IF($A71="","",IF(AND(VALUE(AG$7)&gt;$F71,VALUE(AG$7)&lt;=$G71),IF($D71="","◇","■"),""))</f>
        <v/>
      </c>
      <c r="AH71" s="59" t="str">
        <f>IF($A71="","",IF(AND(VALUE(AH$7)&gt;$F71,VALUE(AH$7)&lt;=$G71),IF($D71="","◇","■"),""))</f>
        <v/>
      </c>
      <c r="AI71" s="59" t="str">
        <f>IF($A71="","",IF(AND(VALUE(AI$7)&gt;$F71,VALUE(AI$7)&lt;=$G71),IF($D71="","◇","■"),""))</f>
        <v/>
      </c>
      <c r="AJ71" s="59" t="str">
        <f>IF($A71="","",IF(AND(VALUE(AJ$7)&gt;$F71,VALUE(AJ$7)&lt;=$G71),IF($D71="","◇","■"),""))</f>
        <v/>
      </c>
      <c r="AK71" s="59" t="str">
        <f>IF($A71="","",IF(AND(VALUE(AK$7)&gt;$F71,VALUE(AK$7)&lt;=$G71),IF($D71="","◇","■"),""))</f>
        <v/>
      </c>
      <c r="AL71" s="59" t="str">
        <f>IF($A71="","",IF(AND(VALUE(AL$7)&gt;$F71,VALUE(AL$7)&lt;=$G71),IF($D71="","◇","■"),""))</f>
        <v/>
      </c>
      <c r="AM71" s="59" t="str">
        <f>IF($A71="","",IF(AND(VALUE(AM$7)&gt;$F71,VALUE(AM$7)&lt;=$G71),IF($D71="","◇","■"),""))</f>
        <v/>
      </c>
    </row>
    <row r="72" spans="1:39" ht="18" customHeight="1" x14ac:dyDescent="0.35">
      <c r="A72" s="55" t="str" cm="1">
        <f t="array" ref="A72">IFERROR(INDEX(_xlfn._xlws.FILTER(tblProjectTasks[TaskGroup],(tblProjectTasks[IsWorkPackage]="Yes")*(tblProjectTasks[CaptureStatus]&lt;&gt;"Removed")),ROWS($A$8:A72)),"")</f>
        <v/>
      </c>
      <c r="B72" s="56" t="str" cm="1">
        <f t="array" ref="B72">IFERROR(INDEX(_xlfn._xlws.FILTER(tblProjectTasks[WBSCode],(tblProjectTasks[IsWorkPackage]="Yes")*(tblProjectTasks[CaptureStatus]&lt;&gt;"Removed")),ROWS($B$8:B72)),"")</f>
        <v/>
      </c>
      <c r="C72" s="57" t="str" cm="1">
        <f t="array" ref="C72">IFERROR(INDEX(_xlfn._xlws.FILTER(tblProjectTasks[TaskName],(tblProjectTasks[IsWorkPackage]="Yes")*(tblProjectTasks[CaptureStatus]&lt;&gt;"Removed")),ROWS($C$8:C72)),"")</f>
        <v/>
      </c>
      <c r="D72" s="58" t="str" cm="1">
        <f t="array" ref="D72">_xlfn.LET(_xlpm.x,IFERROR(INDEX(_xlfn._xlws.FILTER(tblProjectTasks[Elapsed Time in Weeks],(tblProjectTasks[IsWorkPackage]="Yes")*(tblProjectTasks[CaptureStatus]&lt;&gt;"Removed")),ROWS($D$8:D72)),""),IF(_xlpm.x=0,"",_xlpm.x))</f>
        <v/>
      </c>
      <c r="E72" s="58" t="str">
        <f>IF($A72="","",IF($D72="",1,$D72))</f>
        <v/>
      </c>
      <c r="F72" s="58" t="str">
        <f>IF($A72="","",IF(ROW()=8,0,$F71+$E71))</f>
        <v/>
      </c>
      <c r="G72" s="58" t="str">
        <f>IF($A72="","",$F72+$E72)</f>
        <v/>
      </c>
      <c r="H72" s="59" t="str">
        <f>IF($A72="","",IF(AND(VALUE(H$7)&gt;$F72,VALUE(H$7)&lt;=$G72),IF($D72="","◇","■"),""))</f>
        <v/>
      </c>
      <c r="I72" s="59" t="str">
        <f>IF($A72="","",IF(AND(VALUE(I$7)&gt;$F72,VALUE(I$7)&lt;=$G72),IF($D72="","◇","■"),""))</f>
        <v/>
      </c>
      <c r="J72" s="59" t="str">
        <f>IF($A72="","",IF(AND(VALUE(J$7)&gt;$F72,VALUE(J$7)&lt;=$G72),IF($D72="","◇","■"),""))</f>
        <v/>
      </c>
      <c r="K72" s="59" t="str">
        <f>IF($A72="","",IF(AND(VALUE(K$7)&gt;$F72,VALUE(K$7)&lt;=$G72),IF($D72="","◇","■"),""))</f>
        <v/>
      </c>
      <c r="L72" s="59" t="str">
        <f>IF($A72="","",IF(AND(VALUE(L$7)&gt;$F72,VALUE(L$7)&lt;=$G72),IF($D72="","◇","■"),""))</f>
        <v/>
      </c>
      <c r="M72" s="59" t="str">
        <f>IF($A72="","",IF(AND(VALUE(M$7)&gt;$F72,VALUE(M$7)&lt;=$G72),IF($D72="","◇","■"),""))</f>
        <v/>
      </c>
      <c r="N72" s="59" t="str">
        <f>IF($A72="","",IF(AND(VALUE(N$7)&gt;$F72,VALUE(N$7)&lt;=$G72),IF($D72="","◇","■"),""))</f>
        <v/>
      </c>
      <c r="O72" s="59" t="str">
        <f>IF($A72="","",IF(AND(VALUE(O$7)&gt;$F72,VALUE(O$7)&lt;=$G72),IF($D72="","◇","■"),""))</f>
        <v/>
      </c>
      <c r="P72" s="59" t="str">
        <f>IF($A72="","",IF(AND(VALUE(P$7)&gt;$F72,VALUE(P$7)&lt;=$G72),IF($D72="","◇","■"),""))</f>
        <v/>
      </c>
      <c r="Q72" s="59" t="str">
        <f>IF($A72="","",IF(AND(VALUE(Q$7)&gt;$F72,VALUE(Q$7)&lt;=$G72),IF($D72="","◇","■"),""))</f>
        <v/>
      </c>
      <c r="R72" s="59" t="str">
        <f>IF($A72="","",IF(AND(VALUE(R$7)&gt;$F72,VALUE(R$7)&lt;=$G72),IF($D72="","◇","■"),""))</f>
        <v/>
      </c>
      <c r="S72" s="59" t="str">
        <f>IF($A72="","",IF(AND(VALUE(S$7)&gt;$F72,VALUE(S$7)&lt;=$G72),IF($D72="","◇","■"),""))</f>
        <v/>
      </c>
      <c r="T72" s="59" t="str">
        <f>IF($A72="","",IF(AND(VALUE(T$7)&gt;$F72,VALUE(T$7)&lt;=$G72),IF($D72="","◇","■"),""))</f>
        <v/>
      </c>
      <c r="U72" s="59" t="str">
        <f>IF($A72="","",IF(AND(VALUE(U$7)&gt;$F72,VALUE(U$7)&lt;=$G72),IF($D72="","◇","■"),""))</f>
        <v/>
      </c>
      <c r="V72" s="59" t="str">
        <f>IF($A72="","",IF(AND(VALUE(V$7)&gt;$F72,VALUE(V$7)&lt;=$G72),IF($D72="","◇","■"),""))</f>
        <v/>
      </c>
      <c r="W72" s="59" t="str">
        <f>IF($A72="","",IF(AND(VALUE(W$7)&gt;$F72,VALUE(W$7)&lt;=$G72),IF($D72="","◇","■"),""))</f>
        <v/>
      </c>
      <c r="X72" s="59" t="str">
        <f>IF($A72="","",IF(AND(VALUE(X$7)&gt;$F72,VALUE(X$7)&lt;=$G72),IF($D72="","◇","■"),""))</f>
        <v/>
      </c>
      <c r="Y72" s="59" t="str">
        <f>IF($A72="","",IF(AND(VALUE(Y$7)&gt;$F72,VALUE(Y$7)&lt;=$G72),IF($D72="","◇","■"),""))</f>
        <v/>
      </c>
      <c r="Z72" s="59" t="str">
        <f>IF($A72="","",IF(AND(VALUE(Z$7)&gt;$F72,VALUE(Z$7)&lt;=$G72),IF($D72="","◇","■"),""))</f>
        <v/>
      </c>
      <c r="AA72" s="59" t="str">
        <f>IF($A72="","",IF(AND(VALUE(AA$7)&gt;$F72,VALUE(AA$7)&lt;=$G72),IF($D72="","◇","■"),""))</f>
        <v/>
      </c>
      <c r="AB72" s="59" t="str">
        <f>IF($A72="","",IF(AND(VALUE(AB$7)&gt;$F72,VALUE(AB$7)&lt;=$G72),IF($D72="","◇","■"),""))</f>
        <v/>
      </c>
      <c r="AC72" s="59" t="str">
        <f>IF($A72="","",IF(AND(VALUE(AC$7)&gt;$F72,VALUE(AC$7)&lt;=$G72),IF($D72="","◇","■"),""))</f>
        <v/>
      </c>
      <c r="AD72" s="59" t="str">
        <f>IF($A72="","",IF(AND(VALUE(AD$7)&gt;$F72,VALUE(AD$7)&lt;=$G72),IF($D72="","◇","■"),""))</f>
        <v/>
      </c>
      <c r="AE72" s="59" t="str">
        <f>IF($A72="","",IF(AND(VALUE(AE$7)&gt;$F72,VALUE(AE$7)&lt;=$G72),IF($D72="","◇","■"),""))</f>
        <v/>
      </c>
      <c r="AF72" s="59" t="str">
        <f>IF($A72="","",IF(AND(VALUE(AF$7)&gt;$F72,VALUE(AF$7)&lt;=$G72),IF($D72="","◇","■"),""))</f>
        <v/>
      </c>
      <c r="AG72" s="59" t="str">
        <f>IF($A72="","",IF(AND(VALUE(AG$7)&gt;$F72,VALUE(AG$7)&lt;=$G72),IF($D72="","◇","■"),""))</f>
        <v/>
      </c>
      <c r="AH72" s="59" t="str">
        <f>IF($A72="","",IF(AND(VALUE(AH$7)&gt;$F72,VALUE(AH$7)&lt;=$G72),IF($D72="","◇","■"),""))</f>
        <v/>
      </c>
      <c r="AI72" s="59" t="str">
        <f>IF($A72="","",IF(AND(VALUE(AI$7)&gt;$F72,VALUE(AI$7)&lt;=$G72),IF($D72="","◇","■"),""))</f>
        <v/>
      </c>
      <c r="AJ72" s="59" t="str">
        <f>IF($A72="","",IF(AND(VALUE(AJ$7)&gt;$F72,VALUE(AJ$7)&lt;=$G72),IF($D72="","◇","■"),""))</f>
        <v/>
      </c>
      <c r="AK72" s="59" t="str">
        <f>IF($A72="","",IF(AND(VALUE(AK$7)&gt;$F72,VALUE(AK$7)&lt;=$G72),IF($D72="","◇","■"),""))</f>
        <v/>
      </c>
      <c r="AL72" s="59" t="str">
        <f>IF($A72="","",IF(AND(VALUE(AL$7)&gt;$F72,VALUE(AL$7)&lt;=$G72),IF($D72="","◇","■"),""))</f>
        <v/>
      </c>
      <c r="AM72" s="59" t="str">
        <f>IF($A72="","",IF(AND(VALUE(AM$7)&gt;$F72,VALUE(AM$7)&lt;=$G72),IF($D72="","◇","■"),""))</f>
        <v/>
      </c>
    </row>
    <row r="73" spans="1:39" ht="18" customHeight="1" x14ac:dyDescent="0.35">
      <c r="A73" s="55" t="str" cm="1">
        <f t="array" ref="A73">IFERROR(INDEX(_xlfn._xlws.FILTER(tblProjectTasks[TaskGroup],(tblProjectTasks[IsWorkPackage]="Yes")*(tblProjectTasks[CaptureStatus]&lt;&gt;"Removed")),ROWS($A$8:A73)),"")</f>
        <v/>
      </c>
      <c r="B73" s="56" t="str" cm="1">
        <f t="array" ref="B73">IFERROR(INDEX(_xlfn._xlws.FILTER(tblProjectTasks[WBSCode],(tblProjectTasks[IsWorkPackage]="Yes")*(tblProjectTasks[CaptureStatus]&lt;&gt;"Removed")),ROWS($B$8:B73)),"")</f>
        <v/>
      </c>
      <c r="C73" s="57" t="str" cm="1">
        <f t="array" ref="C73">IFERROR(INDEX(_xlfn._xlws.FILTER(tblProjectTasks[TaskName],(tblProjectTasks[IsWorkPackage]="Yes")*(tblProjectTasks[CaptureStatus]&lt;&gt;"Removed")),ROWS($C$8:C73)),"")</f>
        <v/>
      </c>
      <c r="D73" s="58" t="str" cm="1">
        <f t="array" ref="D73">_xlfn.LET(_xlpm.x,IFERROR(INDEX(_xlfn._xlws.FILTER(tblProjectTasks[Elapsed Time in Weeks],(tblProjectTasks[IsWorkPackage]="Yes")*(tblProjectTasks[CaptureStatus]&lt;&gt;"Removed")),ROWS($D$8:D73)),""),IF(_xlpm.x=0,"",_xlpm.x))</f>
        <v/>
      </c>
      <c r="E73" s="58" t="str">
        <f>IF($A73="","",IF($D73="",1,$D73))</f>
        <v/>
      </c>
      <c r="F73" s="58" t="str">
        <f>IF($A73="","",IF(ROW()=8,0,$F72+$E72))</f>
        <v/>
      </c>
      <c r="G73" s="58" t="str">
        <f>IF($A73="","",$F73+$E73)</f>
        <v/>
      </c>
      <c r="H73" s="59" t="str">
        <f>IF($A73="","",IF(AND(VALUE(H$7)&gt;$F73,VALUE(H$7)&lt;=$G73),IF($D73="","◇","■"),""))</f>
        <v/>
      </c>
      <c r="I73" s="59" t="str">
        <f>IF($A73="","",IF(AND(VALUE(I$7)&gt;$F73,VALUE(I$7)&lt;=$G73),IF($D73="","◇","■"),""))</f>
        <v/>
      </c>
      <c r="J73" s="59" t="str">
        <f>IF($A73="","",IF(AND(VALUE(J$7)&gt;$F73,VALUE(J$7)&lt;=$G73),IF($D73="","◇","■"),""))</f>
        <v/>
      </c>
      <c r="K73" s="59" t="str">
        <f>IF($A73="","",IF(AND(VALUE(K$7)&gt;$F73,VALUE(K$7)&lt;=$G73),IF($D73="","◇","■"),""))</f>
        <v/>
      </c>
      <c r="L73" s="59" t="str">
        <f>IF($A73="","",IF(AND(VALUE(L$7)&gt;$F73,VALUE(L$7)&lt;=$G73),IF($D73="","◇","■"),""))</f>
        <v/>
      </c>
      <c r="M73" s="59" t="str">
        <f>IF($A73="","",IF(AND(VALUE(M$7)&gt;$F73,VALUE(M$7)&lt;=$G73),IF($D73="","◇","■"),""))</f>
        <v/>
      </c>
      <c r="N73" s="59" t="str">
        <f>IF($A73="","",IF(AND(VALUE(N$7)&gt;$F73,VALUE(N$7)&lt;=$G73),IF($D73="","◇","■"),""))</f>
        <v/>
      </c>
      <c r="O73" s="59" t="str">
        <f>IF($A73="","",IF(AND(VALUE(O$7)&gt;$F73,VALUE(O$7)&lt;=$G73),IF($D73="","◇","■"),""))</f>
        <v/>
      </c>
      <c r="P73" s="59" t="str">
        <f>IF($A73="","",IF(AND(VALUE(P$7)&gt;$F73,VALUE(P$7)&lt;=$G73),IF($D73="","◇","■"),""))</f>
        <v/>
      </c>
      <c r="Q73" s="59" t="str">
        <f>IF($A73="","",IF(AND(VALUE(Q$7)&gt;$F73,VALUE(Q$7)&lt;=$G73),IF($D73="","◇","■"),""))</f>
        <v/>
      </c>
      <c r="R73" s="59" t="str">
        <f>IF($A73="","",IF(AND(VALUE(R$7)&gt;$F73,VALUE(R$7)&lt;=$G73),IF($D73="","◇","■"),""))</f>
        <v/>
      </c>
      <c r="S73" s="59" t="str">
        <f>IF($A73="","",IF(AND(VALUE(S$7)&gt;$F73,VALUE(S$7)&lt;=$G73),IF($D73="","◇","■"),""))</f>
        <v/>
      </c>
      <c r="T73" s="59" t="str">
        <f>IF($A73="","",IF(AND(VALUE(T$7)&gt;$F73,VALUE(T$7)&lt;=$G73),IF($D73="","◇","■"),""))</f>
        <v/>
      </c>
      <c r="U73" s="59" t="str">
        <f>IF($A73="","",IF(AND(VALUE(U$7)&gt;$F73,VALUE(U$7)&lt;=$G73),IF($D73="","◇","■"),""))</f>
        <v/>
      </c>
      <c r="V73" s="59" t="str">
        <f>IF($A73="","",IF(AND(VALUE(V$7)&gt;$F73,VALUE(V$7)&lt;=$G73),IF($D73="","◇","■"),""))</f>
        <v/>
      </c>
      <c r="W73" s="59" t="str">
        <f>IF($A73="","",IF(AND(VALUE(W$7)&gt;$F73,VALUE(W$7)&lt;=$G73),IF($D73="","◇","■"),""))</f>
        <v/>
      </c>
      <c r="X73" s="59" t="str">
        <f>IF($A73="","",IF(AND(VALUE(X$7)&gt;$F73,VALUE(X$7)&lt;=$G73),IF($D73="","◇","■"),""))</f>
        <v/>
      </c>
      <c r="Y73" s="59" t="str">
        <f>IF($A73="","",IF(AND(VALUE(Y$7)&gt;$F73,VALUE(Y$7)&lt;=$G73),IF($D73="","◇","■"),""))</f>
        <v/>
      </c>
      <c r="Z73" s="59" t="str">
        <f>IF($A73="","",IF(AND(VALUE(Z$7)&gt;$F73,VALUE(Z$7)&lt;=$G73),IF($D73="","◇","■"),""))</f>
        <v/>
      </c>
      <c r="AA73" s="59" t="str">
        <f>IF($A73="","",IF(AND(VALUE(AA$7)&gt;$F73,VALUE(AA$7)&lt;=$G73),IF($D73="","◇","■"),""))</f>
        <v/>
      </c>
      <c r="AB73" s="59" t="str">
        <f>IF($A73="","",IF(AND(VALUE(AB$7)&gt;$F73,VALUE(AB$7)&lt;=$G73),IF($D73="","◇","■"),""))</f>
        <v/>
      </c>
      <c r="AC73" s="59" t="str">
        <f>IF($A73="","",IF(AND(VALUE(AC$7)&gt;$F73,VALUE(AC$7)&lt;=$G73),IF($D73="","◇","■"),""))</f>
        <v/>
      </c>
      <c r="AD73" s="59" t="str">
        <f>IF($A73="","",IF(AND(VALUE(AD$7)&gt;$F73,VALUE(AD$7)&lt;=$G73),IF($D73="","◇","■"),""))</f>
        <v/>
      </c>
      <c r="AE73" s="59" t="str">
        <f>IF($A73="","",IF(AND(VALUE(AE$7)&gt;$F73,VALUE(AE$7)&lt;=$G73),IF($D73="","◇","■"),""))</f>
        <v/>
      </c>
      <c r="AF73" s="59" t="str">
        <f>IF($A73="","",IF(AND(VALUE(AF$7)&gt;$F73,VALUE(AF$7)&lt;=$G73),IF($D73="","◇","■"),""))</f>
        <v/>
      </c>
      <c r="AG73" s="59" t="str">
        <f>IF($A73="","",IF(AND(VALUE(AG$7)&gt;$F73,VALUE(AG$7)&lt;=$G73),IF($D73="","◇","■"),""))</f>
        <v/>
      </c>
      <c r="AH73" s="59" t="str">
        <f>IF($A73="","",IF(AND(VALUE(AH$7)&gt;$F73,VALUE(AH$7)&lt;=$G73),IF($D73="","◇","■"),""))</f>
        <v/>
      </c>
      <c r="AI73" s="59" t="str">
        <f>IF($A73="","",IF(AND(VALUE(AI$7)&gt;$F73,VALUE(AI$7)&lt;=$G73),IF($D73="","◇","■"),""))</f>
        <v/>
      </c>
      <c r="AJ73" s="59" t="str">
        <f>IF($A73="","",IF(AND(VALUE(AJ$7)&gt;$F73,VALUE(AJ$7)&lt;=$G73),IF($D73="","◇","■"),""))</f>
        <v/>
      </c>
      <c r="AK73" s="59" t="str">
        <f>IF($A73="","",IF(AND(VALUE(AK$7)&gt;$F73,VALUE(AK$7)&lt;=$G73),IF($D73="","◇","■"),""))</f>
        <v/>
      </c>
      <c r="AL73" s="59" t="str">
        <f>IF($A73="","",IF(AND(VALUE(AL$7)&gt;$F73,VALUE(AL$7)&lt;=$G73),IF($D73="","◇","■"),""))</f>
        <v/>
      </c>
      <c r="AM73" s="59" t="str">
        <f>IF($A73="","",IF(AND(VALUE(AM$7)&gt;$F73,VALUE(AM$7)&lt;=$G73),IF($D73="","◇","■"),""))</f>
        <v/>
      </c>
    </row>
    <row r="74" spans="1:39" ht="18" customHeight="1" x14ac:dyDescent="0.35">
      <c r="A74" s="55" t="str" cm="1">
        <f t="array" ref="A74">IFERROR(INDEX(_xlfn._xlws.FILTER(tblProjectTasks[TaskGroup],(tblProjectTasks[IsWorkPackage]="Yes")*(tblProjectTasks[CaptureStatus]&lt;&gt;"Removed")),ROWS($A$8:A74)),"")</f>
        <v/>
      </c>
      <c r="B74" s="56" t="str" cm="1">
        <f t="array" ref="B74">IFERROR(INDEX(_xlfn._xlws.FILTER(tblProjectTasks[WBSCode],(tblProjectTasks[IsWorkPackage]="Yes")*(tblProjectTasks[CaptureStatus]&lt;&gt;"Removed")),ROWS($B$8:B74)),"")</f>
        <v/>
      </c>
      <c r="C74" s="57" t="str" cm="1">
        <f t="array" ref="C74">IFERROR(INDEX(_xlfn._xlws.FILTER(tblProjectTasks[TaskName],(tblProjectTasks[IsWorkPackage]="Yes")*(tblProjectTasks[CaptureStatus]&lt;&gt;"Removed")),ROWS($C$8:C74)),"")</f>
        <v/>
      </c>
      <c r="D74" s="58" t="str" cm="1">
        <f t="array" ref="D74">_xlfn.LET(_xlpm.x,IFERROR(INDEX(_xlfn._xlws.FILTER(tblProjectTasks[Elapsed Time in Weeks],(tblProjectTasks[IsWorkPackage]="Yes")*(tblProjectTasks[CaptureStatus]&lt;&gt;"Removed")),ROWS($D$8:D74)),""),IF(_xlpm.x=0,"",_xlpm.x))</f>
        <v/>
      </c>
      <c r="E74" s="58" t="str">
        <f>IF($A74="","",IF($D74="",1,$D74))</f>
        <v/>
      </c>
      <c r="F74" s="58" t="str">
        <f>IF($A74="","",IF(ROW()=8,0,$F73+$E73))</f>
        <v/>
      </c>
      <c r="G74" s="58" t="str">
        <f>IF($A74="","",$F74+$E74)</f>
        <v/>
      </c>
      <c r="H74" s="59" t="str">
        <f>IF($A74="","",IF(AND(VALUE(H$7)&gt;$F74,VALUE(H$7)&lt;=$G74),IF($D74="","◇","■"),""))</f>
        <v/>
      </c>
      <c r="I74" s="59" t="str">
        <f>IF($A74="","",IF(AND(VALUE(I$7)&gt;$F74,VALUE(I$7)&lt;=$G74),IF($D74="","◇","■"),""))</f>
        <v/>
      </c>
      <c r="J74" s="59" t="str">
        <f>IF($A74="","",IF(AND(VALUE(J$7)&gt;$F74,VALUE(J$7)&lt;=$G74),IF($D74="","◇","■"),""))</f>
        <v/>
      </c>
      <c r="K74" s="59" t="str">
        <f>IF($A74="","",IF(AND(VALUE(K$7)&gt;$F74,VALUE(K$7)&lt;=$G74),IF($D74="","◇","■"),""))</f>
        <v/>
      </c>
      <c r="L74" s="59" t="str">
        <f>IF($A74="","",IF(AND(VALUE(L$7)&gt;$F74,VALUE(L$7)&lt;=$G74),IF($D74="","◇","■"),""))</f>
        <v/>
      </c>
      <c r="M74" s="59" t="str">
        <f>IF($A74="","",IF(AND(VALUE(M$7)&gt;$F74,VALUE(M$7)&lt;=$G74),IF($D74="","◇","■"),""))</f>
        <v/>
      </c>
      <c r="N74" s="59" t="str">
        <f>IF($A74="","",IF(AND(VALUE(N$7)&gt;$F74,VALUE(N$7)&lt;=$G74),IF($D74="","◇","■"),""))</f>
        <v/>
      </c>
      <c r="O74" s="59" t="str">
        <f>IF($A74="","",IF(AND(VALUE(O$7)&gt;$F74,VALUE(O$7)&lt;=$G74),IF($D74="","◇","■"),""))</f>
        <v/>
      </c>
      <c r="P74" s="59" t="str">
        <f>IF($A74="","",IF(AND(VALUE(P$7)&gt;$F74,VALUE(P$7)&lt;=$G74),IF($D74="","◇","■"),""))</f>
        <v/>
      </c>
      <c r="Q74" s="59" t="str">
        <f>IF($A74="","",IF(AND(VALUE(Q$7)&gt;$F74,VALUE(Q$7)&lt;=$G74),IF($D74="","◇","■"),""))</f>
        <v/>
      </c>
      <c r="R74" s="59" t="str">
        <f>IF($A74="","",IF(AND(VALUE(R$7)&gt;$F74,VALUE(R$7)&lt;=$G74),IF($D74="","◇","■"),""))</f>
        <v/>
      </c>
      <c r="S74" s="59" t="str">
        <f>IF($A74="","",IF(AND(VALUE(S$7)&gt;$F74,VALUE(S$7)&lt;=$G74),IF($D74="","◇","■"),""))</f>
        <v/>
      </c>
      <c r="T74" s="59" t="str">
        <f>IF($A74="","",IF(AND(VALUE(T$7)&gt;$F74,VALUE(T$7)&lt;=$G74),IF($D74="","◇","■"),""))</f>
        <v/>
      </c>
      <c r="U74" s="59" t="str">
        <f>IF($A74="","",IF(AND(VALUE(U$7)&gt;$F74,VALUE(U$7)&lt;=$G74),IF($D74="","◇","■"),""))</f>
        <v/>
      </c>
      <c r="V74" s="59" t="str">
        <f>IF($A74="","",IF(AND(VALUE(V$7)&gt;$F74,VALUE(V$7)&lt;=$G74),IF($D74="","◇","■"),""))</f>
        <v/>
      </c>
      <c r="W74" s="59" t="str">
        <f>IF($A74="","",IF(AND(VALUE(W$7)&gt;$F74,VALUE(W$7)&lt;=$G74),IF($D74="","◇","■"),""))</f>
        <v/>
      </c>
      <c r="X74" s="59" t="str">
        <f>IF($A74="","",IF(AND(VALUE(X$7)&gt;$F74,VALUE(X$7)&lt;=$G74),IF($D74="","◇","■"),""))</f>
        <v/>
      </c>
      <c r="Y74" s="59" t="str">
        <f>IF($A74="","",IF(AND(VALUE(Y$7)&gt;$F74,VALUE(Y$7)&lt;=$G74),IF($D74="","◇","■"),""))</f>
        <v/>
      </c>
      <c r="Z74" s="59" t="str">
        <f>IF($A74="","",IF(AND(VALUE(Z$7)&gt;$F74,VALUE(Z$7)&lt;=$G74),IF($D74="","◇","■"),""))</f>
        <v/>
      </c>
      <c r="AA74" s="59" t="str">
        <f>IF($A74="","",IF(AND(VALUE(AA$7)&gt;$F74,VALUE(AA$7)&lt;=$G74),IF($D74="","◇","■"),""))</f>
        <v/>
      </c>
      <c r="AB74" s="59" t="str">
        <f>IF($A74="","",IF(AND(VALUE(AB$7)&gt;$F74,VALUE(AB$7)&lt;=$G74),IF($D74="","◇","■"),""))</f>
        <v/>
      </c>
      <c r="AC74" s="59" t="str">
        <f>IF($A74="","",IF(AND(VALUE(AC$7)&gt;$F74,VALUE(AC$7)&lt;=$G74),IF($D74="","◇","■"),""))</f>
        <v/>
      </c>
      <c r="AD74" s="59" t="str">
        <f>IF($A74="","",IF(AND(VALUE(AD$7)&gt;$F74,VALUE(AD$7)&lt;=$G74),IF($D74="","◇","■"),""))</f>
        <v/>
      </c>
      <c r="AE74" s="59" t="str">
        <f>IF($A74="","",IF(AND(VALUE(AE$7)&gt;$F74,VALUE(AE$7)&lt;=$G74),IF($D74="","◇","■"),""))</f>
        <v/>
      </c>
      <c r="AF74" s="59" t="str">
        <f>IF($A74="","",IF(AND(VALUE(AF$7)&gt;$F74,VALUE(AF$7)&lt;=$G74),IF($D74="","◇","■"),""))</f>
        <v/>
      </c>
      <c r="AG74" s="59" t="str">
        <f>IF($A74="","",IF(AND(VALUE(AG$7)&gt;$F74,VALUE(AG$7)&lt;=$G74),IF($D74="","◇","■"),""))</f>
        <v/>
      </c>
      <c r="AH74" s="59" t="str">
        <f>IF($A74="","",IF(AND(VALUE(AH$7)&gt;$F74,VALUE(AH$7)&lt;=$G74),IF($D74="","◇","■"),""))</f>
        <v/>
      </c>
      <c r="AI74" s="59" t="str">
        <f>IF($A74="","",IF(AND(VALUE(AI$7)&gt;$F74,VALUE(AI$7)&lt;=$G74),IF($D74="","◇","■"),""))</f>
        <v/>
      </c>
      <c r="AJ74" s="59" t="str">
        <f>IF($A74="","",IF(AND(VALUE(AJ$7)&gt;$F74,VALUE(AJ$7)&lt;=$G74),IF($D74="","◇","■"),""))</f>
        <v/>
      </c>
      <c r="AK74" s="59" t="str">
        <f>IF($A74="","",IF(AND(VALUE(AK$7)&gt;$F74,VALUE(AK$7)&lt;=$G74),IF($D74="","◇","■"),""))</f>
        <v/>
      </c>
      <c r="AL74" s="59" t="str">
        <f>IF($A74="","",IF(AND(VALUE(AL$7)&gt;$F74,VALUE(AL$7)&lt;=$G74),IF($D74="","◇","■"),""))</f>
        <v/>
      </c>
      <c r="AM74" s="59" t="str">
        <f>IF($A74="","",IF(AND(VALUE(AM$7)&gt;$F74,VALUE(AM$7)&lt;=$G74),IF($D74="","◇","■"),""))</f>
        <v/>
      </c>
    </row>
    <row r="75" spans="1:39" ht="18" customHeight="1" x14ac:dyDescent="0.35">
      <c r="A75" s="55" t="str" cm="1">
        <f t="array" ref="A75">IFERROR(INDEX(_xlfn._xlws.FILTER(tblProjectTasks[TaskGroup],(tblProjectTasks[IsWorkPackage]="Yes")*(tblProjectTasks[CaptureStatus]&lt;&gt;"Removed")),ROWS($A$8:A75)),"")</f>
        <v/>
      </c>
      <c r="B75" s="56" t="str" cm="1">
        <f t="array" ref="B75">IFERROR(INDEX(_xlfn._xlws.FILTER(tblProjectTasks[WBSCode],(tblProjectTasks[IsWorkPackage]="Yes")*(tblProjectTasks[CaptureStatus]&lt;&gt;"Removed")),ROWS($B$8:B75)),"")</f>
        <v/>
      </c>
      <c r="C75" s="57" t="str" cm="1">
        <f t="array" ref="C75">IFERROR(INDEX(_xlfn._xlws.FILTER(tblProjectTasks[TaskName],(tblProjectTasks[IsWorkPackage]="Yes")*(tblProjectTasks[CaptureStatus]&lt;&gt;"Removed")),ROWS($C$8:C75)),"")</f>
        <v/>
      </c>
      <c r="D75" s="58" t="str" cm="1">
        <f t="array" ref="D75">_xlfn.LET(_xlpm.x,IFERROR(INDEX(_xlfn._xlws.FILTER(tblProjectTasks[Elapsed Time in Weeks],(tblProjectTasks[IsWorkPackage]="Yes")*(tblProjectTasks[CaptureStatus]&lt;&gt;"Removed")),ROWS($D$8:D75)),""),IF(_xlpm.x=0,"",_xlpm.x))</f>
        <v/>
      </c>
      <c r="E75" s="58" t="str">
        <f>IF($A75="","",IF($D75="",1,$D75))</f>
        <v/>
      </c>
      <c r="F75" s="58" t="str">
        <f>IF($A75="","",IF(ROW()=8,0,$F74+$E74))</f>
        <v/>
      </c>
      <c r="G75" s="58" t="str">
        <f>IF($A75="","",$F75+$E75)</f>
        <v/>
      </c>
      <c r="H75" s="59" t="str">
        <f>IF($A75="","",IF(AND(VALUE(H$7)&gt;$F75,VALUE(H$7)&lt;=$G75),IF($D75="","◇","■"),""))</f>
        <v/>
      </c>
      <c r="I75" s="59" t="str">
        <f>IF($A75="","",IF(AND(VALUE(I$7)&gt;$F75,VALUE(I$7)&lt;=$G75),IF($D75="","◇","■"),""))</f>
        <v/>
      </c>
      <c r="J75" s="59" t="str">
        <f>IF($A75="","",IF(AND(VALUE(J$7)&gt;$F75,VALUE(J$7)&lt;=$G75),IF($D75="","◇","■"),""))</f>
        <v/>
      </c>
      <c r="K75" s="59" t="str">
        <f>IF($A75="","",IF(AND(VALUE(K$7)&gt;$F75,VALUE(K$7)&lt;=$G75),IF($D75="","◇","■"),""))</f>
        <v/>
      </c>
      <c r="L75" s="59" t="str">
        <f>IF($A75="","",IF(AND(VALUE(L$7)&gt;$F75,VALUE(L$7)&lt;=$G75),IF($D75="","◇","■"),""))</f>
        <v/>
      </c>
      <c r="M75" s="59" t="str">
        <f>IF($A75="","",IF(AND(VALUE(M$7)&gt;$F75,VALUE(M$7)&lt;=$G75),IF($D75="","◇","■"),""))</f>
        <v/>
      </c>
      <c r="N75" s="59" t="str">
        <f>IF($A75="","",IF(AND(VALUE(N$7)&gt;$F75,VALUE(N$7)&lt;=$G75),IF($D75="","◇","■"),""))</f>
        <v/>
      </c>
      <c r="O75" s="59" t="str">
        <f>IF($A75="","",IF(AND(VALUE(O$7)&gt;$F75,VALUE(O$7)&lt;=$G75),IF($D75="","◇","■"),""))</f>
        <v/>
      </c>
      <c r="P75" s="59" t="str">
        <f>IF($A75="","",IF(AND(VALUE(P$7)&gt;$F75,VALUE(P$7)&lt;=$G75),IF($D75="","◇","■"),""))</f>
        <v/>
      </c>
      <c r="Q75" s="59" t="str">
        <f>IF($A75="","",IF(AND(VALUE(Q$7)&gt;$F75,VALUE(Q$7)&lt;=$G75),IF($D75="","◇","■"),""))</f>
        <v/>
      </c>
      <c r="R75" s="59" t="str">
        <f>IF($A75="","",IF(AND(VALUE(R$7)&gt;$F75,VALUE(R$7)&lt;=$G75),IF($D75="","◇","■"),""))</f>
        <v/>
      </c>
      <c r="S75" s="59" t="str">
        <f>IF($A75="","",IF(AND(VALUE(S$7)&gt;$F75,VALUE(S$7)&lt;=$G75),IF($D75="","◇","■"),""))</f>
        <v/>
      </c>
      <c r="T75" s="59" t="str">
        <f>IF($A75="","",IF(AND(VALUE(T$7)&gt;$F75,VALUE(T$7)&lt;=$G75),IF($D75="","◇","■"),""))</f>
        <v/>
      </c>
      <c r="U75" s="59" t="str">
        <f>IF($A75="","",IF(AND(VALUE(U$7)&gt;$F75,VALUE(U$7)&lt;=$G75),IF($D75="","◇","■"),""))</f>
        <v/>
      </c>
      <c r="V75" s="59" t="str">
        <f>IF($A75="","",IF(AND(VALUE(V$7)&gt;$F75,VALUE(V$7)&lt;=$G75),IF($D75="","◇","■"),""))</f>
        <v/>
      </c>
      <c r="W75" s="59" t="str">
        <f>IF($A75="","",IF(AND(VALUE(W$7)&gt;$F75,VALUE(W$7)&lt;=$G75),IF($D75="","◇","■"),""))</f>
        <v/>
      </c>
      <c r="X75" s="59" t="str">
        <f>IF($A75="","",IF(AND(VALUE(X$7)&gt;$F75,VALUE(X$7)&lt;=$G75),IF($D75="","◇","■"),""))</f>
        <v/>
      </c>
      <c r="Y75" s="59" t="str">
        <f>IF($A75="","",IF(AND(VALUE(Y$7)&gt;$F75,VALUE(Y$7)&lt;=$G75),IF($D75="","◇","■"),""))</f>
        <v/>
      </c>
      <c r="Z75" s="59" t="str">
        <f>IF($A75="","",IF(AND(VALUE(Z$7)&gt;$F75,VALUE(Z$7)&lt;=$G75),IF($D75="","◇","■"),""))</f>
        <v/>
      </c>
      <c r="AA75" s="59" t="str">
        <f>IF($A75="","",IF(AND(VALUE(AA$7)&gt;$F75,VALUE(AA$7)&lt;=$G75),IF($D75="","◇","■"),""))</f>
        <v/>
      </c>
      <c r="AB75" s="59" t="str">
        <f>IF($A75="","",IF(AND(VALUE(AB$7)&gt;$F75,VALUE(AB$7)&lt;=$G75),IF($D75="","◇","■"),""))</f>
        <v/>
      </c>
      <c r="AC75" s="59" t="str">
        <f>IF($A75="","",IF(AND(VALUE(AC$7)&gt;$F75,VALUE(AC$7)&lt;=$G75),IF($D75="","◇","■"),""))</f>
        <v/>
      </c>
      <c r="AD75" s="59" t="str">
        <f>IF($A75="","",IF(AND(VALUE(AD$7)&gt;$F75,VALUE(AD$7)&lt;=$G75),IF($D75="","◇","■"),""))</f>
        <v/>
      </c>
      <c r="AE75" s="59" t="str">
        <f>IF($A75="","",IF(AND(VALUE(AE$7)&gt;$F75,VALUE(AE$7)&lt;=$G75),IF($D75="","◇","■"),""))</f>
        <v/>
      </c>
      <c r="AF75" s="59" t="str">
        <f>IF($A75="","",IF(AND(VALUE(AF$7)&gt;$F75,VALUE(AF$7)&lt;=$G75),IF($D75="","◇","■"),""))</f>
        <v/>
      </c>
      <c r="AG75" s="59" t="str">
        <f>IF($A75="","",IF(AND(VALUE(AG$7)&gt;$F75,VALUE(AG$7)&lt;=$G75),IF($D75="","◇","■"),""))</f>
        <v/>
      </c>
      <c r="AH75" s="59" t="str">
        <f>IF($A75="","",IF(AND(VALUE(AH$7)&gt;$F75,VALUE(AH$7)&lt;=$G75),IF($D75="","◇","■"),""))</f>
        <v/>
      </c>
      <c r="AI75" s="59" t="str">
        <f>IF($A75="","",IF(AND(VALUE(AI$7)&gt;$F75,VALUE(AI$7)&lt;=$G75),IF($D75="","◇","■"),""))</f>
        <v/>
      </c>
      <c r="AJ75" s="59" t="str">
        <f>IF($A75="","",IF(AND(VALUE(AJ$7)&gt;$F75,VALUE(AJ$7)&lt;=$G75),IF($D75="","◇","■"),""))</f>
        <v/>
      </c>
      <c r="AK75" s="59" t="str">
        <f>IF($A75="","",IF(AND(VALUE(AK$7)&gt;$F75,VALUE(AK$7)&lt;=$G75),IF($D75="","◇","■"),""))</f>
        <v/>
      </c>
      <c r="AL75" s="59" t="str">
        <f>IF($A75="","",IF(AND(VALUE(AL$7)&gt;$F75,VALUE(AL$7)&lt;=$G75),IF($D75="","◇","■"),""))</f>
        <v/>
      </c>
      <c r="AM75" s="59" t="str">
        <f>IF($A75="","",IF(AND(VALUE(AM$7)&gt;$F75,VALUE(AM$7)&lt;=$G75),IF($D75="","◇","■"),""))</f>
        <v/>
      </c>
    </row>
    <row r="76" spans="1:39" ht="18" customHeight="1" x14ac:dyDescent="0.35">
      <c r="A76" s="55" t="str" cm="1">
        <f t="array" ref="A76">IFERROR(INDEX(_xlfn._xlws.FILTER(tblProjectTasks[TaskGroup],(tblProjectTasks[IsWorkPackage]="Yes")*(tblProjectTasks[CaptureStatus]&lt;&gt;"Removed")),ROWS($A$8:A76)),"")</f>
        <v/>
      </c>
      <c r="B76" s="56" t="str" cm="1">
        <f t="array" ref="B76">IFERROR(INDEX(_xlfn._xlws.FILTER(tblProjectTasks[WBSCode],(tblProjectTasks[IsWorkPackage]="Yes")*(tblProjectTasks[CaptureStatus]&lt;&gt;"Removed")),ROWS($B$8:B76)),"")</f>
        <v/>
      </c>
      <c r="C76" s="57" t="str" cm="1">
        <f t="array" ref="C76">IFERROR(INDEX(_xlfn._xlws.FILTER(tblProjectTasks[TaskName],(tblProjectTasks[IsWorkPackage]="Yes")*(tblProjectTasks[CaptureStatus]&lt;&gt;"Removed")),ROWS($C$8:C76)),"")</f>
        <v/>
      </c>
      <c r="D76" s="58" t="str" cm="1">
        <f t="array" ref="D76">_xlfn.LET(_xlpm.x,IFERROR(INDEX(_xlfn._xlws.FILTER(tblProjectTasks[Elapsed Time in Weeks],(tblProjectTasks[IsWorkPackage]="Yes")*(tblProjectTasks[CaptureStatus]&lt;&gt;"Removed")),ROWS($D$8:D76)),""),IF(_xlpm.x=0,"",_xlpm.x))</f>
        <v/>
      </c>
      <c r="E76" s="58" t="str">
        <f>IF($A76="","",IF($D76="",1,$D76))</f>
        <v/>
      </c>
      <c r="F76" s="58" t="str">
        <f>IF($A76="","",IF(ROW()=8,0,$F75+$E75))</f>
        <v/>
      </c>
      <c r="G76" s="58" t="str">
        <f>IF($A76="","",$F76+$E76)</f>
        <v/>
      </c>
      <c r="H76" s="59" t="str">
        <f>IF($A76="","",IF(AND(VALUE(H$7)&gt;$F76,VALUE(H$7)&lt;=$G76),IF($D76="","◇","■"),""))</f>
        <v/>
      </c>
      <c r="I76" s="59" t="str">
        <f>IF($A76="","",IF(AND(VALUE(I$7)&gt;$F76,VALUE(I$7)&lt;=$G76),IF($D76="","◇","■"),""))</f>
        <v/>
      </c>
      <c r="J76" s="59" t="str">
        <f>IF($A76="","",IF(AND(VALUE(J$7)&gt;$F76,VALUE(J$7)&lt;=$G76),IF($D76="","◇","■"),""))</f>
        <v/>
      </c>
      <c r="K76" s="59" t="str">
        <f>IF($A76="","",IF(AND(VALUE(K$7)&gt;$F76,VALUE(K$7)&lt;=$G76),IF($D76="","◇","■"),""))</f>
        <v/>
      </c>
      <c r="L76" s="59" t="str">
        <f>IF($A76="","",IF(AND(VALUE(L$7)&gt;$F76,VALUE(L$7)&lt;=$G76),IF($D76="","◇","■"),""))</f>
        <v/>
      </c>
      <c r="M76" s="59" t="str">
        <f>IF($A76="","",IF(AND(VALUE(M$7)&gt;$F76,VALUE(M$7)&lt;=$G76),IF($D76="","◇","■"),""))</f>
        <v/>
      </c>
      <c r="N76" s="59" t="str">
        <f>IF($A76="","",IF(AND(VALUE(N$7)&gt;$F76,VALUE(N$7)&lt;=$G76),IF($D76="","◇","■"),""))</f>
        <v/>
      </c>
      <c r="O76" s="59" t="str">
        <f>IF($A76="","",IF(AND(VALUE(O$7)&gt;$F76,VALUE(O$7)&lt;=$G76),IF($D76="","◇","■"),""))</f>
        <v/>
      </c>
      <c r="P76" s="59" t="str">
        <f>IF($A76="","",IF(AND(VALUE(P$7)&gt;$F76,VALUE(P$7)&lt;=$G76),IF($D76="","◇","■"),""))</f>
        <v/>
      </c>
      <c r="Q76" s="59" t="str">
        <f>IF($A76="","",IF(AND(VALUE(Q$7)&gt;$F76,VALUE(Q$7)&lt;=$G76),IF($D76="","◇","■"),""))</f>
        <v/>
      </c>
      <c r="R76" s="59" t="str">
        <f>IF($A76="","",IF(AND(VALUE(R$7)&gt;$F76,VALUE(R$7)&lt;=$G76),IF($D76="","◇","■"),""))</f>
        <v/>
      </c>
      <c r="S76" s="59" t="str">
        <f>IF($A76="","",IF(AND(VALUE(S$7)&gt;$F76,VALUE(S$7)&lt;=$G76),IF($D76="","◇","■"),""))</f>
        <v/>
      </c>
      <c r="T76" s="59" t="str">
        <f>IF($A76="","",IF(AND(VALUE(T$7)&gt;$F76,VALUE(T$7)&lt;=$G76),IF($D76="","◇","■"),""))</f>
        <v/>
      </c>
      <c r="U76" s="59" t="str">
        <f>IF($A76="","",IF(AND(VALUE(U$7)&gt;$F76,VALUE(U$7)&lt;=$G76),IF($D76="","◇","■"),""))</f>
        <v/>
      </c>
      <c r="V76" s="59" t="str">
        <f>IF($A76="","",IF(AND(VALUE(V$7)&gt;$F76,VALUE(V$7)&lt;=$G76),IF($D76="","◇","■"),""))</f>
        <v/>
      </c>
      <c r="W76" s="59" t="str">
        <f>IF($A76="","",IF(AND(VALUE(W$7)&gt;$F76,VALUE(W$7)&lt;=$G76),IF($D76="","◇","■"),""))</f>
        <v/>
      </c>
      <c r="X76" s="59" t="str">
        <f>IF($A76="","",IF(AND(VALUE(X$7)&gt;$F76,VALUE(X$7)&lt;=$G76),IF($D76="","◇","■"),""))</f>
        <v/>
      </c>
      <c r="Y76" s="59" t="str">
        <f>IF($A76="","",IF(AND(VALUE(Y$7)&gt;$F76,VALUE(Y$7)&lt;=$G76),IF($D76="","◇","■"),""))</f>
        <v/>
      </c>
      <c r="Z76" s="59" t="str">
        <f>IF($A76="","",IF(AND(VALUE(Z$7)&gt;$F76,VALUE(Z$7)&lt;=$G76),IF($D76="","◇","■"),""))</f>
        <v/>
      </c>
      <c r="AA76" s="59" t="str">
        <f>IF($A76="","",IF(AND(VALUE(AA$7)&gt;$F76,VALUE(AA$7)&lt;=$G76),IF($D76="","◇","■"),""))</f>
        <v/>
      </c>
      <c r="AB76" s="59" t="str">
        <f>IF($A76="","",IF(AND(VALUE(AB$7)&gt;$F76,VALUE(AB$7)&lt;=$G76),IF($D76="","◇","■"),""))</f>
        <v/>
      </c>
      <c r="AC76" s="59" t="str">
        <f>IF($A76="","",IF(AND(VALUE(AC$7)&gt;$F76,VALUE(AC$7)&lt;=$G76),IF($D76="","◇","■"),""))</f>
        <v/>
      </c>
      <c r="AD76" s="59" t="str">
        <f>IF($A76="","",IF(AND(VALUE(AD$7)&gt;$F76,VALUE(AD$7)&lt;=$G76),IF($D76="","◇","■"),""))</f>
        <v/>
      </c>
      <c r="AE76" s="59" t="str">
        <f>IF($A76="","",IF(AND(VALUE(AE$7)&gt;$F76,VALUE(AE$7)&lt;=$G76),IF($D76="","◇","■"),""))</f>
        <v/>
      </c>
      <c r="AF76" s="59" t="str">
        <f>IF($A76="","",IF(AND(VALUE(AF$7)&gt;$F76,VALUE(AF$7)&lt;=$G76),IF($D76="","◇","■"),""))</f>
        <v/>
      </c>
      <c r="AG76" s="59" t="str">
        <f>IF($A76="","",IF(AND(VALUE(AG$7)&gt;$F76,VALUE(AG$7)&lt;=$G76),IF($D76="","◇","■"),""))</f>
        <v/>
      </c>
      <c r="AH76" s="59" t="str">
        <f>IF($A76="","",IF(AND(VALUE(AH$7)&gt;$F76,VALUE(AH$7)&lt;=$G76),IF($D76="","◇","■"),""))</f>
        <v/>
      </c>
      <c r="AI76" s="59" t="str">
        <f>IF($A76="","",IF(AND(VALUE(AI$7)&gt;$F76,VALUE(AI$7)&lt;=$G76),IF($D76="","◇","■"),""))</f>
        <v/>
      </c>
      <c r="AJ76" s="59" t="str">
        <f>IF($A76="","",IF(AND(VALUE(AJ$7)&gt;$F76,VALUE(AJ$7)&lt;=$G76),IF($D76="","◇","■"),""))</f>
        <v/>
      </c>
      <c r="AK76" s="59" t="str">
        <f>IF($A76="","",IF(AND(VALUE(AK$7)&gt;$F76,VALUE(AK$7)&lt;=$G76),IF($D76="","◇","■"),""))</f>
        <v/>
      </c>
      <c r="AL76" s="59" t="str">
        <f>IF($A76="","",IF(AND(VALUE(AL$7)&gt;$F76,VALUE(AL$7)&lt;=$G76),IF($D76="","◇","■"),""))</f>
        <v/>
      </c>
      <c r="AM76" s="59" t="str">
        <f>IF($A76="","",IF(AND(VALUE(AM$7)&gt;$F76,VALUE(AM$7)&lt;=$G76),IF($D76="","◇","■"),""))</f>
        <v/>
      </c>
    </row>
    <row r="77" spans="1:39" ht="18" customHeight="1" x14ac:dyDescent="0.35">
      <c r="A77" s="55" t="str" cm="1">
        <f t="array" ref="A77">IFERROR(INDEX(_xlfn._xlws.FILTER(tblProjectTasks[TaskGroup],(tblProjectTasks[IsWorkPackage]="Yes")*(tblProjectTasks[CaptureStatus]&lt;&gt;"Removed")),ROWS($A$8:A77)),"")</f>
        <v/>
      </c>
      <c r="B77" s="56" t="str" cm="1">
        <f t="array" ref="B77">IFERROR(INDEX(_xlfn._xlws.FILTER(tblProjectTasks[WBSCode],(tblProjectTasks[IsWorkPackage]="Yes")*(tblProjectTasks[CaptureStatus]&lt;&gt;"Removed")),ROWS($B$8:B77)),"")</f>
        <v/>
      </c>
      <c r="C77" s="57" t="str" cm="1">
        <f t="array" ref="C77">IFERROR(INDEX(_xlfn._xlws.FILTER(tblProjectTasks[TaskName],(tblProjectTasks[IsWorkPackage]="Yes")*(tblProjectTasks[CaptureStatus]&lt;&gt;"Removed")),ROWS($C$8:C77)),"")</f>
        <v/>
      </c>
      <c r="D77" s="58" t="str" cm="1">
        <f t="array" ref="D77">_xlfn.LET(_xlpm.x,IFERROR(INDEX(_xlfn._xlws.FILTER(tblProjectTasks[Elapsed Time in Weeks],(tblProjectTasks[IsWorkPackage]="Yes")*(tblProjectTasks[CaptureStatus]&lt;&gt;"Removed")),ROWS($D$8:D77)),""),IF(_xlpm.x=0,"",_xlpm.x))</f>
        <v/>
      </c>
      <c r="E77" s="58" t="str">
        <f>IF($A77="","",IF($D77="",1,$D77))</f>
        <v/>
      </c>
      <c r="F77" s="58" t="str">
        <f>IF($A77="","",IF(ROW()=8,0,$F76+$E76))</f>
        <v/>
      </c>
      <c r="G77" s="58" t="str">
        <f>IF($A77="","",$F77+$E77)</f>
        <v/>
      </c>
      <c r="H77" s="59" t="str">
        <f>IF($A77="","",IF(AND(VALUE(H$7)&gt;$F77,VALUE(H$7)&lt;=$G77),IF($D77="","◇","■"),""))</f>
        <v/>
      </c>
      <c r="I77" s="59" t="str">
        <f>IF($A77="","",IF(AND(VALUE(I$7)&gt;$F77,VALUE(I$7)&lt;=$G77),IF($D77="","◇","■"),""))</f>
        <v/>
      </c>
      <c r="J77" s="59" t="str">
        <f>IF($A77="","",IF(AND(VALUE(J$7)&gt;$F77,VALUE(J$7)&lt;=$G77),IF($D77="","◇","■"),""))</f>
        <v/>
      </c>
      <c r="K77" s="59" t="str">
        <f>IF($A77="","",IF(AND(VALUE(K$7)&gt;$F77,VALUE(K$7)&lt;=$G77),IF($D77="","◇","■"),""))</f>
        <v/>
      </c>
      <c r="L77" s="59" t="str">
        <f>IF($A77="","",IF(AND(VALUE(L$7)&gt;$F77,VALUE(L$7)&lt;=$G77),IF($D77="","◇","■"),""))</f>
        <v/>
      </c>
      <c r="M77" s="59" t="str">
        <f>IF($A77="","",IF(AND(VALUE(M$7)&gt;$F77,VALUE(M$7)&lt;=$G77),IF($D77="","◇","■"),""))</f>
        <v/>
      </c>
      <c r="N77" s="59" t="str">
        <f>IF($A77="","",IF(AND(VALUE(N$7)&gt;$F77,VALUE(N$7)&lt;=$G77),IF($D77="","◇","■"),""))</f>
        <v/>
      </c>
      <c r="O77" s="59" t="str">
        <f>IF($A77="","",IF(AND(VALUE(O$7)&gt;$F77,VALUE(O$7)&lt;=$G77),IF($D77="","◇","■"),""))</f>
        <v/>
      </c>
      <c r="P77" s="59" t="str">
        <f>IF($A77="","",IF(AND(VALUE(P$7)&gt;$F77,VALUE(P$7)&lt;=$G77),IF($D77="","◇","■"),""))</f>
        <v/>
      </c>
      <c r="Q77" s="59" t="str">
        <f>IF($A77="","",IF(AND(VALUE(Q$7)&gt;$F77,VALUE(Q$7)&lt;=$G77),IF($D77="","◇","■"),""))</f>
        <v/>
      </c>
      <c r="R77" s="59" t="str">
        <f>IF($A77="","",IF(AND(VALUE(R$7)&gt;$F77,VALUE(R$7)&lt;=$G77),IF($D77="","◇","■"),""))</f>
        <v/>
      </c>
      <c r="S77" s="59" t="str">
        <f>IF($A77="","",IF(AND(VALUE(S$7)&gt;$F77,VALUE(S$7)&lt;=$G77),IF($D77="","◇","■"),""))</f>
        <v/>
      </c>
      <c r="T77" s="59" t="str">
        <f>IF($A77="","",IF(AND(VALUE(T$7)&gt;$F77,VALUE(T$7)&lt;=$G77),IF($D77="","◇","■"),""))</f>
        <v/>
      </c>
      <c r="U77" s="59" t="str">
        <f>IF($A77="","",IF(AND(VALUE(U$7)&gt;$F77,VALUE(U$7)&lt;=$G77),IF($D77="","◇","■"),""))</f>
        <v/>
      </c>
      <c r="V77" s="59" t="str">
        <f>IF($A77="","",IF(AND(VALUE(V$7)&gt;$F77,VALUE(V$7)&lt;=$G77),IF($D77="","◇","■"),""))</f>
        <v/>
      </c>
      <c r="W77" s="59" t="str">
        <f>IF($A77="","",IF(AND(VALUE(W$7)&gt;$F77,VALUE(W$7)&lt;=$G77),IF($D77="","◇","■"),""))</f>
        <v/>
      </c>
      <c r="X77" s="59" t="str">
        <f>IF($A77="","",IF(AND(VALUE(X$7)&gt;$F77,VALUE(X$7)&lt;=$G77),IF($D77="","◇","■"),""))</f>
        <v/>
      </c>
      <c r="Y77" s="59" t="str">
        <f>IF($A77="","",IF(AND(VALUE(Y$7)&gt;$F77,VALUE(Y$7)&lt;=$G77),IF($D77="","◇","■"),""))</f>
        <v/>
      </c>
      <c r="Z77" s="59" t="str">
        <f>IF($A77="","",IF(AND(VALUE(Z$7)&gt;$F77,VALUE(Z$7)&lt;=$G77),IF($D77="","◇","■"),""))</f>
        <v/>
      </c>
      <c r="AA77" s="59" t="str">
        <f>IF($A77="","",IF(AND(VALUE(AA$7)&gt;$F77,VALUE(AA$7)&lt;=$G77),IF($D77="","◇","■"),""))</f>
        <v/>
      </c>
      <c r="AB77" s="59" t="str">
        <f>IF($A77="","",IF(AND(VALUE(AB$7)&gt;$F77,VALUE(AB$7)&lt;=$G77),IF($D77="","◇","■"),""))</f>
        <v/>
      </c>
      <c r="AC77" s="59" t="str">
        <f>IF($A77="","",IF(AND(VALUE(AC$7)&gt;$F77,VALUE(AC$7)&lt;=$G77),IF($D77="","◇","■"),""))</f>
        <v/>
      </c>
      <c r="AD77" s="59" t="str">
        <f>IF($A77="","",IF(AND(VALUE(AD$7)&gt;$F77,VALUE(AD$7)&lt;=$G77),IF($D77="","◇","■"),""))</f>
        <v/>
      </c>
      <c r="AE77" s="59" t="str">
        <f>IF($A77="","",IF(AND(VALUE(AE$7)&gt;$F77,VALUE(AE$7)&lt;=$G77),IF($D77="","◇","■"),""))</f>
        <v/>
      </c>
      <c r="AF77" s="59" t="str">
        <f>IF($A77="","",IF(AND(VALUE(AF$7)&gt;$F77,VALUE(AF$7)&lt;=$G77),IF($D77="","◇","■"),""))</f>
        <v/>
      </c>
      <c r="AG77" s="59" t="str">
        <f>IF($A77="","",IF(AND(VALUE(AG$7)&gt;$F77,VALUE(AG$7)&lt;=$G77),IF($D77="","◇","■"),""))</f>
        <v/>
      </c>
      <c r="AH77" s="59" t="str">
        <f>IF($A77="","",IF(AND(VALUE(AH$7)&gt;$F77,VALUE(AH$7)&lt;=$G77),IF($D77="","◇","■"),""))</f>
        <v/>
      </c>
      <c r="AI77" s="59" t="str">
        <f>IF($A77="","",IF(AND(VALUE(AI$7)&gt;$F77,VALUE(AI$7)&lt;=$G77),IF($D77="","◇","■"),""))</f>
        <v/>
      </c>
      <c r="AJ77" s="59" t="str">
        <f>IF($A77="","",IF(AND(VALUE(AJ$7)&gt;$F77,VALUE(AJ$7)&lt;=$G77),IF($D77="","◇","■"),""))</f>
        <v/>
      </c>
      <c r="AK77" s="59" t="str">
        <f>IF($A77="","",IF(AND(VALUE(AK$7)&gt;$F77,VALUE(AK$7)&lt;=$G77),IF($D77="","◇","■"),""))</f>
        <v/>
      </c>
      <c r="AL77" s="59" t="str">
        <f>IF($A77="","",IF(AND(VALUE(AL$7)&gt;$F77,VALUE(AL$7)&lt;=$G77),IF($D77="","◇","■"),""))</f>
        <v/>
      </c>
      <c r="AM77" s="59" t="str">
        <f>IF($A77="","",IF(AND(VALUE(AM$7)&gt;$F77,VALUE(AM$7)&lt;=$G77),IF($D77="","◇","■"),""))</f>
        <v/>
      </c>
    </row>
    <row r="78" spans="1:39" ht="18" customHeight="1" x14ac:dyDescent="0.35">
      <c r="A78" s="55" t="str" cm="1">
        <f t="array" ref="A78">IFERROR(INDEX(_xlfn._xlws.FILTER(tblProjectTasks[TaskGroup],(tblProjectTasks[IsWorkPackage]="Yes")*(tblProjectTasks[CaptureStatus]&lt;&gt;"Removed")),ROWS($A$8:A78)),"")</f>
        <v/>
      </c>
      <c r="B78" s="56" t="str" cm="1">
        <f t="array" ref="B78">IFERROR(INDEX(_xlfn._xlws.FILTER(tblProjectTasks[WBSCode],(tblProjectTasks[IsWorkPackage]="Yes")*(tblProjectTasks[CaptureStatus]&lt;&gt;"Removed")),ROWS($B$8:B78)),"")</f>
        <v/>
      </c>
      <c r="C78" s="57" t="str" cm="1">
        <f t="array" ref="C78">IFERROR(INDEX(_xlfn._xlws.FILTER(tblProjectTasks[TaskName],(tblProjectTasks[IsWorkPackage]="Yes")*(tblProjectTasks[CaptureStatus]&lt;&gt;"Removed")),ROWS($C$8:C78)),"")</f>
        <v/>
      </c>
      <c r="D78" s="58" t="str" cm="1">
        <f t="array" ref="D78">_xlfn.LET(_xlpm.x,IFERROR(INDEX(_xlfn._xlws.FILTER(tblProjectTasks[Elapsed Time in Weeks],(tblProjectTasks[IsWorkPackage]="Yes")*(tblProjectTasks[CaptureStatus]&lt;&gt;"Removed")),ROWS($D$8:D78)),""),IF(_xlpm.x=0,"",_xlpm.x))</f>
        <v/>
      </c>
      <c r="E78" s="58" t="str">
        <f>IF($A78="","",IF($D78="",1,$D78))</f>
        <v/>
      </c>
      <c r="F78" s="58" t="str">
        <f>IF($A78="","",IF(ROW()=8,0,$F77+$E77))</f>
        <v/>
      </c>
      <c r="G78" s="58" t="str">
        <f>IF($A78="","",$F78+$E78)</f>
        <v/>
      </c>
      <c r="H78" s="59" t="str">
        <f>IF($A78="","",IF(AND(VALUE(H$7)&gt;$F78,VALUE(H$7)&lt;=$G78),IF($D78="","◇","■"),""))</f>
        <v/>
      </c>
      <c r="I78" s="59" t="str">
        <f>IF($A78="","",IF(AND(VALUE(I$7)&gt;$F78,VALUE(I$7)&lt;=$G78),IF($D78="","◇","■"),""))</f>
        <v/>
      </c>
      <c r="J78" s="59" t="str">
        <f>IF($A78="","",IF(AND(VALUE(J$7)&gt;$F78,VALUE(J$7)&lt;=$G78),IF($D78="","◇","■"),""))</f>
        <v/>
      </c>
      <c r="K78" s="59" t="str">
        <f>IF($A78="","",IF(AND(VALUE(K$7)&gt;$F78,VALUE(K$7)&lt;=$G78),IF($D78="","◇","■"),""))</f>
        <v/>
      </c>
      <c r="L78" s="59" t="str">
        <f>IF($A78="","",IF(AND(VALUE(L$7)&gt;$F78,VALUE(L$7)&lt;=$G78),IF($D78="","◇","■"),""))</f>
        <v/>
      </c>
      <c r="M78" s="59" t="str">
        <f>IF($A78="","",IF(AND(VALUE(M$7)&gt;$F78,VALUE(M$7)&lt;=$G78),IF($D78="","◇","■"),""))</f>
        <v/>
      </c>
      <c r="N78" s="59" t="str">
        <f>IF($A78="","",IF(AND(VALUE(N$7)&gt;$F78,VALUE(N$7)&lt;=$G78),IF($D78="","◇","■"),""))</f>
        <v/>
      </c>
      <c r="O78" s="59" t="str">
        <f>IF($A78="","",IF(AND(VALUE(O$7)&gt;$F78,VALUE(O$7)&lt;=$G78),IF($D78="","◇","■"),""))</f>
        <v/>
      </c>
      <c r="P78" s="59" t="str">
        <f>IF($A78="","",IF(AND(VALUE(P$7)&gt;$F78,VALUE(P$7)&lt;=$G78),IF($D78="","◇","■"),""))</f>
        <v/>
      </c>
      <c r="Q78" s="59" t="str">
        <f>IF($A78="","",IF(AND(VALUE(Q$7)&gt;$F78,VALUE(Q$7)&lt;=$G78),IF($D78="","◇","■"),""))</f>
        <v/>
      </c>
      <c r="R78" s="59" t="str">
        <f>IF($A78="","",IF(AND(VALUE(R$7)&gt;$F78,VALUE(R$7)&lt;=$G78),IF($D78="","◇","■"),""))</f>
        <v/>
      </c>
      <c r="S78" s="59" t="str">
        <f>IF($A78="","",IF(AND(VALUE(S$7)&gt;$F78,VALUE(S$7)&lt;=$G78),IF($D78="","◇","■"),""))</f>
        <v/>
      </c>
      <c r="T78" s="59" t="str">
        <f>IF($A78="","",IF(AND(VALUE(T$7)&gt;$F78,VALUE(T$7)&lt;=$G78),IF($D78="","◇","■"),""))</f>
        <v/>
      </c>
      <c r="U78" s="59" t="str">
        <f>IF($A78="","",IF(AND(VALUE(U$7)&gt;$F78,VALUE(U$7)&lt;=$G78),IF($D78="","◇","■"),""))</f>
        <v/>
      </c>
      <c r="V78" s="59" t="str">
        <f>IF($A78="","",IF(AND(VALUE(V$7)&gt;$F78,VALUE(V$7)&lt;=$G78),IF($D78="","◇","■"),""))</f>
        <v/>
      </c>
      <c r="W78" s="59" t="str">
        <f>IF($A78="","",IF(AND(VALUE(W$7)&gt;$F78,VALUE(W$7)&lt;=$G78),IF($D78="","◇","■"),""))</f>
        <v/>
      </c>
      <c r="X78" s="59" t="str">
        <f>IF($A78="","",IF(AND(VALUE(X$7)&gt;$F78,VALUE(X$7)&lt;=$G78),IF($D78="","◇","■"),""))</f>
        <v/>
      </c>
      <c r="Y78" s="59" t="str">
        <f>IF($A78="","",IF(AND(VALUE(Y$7)&gt;$F78,VALUE(Y$7)&lt;=$G78),IF($D78="","◇","■"),""))</f>
        <v/>
      </c>
      <c r="Z78" s="59" t="str">
        <f>IF($A78="","",IF(AND(VALUE(Z$7)&gt;$F78,VALUE(Z$7)&lt;=$G78),IF($D78="","◇","■"),""))</f>
        <v/>
      </c>
      <c r="AA78" s="59" t="str">
        <f>IF($A78="","",IF(AND(VALUE(AA$7)&gt;$F78,VALUE(AA$7)&lt;=$G78),IF($D78="","◇","■"),""))</f>
        <v/>
      </c>
      <c r="AB78" s="59" t="str">
        <f>IF($A78="","",IF(AND(VALUE(AB$7)&gt;$F78,VALUE(AB$7)&lt;=$G78),IF($D78="","◇","■"),""))</f>
        <v/>
      </c>
      <c r="AC78" s="59" t="str">
        <f>IF($A78="","",IF(AND(VALUE(AC$7)&gt;$F78,VALUE(AC$7)&lt;=$G78),IF($D78="","◇","■"),""))</f>
        <v/>
      </c>
      <c r="AD78" s="59" t="str">
        <f>IF($A78="","",IF(AND(VALUE(AD$7)&gt;$F78,VALUE(AD$7)&lt;=$G78),IF($D78="","◇","■"),""))</f>
        <v/>
      </c>
      <c r="AE78" s="59" t="str">
        <f>IF($A78="","",IF(AND(VALUE(AE$7)&gt;$F78,VALUE(AE$7)&lt;=$G78),IF($D78="","◇","■"),""))</f>
        <v/>
      </c>
      <c r="AF78" s="59" t="str">
        <f>IF($A78="","",IF(AND(VALUE(AF$7)&gt;$F78,VALUE(AF$7)&lt;=$G78),IF($D78="","◇","■"),""))</f>
        <v/>
      </c>
      <c r="AG78" s="59" t="str">
        <f>IF($A78="","",IF(AND(VALUE(AG$7)&gt;$F78,VALUE(AG$7)&lt;=$G78),IF($D78="","◇","■"),""))</f>
        <v/>
      </c>
      <c r="AH78" s="59" t="str">
        <f>IF($A78="","",IF(AND(VALUE(AH$7)&gt;$F78,VALUE(AH$7)&lt;=$G78),IF($D78="","◇","■"),""))</f>
        <v/>
      </c>
      <c r="AI78" s="59" t="str">
        <f>IF($A78="","",IF(AND(VALUE(AI$7)&gt;$F78,VALUE(AI$7)&lt;=$G78),IF($D78="","◇","■"),""))</f>
        <v/>
      </c>
      <c r="AJ78" s="59" t="str">
        <f>IF($A78="","",IF(AND(VALUE(AJ$7)&gt;$F78,VALUE(AJ$7)&lt;=$G78),IF($D78="","◇","■"),""))</f>
        <v/>
      </c>
      <c r="AK78" s="59" t="str">
        <f>IF($A78="","",IF(AND(VALUE(AK$7)&gt;$F78,VALUE(AK$7)&lt;=$G78),IF($D78="","◇","■"),""))</f>
        <v/>
      </c>
      <c r="AL78" s="59" t="str">
        <f>IF($A78="","",IF(AND(VALUE(AL$7)&gt;$F78,VALUE(AL$7)&lt;=$G78),IF($D78="","◇","■"),""))</f>
        <v/>
      </c>
      <c r="AM78" s="59" t="str">
        <f>IF($A78="","",IF(AND(VALUE(AM$7)&gt;$F78,VALUE(AM$7)&lt;=$G78),IF($D78="","◇","■"),""))</f>
        <v/>
      </c>
    </row>
    <row r="79" spans="1:39" ht="18" customHeight="1" x14ac:dyDescent="0.35">
      <c r="A79" s="55" t="str" cm="1">
        <f t="array" ref="A79">IFERROR(INDEX(_xlfn._xlws.FILTER(tblProjectTasks[TaskGroup],(tblProjectTasks[IsWorkPackage]="Yes")*(tblProjectTasks[CaptureStatus]&lt;&gt;"Removed")),ROWS($A$8:A79)),"")</f>
        <v/>
      </c>
      <c r="B79" s="56" t="str" cm="1">
        <f t="array" ref="B79">IFERROR(INDEX(_xlfn._xlws.FILTER(tblProjectTasks[WBSCode],(tblProjectTasks[IsWorkPackage]="Yes")*(tblProjectTasks[CaptureStatus]&lt;&gt;"Removed")),ROWS($B$8:B79)),"")</f>
        <v/>
      </c>
      <c r="C79" s="57" t="str" cm="1">
        <f t="array" ref="C79">IFERROR(INDEX(_xlfn._xlws.FILTER(tblProjectTasks[TaskName],(tblProjectTasks[IsWorkPackage]="Yes")*(tblProjectTasks[CaptureStatus]&lt;&gt;"Removed")),ROWS($C$8:C79)),"")</f>
        <v/>
      </c>
      <c r="D79" s="58" t="str" cm="1">
        <f t="array" ref="D79">_xlfn.LET(_xlpm.x,IFERROR(INDEX(_xlfn._xlws.FILTER(tblProjectTasks[Elapsed Time in Weeks],(tblProjectTasks[IsWorkPackage]="Yes")*(tblProjectTasks[CaptureStatus]&lt;&gt;"Removed")),ROWS($D$8:D79)),""),IF(_xlpm.x=0,"",_xlpm.x))</f>
        <v/>
      </c>
      <c r="E79" s="58" t="str">
        <f>IF($A79="","",IF($D79="",1,$D79))</f>
        <v/>
      </c>
      <c r="F79" s="58" t="str">
        <f>IF($A79="","",IF(ROW()=8,0,$F78+$E78))</f>
        <v/>
      </c>
      <c r="G79" s="58" t="str">
        <f>IF($A79="","",$F79+$E79)</f>
        <v/>
      </c>
      <c r="H79" s="59" t="str">
        <f>IF($A79="","",IF(AND(VALUE(H$7)&gt;$F79,VALUE(H$7)&lt;=$G79),IF($D79="","◇","■"),""))</f>
        <v/>
      </c>
      <c r="I79" s="59" t="str">
        <f>IF($A79="","",IF(AND(VALUE(I$7)&gt;$F79,VALUE(I$7)&lt;=$G79),IF($D79="","◇","■"),""))</f>
        <v/>
      </c>
      <c r="J79" s="59" t="str">
        <f>IF($A79="","",IF(AND(VALUE(J$7)&gt;$F79,VALUE(J$7)&lt;=$G79),IF($D79="","◇","■"),""))</f>
        <v/>
      </c>
      <c r="K79" s="59" t="str">
        <f>IF($A79="","",IF(AND(VALUE(K$7)&gt;$F79,VALUE(K$7)&lt;=$G79),IF($D79="","◇","■"),""))</f>
        <v/>
      </c>
      <c r="L79" s="59" t="str">
        <f>IF($A79="","",IF(AND(VALUE(L$7)&gt;$F79,VALUE(L$7)&lt;=$G79),IF($D79="","◇","■"),""))</f>
        <v/>
      </c>
      <c r="M79" s="59" t="str">
        <f>IF($A79="","",IF(AND(VALUE(M$7)&gt;$F79,VALUE(M$7)&lt;=$G79),IF($D79="","◇","■"),""))</f>
        <v/>
      </c>
      <c r="N79" s="59" t="str">
        <f>IF($A79="","",IF(AND(VALUE(N$7)&gt;$F79,VALUE(N$7)&lt;=$G79),IF($D79="","◇","■"),""))</f>
        <v/>
      </c>
      <c r="O79" s="59" t="str">
        <f>IF($A79="","",IF(AND(VALUE(O$7)&gt;$F79,VALUE(O$7)&lt;=$G79),IF($D79="","◇","■"),""))</f>
        <v/>
      </c>
      <c r="P79" s="59" t="str">
        <f>IF($A79="","",IF(AND(VALUE(P$7)&gt;$F79,VALUE(P$7)&lt;=$G79),IF($D79="","◇","■"),""))</f>
        <v/>
      </c>
      <c r="Q79" s="59" t="str">
        <f>IF($A79="","",IF(AND(VALUE(Q$7)&gt;$F79,VALUE(Q$7)&lt;=$G79),IF($D79="","◇","■"),""))</f>
        <v/>
      </c>
      <c r="R79" s="59" t="str">
        <f>IF($A79="","",IF(AND(VALUE(R$7)&gt;$F79,VALUE(R$7)&lt;=$G79),IF($D79="","◇","■"),""))</f>
        <v/>
      </c>
      <c r="S79" s="59" t="str">
        <f>IF($A79="","",IF(AND(VALUE(S$7)&gt;$F79,VALUE(S$7)&lt;=$G79),IF($D79="","◇","■"),""))</f>
        <v/>
      </c>
      <c r="T79" s="59" t="str">
        <f>IF($A79="","",IF(AND(VALUE(T$7)&gt;$F79,VALUE(T$7)&lt;=$G79),IF($D79="","◇","■"),""))</f>
        <v/>
      </c>
      <c r="U79" s="59" t="str">
        <f>IF($A79="","",IF(AND(VALUE(U$7)&gt;$F79,VALUE(U$7)&lt;=$G79),IF($D79="","◇","■"),""))</f>
        <v/>
      </c>
      <c r="V79" s="59" t="str">
        <f>IF($A79="","",IF(AND(VALUE(V$7)&gt;$F79,VALUE(V$7)&lt;=$G79),IF($D79="","◇","■"),""))</f>
        <v/>
      </c>
      <c r="W79" s="59" t="str">
        <f>IF($A79="","",IF(AND(VALUE(W$7)&gt;$F79,VALUE(W$7)&lt;=$G79),IF($D79="","◇","■"),""))</f>
        <v/>
      </c>
      <c r="X79" s="59" t="str">
        <f>IF($A79="","",IF(AND(VALUE(X$7)&gt;$F79,VALUE(X$7)&lt;=$G79),IF($D79="","◇","■"),""))</f>
        <v/>
      </c>
      <c r="Y79" s="59" t="str">
        <f>IF($A79="","",IF(AND(VALUE(Y$7)&gt;$F79,VALUE(Y$7)&lt;=$G79),IF($D79="","◇","■"),""))</f>
        <v/>
      </c>
      <c r="Z79" s="59" t="str">
        <f>IF($A79="","",IF(AND(VALUE(Z$7)&gt;$F79,VALUE(Z$7)&lt;=$G79),IF($D79="","◇","■"),""))</f>
        <v/>
      </c>
      <c r="AA79" s="59" t="str">
        <f>IF($A79="","",IF(AND(VALUE(AA$7)&gt;$F79,VALUE(AA$7)&lt;=$G79),IF($D79="","◇","■"),""))</f>
        <v/>
      </c>
      <c r="AB79" s="59" t="str">
        <f>IF($A79="","",IF(AND(VALUE(AB$7)&gt;$F79,VALUE(AB$7)&lt;=$G79),IF($D79="","◇","■"),""))</f>
        <v/>
      </c>
      <c r="AC79" s="59" t="str">
        <f>IF($A79="","",IF(AND(VALUE(AC$7)&gt;$F79,VALUE(AC$7)&lt;=$G79),IF($D79="","◇","■"),""))</f>
        <v/>
      </c>
      <c r="AD79" s="59" t="str">
        <f>IF($A79="","",IF(AND(VALUE(AD$7)&gt;$F79,VALUE(AD$7)&lt;=$G79),IF($D79="","◇","■"),""))</f>
        <v/>
      </c>
      <c r="AE79" s="59" t="str">
        <f>IF($A79="","",IF(AND(VALUE(AE$7)&gt;$F79,VALUE(AE$7)&lt;=$G79),IF($D79="","◇","■"),""))</f>
        <v/>
      </c>
      <c r="AF79" s="59" t="str">
        <f>IF($A79="","",IF(AND(VALUE(AF$7)&gt;$F79,VALUE(AF$7)&lt;=$G79),IF($D79="","◇","■"),""))</f>
        <v/>
      </c>
      <c r="AG79" s="59" t="str">
        <f>IF($A79="","",IF(AND(VALUE(AG$7)&gt;$F79,VALUE(AG$7)&lt;=$G79),IF($D79="","◇","■"),""))</f>
        <v/>
      </c>
      <c r="AH79" s="59" t="str">
        <f>IF($A79="","",IF(AND(VALUE(AH$7)&gt;$F79,VALUE(AH$7)&lt;=$G79),IF($D79="","◇","■"),""))</f>
        <v/>
      </c>
      <c r="AI79" s="59" t="str">
        <f>IF($A79="","",IF(AND(VALUE(AI$7)&gt;$F79,VALUE(AI$7)&lt;=$G79),IF($D79="","◇","■"),""))</f>
        <v/>
      </c>
      <c r="AJ79" s="59" t="str">
        <f>IF($A79="","",IF(AND(VALUE(AJ$7)&gt;$F79,VALUE(AJ$7)&lt;=$G79),IF($D79="","◇","■"),""))</f>
        <v/>
      </c>
      <c r="AK79" s="59" t="str">
        <f>IF($A79="","",IF(AND(VALUE(AK$7)&gt;$F79,VALUE(AK$7)&lt;=$G79),IF($D79="","◇","■"),""))</f>
        <v/>
      </c>
      <c r="AL79" s="59" t="str">
        <f>IF($A79="","",IF(AND(VALUE(AL$7)&gt;$F79,VALUE(AL$7)&lt;=$G79),IF($D79="","◇","■"),""))</f>
        <v/>
      </c>
      <c r="AM79" s="59" t="str">
        <f>IF($A79="","",IF(AND(VALUE(AM$7)&gt;$F79,VALUE(AM$7)&lt;=$G79),IF($D79="","◇","■"),""))</f>
        <v/>
      </c>
    </row>
    <row r="80" spans="1:39" ht="18" customHeight="1" x14ac:dyDescent="0.35">
      <c r="A80" s="55" t="str" cm="1">
        <f t="array" ref="A80">IFERROR(INDEX(_xlfn._xlws.FILTER(tblProjectTasks[TaskGroup],(tblProjectTasks[IsWorkPackage]="Yes")*(tblProjectTasks[CaptureStatus]&lt;&gt;"Removed")),ROWS($A$8:A80)),"")</f>
        <v/>
      </c>
      <c r="B80" s="56" t="str" cm="1">
        <f t="array" ref="B80">IFERROR(INDEX(_xlfn._xlws.FILTER(tblProjectTasks[WBSCode],(tblProjectTasks[IsWorkPackage]="Yes")*(tblProjectTasks[CaptureStatus]&lt;&gt;"Removed")),ROWS($B$8:B80)),"")</f>
        <v/>
      </c>
      <c r="C80" s="57" t="str" cm="1">
        <f t="array" ref="C80">IFERROR(INDEX(_xlfn._xlws.FILTER(tblProjectTasks[TaskName],(tblProjectTasks[IsWorkPackage]="Yes")*(tblProjectTasks[CaptureStatus]&lt;&gt;"Removed")),ROWS($C$8:C80)),"")</f>
        <v/>
      </c>
      <c r="D80" s="58" t="str" cm="1">
        <f t="array" ref="D80">_xlfn.LET(_xlpm.x,IFERROR(INDEX(_xlfn._xlws.FILTER(tblProjectTasks[Elapsed Time in Weeks],(tblProjectTasks[IsWorkPackage]="Yes")*(tblProjectTasks[CaptureStatus]&lt;&gt;"Removed")),ROWS($D$8:D80)),""),IF(_xlpm.x=0,"",_xlpm.x))</f>
        <v/>
      </c>
      <c r="E80" s="58" t="str">
        <f>IF($A80="","",IF($D80="",1,$D80))</f>
        <v/>
      </c>
      <c r="F80" s="58" t="str">
        <f>IF($A80="","",IF(ROW()=8,0,$F79+$E79))</f>
        <v/>
      </c>
      <c r="G80" s="58" t="str">
        <f>IF($A80="","",$F80+$E80)</f>
        <v/>
      </c>
      <c r="H80" s="59" t="str">
        <f>IF($A80="","",IF(AND(VALUE(H$7)&gt;$F80,VALUE(H$7)&lt;=$G80),IF($D80="","◇","■"),""))</f>
        <v/>
      </c>
      <c r="I80" s="59" t="str">
        <f>IF($A80="","",IF(AND(VALUE(I$7)&gt;$F80,VALUE(I$7)&lt;=$G80),IF($D80="","◇","■"),""))</f>
        <v/>
      </c>
      <c r="J80" s="59" t="str">
        <f>IF($A80="","",IF(AND(VALUE(J$7)&gt;$F80,VALUE(J$7)&lt;=$G80),IF($D80="","◇","■"),""))</f>
        <v/>
      </c>
      <c r="K80" s="59" t="str">
        <f>IF($A80="","",IF(AND(VALUE(K$7)&gt;$F80,VALUE(K$7)&lt;=$G80),IF($D80="","◇","■"),""))</f>
        <v/>
      </c>
      <c r="L80" s="59" t="str">
        <f>IF($A80="","",IF(AND(VALUE(L$7)&gt;$F80,VALUE(L$7)&lt;=$G80),IF($D80="","◇","■"),""))</f>
        <v/>
      </c>
      <c r="M80" s="59" t="str">
        <f>IF($A80="","",IF(AND(VALUE(M$7)&gt;$F80,VALUE(M$7)&lt;=$G80),IF($D80="","◇","■"),""))</f>
        <v/>
      </c>
      <c r="N80" s="59" t="str">
        <f>IF($A80="","",IF(AND(VALUE(N$7)&gt;$F80,VALUE(N$7)&lt;=$G80),IF($D80="","◇","■"),""))</f>
        <v/>
      </c>
      <c r="O80" s="59" t="str">
        <f>IF($A80="","",IF(AND(VALUE(O$7)&gt;$F80,VALUE(O$7)&lt;=$G80),IF($D80="","◇","■"),""))</f>
        <v/>
      </c>
      <c r="P80" s="59" t="str">
        <f>IF($A80="","",IF(AND(VALUE(P$7)&gt;$F80,VALUE(P$7)&lt;=$G80),IF($D80="","◇","■"),""))</f>
        <v/>
      </c>
      <c r="Q80" s="59" t="str">
        <f>IF($A80="","",IF(AND(VALUE(Q$7)&gt;$F80,VALUE(Q$7)&lt;=$G80),IF($D80="","◇","■"),""))</f>
        <v/>
      </c>
      <c r="R80" s="59" t="str">
        <f>IF($A80="","",IF(AND(VALUE(R$7)&gt;$F80,VALUE(R$7)&lt;=$G80),IF($D80="","◇","■"),""))</f>
        <v/>
      </c>
      <c r="S80" s="59" t="str">
        <f>IF($A80="","",IF(AND(VALUE(S$7)&gt;$F80,VALUE(S$7)&lt;=$G80),IF($D80="","◇","■"),""))</f>
        <v/>
      </c>
      <c r="T80" s="59" t="str">
        <f>IF($A80="","",IF(AND(VALUE(T$7)&gt;$F80,VALUE(T$7)&lt;=$G80),IF($D80="","◇","■"),""))</f>
        <v/>
      </c>
      <c r="U80" s="59" t="str">
        <f>IF($A80="","",IF(AND(VALUE(U$7)&gt;$F80,VALUE(U$7)&lt;=$G80),IF($D80="","◇","■"),""))</f>
        <v/>
      </c>
      <c r="V80" s="59" t="str">
        <f>IF($A80="","",IF(AND(VALUE(V$7)&gt;$F80,VALUE(V$7)&lt;=$G80),IF($D80="","◇","■"),""))</f>
        <v/>
      </c>
      <c r="W80" s="59" t="str">
        <f>IF($A80="","",IF(AND(VALUE(W$7)&gt;$F80,VALUE(W$7)&lt;=$G80),IF($D80="","◇","■"),""))</f>
        <v/>
      </c>
      <c r="X80" s="59" t="str">
        <f>IF($A80="","",IF(AND(VALUE(X$7)&gt;$F80,VALUE(X$7)&lt;=$G80),IF($D80="","◇","■"),""))</f>
        <v/>
      </c>
      <c r="Y80" s="59" t="str">
        <f>IF($A80="","",IF(AND(VALUE(Y$7)&gt;$F80,VALUE(Y$7)&lt;=$G80),IF($D80="","◇","■"),""))</f>
        <v/>
      </c>
      <c r="Z80" s="59" t="str">
        <f>IF($A80="","",IF(AND(VALUE(Z$7)&gt;$F80,VALUE(Z$7)&lt;=$G80),IF($D80="","◇","■"),""))</f>
        <v/>
      </c>
      <c r="AA80" s="59" t="str">
        <f>IF($A80="","",IF(AND(VALUE(AA$7)&gt;$F80,VALUE(AA$7)&lt;=$G80),IF($D80="","◇","■"),""))</f>
        <v/>
      </c>
      <c r="AB80" s="59" t="str">
        <f>IF($A80="","",IF(AND(VALUE(AB$7)&gt;$F80,VALUE(AB$7)&lt;=$G80),IF($D80="","◇","■"),""))</f>
        <v/>
      </c>
      <c r="AC80" s="59" t="str">
        <f>IF($A80="","",IF(AND(VALUE(AC$7)&gt;$F80,VALUE(AC$7)&lt;=$G80),IF($D80="","◇","■"),""))</f>
        <v/>
      </c>
      <c r="AD80" s="59" t="str">
        <f>IF($A80="","",IF(AND(VALUE(AD$7)&gt;$F80,VALUE(AD$7)&lt;=$G80),IF($D80="","◇","■"),""))</f>
        <v/>
      </c>
      <c r="AE80" s="59" t="str">
        <f>IF($A80="","",IF(AND(VALUE(AE$7)&gt;$F80,VALUE(AE$7)&lt;=$G80),IF($D80="","◇","■"),""))</f>
        <v/>
      </c>
      <c r="AF80" s="59" t="str">
        <f>IF($A80="","",IF(AND(VALUE(AF$7)&gt;$F80,VALUE(AF$7)&lt;=$G80),IF($D80="","◇","■"),""))</f>
        <v/>
      </c>
      <c r="AG80" s="59" t="str">
        <f>IF($A80="","",IF(AND(VALUE(AG$7)&gt;$F80,VALUE(AG$7)&lt;=$G80),IF($D80="","◇","■"),""))</f>
        <v/>
      </c>
      <c r="AH80" s="59" t="str">
        <f>IF($A80="","",IF(AND(VALUE(AH$7)&gt;$F80,VALUE(AH$7)&lt;=$G80),IF($D80="","◇","■"),""))</f>
        <v/>
      </c>
      <c r="AI80" s="59" t="str">
        <f>IF($A80="","",IF(AND(VALUE(AI$7)&gt;$F80,VALUE(AI$7)&lt;=$G80),IF($D80="","◇","■"),""))</f>
        <v/>
      </c>
      <c r="AJ80" s="59" t="str">
        <f>IF($A80="","",IF(AND(VALUE(AJ$7)&gt;$F80,VALUE(AJ$7)&lt;=$G80),IF($D80="","◇","■"),""))</f>
        <v/>
      </c>
      <c r="AK80" s="59" t="str">
        <f>IF($A80="","",IF(AND(VALUE(AK$7)&gt;$F80,VALUE(AK$7)&lt;=$G80),IF($D80="","◇","■"),""))</f>
        <v/>
      </c>
      <c r="AL80" s="59" t="str">
        <f>IF($A80="","",IF(AND(VALUE(AL$7)&gt;$F80,VALUE(AL$7)&lt;=$G80),IF($D80="","◇","■"),""))</f>
        <v/>
      </c>
      <c r="AM80" s="59" t="str">
        <f>IF($A80="","",IF(AND(VALUE(AM$7)&gt;$F80,VALUE(AM$7)&lt;=$G80),IF($D80="","◇","■"),""))</f>
        <v/>
      </c>
    </row>
    <row r="81" spans="1:39" ht="18" customHeight="1" x14ac:dyDescent="0.35">
      <c r="A81" s="55" t="str" cm="1">
        <f t="array" ref="A81">IFERROR(INDEX(_xlfn._xlws.FILTER(tblProjectTasks[TaskGroup],(tblProjectTasks[IsWorkPackage]="Yes")*(tblProjectTasks[CaptureStatus]&lt;&gt;"Removed")),ROWS($A$8:A81)),"")</f>
        <v/>
      </c>
      <c r="B81" s="56" t="str" cm="1">
        <f t="array" ref="B81">IFERROR(INDEX(_xlfn._xlws.FILTER(tblProjectTasks[WBSCode],(tblProjectTasks[IsWorkPackage]="Yes")*(tblProjectTasks[CaptureStatus]&lt;&gt;"Removed")),ROWS($B$8:B81)),"")</f>
        <v/>
      </c>
      <c r="C81" s="57" t="str" cm="1">
        <f t="array" ref="C81">IFERROR(INDEX(_xlfn._xlws.FILTER(tblProjectTasks[TaskName],(tblProjectTasks[IsWorkPackage]="Yes")*(tblProjectTasks[CaptureStatus]&lt;&gt;"Removed")),ROWS($C$8:C81)),"")</f>
        <v/>
      </c>
      <c r="D81" s="58" t="str" cm="1">
        <f t="array" ref="D81">_xlfn.LET(_xlpm.x,IFERROR(INDEX(_xlfn._xlws.FILTER(tblProjectTasks[Elapsed Time in Weeks],(tblProjectTasks[IsWorkPackage]="Yes")*(tblProjectTasks[CaptureStatus]&lt;&gt;"Removed")),ROWS($D$8:D81)),""),IF(_xlpm.x=0,"",_xlpm.x))</f>
        <v/>
      </c>
      <c r="E81" s="58" t="str">
        <f>IF($A81="","",IF($D81="",1,$D81))</f>
        <v/>
      </c>
      <c r="F81" s="58" t="str">
        <f>IF($A81="","",IF(ROW()=8,0,$F80+$E80))</f>
        <v/>
      </c>
      <c r="G81" s="58" t="str">
        <f>IF($A81="","",$F81+$E81)</f>
        <v/>
      </c>
      <c r="H81" s="59" t="str">
        <f>IF($A81="","",IF(AND(VALUE(H$7)&gt;$F81,VALUE(H$7)&lt;=$G81),IF($D81="","◇","■"),""))</f>
        <v/>
      </c>
      <c r="I81" s="59" t="str">
        <f>IF($A81="","",IF(AND(VALUE(I$7)&gt;$F81,VALUE(I$7)&lt;=$G81),IF($D81="","◇","■"),""))</f>
        <v/>
      </c>
      <c r="J81" s="59" t="str">
        <f>IF($A81="","",IF(AND(VALUE(J$7)&gt;$F81,VALUE(J$7)&lt;=$G81),IF($D81="","◇","■"),""))</f>
        <v/>
      </c>
      <c r="K81" s="59" t="str">
        <f>IF($A81="","",IF(AND(VALUE(K$7)&gt;$F81,VALUE(K$7)&lt;=$G81),IF($D81="","◇","■"),""))</f>
        <v/>
      </c>
      <c r="L81" s="59" t="str">
        <f>IF($A81="","",IF(AND(VALUE(L$7)&gt;$F81,VALUE(L$7)&lt;=$G81),IF($D81="","◇","■"),""))</f>
        <v/>
      </c>
      <c r="M81" s="59" t="str">
        <f>IF($A81="","",IF(AND(VALUE(M$7)&gt;$F81,VALUE(M$7)&lt;=$G81),IF($D81="","◇","■"),""))</f>
        <v/>
      </c>
      <c r="N81" s="59" t="str">
        <f>IF($A81="","",IF(AND(VALUE(N$7)&gt;$F81,VALUE(N$7)&lt;=$G81),IF($D81="","◇","■"),""))</f>
        <v/>
      </c>
      <c r="O81" s="59" t="str">
        <f>IF($A81="","",IF(AND(VALUE(O$7)&gt;$F81,VALUE(O$7)&lt;=$G81),IF($D81="","◇","■"),""))</f>
        <v/>
      </c>
      <c r="P81" s="59" t="str">
        <f>IF($A81="","",IF(AND(VALUE(P$7)&gt;$F81,VALUE(P$7)&lt;=$G81),IF($D81="","◇","■"),""))</f>
        <v/>
      </c>
      <c r="Q81" s="59" t="str">
        <f>IF($A81="","",IF(AND(VALUE(Q$7)&gt;$F81,VALUE(Q$7)&lt;=$G81),IF($D81="","◇","■"),""))</f>
        <v/>
      </c>
      <c r="R81" s="59" t="str">
        <f>IF($A81="","",IF(AND(VALUE(R$7)&gt;$F81,VALUE(R$7)&lt;=$G81),IF($D81="","◇","■"),""))</f>
        <v/>
      </c>
      <c r="S81" s="59" t="str">
        <f>IF($A81="","",IF(AND(VALUE(S$7)&gt;$F81,VALUE(S$7)&lt;=$G81),IF($D81="","◇","■"),""))</f>
        <v/>
      </c>
      <c r="T81" s="59" t="str">
        <f>IF($A81="","",IF(AND(VALUE(T$7)&gt;$F81,VALUE(T$7)&lt;=$G81),IF($D81="","◇","■"),""))</f>
        <v/>
      </c>
      <c r="U81" s="59" t="str">
        <f>IF($A81="","",IF(AND(VALUE(U$7)&gt;$F81,VALUE(U$7)&lt;=$G81),IF($D81="","◇","■"),""))</f>
        <v/>
      </c>
      <c r="V81" s="59" t="str">
        <f>IF($A81="","",IF(AND(VALUE(V$7)&gt;$F81,VALUE(V$7)&lt;=$G81),IF($D81="","◇","■"),""))</f>
        <v/>
      </c>
      <c r="W81" s="59" t="str">
        <f>IF($A81="","",IF(AND(VALUE(W$7)&gt;$F81,VALUE(W$7)&lt;=$G81),IF($D81="","◇","■"),""))</f>
        <v/>
      </c>
      <c r="X81" s="59" t="str">
        <f>IF($A81="","",IF(AND(VALUE(X$7)&gt;$F81,VALUE(X$7)&lt;=$G81),IF($D81="","◇","■"),""))</f>
        <v/>
      </c>
      <c r="Y81" s="59" t="str">
        <f>IF($A81="","",IF(AND(VALUE(Y$7)&gt;$F81,VALUE(Y$7)&lt;=$G81),IF($D81="","◇","■"),""))</f>
        <v/>
      </c>
      <c r="Z81" s="59" t="str">
        <f>IF($A81="","",IF(AND(VALUE(Z$7)&gt;$F81,VALUE(Z$7)&lt;=$G81),IF($D81="","◇","■"),""))</f>
        <v/>
      </c>
      <c r="AA81" s="59" t="str">
        <f>IF($A81="","",IF(AND(VALUE(AA$7)&gt;$F81,VALUE(AA$7)&lt;=$G81),IF($D81="","◇","■"),""))</f>
        <v/>
      </c>
      <c r="AB81" s="59" t="str">
        <f>IF($A81="","",IF(AND(VALUE(AB$7)&gt;$F81,VALUE(AB$7)&lt;=$G81),IF($D81="","◇","■"),""))</f>
        <v/>
      </c>
      <c r="AC81" s="59" t="str">
        <f>IF($A81="","",IF(AND(VALUE(AC$7)&gt;$F81,VALUE(AC$7)&lt;=$G81),IF($D81="","◇","■"),""))</f>
        <v/>
      </c>
      <c r="AD81" s="59" t="str">
        <f>IF($A81="","",IF(AND(VALUE(AD$7)&gt;$F81,VALUE(AD$7)&lt;=$G81),IF($D81="","◇","■"),""))</f>
        <v/>
      </c>
      <c r="AE81" s="59" t="str">
        <f>IF($A81="","",IF(AND(VALUE(AE$7)&gt;$F81,VALUE(AE$7)&lt;=$G81),IF($D81="","◇","■"),""))</f>
        <v/>
      </c>
      <c r="AF81" s="59" t="str">
        <f>IF($A81="","",IF(AND(VALUE(AF$7)&gt;$F81,VALUE(AF$7)&lt;=$G81),IF($D81="","◇","■"),""))</f>
        <v/>
      </c>
      <c r="AG81" s="59" t="str">
        <f>IF($A81="","",IF(AND(VALUE(AG$7)&gt;$F81,VALUE(AG$7)&lt;=$G81),IF($D81="","◇","■"),""))</f>
        <v/>
      </c>
      <c r="AH81" s="59" t="str">
        <f>IF($A81="","",IF(AND(VALUE(AH$7)&gt;$F81,VALUE(AH$7)&lt;=$G81),IF($D81="","◇","■"),""))</f>
        <v/>
      </c>
      <c r="AI81" s="59" t="str">
        <f>IF($A81="","",IF(AND(VALUE(AI$7)&gt;$F81,VALUE(AI$7)&lt;=$G81),IF($D81="","◇","■"),""))</f>
        <v/>
      </c>
      <c r="AJ81" s="59" t="str">
        <f>IF($A81="","",IF(AND(VALUE(AJ$7)&gt;$F81,VALUE(AJ$7)&lt;=$G81),IF($D81="","◇","■"),""))</f>
        <v/>
      </c>
      <c r="AK81" s="59" t="str">
        <f>IF($A81="","",IF(AND(VALUE(AK$7)&gt;$F81,VALUE(AK$7)&lt;=$G81),IF($D81="","◇","■"),""))</f>
        <v/>
      </c>
      <c r="AL81" s="59" t="str">
        <f>IF($A81="","",IF(AND(VALUE(AL$7)&gt;$F81,VALUE(AL$7)&lt;=$G81),IF($D81="","◇","■"),""))</f>
        <v/>
      </c>
      <c r="AM81" s="59" t="str">
        <f>IF($A81="","",IF(AND(VALUE(AM$7)&gt;$F81,VALUE(AM$7)&lt;=$G81),IF($D81="","◇","■"),""))</f>
        <v/>
      </c>
    </row>
    <row r="82" spans="1:39" ht="18" customHeight="1" x14ac:dyDescent="0.35">
      <c r="A82" s="55" t="str" cm="1">
        <f t="array" ref="A82">IFERROR(INDEX(_xlfn._xlws.FILTER(tblProjectTasks[TaskGroup],(tblProjectTasks[IsWorkPackage]="Yes")*(tblProjectTasks[CaptureStatus]&lt;&gt;"Removed")),ROWS($A$8:A82)),"")</f>
        <v/>
      </c>
      <c r="B82" s="56" t="str" cm="1">
        <f t="array" ref="B82">IFERROR(INDEX(_xlfn._xlws.FILTER(tblProjectTasks[WBSCode],(tblProjectTasks[IsWorkPackage]="Yes")*(tblProjectTasks[CaptureStatus]&lt;&gt;"Removed")),ROWS($B$8:B82)),"")</f>
        <v/>
      </c>
      <c r="C82" s="57" t="str" cm="1">
        <f t="array" ref="C82">IFERROR(INDEX(_xlfn._xlws.FILTER(tblProjectTasks[TaskName],(tblProjectTasks[IsWorkPackage]="Yes")*(tblProjectTasks[CaptureStatus]&lt;&gt;"Removed")),ROWS($C$8:C82)),"")</f>
        <v/>
      </c>
      <c r="D82" s="58" t="str" cm="1">
        <f t="array" ref="D82">_xlfn.LET(_xlpm.x,IFERROR(INDEX(_xlfn._xlws.FILTER(tblProjectTasks[Elapsed Time in Weeks],(tblProjectTasks[IsWorkPackage]="Yes")*(tblProjectTasks[CaptureStatus]&lt;&gt;"Removed")),ROWS($D$8:D82)),""),IF(_xlpm.x=0,"",_xlpm.x))</f>
        <v/>
      </c>
      <c r="E82" s="58" t="str">
        <f>IF($A82="","",IF($D82="",1,$D82))</f>
        <v/>
      </c>
      <c r="F82" s="58" t="str">
        <f>IF($A82="","",IF(ROW()=8,0,$F81+$E81))</f>
        <v/>
      </c>
      <c r="G82" s="58" t="str">
        <f>IF($A82="","",$F82+$E82)</f>
        <v/>
      </c>
      <c r="H82" s="59" t="str">
        <f>IF($A82="","",IF(AND(VALUE(H$7)&gt;$F82,VALUE(H$7)&lt;=$G82),IF($D82="","◇","■"),""))</f>
        <v/>
      </c>
      <c r="I82" s="59" t="str">
        <f>IF($A82="","",IF(AND(VALUE(I$7)&gt;$F82,VALUE(I$7)&lt;=$G82),IF($D82="","◇","■"),""))</f>
        <v/>
      </c>
      <c r="J82" s="59" t="str">
        <f>IF($A82="","",IF(AND(VALUE(J$7)&gt;$F82,VALUE(J$7)&lt;=$G82),IF($D82="","◇","■"),""))</f>
        <v/>
      </c>
      <c r="K82" s="59" t="str">
        <f>IF($A82="","",IF(AND(VALUE(K$7)&gt;$F82,VALUE(K$7)&lt;=$G82),IF($D82="","◇","■"),""))</f>
        <v/>
      </c>
      <c r="L82" s="59" t="str">
        <f>IF($A82="","",IF(AND(VALUE(L$7)&gt;$F82,VALUE(L$7)&lt;=$G82),IF($D82="","◇","■"),""))</f>
        <v/>
      </c>
      <c r="M82" s="59" t="str">
        <f>IF($A82="","",IF(AND(VALUE(M$7)&gt;$F82,VALUE(M$7)&lt;=$G82),IF($D82="","◇","■"),""))</f>
        <v/>
      </c>
      <c r="N82" s="59" t="str">
        <f>IF($A82="","",IF(AND(VALUE(N$7)&gt;$F82,VALUE(N$7)&lt;=$G82),IF($D82="","◇","■"),""))</f>
        <v/>
      </c>
      <c r="O82" s="59" t="str">
        <f>IF($A82="","",IF(AND(VALUE(O$7)&gt;$F82,VALUE(O$7)&lt;=$G82),IF($D82="","◇","■"),""))</f>
        <v/>
      </c>
      <c r="P82" s="59" t="str">
        <f>IF($A82="","",IF(AND(VALUE(P$7)&gt;$F82,VALUE(P$7)&lt;=$G82),IF($D82="","◇","■"),""))</f>
        <v/>
      </c>
      <c r="Q82" s="59" t="str">
        <f>IF($A82="","",IF(AND(VALUE(Q$7)&gt;$F82,VALUE(Q$7)&lt;=$G82),IF($D82="","◇","■"),""))</f>
        <v/>
      </c>
      <c r="R82" s="59" t="str">
        <f>IF($A82="","",IF(AND(VALUE(R$7)&gt;$F82,VALUE(R$7)&lt;=$G82),IF($D82="","◇","■"),""))</f>
        <v/>
      </c>
      <c r="S82" s="59" t="str">
        <f>IF($A82="","",IF(AND(VALUE(S$7)&gt;$F82,VALUE(S$7)&lt;=$G82),IF($D82="","◇","■"),""))</f>
        <v/>
      </c>
      <c r="T82" s="59" t="str">
        <f>IF($A82="","",IF(AND(VALUE(T$7)&gt;$F82,VALUE(T$7)&lt;=$G82),IF($D82="","◇","■"),""))</f>
        <v/>
      </c>
      <c r="U82" s="59" t="str">
        <f>IF($A82="","",IF(AND(VALUE(U$7)&gt;$F82,VALUE(U$7)&lt;=$G82),IF($D82="","◇","■"),""))</f>
        <v/>
      </c>
      <c r="V82" s="59" t="str">
        <f>IF($A82="","",IF(AND(VALUE(V$7)&gt;$F82,VALUE(V$7)&lt;=$G82),IF($D82="","◇","■"),""))</f>
        <v/>
      </c>
      <c r="W82" s="59" t="str">
        <f>IF($A82="","",IF(AND(VALUE(W$7)&gt;$F82,VALUE(W$7)&lt;=$G82),IF($D82="","◇","■"),""))</f>
        <v/>
      </c>
      <c r="X82" s="59" t="str">
        <f>IF($A82="","",IF(AND(VALUE(X$7)&gt;$F82,VALUE(X$7)&lt;=$G82),IF($D82="","◇","■"),""))</f>
        <v/>
      </c>
      <c r="Y82" s="59" t="str">
        <f>IF($A82="","",IF(AND(VALUE(Y$7)&gt;$F82,VALUE(Y$7)&lt;=$G82),IF($D82="","◇","■"),""))</f>
        <v/>
      </c>
      <c r="Z82" s="59" t="str">
        <f>IF($A82="","",IF(AND(VALUE(Z$7)&gt;$F82,VALUE(Z$7)&lt;=$G82),IF($D82="","◇","■"),""))</f>
        <v/>
      </c>
      <c r="AA82" s="59" t="str">
        <f>IF($A82="","",IF(AND(VALUE(AA$7)&gt;$F82,VALUE(AA$7)&lt;=$G82),IF($D82="","◇","■"),""))</f>
        <v/>
      </c>
      <c r="AB82" s="59" t="str">
        <f>IF($A82="","",IF(AND(VALUE(AB$7)&gt;$F82,VALUE(AB$7)&lt;=$G82),IF($D82="","◇","■"),""))</f>
        <v/>
      </c>
      <c r="AC82" s="59" t="str">
        <f>IF($A82="","",IF(AND(VALUE(AC$7)&gt;$F82,VALUE(AC$7)&lt;=$G82),IF($D82="","◇","■"),""))</f>
        <v/>
      </c>
      <c r="AD82" s="59" t="str">
        <f>IF($A82="","",IF(AND(VALUE(AD$7)&gt;$F82,VALUE(AD$7)&lt;=$G82),IF($D82="","◇","■"),""))</f>
        <v/>
      </c>
      <c r="AE82" s="59" t="str">
        <f>IF($A82="","",IF(AND(VALUE(AE$7)&gt;$F82,VALUE(AE$7)&lt;=$G82),IF($D82="","◇","■"),""))</f>
        <v/>
      </c>
      <c r="AF82" s="59" t="str">
        <f>IF($A82="","",IF(AND(VALUE(AF$7)&gt;$F82,VALUE(AF$7)&lt;=$G82),IF($D82="","◇","■"),""))</f>
        <v/>
      </c>
      <c r="AG82" s="59" t="str">
        <f>IF($A82="","",IF(AND(VALUE(AG$7)&gt;$F82,VALUE(AG$7)&lt;=$G82),IF($D82="","◇","■"),""))</f>
        <v/>
      </c>
      <c r="AH82" s="59" t="str">
        <f>IF($A82="","",IF(AND(VALUE(AH$7)&gt;$F82,VALUE(AH$7)&lt;=$G82),IF($D82="","◇","■"),""))</f>
        <v/>
      </c>
      <c r="AI82" s="59" t="str">
        <f>IF($A82="","",IF(AND(VALUE(AI$7)&gt;$F82,VALUE(AI$7)&lt;=$G82),IF($D82="","◇","■"),""))</f>
        <v/>
      </c>
      <c r="AJ82" s="59" t="str">
        <f>IF($A82="","",IF(AND(VALUE(AJ$7)&gt;$F82,VALUE(AJ$7)&lt;=$G82),IF($D82="","◇","■"),""))</f>
        <v/>
      </c>
      <c r="AK82" s="59" t="str">
        <f>IF($A82="","",IF(AND(VALUE(AK$7)&gt;$F82,VALUE(AK$7)&lt;=$G82),IF($D82="","◇","■"),""))</f>
        <v/>
      </c>
      <c r="AL82" s="59" t="str">
        <f>IF($A82="","",IF(AND(VALUE(AL$7)&gt;$F82,VALUE(AL$7)&lt;=$G82),IF($D82="","◇","■"),""))</f>
        <v/>
      </c>
      <c r="AM82" s="59" t="str">
        <f>IF($A82="","",IF(AND(VALUE(AM$7)&gt;$F82,VALUE(AM$7)&lt;=$G82),IF($D82="","◇","■"),""))</f>
        <v/>
      </c>
    </row>
    <row r="83" spans="1:39" ht="18" customHeight="1" x14ac:dyDescent="0.35">
      <c r="A83" s="55" t="str" cm="1">
        <f t="array" ref="A83">IFERROR(INDEX(_xlfn._xlws.FILTER(tblProjectTasks[TaskGroup],(tblProjectTasks[IsWorkPackage]="Yes")*(tblProjectTasks[CaptureStatus]&lt;&gt;"Removed")),ROWS($A$8:A83)),"")</f>
        <v/>
      </c>
      <c r="B83" s="56" t="str" cm="1">
        <f t="array" ref="B83">IFERROR(INDEX(_xlfn._xlws.FILTER(tblProjectTasks[WBSCode],(tblProjectTasks[IsWorkPackage]="Yes")*(tblProjectTasks[CaptureStatus]&lt;&gt;"Removed")),ROWS($B$8:B83)),"")</f>
        <v/>
      </c>
      <c r="C83" s="57" t="str" cm="1">
        <f t="array" ref="C83">IFERROR(INDEX(_xlfn._xlws.FILTER(tblProjectTasks[TaskName],(tblProjectTasks[IsWorkPackage]="Yes")*(tblProjectTasks[CaptureStatus]&lt;&gt;"Removed")),ROWS($C$8:C83)),"")</f>
        <v/>
      </c>
      <c r="D83" s="58" t="str" cm="1">
        <f t="array" ref="D83">_xlfn.LET(_xlpm.x,IFERROR(INDEX(_xlfn._xlws.FILTER(tblProjectTasks[Elapsed Time in Weeks],(tblProjectTasks[IsWorkPackage]="Yes")*(tblProjectTasks[CaptureStatus]&lt;&gt;"Removed")),ROWS($D$8:D83)),""),IF(_xlpm.x=0,"",_xlpm.x))</f>
        <v/>
      </c>
      <c r="E83" s="58" t="str">
        <f>IF($A83="","",IF($D83="",1,$D83))</f>
        <v/>
      </c>
      <c r="F83" s="58" t="str">
        <f>IF($A83="","",IF(ROW()=8,0,$F82+$E82))</f>
        <v/>
      </c>
      <c r="G83" s="58" t="str">
        <f>IF($A83="","",$F83+$E83)</f>
        <v/>
      </c>
      <c r="H83" s="59" t="str">
        <f>IF($A83="","",IF(AND(VALUE(H$7)&gt;$F83,VALUE(H$7)&lt;=$G83),IF($D83="","◇","■"),""))</f>
        <v/>
      </c>
      <c r="I83" s="59" t="str">
        <f>IF($A83="","",IF(AND(VALUE(I$7)&gt;$F83,VALUE(I$7)&lt;=$G83),IF($D83="","◇","■"),""))</f>
        <v/>
      </c>
      <c r="J83" s="59" t="str">
        <f>IF($A83="","",IF(AND(VALUE(J$7)&gt;$F83,VALUE(J$7)&lt;=$G83),IF($D83="","◇","■"),""))</f>
        <v/>
      </c>
      <c r="K83" s="59" t="str">
        <f>IF($A83="","",IF(AND(VALUE(K$7)&gt;$F83,VALUE(K$7)&lt;=$G83),IF($D83="","◇","■"),""))</f>
        <v/>
      </c>
      <c r="L83" s="59" t="str">
        <f>IF($A83="","",IF(AND(VALUE(L$7)&gt;$F83,VALUE(L$7)&lt;=$G83),IF($D83="","◇","■"),""))</f>
        <v/>
      </c>
      <c r="M83" s="59" t="str">
        <f>IF($A83="","",IF(AND(VALUE(M$7)&gt;$F83,VALUE(M$7)&lt;=$G83),IF($D83="","◇","■"),""))</f>
        <v/>
      </c>
      <c r="N83" s="59" t="str">
        <f>IF($A83="","",IF(AND(VALUE(N$7)&gt;$F83,VALUE(N$7)&lt;=$G83),IF($D83="","◇","■"),""))</f>
        <v/>
      </c>
      <c r="O83" s="59" t="str">
        <f>IF($A83="","",IF(AND(VALUE(O$7)&gt;$F83,VALUE(O$7)&lt;=$G83),IF($D83="","◇","■"),""))</f>
        <v/>
      </c>
      <c r="P83" s="59" t="str">
        <f>IF($A83="","",IF(AND(VALUE(P$7)&gt;$F83,VALUE(P$7)&lt;=$G83),IF($D83="","◇","■"),""))</f>
        <v/>
      </c>
      <c r="Q83" s="59" t="str">
        <f>IF($A83="","",IF(AND(VALUE(Q$7)&gt;$F83,VALUE(Q$7)&lt;=$G83),IF($D83="","◇","■"),""))</f>
        <v/>
      </c>
      <c r="R83" s="59" t="str">
        <f>IF($A83="","",IF(AND(VALUE(R$7)&gt;$F83,VALUE(R$7)&lt;=$G83),IF($D83="","◇","■"),""))</f>
        <v/>
      </c>
      <c r="S83" s="59" t="str">
        <f>IF($A83="","",IF(AND(VALUE(S$7)&gt;$F83,VALUE(S$7)&lt;=$G83),IF($D83="","◇","■"),""))</f>
        <v/>
      </c>
      <c r="T83" s="59" t="str">
        <f>IF($A83="","",IF(AND(VALUE(T$7)&gt;$F83,VALUE(T$7)&lt;=$G83),IF($D83="","◇","■"),""))</f>
        <v/>
      </c>
      <c r="U83" s="59" t="str">
        <f>IF($A83="","",IF(AND(VALUE(U$7)&gt;$F83,VALUE(U$7)&lt;=$G83),IF($D83="","◇","■"),""))</f>
        <v/>
      </c>
      <c r="V83" s="59" t="str">
        <f>IF($A83="","",IF(AND(VALUE(V$7)&gt;$F83,VALUE(V$7)&lt;=$G83),IF($D83="","◇","■"),""))</f>
        <v/>
      </c>
      <c r="W83" s="59" t="str">
        <f>IF($A83="","",IF(AND(VALUE(W$7)&gt;$F83,VALUE(W$7)&lt;=$G83),IF($D83="","◇","■"),""))</f>
        <v/>
      </c>
      <c r="X83" s="59" t="str">
        <f>IF($A83="","",IF(AND(VALUE(X$7)&gt;$F83,VALUE(X$7)&lt;=$G83),IF($D83="","◇","■"),""))</f>
        <v/>
      </c>
      <c r="Y83" s="59" t="str">
        <f>IF($A83="","",IF(AND(VALUE(Y$7)&gt;$F83,VALUE(Y$7)&lt;=$G83),IF($D83="","◇","■"),""))</f>
        <v/>
      </c>
      <c r="Z83" s="59" t="str">
        <f>IF($A83="","",IF(AND(VALUE(Z$7)&gt;$F83,VALUE(Z$7)&lt;=$G83),IF($D83="","◇","■"),""))</f>
        <v/>
      </c>
      <c r="AA83" s="59" t="str">
        <f>IF($A83="","",IF(AND(VALUE(AA$7)&gt;$F83,VALUE(AA$7)&lt;=$G83),IF($D83="","◇","■"),""))</f>
        <v/>
      </c>
      <c r="AB83" s="59" t="str">
        <f>IF($A83="","",IF(AND(VALUE(AB$7)&gt;$F83,VALUE(AB$7)&lt;=$G83),IF($D83="","◇","■"),""))</f>
        <v/>
      </c>
      <c r="AC83" s="59" t="str">
        <f>IF($A83="","",IF(AND(VALUE(AC$7)&gt;$F83,VALUE(AC$7)&lt;=$G83),IF($D83="","◇","■"),""))</f>
        <v/>
      </c>
      <c r="AD83" s="59" t="str">
        <f>IF($A83="","",IF(AND(VALUE(AD$7)&gt;$F83,VALUE(AD$7)&lt;=$G83),IF($D83="","◇","■"),""))</f>
        <v/>
      </c>
      <c r="AE83" s="59" t="str">
        <f>IF($A83="","",IF(AND(VALUE(AE$7)&gt;$F83,VALUE(AE$7)&lt;=$G83),IF($D83="","◇","■"),""))</f>
        <v/>
      </c>
      <c r="AF83" s="59" t="str">
        <f>IF($A83="","",IF(AND(VALUE(AF$7)&gt;$F83,VALUE(AF$7)&lt;=$G83),IF($D83="","◇","■"),""))</f>
        <v/>
      </c>
      <c r="AG83" s="59" t="str">
        <f>IF($A83="","",IF(AND(VALUE(AG$7)&gt;$F83,VALUE(AG$7)&lt;=$G83),IF($D83="","◇","■"),""))</f>
        <v/>
      </c>
      <c r="AH83" s="59" t="str">
        <f>IF($A83="","",IF(AND(VALUE(AH$7)&gt;$F83,VALUE(AH$7)&lt;=$G83),IF($D83="","◇","■"),""))</f>
        <v/>
      </c>
      <c r="AI83" s="59" t="str">
        <f>IF($A83="","",IF(AND(VALUE(AI$7)&gt;$F83,VALUE(AI$7)&lt;=$G83),IF($D83="","◇","■"),""))</f>
        <v/>
      </c>
      <c r="AJ83" s="59" t="str">
        <f>IF($A83="","",IF(AND(VALUE(AJ$7)&gt;$F83,VALUE(AJ$7)&lt;=$G83),IF($D83="","◇","■"),""))</f>
        <v/>
      </c>
      <c r="AK83" s="59" t="str">
        <f>IF($A83="","",IF(AND(VALUE(AK$7)&gt;$F83,VALUE(AK$7)&lt;=$G83),IF($D83="","◇","■"),""))</f>
        <v/>
      </c>
      <c r="AL83" s="59" t="str">
        <f>IF($A83="","",IF(AND(VALUE(AL$7)&gt;$F83,VALUE(AL$7)&lt;=$G83),IF($D83="","◇","■"),""))</f>
        <v/>
      </c>
      <c r="AM83" s="59" t="str">
        <f>IF($A83="","",IF(AND(VALUE(AM$7)&gt;$F83,VALUE(AM$7)&lt;=$G83),IF($D83="","◇","■"),""))</f>
        <v/>
      </c>
    </row>
    <row r="84" spans="1:39" ht="18" customHeight="1" x14ac:dyDescent="0.35">
      <c r="A84" s="55" t="str" cm="1">
        <f t="array" ref="A84">IFERROR(INDEX(_xlfn._xlws.FILTER(tblProjectTasks[TaskGroup],(tblProjectTasks[IsWorkPackage]="Yes")*(tblProjectTasks[CaptureStatus]&lt;&gt;"Removed")),ROWS($A$8:A84)),"")</f>
        <v/>
      </c>
      <c r="B84" s="56" t="str" cm="1">
        <f t="array" ref="B84">IFERROR(INDEX(_xlfn._xlws.FILTER(tblProjectTasks[WBSCode],(tblProjectTasks[IsWorkPackage]="Yes")*(tblProjectTasks[CaptureStatus]&lt;&gt;"Removed")),ROWS($B$8:B84)),"")</f>
        <v/>
      </c>
      <c r="C84" s="57" t="str" cm="1">
        <f t="array" ref="C84">IFERROR(INDEX(_xlfn._xlws.FILTER(tblProjectTasks[TaskName],(tblProjectTasks[IsWorkPackage]="Yes")*(tblProjectTasks[CaptureStatus]&lt;&gt;"Removed")),ROWS($C$8:C84)),"")</f>
        <v/>
      </c>
      <c r="D84" s="58" t="str" cm="1">
        <f t="array" ref="D84">_xlfn.LET(_xlpm.x,IFERROR(INDEX(_xlfn._xlws.FILTER(tblProjectTasks[Elapsed Time in Weeks],(tblProjectTasks[IsWorkPackage]="Yes")*(tblProjectTasks[CaptureStatus]&lt;&gt;"Removed")),ROWS($D$8:D84)),""),IF(_xlpm.x=0,"",_xlpm.x))</f>
        <v/>
      </c>
      <c r="E84" s="58" t="str">
        <f>IF($A84="","",IF($D84="",1,$D84))</f>
        <v/>
      </c>
      <c r="F84" s="58" t="str">
        <f>IF($A84="","",IF(ROW()=8,0,$F83+$E83))</f>
        <v/>
      </c>
      <c r="G84" s="58" t="str">
        <f>IF($A84="","",$F84+$E84)</f>
        <v/>
      </c>
      <c r="H84" s="59" t="str">
        <f>IF($A84="","",IF(AND(VALUE(H$7)&gt;$F84,VALUE(H$7)&lt;=$G84),IF($D84="","◇","■"),""))</f>
        <v/>
      </c>
      <c r="I84" s="59" t="str">
        <f>IF($A84="","",IF(AND(VALUE(I$7)&gt;$F84,VALUE(I$7)&lt;=$G84),IF($D84="","◇","■"),""))</f>
        <v/>
      </c>
      <c r="J84" s="59" t="str">
        <f>IF($A84="","",IF(AND(VALUE(J$7)&gt;$F84,VALUE(J$7)&lt;=$G84),IF($D84="","◇","■"),""))</f>
        <v/>
      </c>
      <c r="K84" s="59" t="str">
        <f>IF($A84="","",IF(AND(VALUE(K$7)&gt;$F84,VALUE(K$7)&lt;=$G84),IF($D84="","◇","■"),""))</f>
        <v/>
      </c>
      <c r="L84" s="59" t="str">
        <f>IF($A84="","",IF(AND(VALUE(L$7)&gt;$F84,VALUE(L$7)&lt;=$G84),IF($D84="","◇","■"),""))</f>
        <v/>
      </c>
      <c r="M84" s="59" t="str">
        <f>IF($A84="","",IF(AND(VALUE(M$7)&gt;$F84,VALUE(M$7)&lt;=$G84),IF($D84="","◇","■"),""))</f>
        <v/>
      </c>
      <c r="N84" s="59" t="str">
        <f>IF($A84="","",IF(AND(VALUE(N$7)&gt;$F84,VALUE(N$7)&lt;=$G84),IF($D84="","◇","■"),""))</f>
        <v/>
      </c>
      <c r="O84" s="59" t="str">
        <f>IF($A84="","",IF(AND(VALUE(O$7)&gt;$F84,VALUE(O$7)&lt;=$G84),IF($D84="","◇","■"),""))</f>
        <v/>
      </c>
      <c r="P84" s="59" t="str">
        <f>IF($A84="","",IF(AND(VALUE(P$7)&gt;$F84,VALUE(P$7)&lt;=$G84),IF($D84="","◇","■"),""))</f>
        <v/>
      </c>
      <c r="Q84" s="59" t="str">
        <f>IF($A84="","",IF(AND(VALUE(Q$7)&gt;$F84,VALUE(Q$7)&lt;=$G84),IF($D84="","◇","■"),""))</f>
        <v/>
      </c>
      <c r="R84" s="59" t="str">
        <f>IF($A84="","",IF(AND(VALUE(R$7)&gt;$F84,VALUE(R$7)&lt;=$G84),IF($D84="","◇","■"),""))</f>
        <v/>
      </c>
      <c r="S84" s="59" t="str">
        <f>IF($A84="","",IF(AND(VALUE(S$7)&gt;$F84,VALUE(S$7)&lt;=$G84),IF($D84="","◇","■"),""))</f>
        <v/>
      </c>
      <c r="T84" s="59" t="str">
        <f>IF($A84="","",IF(AND(VALUE(T$7)&gt;$F84,VALUE(T$7)&lt;=$G84),IF($D84="","◇","■"),""))</f>
        <v/>
      </c>
      <c r="U84" s="59" t="str">
        <f>IF($A84="","",IF(AND(VALUE(U$7)&gt;$F84,VALUE(U$7)&lt;=$G84),IF($D84="","◇","■"),""))</f>
        <v/>
      </c>
      <c r="V84" s="59" t="str">
        <f>IF($A84="","",IF(AND(VALUE(V$7)&gt;$F84,VALUE(V$7)&lt;=$G84),IF($D84="","◇","■"),""))</f>
        <v/>
      </c>
      <c r="W84" s="59" t="str">
        <f>IF($A84="","",IF(AND(VALUE(W$7)&gt;$F84,VALUE(W$7)&lt;=$G84),IF($D84="","◇","■"),""))</f>
        <v/>
      </c>
      <c r="X84" s="59" t="str">
        <f>IF($A84="","",IF(AND(VALUE(X$7)&gt;$F84,VALUE(X$7)&lt;=$G84),IF($D84="","◇","■"),""))</f>
        <v/>
      </c>
      <c r="Y84" s="59" t="str">
        <f>IF($A84="","",IF(AND(VALUE(Y$7)&gt;$F84,VALUE(Y$7)&lt;=$G84),IF($D84="","◇","■"),""))</f>
        <v/>
      </c>
      <c r="Z84" s="59" t="str">
        <f>IF($A84="","",IF(AND(VALUE(Z$7)&gt;$F84,VALUE(Z$7)&lt;=$G84),IF($D84="","◇","■"),""))</f>
        <v/>
      </c>
      <c r="AA84" s="59" t="str">
        <f>IF($A84="","",IF(AND(VALUE(AA$7)&gt;$F84,VALUE(AA$7)&lt;=$G84),IF($D84="","◇","■"),""))</f>
        <v/>
      </c>
      <c r="AB84" s="59" t="str">
        <f>IF($A84="","",IF(AND(VALUE(AB$7)&gt;$F84,VALUE(AB$7)&lt;=$G84),IF($D84="","◇","■"),""))</f>
        <v/>
      </c>
      <c r="AC84" s="59" t="str">
        <f>IF($A84="","",IF(AND(VALUE(AC$7)&gt;$F84,VALUE(AC$7)&lt;=$G84),IF($D84="","◇","■"),""))</f>
        <v/>
      </c>
      <c r="AD84" s="59" t="str">
        <f>IF($A84="","",IF(AND(VALUE(AD$7)&gt;$F84,VALUE(AD$7)&lt;=$G84),IF($D84="","◇","■"),""))</f>
        <v/>
      </c>
      <c r="AE84" s="59" t="str">
        <f>IF($A84="","",IF(AND(VALUE(AE$7)&gt;$F84,VALUE(AE$7)&lt;=$G84),IF($D84="","◇","■"),""))</f>
        <v/>
      </c>
      <c r="AF84" s="59" t="str">
        <f>IF($A84="","",IF(AND(VALUE(AF$7)&gt;$F84,VALUE(AF$7)&lt;=$G84),IF($D84="","◇","■"),""))</f>
        <v/>
      </c>
      <c r="AG84" s="59" t="str">
        <f>IF($A84="","",IF(AND(VALUE(AG$7)&gt;$F84,VALUE(AG$7)&lt;=$G84),IF($D84="","◇","■"),""))</f>
        <v/>
      </c>
      <c r="AH84" s="59" t="str">
        <f>IF($A84="","",IF(AND(VALUE(AH$7)&gt;$F84,VALUE(AH$7)&lt;=$G84),IF($D84="","◇","■"),""))</f>
        <v/>
      </c>
      <c r="AI84" s="59" t="str">
        <f>IF($A84="","",IF(AND(VALUE(AI$7)&gt;$F84,VALUE(AI$7)&lt;=$G84),IF($D84="","◇","■"),""))</f>
        <v/>
      </c>
      <c r="AJ84" s="59" t="str">
        <f>IF($A84="","",IF(AND(VALUE(AJ$7)&gt;$F84,VALUE(AJ$7)&lt;=$G84),IF($D84="","◇","■"),""))</f>
        <v/>
      </c>
      <c r="AK84" s="59" t="str">
        <f>IF($A84="","",IF(AND(VALUE(AK$7)&gt;$F84,VALUE(AK$7)&lt;=$G84),IF($D84="","◇","■"),""))</f>
        <v/>
      </c>
      <c r="AL84" s="59" t="str">
        <f>IF($A84="","",IF(AND(VALUE(AL$7)&gt;$F84,VALUE(AL$7)&lt;=$G84),IF($D84="","◇","■"),""))</f>
        <v/>
      </c>
      <c r="AM84" s="59" t="str">
        <f>IF($A84="","",IF(AND(VALUE(AM$7)&gt;$F84,VALUE(AM$7)&lt;=$G84),IF($D84="","◇","■"),""))</f>
        <v/>
      </c>
    </row>
    <row r="85" spans="1:39" ht="18" customHeight="1" x14ac:dyDescent="0.35">
      <c r="A85" s="55" t="str" cm="1">
        <f t="array" ref="A85">IFERROR(INDEX(_xlfn._xlws.FILTER(tblProjectTasks[TaskGroup],(tblProjectTasks[IsWorkPackage]="Yes")*(tblProjectTasks[CaptureStatus]&lt;&gt;"Removed")),ROWS($A$8:A85)),"")</f>
        <v/>
      </c>
      <c r="B85" s="56" t="str" cm="1">
        <f t="array" ref="B85">IFERROR(INDEX(_xlfn._xlws.FILTER(tblProjectTasks[WBSCode],(tblProjectTasks[IsWorkPackage]="Yes")*(tblProjectTasks[CaptureStatus]&lt;&gt;"Removed")),ROWS($B$8:B85)),"")</f>
        <v/>
      </c>
      <c r="C85" s="57" t="str" cm="1">
        <f t="array" ref="C85">IFERROR(INDEX(_xlfn._xlws.FILTER(tblProjectTasks[TaskName],(tblProjectTasks[IsWorkPackage]="Yes")*(tblProjectTasks[CaptureStatus]&lt;&gt;"Removed")),ROWS($C$8:C85)),"")</f>
        <v/>
      </c>
      <c r="D85" s="58" t="str" cm="1">
        <f t="array" ref="D85">_xlfn.LET(_xlpm.x,IFERROR(INDEX(_xlfn._xlws.FILTER(tblProjectTasks[Elapsed Time in Weeks],(tblProjectTasks[IsWorkPackage]="Yes")*(tblProjectTasks[CaptureStatus]&lt;&gt;"Removed")),ROWS($D$8:D85)),""),IF(_xlpm.x=0,"",_xlpm.x))</f>
        <v/>
      </c>
      <c r="E85" s="58" t="str">
        <f>IF($A85="","",IF($D85="",1,$D85))</f>
        <v/>
      </c>
      <c r="F85" s="58" t="str">
        <f>IF($A85="","",IF(ROW()=8,0,$F84+$E84))</f>
        <v/>
      </c>
      <c r="G85" s="58" t="str">
        <f>IF($A85="","",$F85+$E85)</f>
        <v/>
      </c>
      <c r="H85" s="59" t="str">
        <f>IF($A85="","",IF(AND(VALUE(H$7)&gt;$F85,VALUE(H$7)&lt;=$G85),IF($D85="","◇","■"),""))</f>
        <v/>
      </c>
      <c r="I85" s="59" t="str">
        <f>IF($A85="","",IF(AND(VALUE(I$7)&gt;$F85,VALUE(I$7)&lt;=$G85),IF($D85="","◇","■"),""))</f>
        <v/>
      </c>
      <c r="J85" s="59" t="str">
        <f>IF($A85="","",IF(AND(VALUE(J$7)&gt;$F85,VALUE(J$7)&lt;=$G85),IF($D85="","◇","■"),""))</f>
        <v/>
      </c>
      <c r="K85" s="59" t="str">
        <f>IF($A85="","",IF(AND(VALUE(K$7)&gt;$F85,VALUE(K$7)&lt;=$G85),IF($D85="","◇","■"),""))</f>
        <v/>
      </c>
      <c r="L85" s="59" t="str">
        <f>IF($A85="","",IF(AND(VALUE(L$7)&gt;$F85,VALUE(L$7)&lt;=$G85),IF($D85="","◇","■"),""))</f>
        <v/>
      </c>
      <c r="M85" s="59" t="str">
        <f>IF($A85="","",IF(AND(VALUE(M$7)&gt;$F85,VALUE(M$7)&lt;=$G85),IF($D85="","◇","■"),""))</f>
        <v/>
      </c>
      <c r="N85" s="59" t="str">
        <f>IF($A85="","",IF(AND(VALUE(N$7)&gt;$F85,VALUE(N$7)&lt;=$G85),IF($D85="","◇","■"),""))</f>
        <v/>
      </c>
      <c r="O85" s="59" t="str">
        <f>IF($A85="","",IF(AND(VALUE(O$7)&gt;$F85,VALUE(O$7)&lt;=$G85),IF($D85="","◇","■"),""))</f>
        <v/>
      </c>
      <c r="P85" s="59" t="str">
        <f>IF($A85="","",IF(AND(VALUE(P$7)&gt;$F85,VALUE(P$7)&lt;=$G85),IF($D85="","◇","■"),""))</f>
        <v/>
      </c>
      <c r="Q85" s="59" t="str">
        <f>IF($A85="","",IF(AND(VALUE(Q$7)&gt;$F85,VALUE(Q$7)&lt;=$G85),IF($D85="","◇","■"),""))</f>
        <v/>
      </c>
      <c r="R85" s="59" t="str">
        <f>IF($A85="","",IF(AND(VALUE(R$7)&gt;$F85,VALUE(R$7)&lt;=$G85),IF($D85="","◇","■"),""))</f>
        <v/>
      </c>
      <c r="S85" s="59" t="str">
        <f>IF($A85="","",IF(AND(VALUE(S$7)&gt;$F85,VALUE(S$7)&lt;=$G85),IF($D85="","◇","■"),""))</f>
        <v/>
      </c>
      <c r="T85" s="59" t="str">
        <f>IF($A85="","",IF(AND(VALUE(T$7)&gt;$F85,VALUE(T$7)&lt;=$G85),IF($D85="","◇","■"),""))</f>
        <v/>
      </c>
      <c r="U85" s="59" t="str">
        <f>IF($A85="","",IF(AND(VALUE(U$7)&gt;$F85,VALUE(U$7)&lt;=$G85),IF($D85="","◇","■"),""))</f>
        <v/>
      </c>
      <c r="V85" s="59" t="str">
        <f>IF($A85="","",IF(AND(VALUE(V$7)&gt;$F85,VALUE(V$7)&lt;=$G85),IF($D85="","◇","■"),""))</f>
        <v/>
      </c>
      <c r="W85" s="59" t="str">
        <f>IF($A85="","",IF(AND(VALUE(W$7)&gt;$F85,VALUE(W$7)&lt;=$G85),IF($D85="","◇","■"),""))</f>
        <v/>
      </c>
      <c r="X85" s="59" t="str">
        <f>IF($A85="","",IF(AND(VALUE(X$7)&gt;$F85,VALUE(X$7)&lt;=$G85),IF($D85="","◇","■"),""))</f>
        <v/>
      </c>
      <c r="Y85" s="59" t="str">
        <f>IF($A85="","",IF(AND(VALUE(Y$7)&gt;$F85,VALUE(Y$7)&lt;=$G85),IF($D85="","◇","■"),""))</f>
        <v/>
      </c>
      <c r="Z85" s="59" t="str">
        <f>IF($A85="","",IF(AND(VALUE(Z$7)&gt;$F85,VALUE(Z$7)&lt;=$G85),IF($D85="","◇","■"),""))</f>
        <v/>
      </c>
      <c r="AA85" s="59" t="str">
        <f>IF($A85="","",IF(AND(VALUE(AA$7)&gt;$F85,VALUE(AA$7)&lt;=$G85),IF($D85="","◇","■"),""))</f>
        <v/>
      </c>
      <c r="AB85" s="59" t="str">
        <f>IF($A85="","",IF(AND(VALUE(AB$7)&gt;$F85,VALUE(AB$7)&lt;=$G85),IF($D85="","◇","■"),""))</f>
        <v/>
      </c>
      <c r="AC85" s="59" t="str">
        <f>IF($A85="","",IF(AND(VALUE(AC$7)&gt;$F85,VALUE(AC$7)&lt;=$G85),IF($D85="","◇","■"),""))</f>
        <v/>
      </c>
      <c r="AD85" s="59" t="str">
        <f>IF($A85="","",IF(AND(VALUE(AD$7)&gt;$F85,VALUE(AD$7)&lt;=$G85),IF($D85="","◇","■"),""))</f>
        <v/>
      </c>
      <c r="AE85" s="59" t="str">
        <f>IF($A85="","",IF(AND(VALUE(AE$7)&gt;$F85,VALUE(AE$7)&lt;=$G85),IF($D85="","◇","■"),""))</f>
        <v/>
      </c>
      <c r="AF85" s="59" t="str">
        <f>IF($A85="","",IF(AND(VALUE(AF$7)&gt;$F85,VALUE(AF$7)&lt;=$G85),IF($D85="","◇","■"),""))</f>
        <v/>
      </c>
      <c r="AG85" s="59" t="str">
        <f>IF($A85="","",IF(AND(VALUE(AG$7)&gt;$F85,VALUE(AG$7)&lt;=$G85),IF($D85="","◇","■"),""))</f>
        <v/>
      </c>
      <c r="AH85" s="59" t="str">
        <f>IF($A85="","",IF(AND(VALUE(AH$7)&gt;$F85,VALUE(AH$7)&lt;=$G85),IF($D85="","◇","■"),""))</f>
        <v/>
      </c>
      <c r="AI85" s="59" t="str">
        <f>IF($A85="","",IF(AND(VALUE(AI$7)&gt;$F85,VALUE(AI$7)&lt;=$G85),IF($D85="","◇","■"),""))</f>
        <v/>
      </c>
      <c r="AJ85" s="59" t="str">
        <f>IF($A85="","",IF(AND(VALUE(AJ$7)&gt;$F85,VALUE(AJ$7)&lt;=$G85),IF($D85="","◇","■"),""))</f>
        <v/>
      </c>
      <c r="AK85" s="59" t="str">
        <f>IF($A85="","",IF(AND(VALUE(AK$7)&gt;$F85,VALUE(AK$7)&lt;=$G85),IF($D85="","◇","■"),""))</f>
        <v/>
      </c>
      <c r="AL85" s="59" t="str">
        <f>IF($A85="","",IF(AND(VALUE(AL$7)&gt;$F85,VALUE(AL$7)&lt;=$G85),IF($D85="","◇","■"),""))</f>
        <v/>
      </c>
      <c r="AM85" s="59" t="str">
        <f>IF($A85="","",IF(AND(VALUE(AM$7)&gt;$F85,VALUE(AM$7)&lt;=$G85),IF($D85="","◇","■"),""))</f>
        <v/>
      </c>
    </row>
    <row r="86" spans="1:39" ht="18" customHeight="1" x14ac:dyDescent="0.35">
      <c r="A86" s="55" t="str" cm="1">
        <f t="array" ref="A86">IFERROR(INDEX(_xlfn._xlws.FILTER(tblProjectTasks[TaskGroup],(tblProjectTasks[IsWorkPackage]="Yes")*(tblProjectTasks[CaptureStatus]&lt;&gt;"Removed")),ROWS($A$8:A86)),"")</f>
        <v/>
      </c>
      <c r="B86" s="56" t="str" cm="1">
        <f t="array" ref="B86">IFERROR(INDEX(_xlfn._xlws.FILTER(tblProjectTasks[WBSCode],(tblProjectTasks[IsWorkPackage]="Yes")*(tblProjectTasks[CaptureStatus]&lt;&gt;"Removed")),ROWS($B$8:B86)),"")</f>
        <v/>
      </c>
      <c r="C86" s="57" t="str" cm="1">
        <f t="array" ref="C86">IFERROR(INDEX(_xlfn._xlws.FILTER(tblProjectTasks[TaskName],(tblProjectTasks[IsWorkPackage]="Yes")*(tblProjectTasks[CaptureStatus]&lt;&gt;"Removed")),ROWS($C$8:C86)),"")</f>
        <v/>
      </c>
      <c r="D86" s="58" t="str" cm="1">
        <f t="array" ref="D86">_xlfn.LET(_xlpm.x,IFERROR(INDEX(_xlfn._xlws.FILTER(tblProjectTasks[Elapsed Time in Weeks],(tblProjectTasks[IsWorkPackage]="Yes")*(tblProjectTasks[CaptureStatus]&lt;&gt;"Removed")),ROWS($D$8:D86)),""),IF(_xlpm.x=0,"",_xlpm.x))</f>
        <v/>
      </c>
      <c r="E86" s="58" t="str">
        <f>IF($A86="","",IF($D86="",1,$D86))</f>
        <v/>
      </c>
      <c r="F86" s="58" t="str">
        <f>IF($A86="","",IF(ROW()=8,0,$F85+$E85))</f>
        <v/>
      </c>
      <c r="G86" s="58" t="str">
        <f>IF($A86="","",$F86+$E86)</f>
        <v/>
      </c>
      <c r="H86" s="59" t="str">
        <f>IF($A86="","",IF(AND(VALUE(H$7)&gt;$F86,VALUE(H$7)&lt;=$G86),IF($D86="","◇","■"),""))</f>
        <v/>
      </c>
      <c r="I86" s="59" t="str">
        <f>IF($A86="","",IF(AND(VALUE(I$7)&gt;$F86,VALUE(I$7)&lt;=$G86),IF($D86="","◇","■"),""))</f>
        <v/>
      </c>
      <c r="J86" s="59" t="str">
        <f>IF($A86="","",IF(AND(VALUE(J$7)&gt;$F86,VALUE(J$7)&lt;=$G86),IF($D86="","◇","■"),""))</f>
        <v/>
      </c>
      <c r="K86" s="59" t="str">
        <f>IF($A86="","",IF(AND(VALUE(K$7)&gt;$F86,VALUE(K$7)&lt;=$G86),IF($D86="","◇","■"),""))</f>
        <v/>
      </c>
      <c r="L86" s="59" t="str">
        <f>IF($A86="","",IF(AND(VALUE(L$7)&gt;$F86,VALUE(L$7)&lt;=$G86),IF($D86="","◇","■"),""))</f>
        <v/>
      </c>
      <c r="M86" s="59" t="str">
        <f>IF($A86="","",IF(AND(VALUE(M$7)&gt;$F86,VALUE(M$7)&lt;=$G86),IF($D86="","◇","■"),""))</f>
        <v/>
      </c>
      <c r="N86" s="59" t="str">
        <f>IF($A86="","",IF(AND(VALUE(N$7)&gt;$F86,VALUE(N$7)&lt;=$G86),IF($D86="","◇","■"),""))</f>
        <v/>
      </c>
      <c r="O86" s="59" t="str">
        <f>IF($A86="","",IF(AND(VALUE(O$7)&gt;$F86,VALUE(O$7)&lt;=$G86),IF($D86="","◇","■"),""))</f>
        <v/>
      </c>
      <c r="P86" s="59" t="str">
        <f>IF($A86="","",IF(AND(VALUE(P$7)&gt;$F86,VALUE(P$7)&lt;=$G86),IF($D86="","◇","■"),""))</f>
        <v/>
      </c>
      <c r="Q86" s="59" t="str">
        <f>IF($A86="","",IF(AND(VALUE(Q$7)&gt;$F86,VALUE(Q$7)&lt;=$G86),IF($D86="","◇","■"),""))</f>
        <v/>
      </c>
      <c r="R86" s="59" t="str">
        <f>IF($A86="","",IF(AND(VALUE(R$7)&gt;$F86,VALUE(R$7)&lt;=$G86),IF($D86="","◇","■"),""))</f>
        <v/>
      </c>
      <c r="S86" s="59" t="str">
        <f>IF($A86="","",IF(AND(VALUE(S$7)&gt;$F86,VALUE(S$7)&lt;=$G86),IF($D86="","◇","■"),""))</f>
        <v/>
      </c>
      <c r="T86" s="59" t="str">
        <f>IF($A86="","",IF(AND(VALUE(T$7)&gt;$F86,VALUE(T$7)&lt;=$G86),IF($D86="","◇","■"),""))</f>
        <v/>
      </c>
      <c r="U86" s="59" t="str">
        <f>IF($A86="","",IF(AND(VALUE(U$7)&gt;$F86,VALUE(U$7)&lt;=$G86),IF($D86="","◇","■"),""))</f>
        <v/>
      </c>
      <c r="V86" s="59" t="str">
        <f>IF($A86="","",IF(AND(VALUE(V$7)&gt;$F86,VALUE(V$7)&lt;=$G86),IF($D86="","◇","■"),""))</f>
        <v/>
      </c>
      <c r="W86" s="59" t="str">
        <f>IF($A86="","",IF(AND(VALUE(W$7)&gt;$F86,VALUE(W$7)&lt;=$G86),IF($D86="","◇","■"),""))</f>
        <v/>
      </c>
      <c r="X86" s="59" t="str">
        <f>IF($A86="","",IF(AND(VALUE(X$7)&gt;$F86,VALUE(X$7)&lt;=$G86),IF($D86="","◇","■"),""))</f>
        <v/>
      </c>
      <c r="Y86" s="59" t="str">
        <f>IF($A86="","",IF(AND(VALUE(Y$7)&gt;$F86,VALUE(Y$7)&lt;=$G86),IF($D86="","◇","■"),""))</f>
        <v/>
      </c>
      <c r="Z86" s="59" t="str">
        <f>IF($A86="","",IF(AND(VALUE(Z$7)&gt;$F86,VALUE(Z$7)&lt;=$G86),IF($D86="","◇","■"),""))</f>
        <v/>
      </c>
      <c r="AA86" s="59" t="str">
        <f>IF($A86="","",IF(AND(VALUE(AA$7)&gt;$F86,VALUE(AA$7)&lt;=$G86),IF($D86="","◇","■"),""))</f>
        <v/>
      </c>
      <c r="AB86" s="59" t="str">
        <f>IF($A86="","",IF(AND(VALUE(AB$7)&gt;$F86,VALUE(AB$7)&lt;=$G86),IF($D86="","◇","■"),""))</f>
        <v/>
      </c>
      <c r="AC86" s="59" t="str">
        <f>IF($A86="","",IF(AND(VALUE(AC$7)&gt;$F86,VALUE(AC$7)&lt;=$G86),IF($D86="","◇","■"),""))</f>
        <v/>
      </c>
      <c r="AD86" s="59" t="str">
        <f>IF($A86="","",IF(AND(VALUE(AD$7)&gt;$F86,VALUE(AD$7)&lt;=$G86),IF($D86="","◇","■"),""))</f>
        <v/>
      </c>
      <c r="AE86" s="59" t="str">
        <f>IF($A86="","",IF(AND(VALUE(AE$7)&gt;$F86,VALUE(AE$7)&lt;=$G86),IF($D86="","◇","■"),""))</f>
        <v/>
      </c>
      <c r="AF86" s="59" t="str">
        <f>IF($A86="","",IF(AND(VALUE(AF$7)&gt;$F86,VALUE(AF$7)&lt;=$G86),IF($D86="","◇","■"),""))</f>
        <v/>
      </c>
      <c r="AG86" s="59" t="str">
        <f>IF($A86="","",IF(AND(VALUE(AG$7)&gt;$F86,VALUE(AG$7)&lt;=$G86),IF($D86="","◇","■"),""))</f>
        <v/>
      </c>
      <c r="AH86" s="59" t="str">
        <f>IF($A86="","",IF(AND(VALUE(AH$7)&gt;$F86,VALUE(AH$7)&lt;=$G86),IF($D86="","◇","■"),""))</f>
        <v/>
      </c>
      <c r="AI86" s="59" t="str">
        <f>IF($A86="","",IF(AND(VALUE(AI$7)&gt;$F86,VALUE(AI$7)&lt;=$G86),IF($D86="","◇","■"),""))</f>
        <v/>
      </c>
      <c r="AJ86" s="59" t="str">
        <f>IF($A86="","",IF(AND(VALUE(AJ$7)&gt;$F86,VALUE(AJ$7)&lt;=$G86),IF($D86="","◇","■"),""))</f>
        <v/>
      </c>
      <c r="AK86" s="59" t="str">
        <f>IF($A86="","",IF(AND(VALUE(AK$7)&gt;$F86,VALUE(AK$7)&lt;=$G86),IF($D86="","◇","■"),""))</f>
        <v/>
      </c>
      <c r="AL86" s="59" t="str">
        <f>IF($A86="","",IF(AND(VALUE(AL$7)&gt;$F86,VALUE(AL$7)&lt;=$G86),IF($D86="","◇","■"),""))</f>
        <v/>
      </c>
      <c r="AM86" s="59" t="str">
        <f>IF($A86="","",IF(AND(VALUE(AM$7)&gt;$F86,VALUE(AM$7)&lt;=$G86),IF($D86="","◇","■"),""))</f>
        <v/>
      </c>
    </row>
    <row r="87" spans="1:39" ht="18" customHeight="1" x14ac:dyDescent="0.35">
      <c r="A87" s="55" t="str" cm="1">
        <f t="array" ref="A87">IFERROR(INDEX(_xlfn._xlws.FILTER(tblProjectTasks[TaskGroup],(tblProjectTasks[IsWorkPackage]="Yes")*(tblProjectTasks[CaptureStatus]&lt;&gt;"Removed")),ROWS($A$8:A87)),"")</f>
        <v/>
      </c>
      <c r="B87" s="56" t="str" cm="1">
        <f t="array" ref="B87">IFERROR(INDEX(_xlfn._xlws.FILTER(tblProjectTasks[WBSCode],(tblProjectTasks[IsWorkPackage]="Yes")*(tblProjectTasks[CaptureStatus]&lt;&gt;"Removed")),ROWS($B$8:B87)),"")</f>
        <v/>
      </c>
      <c r="C87" s="57" t="str" cm="1">
        <f t="array" ref="C87">IFERROR(INDEX(_xlfn._xlws.FILTER(tblProjectTasks[TaskName],(tblProjectTasks[IsWorkPackage]="Yes")*(tblProjectTasks[CaptureStatus]&lt;&gt;"Removed")),ROWS($C$8:C87)),"")</f>
        <v/>
      </c>
      <c r="D87" s="58" t="str" cm="1">
        <f t="array" ref="D87">_xlfn.LET(_xlpm.x,IFERROR(INDEX(_xlfn._xlws.FILTER(tblProjectTasks[Elapsed Time in Weeks],(tblProjectTasks[IsWorkPackage]="Yes")*(tblProjectTasks[CaptureStatus]&lt;&gt;"Removed")),ROWS($D$8:D87)),""),IF(_xlpm.x=0,"",_xlpm.x))</f>
        <v/>
      </c>
      <c r="E87" s="58" t="str">
        <f>IF($A87="","",IF($D87="",1,$D87))</f>
        <v/>
      </c>
      <c r="F87" s="58" t="str">
        <f>IF($A87="","",IF(ROW()=8,0,$F86+$E86))</f>
        <v/>
      </c>
      <c r="G87" s="58" t="str">
        <f>IF($A87="","",$F87+$E87)</f>
        <v/>
      </c>
      <c r="H87" s="59" t="str">
        <f>IF($A87="","",IF(AND(VALUE(H$7)&gt;$F87,VALUE(H$7)&lt;=$G87),IF($D87="","◇","■"),""))</f>
        <v/>
      </c>
      <c r="I87" s="59" t="str">
        <f>IF($A87="","",IF(AND(VALUE(I$7)&gt;$F87,VALUE(I$7)&lt;=$G87),IF($D87="","◇","■"),""))</f>
        <v/>
      </c>
      <c r="J87" s="59" t="str">
        <f>IF($A87="","",IF(AND(VALUE(J$7)&gt;$F87,VALUE(J$7)&lt;=$G87),IF($D87="","◇","■"),""))</f>
        <v/>
      </c>
      <c r="K87" s="59" t="str">
        <f>IF($A87="","",IF(AND(VALUE(K$7)&gt;$F87,VALUE(K$7)&lt;=$G87),IF($D87="","◇","■"),""))</f>
        <v/>
      </c>
      <c r="L87" s="59" t="str">
        <f>IF($A87="","",IF(AND(VALUE(L$7)&gt;$F87,VALUE(L$7)&lt;=$G87),IF($D87="","◇","■"),""))</f>
        <v/>
      </c>
      <c r="M87" s="59" t="str">
        <f>IF($A87="","",IF(AND(VALUE(M$7)&gt;$F87,VALUE(M$7)&lt;=$G87),IF($D87="","◇","■"),""))</f>
        <v/>
      </c>
      <c r="N87" s="59" t="str">
        <f>IF($A87="","",IF(AND(VALUE(N$7)&gt;$F87,VALUE(N$7)&lt;=$G87),IF($D87="","◇","■"),""))</f>
        <v/>
      </c>
      <c r="O87" s="59" t="str">
        <f>IF($A87="","",IF(AND(VALUE(O$7)&gt;$F87,VALUE(O$7)&lt;=$G87),IF($D87="","◇","■"),""))</f>
        <v/>
      </c>
      <c r="P87" s="59" t="str">
        <f>IF($A87="","",IF(AND(VALUE(P$7)&gt;$F87,VALUE(P$7)&lt;=$G87),IF($D87="","◇","■"),""))</f>
        <v/>
      </c>
      <c r="Q87" s="59" t="str">
        <f>IF($A87="","",IF(AND(VALUE(Q$7)&gt;$F87,VALUE(Q$7)&lt;=$G87),IF($D87="","◇","■"),""))</f>
        <v/>
      </c>
      <c r="R87" s="59" t="str">
        <f>IF($A87="","",IF(AND(VALUE(R$7)&gt;$F87,VALUE(R$7)&lt;=$G87),IF($D87="","◇","■"),""))</f>
        <v/>
      </c>
      <c r="S87" s="59" t="str">
        <f>IF($A87="","",IF(AND(VALUE(S$7)&gt;$F87,VALUE(S$7)&lt;=$G87),IF($D87="","◇","■"),""))</f>
        <v/>
      </c>
      <c r="T87" s="59" t="str">
        <f>IF($A87="","",IF(AND(VALUE(T$7)&gt;$F87,VALUE(T$7)&lt;=$G87),IF($D87="","◇","■"),""))</f>
        <v/>
      </c>
      <c r="U87" s="59" t="str">
        <f>IF($A87="","",IF(AND(VALUE(U$7)&gt;$F87,VALUE(U$7)&lt;=$G87),IF($D87="","◇","■"),""))</f>
        <v/>
      </c>
      <c r="V87" s="59" t="str">
        <f>IF($A87="","",IF(AND(VALUE(V$7)&gt;$F87,VALUE(V$7)&lt;=$G87),IF($D87="","◇","■"),""))</f>
        <v/>
      </c>
      <c r="W87" s="59" t="str">
        <f>IF($A87="","",IF(AND(VALUE(W$7)&gt;$F87,VALUE(W$7)&lt;=$G87),IF($D87="","◇","■"),""))</f>
        <v/>
      </c>
      <c r="X87" s="59" t="str">
        <f>IF($A87="","",IF(AND(VALUE(X$7)&gt;$F87,VALUE(X$7)&lt;=$G87),IF($D87="","◇","■"),""))</f>
        <v/>
      </c>
      <c r="Y87" s="59" t="str">
        <f>IF($A87="","",IF(AND(VALUE(Y$7)&gt;$F87,VALUE(Y$7)&lt;=$G87),IF($D87="","◇","■"),""))</f>
        <v/>
      </c>
      <c r="Z87" s="59" t="str">
        <f>IF($A87="","",IF(AND(VALUE(Z$7)&gt;$F87,VALUE(Z$7)&lt;=$G87),IF($D87="","◇","■"),""))</f>
        <v/>
      </c>
      <c r="AA87" s="59" t="str">
        <f>IF($A87="","",IF(AND(VALUE(AA$7)&gt;$F87,VALUE(AA$7)&lt;=$G87),IF($D87="","◇","■"),""))</f>
        <v/>
      </c>
      <c r="AB87" s="59" t="str">
        <f>IF($A87="","",IF(AND(VALUE(AB$7)&gt;$F87,VALUE(AB$7)&lt;=$G87),IF($D87="","◇","■"),""))</f>
        <v/>
      </c>
      <c r="AC87" s="59" t="str">
        <f>IF($A87="","",IF(AND(VALUE(AC$7)&gt;$F87,VALUE(AC$7)&lt;=$G87),IF($D87="","◇","■"),""))</f>
        <v/>
      </c>
      <c r="AD87" s="59" t="str">
        <f>IF($A87="","",IF(AND(VALUE(AD$7)&gt;$F87,VALUE(AD$7)&lt;=$G87),IF($D87="","◇","■"),""))</f>
        <v/>
      </c>
      <c r="AE87" s="59" t="str">
        <f>IF($A87="","",IF(AND(VALUE(AE$7)&gt;$F87,VALUE(AE$7)&lt;=$G87),IF($D87="","◇","■"),""))</f>
        <v/>
      </c>
      <c r="AF87" s="59" t="str">
        <f>IF($A87="","",IF(AND(VALUE(AF$7)&gt;$F87,VALUE(AF$7)&lt;=$G87),IF($D87="","◇","■"),""))</f>
        <v/>
      </c>
      <c r="AG87" s="59" t="str">
        <f>IF($A87="","",IF(AND(VALUE(AG$7)&gt;$F87,VALUE(AG$7)&lt;=$G87),IF($D87="","◇","■"),""))</f>
        <v/>
      </c>
      <c r="AH87" s="59" t="str">
        <f>IF($A87="","",IF(AND(VALUE(AH$7)&gt;$F87,VALUE(AH$7)&lt;=$G87),IF($D87="","◇","■"),""))</f>
        <v/>
      </c>
      <c r="AI87" s="59" t="str">
        <f>IF($A87="","",IF(AND(VALUE(AI$7)&gt;$F87,VALUE(AI$7)&lt;=$G87),IF($D87="","◇","■"),""))</f>
        <v/>
      </c>
      <c r="AJ87" s="59" t="str">
        <f>IF($A87="","",IF(AND(VALUE(AJ$7)&gt;$F87,VALUE(AJ$7)&lt;=$G87),IF($D87="","◇","■"),""))</f>
        <v/>
      </c>
      <c r="AK87" s="59" t="str">
        <f>IF($A87="","",IF(AND(VALUE(AK$7)&gt;$F87,VALUE(AK$7)&lt;=$G87),IF($D87="","◇","■"),""))</f>
        <v/>
      </c>
      <c r="AL87" s="59" t="str">
        <f>IF($A87="","",IF(AND(VALUE(AL$7)&gt;$F87,VALUE(AL$7)&lt;=$G87),IF($D87="","◇","■"),""))</f>
        <v/>
      </c>
      <c r="AM87" s="59" t="str">
        <f>IF($A87="","",IF(AND(VALUE(AM$7)&gt;$F87,VALUE(AM$7)&lt;=$G87),IF($D87="","◇","■"),""))</f>
        <v/>
      </c>
    </row>
    <row r="88" spans="1:39" ht="18" customHeight="1" x14ac:dyDescent="0.35">
      <c r="A88" s="55" t="str" cm="1">
        <f t="array" ref="A88">IFERROR(INDEX(_xlfn._xlws.FILTER(tblProjectTasks[TaskGroup],(tblProjectTasks[IsWorkPackage]="Yes")*(tblProjectTasks[CaptureStatus]&lt;&gt;"Removed")),ROWS($A$8:A88)),"")</f>
        <v/>
      </c>
      <c r="B88" s="56" t="str" cm="1">
        <f t="array" ref="B88">IFERROR(INDEX(_xlfn._xlws.FILTER(tblProjectTasks[WBSCode],(tblProjectTasks[IsWorkPackage]="Yes")*(tblProjectTasks[CaptureStatus]&lt;&gt;"Removed")),ROWS($B$8:B88)),"")</f>
        <v/>
      </c>
      <c r="C88" s="57" t="str" cm="1">
        <f t="array" ref="C88">IFERROR(INDEX(_xlfn._xlws.FILTER(tblProjectTasks[TaskName],(tblProjectTasks[IsWorkPackage]="Yes")*(tblProjectTasks[CaptureStatus]&lt;&gt;"Removed")),ROWS($C$8:C88)),"")</f>
        <v/>
      </c>
      <c r="D88" s="58" t="str" cm="1">
        <f t="array" ref="D88">_xlfn.LET(_xlpm.x,IFERROR(INDEX(_xlfn._xlws.FILTER(tblProjectTasks[Elapsed Time in Weeks],(tblProjectTasks[IsWorkPackage]="Yes")*(tblProjectTasks[CaptureStatus]&lt;&gt;"Removed")),ROWS($D$8:D88)),""),IF(_xlpm.x=0,"",_xlpm.x))</f>
        <v/>
      </c>
      <c r="E88" s="58" t="str">
        <f>IF($A88="","",IF($D88="",1,$D88))</f>
        <v/>
      </c>
      <c r="F88" s="58" t="str">
        <f>IF($A88="","",IF(ROW()=8,0,$F87+$E87))</f>
        <v/>
      </c>
      <c r="G88" s="58" t="str">
        <f>IF($A88="","",$F88+$E88)</f>
        <v/>
      </c>
      <c r="H88" s="59" t="str">
        <f>IF($A88="","",IF(AND(VALUE(H$7)&gt;$F88,VALUE(H$7)&lt;=$G88),IF($D88="","◇","■"),""))</f>
        <v/>
      </c>
      <c r="I88" s="59" t="str">
        <f>IF($A88="","",IF(AND(VALUE(I$7)&gt;$F88,VALUE(I$7)&lt;=$G88),IF($D88="","◇","■"),""))</f>
        <v/>
      </c>
      <c r="J88" s="59" t="str">
        <f>IF($A88="","",IF(AND(VALUE(J$7)&gt;$F88,VALUE(J$7)&lt;=$G88),IF($D88="","◇","■"),""))</f>
        <v/>
      </c>
      <c r="K88" s="59" t="str">
        <f>IF($A88="","",IF(AND(VALUE(K$7)&gt;$F88,VALUE(K$7)&lt;=$G88),IF($D88="","◇","■"),""))</f>
        <v/>
      </c>
      <c r="L88" s="59" t="str">
        <f>IF($A88="","",IF(AND(VALUE(L$7)&gt;$F88,VALUE(L$7)&lt;=$G88),IF($D88="","◇","■"),""))</f>
        <v/>
      </c>
      <c r="M88" s="59" t="str">
        <f>IF($A88="","",IF(AND(VALUE(M$7)&gt;$F88,VALUE(M$7)&lt;=$G88),IF($D88="","◇","■"),""))</f>
        <v/>
      </c>
      <c r="N88" s="59" t="str">
        <f>IF($A88="","",IF(AND(VALUE(N$7)&gt;$F88,VALUE(N$7)&lt;=$G88),IF($D88="","◇","■"),""))</f>
        <v/>
      </c>
      <c r="O88" s="59" t="str">
        <f>IF($A88="","",IF(AND(VALUE(O$7)&gt;$F88,VALUE(O$7)&lt;=$G88),IF($D88="","◇","■"),""))</f>
        <v/>
      </c>
      <c r="P88" s="59" t="str">
        <f>IF($A88="","",IF(AND(VALUE(P$7)&gt;$F88,VALUE(P$7)&lt;=$G88),IF($D88="","◇","■"),""))</f>
        <v/>
      </c>
      <c r="Q88" s="59" t="str">
        <f>IF($A88="","",IF(AND(VALUE(Q$7)&gt;$F88,VALUE(Q$7)&lt;=$G88),IF($D88="","◇","■"),""))</f>
        <v/>
      </c>
      <c r="R88" s="59" t="str">
        <f>IF($A88="","",IF(AND(VALUE(R$7)&gt;$F88,VALUE(R$7)&lt;=$G88),IF($D88="","◇","■"),""))</f>
        <v/>
      </c>
      <c r="S88" s="59" t="str">
        <f>IF($A88="","",IF(AND(VALUE(S$7)&gt;$F88,VALUE(S$7)&lt;=$G88),IF($D88="","◇","■"),""))</f>
        <v/>
      </c>
      <c r="T88" s="59" t="str">
        <f>IF($A88="","",IF(AND(VALUE(T$7)&gt;$F88,VALUE(T$7)&lt;=$G88),IF($D88="","◇","■"),""))</f>
        <v/>
      </c>
      <c r="U88" s="59" t="str">
        <f>IF($A88="","",IF(AND(VALUE(U$7)&gt;$F88,VALUE(U$7)&lt;=$G88),IF($D88="","◇","■"),""))</f>
        <v/>
      </c>
      <c r="V88" s="59" t="str">
        <f>IF($A88="","",IF(AND(VALUE(V$7)&gt;$F88,VALUE(V$7)&lt;=$G88),IF($D88="","◇","■"),""))</f>
        <v/>
      </c>
      <c r="W88" s="59" t="str">
        <f>IF($A88="","",IF(AND(VALUE(W$7)&gt;$F88,VALUE(W$7)&lt;=$G88),IF($D88="","◇","■"),""))</f>
        <v/>
      </c>
      <c r="X88" s="59" t="str">
        <f>IF($A88="","",IF(AND(VALUE(X$7)&gt;$F88,VALUE(X$7)&lt;=$G88),IF($D88="","◇","■"),""))</f>
        <v/>
      </c>
      <c r="Y88" s="59" t="str">
        <f>IF($A88="","",IF(AND(VALUE(Y$7)&gt;$F88,VALUE(Y$7)&lt;=$G88),IF($D88="","◇","■"),""))</f>
        <v/>
      </c>
      <c r="Z88" s="59" t="str">
        <f>IF($A88="","",IF(AND(VALUE(Z$7)&gt;$F88,VALUE(Z$7)&lt;=$G88),IF($D88="","◇","■"),""))</f>
        <v/>
      </c>
      <c r="AA88" s="59" t="str">
        <f>IF($A88="","",IF(AND(VALUE(AA$7)&gt;$F88,VALUE(AA$7)&lt;=$G88),IF($D88="","◇","■"),""))</f>
        <v/>
      </c>
      <c r="AB88" s="59" t="str">
        <f>IF($A88="","",IF(AND(VALUE(AB$7)&gt;$F88,VALUE(AB$7)&lt;=$G88),IF($D88="","◇","■"),""))</f>
        <v/>
      </c>
      <c r="AC88" s="59" t="str">
        <f>IF($A88="","",IF(AND(VALUE(AC$7)&gt;$F88,VALUE(AC$7)&lt;=$G88),IF($D88="","◇","■"),""))</f>
        <v/>
      </c>
      <c r="AD88" s="59" t="str">
        <f>IF($A88="","",IF(AND(VALUE(AD$7)&gt;$F88,VALUE(AD$7)&lt;=$G88),IF($D88="","◇","■"),""))</f>
        <v/>
      </c>
      <c r="AE88" s="59" t="str">
        <f>IF($A88="","",IF(AND(VALUE(AE$7)&gt;$F88,VALUE(AE$7)&lt;=$G88),IF($D88="","◇","■"),""))</f>
        <v/>
      </c>
      <c r="AF88" s="59" t="str">
        <f>IF($A88="","",IF(AND(VALUE(AF$7)&gt;$F88,VALUE(AF$7)&lt;=$G88),IF($D88="","◇","■"),""))</f>
        <v/>
      </c>
      <c r="AG88" s="59" t="str">
        <f>IF($A88="","",IF(AND(VALUE(AG$7)&gt;$F88,VALUE(AG$7)&lt;=$G88),IF($D88="","◇","■"),""))</f>
        <v/>
      </c>
      <c r="AH88" s="59" t="str">
        <f>IF($A88="","",IF(AND(VALUE(AH$7)&gt;$F88,VALUE(AH$7)&lt;=$G88),IF($D88="","◇","■"),""))</f>
        <v/>
      </c>
      <c r="AI88" s="59" t="str">
        <f>IF($A88="","",IF(AND(VALUE(AI$7)&gt;$F88,VALUE(AI$7)&lt;=$G88),IF($D88="","◇","■"),""))</f>
        <v/>
      </c>
      <c r="AJ88" s="59" t="str">
        <f>IF($A88="","",IF(AND(VALUE(AJ$7)&gt;$F88,VALUE(AJ$7)&lt;=$G88),IF($D88="","◇","■"),""))</f>
        <v/>
      </c>
      <c r="AK88" s="59" t="str">
        <f>IF($A88="","",IF(AND(VALUE(AK$7)&gt;$F88,VALUE(AK$7)&lt;=$G88),IF($D88="","◇","■"),""))</f>
        <v/>
      </c>
      <c r="AL88" s="59" t="str">
        <f>IF($A88="","",IF(AND(VALUE(AL$7)&gt;$F88,VALUE(AL$7)&lt;=$G88),IF($D88="","◇","■"),""))</f>
        <v/>
      </c>
      <c r="AM88" s="59" t="str">
        <f>IF($A88="","",IF(AND(VALUE(AM$7)&gt;$F88,VALUE(AM$7)&lt;=$G88),IF($D88="","◇","■"),""))</f>
        <v/>
      </c>
    </row>
    <row r="89" spans="1:39" ht="18" customHeight="1" x14ac:dyDescent="0.35">
      <c r="A89" s="55" t="str" cm="1">
        <f t="array" ref="A89">IFERROR(INDEX(_xlfn._xlws.FILTER(tblProjectTasks[TaskGroup],(tblProjectTasks[IsWorkPackage]="Yes")*(tblProjectTasks[CaptureStatus]&lt;&gt;"Removed")),ROWS($A$8:A89)),"")</f>
        <v/>
      </c>
      <c r="B89" s="56" t="str" cm="1">
        <f t="array" ref="B89">IFERROR(INDEX(_xlfn._xlws.FILTER(tblProjectTasks[WBSCode],(tblProjectTasks[IsWorkPackage]="Yes")*(tblProjectTasks[CaptureStatus]&lt;&gt;"Removed")),ROWS($B$8:B89)),"")</f>
        <v/>
      </c>
      <c r="C89" s="57" t="str" cm="1">
        <f t="array" ref="C89">IFERROR(INDEX(_xlfn._xlws.FILTER(tblProjectTasks[TaskName],(tblProjectTasks[IsWorkPackage]="Yes")*(tblProjectTasks[CaptureStatus]&lt;&gt;"Removed")),ROWS($C$8:C89)),"")</f>
        <v/>
      </c>
      <c r="D89" s="58" t="str" cm="1">
        <f t="array" ref="D89">_xlfn.LET(_xlpm.x,IFERROR(INDEX(_xlfn._xlws.FILTER(tblProjectTasks[Elapsed Time in Weeks],(tblProjectTasks[IsWorkPackage]="Yes")*(tblProjectTasks[CaptureStatus]&lt;&gt;"Removed")),ROWS($D$8:D89)),""),IF(_xlpm.x=0,"",_xlpm.x))</f>
        <v/>
      </c>
      <c r="E89" s="58" t="str">
        <f>IF($A89="","",IF($D89="",1,$D89))</f>
        <v/>
      </c>
      <c r="F89" s="58" t="str">
        <f>IF($A89="","",IF(ROW()=8,0,$F88+$E88))</f>
        <v/>
      </c>
      <c r="G89" s="58" t="str">
        <f>IF($A89="","",$F89+$E89)</f>
        <v/>
      </c>
      <c r="H89" s="59" t="str">
        <f>IF($A89="","",IF(AND(VALUE(H$7)&gt;$F89,VALUE(H$7)&lt;=$G89),IF($D89="","◇","■"),""))</f>
        <v/>
      </c>
      <c r="I89" s="59" t="str">
        <f>IF($A89="","",IF(AND(VALUE(I$7)&gt;$F89,VALUE(I$7)&lt;=$G89),IF($D89="","◇","■"),""))</f>
        <v/>
      </c>
      <c r="J89" s="59" t="str">
        <f>IF($A89="","",IF(AND(VALUE(J$7)&gt;$F89,VALUE(J$7)&lt;=$G89),IF($D89="","◇","■"),""))</f>
        <v/>
      </c>
      <c r="K89" s="59" t="str">
        <f>IF($A89="","",IF(AND(VALUE(K$7)&gt;$F89,VALUE(K$7)&lt;=$G89),IF($D89="","◇","■"),""))</f>
        <v/>
      </c>
      <c r="L89" s="59" t="str">
        <f>IF($A89="","",IF(AND(VALUE(L$7)&gt;$F89,VALUE(L$7)&lt;=$G89),IF($D89="","◇","■"),""))</f>
        <v/>
      </c>
      <c r="M89" s="59" t="str">
        <f>IF($A89="","",IF(AND(VALUE(M$7)&gt;$F89,VALUE(M$7)&lt;=$G89),IF($D89="","◇","■"),""))</f>
        <v/>
      </c>
      <c r="N89" s="59" t="str">
        <f>IF($A89="","",IF(AND(VALUE(N$7)&gt;$F89,VALUE(N$7)&lt;=$G89),IF($D89="","◇","■"),""))</f>
        <v/>
      </c>
      <c r="O89" s="59" t="str">
        <f>IF($A89="","",IF(AND(VALUE(O$7)&gt;$F89,VALUE(O$7)&lt;=$G89),IF($D89="","◇","■"),""))</f>
        <v/>
      </c>
      <c r="P89" s="59" t="str">
        <f>IF($A89="","",IF(AND(VALUE(P$7)&gt;$F89,VALUE(P$7)&lt;=$G89),IF($D89="","◇","■"),""))</f>
        <v/>
      </c>
      <c r="Q89" s="59" t="str">
        <f>IF($A89="","",IF(AND(VALUE(Q$7)&gt;$F89,VALUE(Q$7)&lt;=$G89),IF($D89="","◇","■"),""))</f>
        <v/>
      </c>
      <c r="R89" s="59" t="str">
        <f>IF($A89="","",IF(AND(VALUE(R$7)&gt;$F89,VALUE(R$7)&lt;=$G89),IF($D89="","◇","■"),""))</f>
        <v/>
      </c>
      <c r="S89" s="59" t="str">
        <f>IF($A89="","",IF(AND(VALUE(S$7)&gt;$F89,VALUE(S$7)&lt;=$G89),IF($D89="","◇","■"),""))</f>
        <v/>
      </c>
      <c r="T89" s="59" t="str">
        <f>IF($A89="","",IF(AND(VALUE(T$7)&gt;$F89,VALUE(T$7)&lt;=$G89),IF($D89="","◇","■"),""))</f>
        <v/>
      </c>
      <c r="U89" s="59" t="str">
        <f>IF($A89="","",IF(AND(VALUE(U$7)&gt;$F89,VALUE(U$7)&lt;=$G89),IF($D89="","◇","■"),""))</f>
        <v/>
      </c>
      <c r="V89" s="59" t="str">
        <f>IF($A89="","",IF(AND(VALUE(V$7)&gt;$F89,VALUE(V$7)&lt;=$G89),IF($D89="","◇","■"),""))</f>
        <v/>
      </c>
      <c r="W89" s="59" t="str">
        <f>IF($A89="","",IF(AND(VALUE(W$7)&gt;$F89,VALUE(W$7)&lt;=$G89),IF($D89="","◇","■"),""))</f>
        <v/>
      </c>
      <c r="X89" s="59" t="str">
        <f>IF($A89="","",IF(AND(VALUE(X$7)&gt;$F89,VALUE(X$7)&lt;=$G89),IF($D89="","◇","■"),""))</f>
        <v/>
      </c>
      <c r="Y89" s="59" t="str">
        <f>IF($A89="","",IF(AND(VALUE(Y$7)&gt;$F89,VALUE(Y$7)&lt;=$G89),IF($D89="","◇","■"),""))</f>
        <v/>
      </c>
      <c r="Z89" s="59" t="str">
        <f>IF($A89="","",IF(AND(VALUE(Z$7)&gt;$F89,VALUE(Z$7)&lt;=$G89),IF($D89="","◇","■"),""))</f>
        <v/>
      </c>
      <c r="AA89" s="59" t="str">
        <f>IF($A89="","",IF(AND(VALUE(AA$7)&gt;$F89,VALUE(AA$7)&lt;=$G89),IF($D89="","◇","■"),""))</f>
        <v/>
      </c>
      <c r="AB89" s="59" t="str">
        <f>IF($A89="","",IF(AND(VALUE(AB$7)&gt;$F89,VALUE(AB$7)&lt;=$G89),IF($D89="","◇","■"),""))</f>
        <v/>
      </c>
      <c r="AC89" s="59" t="str">
        <f>IF($A89="","",IF(AND(VALUE(AC$7)&gt;$F89,VALUE(AC$7)&lt;=$G89),IF($D89="","◇","■"),""))</f>
        <v/>
      </c>
      <c r="AD89" s="59" t="str">
        <f>IF($A89="","",IF(AND(VALUE(AD$7)&gt;$F89,VALUE(AD$7)&lt;=$G89),IF($D89="","◇","■"),""))</f>
        <v/>
      </c>
      <c r="AE89" s="59" t="str">
        <f>IF($A89="","",IF(AND(VALUE(AE$7)&gt;$F89,VALUE(AE$7)&lt;=$G89),IF($D89="","◇","■"),""))</f>
        <v/>
      </c>
      <c r="AF89" s="59" t="str">
        <f>IF($A89="","",IF(AND(VALUE(AF$7)&gt;$F89,VALUE(AF$7)&lt;=$G89),IF($D89="","◇","■"),""))</f>
        <v/>
      </c>
      <c r="AG89" s="59" t="str">
        <f>IF($A89="","",IF(AND(VALUE(AG$7)&gt;$F89,VALUE(AG$7)&lt;=$G89),IF($D89="","◇","■"),""))</f>
        <v/>
      </c>
      <c r="AH89" s="59" t="str">
        <f>IF($A89="","",IF(AND(VALUE(AH$7)&gt;$F89,VALUE(AH$7)&lt;=$G89),IF($D89="","◇","■"),""))</f>
        <v/>
      </c>
      <c r="AI89" s="59" t="str">
        <f>IF($A89="","",IF(AND(VALUE(AI$7)&gt;$F89,VALUE(AI$7)&lt;=$G89),IF($D89="","◇","■"),""))</f>
        <v/>
      </c>
      <c r="AJ89" s="59" t="str">
        <f>IF($A89="","",IF(AND(VALUE(AJ$7)&gt;$F89,VALUE(AJ$7)&lt;=$G89),IF($D89="","◇","■"),""))</f>
        <v/>
      </c>
      <c r="AK89" s="59" t="str">
        <f>IF($A89="","",IF(AND(VALUE(AK$7)&gt;$F89,VALUE(AK$7)&lt;=$G89),IF($D89="","◇","■"),""))</f>
        <v/>
      </c>
      <c r="AL89" s="59" t="str">
        <f>IF($A89="","",IF(AND(VALUE(AL$7)&gt;$F89,VALUE(AL$7)&lt;=$G89),IF($D89="","◇","■"),""))</f>
        <v/>
      </c>
      <c r="AM89" s="59" t="str">
        <f>IF($A89="","",IF(AND(VALUE(AM$7)&gt;$F89,VALUE(AM$7)&lt;=$G89),IF($D89="","◇","■"),""))</f>
        <v/>
      </c>
    </row>
    <row r="90" spans="1:39" ht="18" customHeight="1" x14ac:dyDescent="0.35">
      <c r="A90" s="55" t="str" cm="1">
        <f t="array" ref="A90">IFERROR(INDEX(_xlfn._xlws.FILTER(tblProjectTasks[TaskGroup],(tblProjectTasks[IsWorkPackage]="Yes")*(tblProjectTasks[CaptureStatus]&lt;&gt;"Removed")),ROWS($A$8:A90)),"")</f>
        <v/>
      </c>
      <c r="B90" s="56" t="str" cm="1">
        <f t="array" ref="B90">IFERROR(INDEX(_xlfn._xlws.FILTER(tblProjectTasks[WBSCode],(tblProjectTasks[IsWorkPackage]="Yes")*(tblProjectTasks[CaptureStatus]&lt;&gt;"Removed")),ROWS($B$8:B90)),"")</f>
        <v/>
      </c>
      <c r="C90" s="57" t="str" cm="1">
        <f t="array" ref="C90">IFERROR(INDEX(_xlfn._xlws.FILTER(tblProjectTasks[TaskName],(tblProjectTasks[IsWorkPackage]="Yes")*(tblProjectTasks[CaptureStatus]&lt;&gt;"Removed")),ROWS($C$8:C90)),"")</f>
        <v/>
      </c>
      <c r="D90" s="58" t="str" cm="1">
        <f t="array" ref="D90">_xlfn.LET(_xlpm.x,IFERROR(INDEX(_xlfn._xlws.FILTER(tblProjectTasks[Elapsed Time in Weeks],(tblProjectTasks[IsWorkPackage]="Yes")*(tblProjectTasks[CaptureStatus]&lt;&gt;"Removed")),ROWS($D$8:D90)),""),IF(_xlpm.x=0,"",_xlpm.x))</f>
        <v/>
      </c>
      <c r="E90" s="58" t="str">
        <f>IF($A90="","",IF($D90="",1,$D90))</f>
        <v/>
      </c>
      <c r="F90" s="58" t="str">
        <f>IF($A90="","",IF(ROW()=8,0,$F89+$E89))</f>
        <v/>
      </c>
      <c r="G90" s="58" t="str">
        <f>IF($A90="","",$F90+$E90)</f>
        <v/>
      </c>
      <c r="H90" s="59" t="str">
        <f>IF($A90="","",IF(AND(VALUE(H$7)&gt;$F90,VALUE(H$7)&lt;=$G90),IF($D90="","◇","■"),""))</f>
        <v/>
      </c>
      <c r="I90" s="59" t="str">
        <f>IF($A90="","",IF(AND(VALUE(I$7)&gt;$F90,VALUE(I$7)&lt;=$G90),IF($D90="","◇","■"),""))</f>
        <v/>
      </c>
      <c r="J90" s="59" t="str">
        <f>IF($A90="","",IF(AND(VALUE(J$7)&gt;$F90,VALUE(J$7)&lt;=$G90),IF($D90="","◇","■"),""))</f>
        <v/>
      </c>
      <c r="K90" s="59" t="str">
        <f>IF($A90="","",IF(AND(VALUE(K$7)&gt;$F90,VALUE(K$7)&lt;=$G90),IF($D90="","◇","■"),""))</f>
        <v/>
      </c>
      <c r="L90" s="59" t="str">
        <f>IF($A90="","",IF(AND(VALUE(L$7)&gt;$F90,VALUE(L$7)&lt;=$G90),IF($D90="","◇","■"),""))</f>
        <v/>
      </c>
      <c r="M90" s="59" t="str">
        <f>IF($A90="","",IF(AND(VALUE(M$7)&gt;$F90,VALUE(M$7)&lt;=$G90),IF($D90="","◇","■"),""))</f>
        <v/>
      </c>
      <c r="N90" s="59" t="str">
        <f>IF($A90="","",IF(AND(VALUE(N$7)&gt;$F90,VALUE(N$7)&lt;=$G90),IF($D90="","◇","■"),""))</f>
        <v/>
      </c>
      <c r="O90" s="59" t="str">
        <f>IF($A90="","",IF(AND(VALUE(O$7)&gt;$F90,VALUE(O$7)&lt;=$G90),IF($D90="","◇","■"),""))</f>
        <v/>
      </c>
      <c r="P90" s="59" t="str">
        <f>IF($A90="","",IF(AND(VALUE(P$7)&gt;$F90,VALUE(P$7)&lt;=$G90),IF($D90="","◇","■"),""))</f>
        <v/>
      </c>
      <c r="Q90" s="59" t="str">
        <f>IF($A90="","",IF(AND(VALUE(Q$7)&gt;$F90,VALUE(Q$7)&lt;=$G90),IF($D90="","◇","■"),""))</f>
        <v/>
      </c>
      <c r="R90" s="59" t="str">
        <f>IF($A90="","",IF(AND(VALUE(R$7)&gt;$F90,VALUE(R$7)&lt;=$G90),IF($D90="","◇","■"),""))</f>
        <v/>
      </c>
      <c r="S90" s="59" t="str">
        <f>IF($A90="","",IF(AND(VALUE(S$7)&gt;$F90,VALUE(S$7)&lt;=$G90),IF($D90="","◇","■"),""))</f>
        <v/>
      </c>
      <c r="T90" s="59" t="str">
        <f>IF($A90="","",IF(AND(VALUE(T$7)&gt;$F90,VALUE(T$7)&lt;=$G90),IF($D90="","◇","■"),""))</f>
        <v/>
      </c>
      <c r="U90" s="59" t="str">
        <f>IF($A90="","",IF(AND(VALUE(U$7)&gt;$F90,VALUE(U$7)&lt;=$G90),IF($D90="","◇","■"),""))</f>
        <v/>
      </c>
      <c r="V90" s="59" t="str">
        <f>IF($A90="","",IF(AND(VALUE(V$7)&gt;$F90,VALUE(V$7)&lt;=$G90),IF($D90="","◇","■"),""))</f>
        <v/>
      </c>
      <c r="W90" s="59" t="str">
        <f>IF($A90="","",IF(AND(VALUE(W$7)&gt;$F90,VALUE(W$7)&lt;=$G90),IF($D90="","◇","■"),""))</f>
        <v/>
      </c>
      <c r="X90" s="59" t="str">
        <f>IF($A90="","",IF(AND(VALUE(X$7)&gt;$F90,VALUE(X$7)&lt;=$G90),IF($D90="","◇","■"),""))</f>
        <v/>
      </c>
      <c r="Y90" s="59" t="str">
        <f>IF($A90="","",IF(AND(VALUE(Y$7)&gt;$F90,VALUE(Y$7)&lt;=$G90),IF($D90="","◇","■"),""))</f>
        <v/>
      </c>
      <c r="Z90" s="59" t="str">
        <f>IF($A90="","",IF(AND(VALUE(Z$7)&gt;$F90,VALUE(Z$7)&lt;=$G90),IF($D90="","◇","■"),""))</f>
        <v/>
      </c>
      <c r="AA90" s="59" t="str">
        <f>IF($A90="","",IF(AND(VALUE(AA$7)&gt;$F90,VALUE(AA$7)&lt;=$G90),IF($D90="","◇","■"),""))</f>
        <v/>
      </c>
      <c r="AB90" s="59" t="str">
        <f>IF($A90="","",IF(AND(VALUE(AB$7)&gt;$F90,VALUE(AB$7)&lt;=$G90),IF($D90="","◇","■"),""))</f>
        <v/>
      </c>
      <c r="AC90" s="59" t="str">
        <f>IF($A90="","",IF(AND(VALUE(AC$7)&gt;$F90,VALUE(AC$7)&lt;=$G90),IF($D90="","◇","■"),""))</f>
        <v/>
      </c>
      <c r="AD90" s="59" t="str">
        <f>IF($A90="","",IF(AND(VALUE(AD$7)&gt;$F90,VALUE(AD$7)&lt;=$G90),IF($D90="","◇","■"),""))</f>
        <v/>
      </c>
      <c r="AE90" s="59" t="str">
        <f>IF($A90="","",IF(AND(VALUE(AE$7)&gt;$F90,VALUE(AE$7)&lt;=$G90),IF($D90="","◇","■"),""))</f>
        <v/>
      </c>
      <c r="AF90" s="59" t="str">
        <f>IF($A90="","",IF(AND(VALUE(AF$7)&gt;$F90,VALUE(AF$7)&lt;=$G90),IF($D90="","◇","■"),""))</f>
        <v/>
      </c>
      <c r="AG90" s="59" t="str">
        <f>IF($A90="","",IF(AND(VALUE(AG$7)&gt;$F90,VALUE(AG$7)&lt;=$G90),IF($D90="","◇","■"),""))</f>
        <v/>
      </c>
      <c r="AH90" s="59" t="str">
        <f>IF($A90="","",IF(AND(VALUE(AH$7)&gt;$F90,VALUE(AH$7)&lt;=$G90),IF($D90="","◇","■"),""))</f>
        <v/>
      </c>
      <c r="AI90" s="59" t="str">
        <f>IF($A90="","",IF(AND(VALUE(AI$7)&gt;$F90,VALUE(AI$7)&lt;=$G90),IF($D90="","◇","■"),""))</f>
        <v/>
      </c>
      <c r="AJ90" s="59" t="str">
        <f>IF($A90="","",IF(AND(VALUE(AJ$7)&gt;$F90,VALUE(AJ$7)&lt;=$G90),IF($D90="","◇","■"),""))</f>
        <v/>
      </c>
      <c r="AK90" s="59" t="str">
        <f>IF($A90="","",IF(AND(VALUE(AK$7)&gt;$F90,VALUE(AK$7)&lt;=$G90),IF($D90="","◇","■"),""))</f>
        <v/>
      </c>
      <c r="AL90" s="59" t="str">
        <f>IF($A90="","",IF(AND(VALUE(AL$7)&gt;$F90,VALUE(AL$7)&lt;=$G90),IF($D90="","◇","■"),""))</f>
        <v/>
      </c>
      <c r="AM90" s="59" t="str">
        <f>IF($A90="","",IF(AND(VALUE(AM$7)&gt;$F90,VALUE(AM$7)&lt;=$G90),IF($D90="","◇","■"),""))</f>
        <v/>
      </c>
    </row>
    <row r="91" spans="1:39" ht="18" customHeight="1" x14ac:dyDescent="0.35">
      <c r="A91" s="55" t="str" cm="1">
        <f t="array" ref="A91">IFERROR(INDEX(_xlfn._xlws.FILTER(tblProjectTasks[TaskGroup],(tblProjectTasks[IsWorkPackage]="Yes")*(tblProjectTasks[CaptureStatus]&lt;&gt;"Removed")),ROWS($A$8:A91)),"")</f>
        <v/>
      </c>
      <c r="B91" s="56" t="str" cm="1">
        <f t="array" ref="B91">IFERROR(INDEX(_xlfn._xlws.FILTER(tblProjectTasks[WBSCode],(tblProjectTasks[IsWorkPackage]="Yes")*(tblProjectTasks[CaptureStatus]&lt;&gt;"Removed")),ROWS($B$8:B91)),"")</f>
        <v/>
      </c>
      <c r="C91" s="57" t="str" cm="1">
        <f t="array" ref="C91">IFERROR(INDEX(_xlfn._xlws.FILTER(tblProjectTasks[TaskName],(tblProjectTasks[IsWorkPackage]="Yes")*(tblProjectTasks[CaptureStatus]&lt;&gt;"Removed")),ROWS($C$8:C91)),"")</f>
        <v/>
      </c>
      <c r="D91" s="58" t="str" cm="1">
        <f t="array" ref="D91">_xlfn.LET(_xlpm.x,IFERROR(INDEX(_xlfn._xlws.FILTER(tblProjectTasks[Elapsed Time in Weeks],(tblProjectTasks[IsWorkPackage]="Yes")*(tblProjectTasks[CaptureStatus]&lt;&gt;"Removed")),ROWS($D$8:D91)),""),IF(_xlpm.x=0,"",_xlpm.x))</f>
        <v/>
      </c>
      <c r="E91" s="58" t="str">
        <f>IF($A91="","",IF($D91="",1,$D91))</f>
        <v/>
      </c>
      <c r="F91" s="58" t="str">
        <f>IF($A91="","",IF(ROW()=8,0,$F90+$E90))</f>
        <v/>
      </c>
      <c r="G91" s="58" t="str">
        <f>IF($A91="","",$F91+$E91)</f>
        <v/>
      </c>
      <c r="H91" s="59" t="str">
        <f>IF($A91="","",IF(AND(VALUE(H$7)&gt;$F91,VALUE(H$7)&lt;=$G91),IF($D91="","◇","■"),""))</f>
        <v/>
      </c>
      <c r="I91" s="59" t="str">
        <f>IF($A91="","",IF(AND(VALUE(I$7)&gt;$F91,VALUE(I$7)&lt;=$G91),IF($D91="","◇","■"),""))</f>
        <v/>
      </c>
      <c r="J91" s="59" t="str">
        <f>IF($A91="","",IF(AND(VALUE(J$7)&gt;$F91,VALUE(J$7)&lt;=$G91),IF($D91="","◇","■"),""))</f>
        <v/>
      </c>
      <c r="K91" s="59" t="str">
        <f>IF($A91="","",IF(AND(VALUE(K$7)&gt;$F91,VALUE(K$7)&lt;=$G91),IF($D91="","◇","■"),""))</f>
        <v/>
      </c>
      <c r="L91" s="59" t="str">
        <f>IF($A91="","",IF(AND(VALUE(L$7)&gt;$F91,VALUE(L$7)&lt;=$G91),IF($D91="","◇","■"),""))</f>
        <v/>
      </c>
      <c r="M91" s="59" t="str">
        <f>IF($A91="","",IF(AND(VALUE(M$7)&gt;$F91,VALUE(M$7)&lt;=$G91),IF($D91="","◇","■"),""))</f>
        <v/>
      </c>
      <c r="N91" s="59" t="str">
        <f>IF($A91="","",IF(AND(VALUE(N$7)&gt;$F91,VALUE(N$7)&lt;=$G91),IF($D91="","◇","■"),""))</f>
        <v/>
      </c>
      <c r="O91" s="59" t="str">
        <f>IF($A91="","",IF(AND(VALUE(O$7)&gt;$F91,VALUE(O$7)&lt;=$G91),IF($D91="","◇","■"),""))</f>
        <v/>
      </c>
      <c r="P91" s="59" t="str">
        <f>IF($A91="","",IF(AND(VALUE(P$7)&gt;$F91,VALUE(P$7)&lt;=$G91),IF($D91="","◇","■"),""))</f>
        <v/>
      </c>
      <c r="Q91" s="59" t="str">
        <f>IF($A91="","",IF(AND(VALUE(Q$7)&gt;$F91,VALUE(Q$7)&lt;=$G91),IF($D91="","◇","■"),""))</f>
        <v/>
      </c>
      <c r="R91" s="59" t="str">
        <f>IF($A91="","",IF(AND(VALUE(R$7)&gt;$F91,VALUE(R$7)&lt;=$G91),IF($D91="","◇","■"),""))</f>
        <v/>
      </c>
      <c r="S91" s="59" t="str">
        <f>IF($A91="","",IF(AND(VALUE(S$7)&gt;$F91,VALUE(S$7)&lt;=$G91),IF($D91="","◇","■"),""))</f>
        <v/>
      </c>
      <c r="T91" s="59" t="str">
        <f>IF($A91="","",IF(AND(VALUE(T$7)&gt;$F91,VALUE(T$7)&lt;=$G91),IF($D91="","◇","■"),""))</f>
        <v/>
      </c>
      <c r="U91" s="59" t="str">
        <f>IF($A91="","",IF(AND(VALUE(U$7)&gt;$F91,VALUE(U$7)&lt;=$G91),IF($D91="","◇","■"),""))</f>
        <v/>
      </c>
      <c r="V91" s="59" t="str">
        <f>IF($A91="","",IF(AND(VALUE(V$7)&gt;$F91,VALUE(V$7)&lt;=$G91),IF($D91="","◇","■"),""))</f>
        <v/>
      </c>
      <c r="W91" s="59" t="str">
        <f>IF($A91="","",IF(AND(VALUE(W$7)&gt;$F91,VALUE(W$7)&lt;=$G91),IF($D91="","◇","■"),""))</f>
        <v/>
      </c>
      <c r="X91" s="59" t="str">
        <f>IF($A91="","",IF(AND(VALUE(X$7)&gt;$F91,VALUE(X$7)&lt;=$G91),IF($D91="","◇","■"),""))</f>
        <v/>
      </c>
      <c r="Y91" s="59" t="str">
        <f>IF($A91="","",IF(AND(VALUE(Y$7)&gt;$F91,VALUE(Y$7)&lt;=$G91),IF($D91="","◇","■"),""))</f>
        <v/>
      </c>
      <c r="Z91" s="59" t="str">
        <f>IF($A91="","",IF(AND(VALUE(Z$7)&gt;$F91,VALUE(Z$7)&lt;=$G91),IF($D91="","◇","■"),""))</f>
        <v/>
      </c>
      <c r="AA91" s="59" t="str">
        <f>IF($A91="","",IF(AND(VALUE(AA$7)&gt;$F91,VALUE(AA$7)&lt;=$G91),IF($D91="","◇","■"),""))</f>
        <v/>
      </c>
      <c r="AB91" s="59" t="str">
        <f>IF($A91="","",IF(AND(VALUE(AB$7)&gt;$F91,VALUE(AB$7)&lt;=$G91),IF($D91="","◇","■"),""))</f>
        <v/>
      </c>
      <c r="AC91" s="59" t="str">
        <f>IF($A91="","",IF(AND(VALUE(AC$7)&gt;$F91,VALUE(AC$7)&lt;=$G91),IF($D91="","◇","■"),""))</f>
        <v/>
      </c>
      <c r="AD91" s="59" t="str">
        <f>IF($A91="","",IF(AND(VALUE(AD$7)&gt;$F91,VALUE(AD$7)&lt;=$G91),IF($D91="","◇","■"),""))</f>
        <v/>
      </c>
      <c r="AE91" s="59" t="str">
        <f>IF($A91="","",IF(AND(VALUE(AE$7)&gt;$F91,VALUE(AE$7)&lt;=$G91),IF($D91="","◇","■"),""))</f>
        <v/>
      </c>
      <c r="AF91" s="59" t="str">
        <f>IF($A91="","",IF(AND(VALUE(AF$7)&gt;$F91,VALUE(AF$7)&lt;=$G91),IF($D91="","◇","■"),""))</f>
        <v/>
      </c>
      <c r="AG91" s="59" t="str">
        <f>IF($A91="","",IF(AND(VALUE(AG$7)&gt;$F91,VALUE(AG$7)&lt;=$G91),IF($D91="","◇","■"),""))</f>
        <v/>
      </c>
      <c r="AH91" s="59" t="str">
        <f>IF($A91="","",IF(AND(VALUE(AH$7)&gt;$F91,VALUE(AH$7)&lt;=$G91),IF($D91="","◇","■"),""))</f>
        <v/>
      </c>
      <c r="AI91" s="59" t="str">
        <f>IF($A91="","",IF(AND(VALUE(AI$7)&gt;$F91,VALUE(AI$7)&lt;=$G91),IF($D91="","◇","■"),""))</f>
        <v/>
      </c>
      <c r="AJ91" s="59" t="str">
        <f>IF($A91="","",IF(AND(VALUE(AJ$7)&gt;$F91,VALUE(AJ$7)&lt;=$G91),IF($D91="","◇","■"),""))</f>
        <v/>
      </c>
      <c r="AK91" s="59" t="str">
        <f>IF($A91="","",IF(AND(VALUE(AK$7)&gt;$F91,VALUE(AK$7)&lt;=$G91),IF($D91="","◇","■"),""))</f>
        <v/>
      </c>
      <c r="AL91" s="59" t="str">
        <f>IF($A91="","",IF(AND(VALUE(AL$7)&gt;$F91,VALUE(AL$7)&lt;=$G91),IF($D91="","◇","■"),""))</f>
        <v/>
      </c>
      <c r="AM91" s="59" t="str">
        <f>IF($A91="","",IF(AND(VALUE(AM$7)&gt;$F91,VALUE(AM$7)&lt;=$G91),IF($D91="","◇","■"),""))</f>
        <v/>
      </c>
    </row>
    <row r="92" spans="1:39" ht="18" customHeight="1" x14ac:dyDescent="0.35">
      <c r="A92" s="55" t="str" cm="1">
        <f t="array" ref="A92">IFERROR(INDEX(_xlfn._xlws.FILTER(tblProjectTasks[TaskGroup],(tblProjectTasks[IsWorkPackage]="Yes")*(tblProjectTasks[CaptureStatus]&lt;&gt;"Removed")),ROWS($A$8:A92)),"")</f>
        <v/>
      </c>
      <c r="B92" s="56" t="str" cm="1">
        <f t="array" ref="B92">IFERROR(INDEX(_xlfn._xlws.FILTER(tblProjectTasks[WBSCode],(tblProjectTasks[IsWorkPackage]="Yes")*(tblProjectTasks[CaptureStatus]&lt;&gt;"Removed")),ROWS($B$8:B92)),"")</f>
        <v/>
      </c>
      <c r="C92" s="57" t="str" cm="1">
        <f t="array" ref="C92">IFERROR(INDEX(_xlfn._xlws.FILTER(tblProjectTasks[TaskName],(tblProjectTasks[IsWorkPackage]="Yes")*(tblProjectTasks[CaptureStatus]&lt;&gt;"Removed")),ROWS($C$8:C92)),"")</f>
        <v/>
      </c>
      <c r="D92" s="58" t="str" cm="1">
        <f t="array" ref="D92">_xlfn.LET(_xlpm.x,IFERROR(INDEX(_xlfn._xlws.FILTER(tblProjectTasks[Elapsed Time in Weeks],(tblProjectTasks[IsWorkPackage]="Yes")*(tblProjectTasks[CaptureStatus]&lt;&gt;"Removed")),ROWS($D$8:D92)),""),IF(_xlpm.x=0,"",_xlpm.x))</f>
        <v/>
      </c>
      <c r="E92" s="58" t="str">
        <f>IF($A92="","",IF($D92="",1,$D92))</f>
        <v/>
      </c>
      <c r="F92" s="58" t="str">
        <f>IF($A92="","",IF(ROW()=8,0,$F91+$E91))</f>
        <v/>
      </c>
      <c r="G92" s="58" t="str">
        <f>IF($A92="","",$F92+$E92)</f>
        <v/>
      </c>
      <c r="H92" s="59" t="str">
        <f>IF($A92="","",IF(AND(VALUE(H$7)&gt;$F92,VALUE(H$7)&lt;=$G92),IF($D92="","◇","■"),""))</f>
        <v/>
      </c>
      <c r="I92" s="59" t="str">
        <f>IF($A92="","",IF(AND(VALUE(I$7)&gt;$F92,VALUE(I$7)&lt;=$G92),IF($D92="","◇","■"),""))</f>
        <v/>
      </c>
      <c r="J92" s="59" t="str">
        <f>IF($A92="","",IF(AND(VALUE(J$7)&gt;$F92,VALUE(J$7)&lt;=$G92),IF($D92="","◇","■"),""))</f>
        <v/>
      </c>
      <c r="K92" s="59" t="str">
        <f>IF($A92="","",IF(AND(VALUE(K$7)&gt;$F92,VALUE(K$7)&lt;=$G92),IF($D92="","◇","■"),""))</f>
        <v/>
      </c>
      <c r="L92" s="59" t="str">
        <f>IF($A92="","",IF(AND(VALUE(L$7)&gt;$F92,VALUE(L$7)&lt;=$G92),IF($D92="","◇","■"),""))</f>
        <v/>
      </c>
      <c r="M92" s="59" t="str">
        <f>IF($A92="","",IF(AND(VALUE(M$7)&gt;$F92,VALUE(M$7)&lt;=$G92),IF($D92="","◇","■"),""))</f>
        <v/>
      </c>
      <c r="N92" s="59" t="str">
        <f>IF($A92="","",IF(AND(VALUE(N$7)&gt;$F92,VALUE(N$7)&lt;=$G92),IF($D92="","◇","■"),""))</f>
        <v/>
      </c>
      <c r="O92" s="59" t="str">
        <f>IF($A92="","",IF(AND(VALUE(O$7)&gt;$F92,VALUE(O$7)&lt;=$G92),IF($D92="","◇","■"),""))</f>
        <v/>
      </c>
      <c r="P92" s="59" t="str">
        <f>IF($A92="","",IF(AND(VALUE(P$7)&gt;$F92,VALUE(P$7)&lt;=$G92),IF($D92="","◇","■"),""))</f>
        <v/>
      </c>
      <c r="Q92" s="59" t="str">
        <f>IF($A92="","",IF(AND(VALUE(Q$7)&gt;$F92,VALUE(Q$7)&lt;=$G92),IF($D92="","◇","■"),""))</f>
        <v/>
      </c>
      <c r="R92" s="59" t="str">
        <f>IF($A92="","",IF(AND(VALUE(R$7)&gt;$F92,VALUE(R$7)&lt;=$G92),IF($D92="","◇","■"),""))</f>
        <v/>
      </c>
      <c r="S92" s="59" t="str">
        <f>IF($A92="","",IF(AND(VALUE(S$7)&gt;$F92,VALUE(S$7)&lt;=$G92),IF($D92="","◇","■"),""))</f>
        <v/>
      </c>
      <c r="T92" s="59" t="str">
        <f>IF($A92="","",IF(AND(VALUE(T$7)&gt;$F92,VALUE(T$7)&lt;=$G92),IF($D92="","◇","■"),""))</f>
        <v/>
      </c>
      <c r="U92" s="59" t="str">
        <f>IF($A92="","",IF(AND(VALUE(U$7)&gt;$F92,VALUE(U$7)&lt;=$G92),IF($D92="","◇","■"),""))</f>
        <v/>
      </c>
      <c r="V92" s="59" t="str">
        <f>IF($A92="","",IF(AND(VALUE(V$7)&gt;$F92,VALUE(V$7)&lt;=$G92),IF($D92="","◇","■"),""))</f>
        <v/>
      </c>
      <c r="W92" s="59" t="str">
        <f>IF($A92="","",IF(AND(VALUE(W$7)&gt;$F92,VALUE(W$7)&lt;=$G92),IF($D92="","◇","■"),""))</f>
        <v/>
      </c>
      <c r="X92" s="59" t="str">
        <f>IF($A92="","",IF(AND(VALUE(X$7)&gt;$F92,VALUE(X$7)&lt;=$G92),IF($D92="","◇","■"),""))</f>
        <v/>
      </c>
      <c r="Y92" s="59" t="str">
        <f>IF($A92="","",IF(AND(VALUE(Y$7)&gt;$F92,VALUE(Y$7)&lt;=$G92),IF($D92="","◇","■"),""))</f>
        <v/>
      </c>
      <c r="Z92" s="59" t="str">
        <f>IF($A92="","",IF(AND(VALUE(Z$7)&gt;$F92,VALUE(Z$7)&lt;=$G92),IF($D92="","◇","■"),""))</f>
        <v/>
      </c>
      <c r="AA92" s="59" t="str">
        <f>IF($A92="","",IF(AND(VALUE(AA$7)&gt;$F92,VALUE(AA$7)&lt;=$G92),IF($D92="","◇","■"),""))</f>
        <v/>
      </c>
      <c r="AB92" s="59" t="str">
        <f>IF($A92="","",IF(AND(VALUE(AB$7)&gt;$F92,VALUE(AB$7)&lt;=$G92),IF($D92="","◇","■"),""))</f>
        <v/>
      </c>
      <c r="AC92" s="59" t="str">
        <f>IF($A92="","",IF(AND(VALUE(AC$7)&gt;$F92,VALUE(AC$7)&lt;=$G92),IF($D92="","◇","■"),""))</f>
        <v/>
      </c>
      <c r="AD92" s="59" t="str">
        <f>IF($A92="","",IF(AND(VALUE(AD$7)&gt;$F92,VALUE(AD$7)&lt;=$G92),IF($D92="","◇","■"),""))</f>
        <v/>
      </c>
      <c r="AE92" s="59" t="str">
        <f>IF($A92="","",IF(AND(VALUE(AE$7)&gt;$F92,VALUE(AE$7)&lt;=$G92),IF($D92="","◇","■"),""))</f>
        <v/>
      </c>
      <c r="AF92" s="59" t="str">
        <f>IF($A92="","",IF(AND(VALUE(AF$7)&gt;$F92,VALUE(AF$7)&lt;=$G92),IF($D92="","◇","■"),""))</f>
        <v/>
      </c>
      <c r="AG92" s="59" t="str">
        <f>IF($A92="","",IF(AND(VALUE(AG$7)&gt;$F92,VALUE(AG$7)&lt;=$G92),IF($D92="","◇","■"),""))</f>
        <v/>
      </c>
      <c r="AH92" s="59" t="str">
        <f>IF($A92="","",IF(AND(VALUE(AH$7)&gt;$F92,VALUE(AH$7)&lt;=$G92),IF($D92="","◇","■"),""))</f>
        <v/>
      </c>
      <c r="AI92" s="59" t="str">
        <f>IF($A92="","",IF(AND(VALUE(AI$7)&gt;$F92,VALUE(AI$7)&lt;=$G92),IF($D92="","◇","■"),""))</f>
        <v/>
      </c>
      <c r="AJ92" s="59" t="str">
        <f>IF($A92="","",IF(AND(VALUE(AJ$7)&gt;$F92,VALUE(AJ$7)&lt;=$G92),IF($D92="","◇","■"),""))</f>
        <v/>
      </c>
      <c r="AK92" s="59" t="str">
        <f>IF($A92="","",IF(AND(VALUE(AK$7)&gt;$F92,VALUE(AK$7)&lt;=$G92),IF($D92="","◇","■"),""))</f>
        <v/>
      </c>
      <c r="AL92" s="59" t="str">
        <f>IF($A92="","",IF(AND(VALUE(AL$7)&gt;$F92,VALUE(AL$7)&lt;=$G92),IF($D92="","◇","■"),""))</f>
        <v/>
      </c>
      <c r="AM92" s="59" t="str">
        <f>IF($A92="","",IF(AND(VALUE(AM$7)&gt;$F92,VALUE(AM$7)&lt;=$G92),IF($D92="","◇","■"),""))</f>
        <v/>
      </c>
    </row>
    <row r="93" spans="1:39" ht="18" customHeight="1" x14ac:dyDescent="0.35">
      <c r="A93" s="55" t="str" cm="1">
        <f t="array" ref="A93">IFERROR(INDEX(_xlfn._xlws.FILTER(tblProjectTasks[TaskGroup],(tblProjectTasks[IsWorkPackage]="Yes")*(tblProjectTasks[CaptureStatus]&lt;&gt;"Removed")),ROWS($A$8:A93)),"")</f>
        <v/>
      </c>
      <c r="B93" s="56" t="str" cm="1">
        <f t="array" ref="B93">IFERROR(INDEX(_xlfn._xlws.FILTER(tblProjectTasks[WBSCode],(tblProjectTasks[IsWorkPackage]="Yes")*(tblProjectTasks[CaptureStatus]&lt;&gt;"Removed")),ROWS($B$8:B93)),"")</f>
        <v/>
      </c>
      <c r="C93" s="57" t="str" cm="1">
        <f t="array" ref="C93">IFERROR(INDEX(_xlfn._xlws.FILTER(tblProjectTasks[TaskName],(tblProjectTasks[IsWorkPackage]="Yes")*(tblProjectTasks[CaptureStatus]&lt;&gt;"Removed")),ROWS($C$8:C93)),"")</f>
        <v/>
      </c>
      <c r="D93" s="58" t="str" cm="1">
        <f t="array" ref="D93">_xlfn.LET(_xlpm.x,IFERROR(INDEX(_xlfn._xlws.FILTER(tblProjectTasks[Elapsed Time in Weeks],(tblProjectTasks[IsWorkPackage]="Yes")*(tblProjectTasks[CaptureStatus]&lt;&gt;"Removed")),ROWS($D$8:D93)),""),IF(_xlpm.x=0,"",_xlpm.x))</f>
        <v/>
      </c>
      <c r="E93" s="58" t="str">
        <f>IF($A93="","",IF($D93="",1,$D93))</f>
        <v/>
      </c>
      <c r="F93" s="58" t="str">
        <f>IF($A93="","",IF(ROW()=8,0,$F92+$E92))</f>
        <v/>
      </c>
      <c r="G93" s="58" t="str">
        <f>IF($A93="","",$F93+$E93)</f>
        <v/>
      </c>
      <c r="H93" s="59" t="str">
        <f>IF($A93="","",IF(AND(VALUE(H$7)&gt;$F93,VALUE(H$7)&lt;=$G93),IF($D93="","◇","■"),""))</f>
        <v/>
      </c>
      <c r="I93" s="59" t="str">
        <f>IF($A93="","",IF(AND(VALUE(I$7)&gt;$F93,VALUE(I$7)&lt;=$G93),IF($D93="","◇","■"),""))</f>
        <v/>
      </c>
      <c r="J93" s="59" t="str">
        <f>IF($A93="","",IF(AND(VALUE(J$7)&gt;$F93,VALUE(J$7)&lt;=$G93),IF($D93="","◇","■"),""))</f>
        <v/>
      </c>
      <c r="K93" s="59" t="str">
        <f>IF($A93="","",IF(AND(VALUE(K$7)&gt;$F93,VALUE(K$7)&lt;=$G93),IF($D93="","◇","■"),""))</f>
        <v/>
      </c>
      <c r="L93" s="59" t="str">
        <f>IF($A93="","",IF(AND(VALUE(L$7)&gt;$F93,VALUE(L$7)&lt;=$G93),IF($D93="","◇","■"),""))</f>
        <v/>
      </c>
      <c r="M93" s="59" t="str">
        <f>IF($A93="","",IF(AND(VALUE(M$7)&gt;$F93,VALUE(M$7)&lt;=$G93),IF($D93="","◇","■"),""))</f>
        <v/>
      </c>
      <c r="N93" s="59" t="str">
        <f>IF($A93="","",IF(AND(VALUE(N$7)&gt;$F93,VALUE(N$7)&lt;=$G93),IF($D93="","◇","■"),""))</f>
        <v/>
      </c>
      <c r="O93" s="59" t="str">
        <f>IF($A93="","",IF(AND(VALUE(O$7)&gt;$F93,VALUE(O$7)&lt;=$G93),IF($D93="","◇","■"),""))</f>
        <v/>
      </c>
      <c r="P93" s="59" t="str">
        <f>IF($A93="","",IF(AND(VALUE(P$7)&gt;$F93,VALUE(P$7)&lt;=$G93),IF($D93="","◇","■"),""))</f>
        <v/>
      </c>
      <c r="Q93" s="59" t="str">
        <f>IF($A93="","",IF(AND(VALUE(Q$7)&gt;$F93,VALUE(Q$7)&lt;=$G93),IF($D93="","◇","■"),""))</f>
        <v/>
      </c>
      <c r="R93" s="59" t="str">
        <f>IF($A93="","",IF(AND(VALUE(R$7)&gt;$F93,VALUE(R$7)&lt;=$G93),IF($D93="","◇","■"),""))</f>
        <v/>
      </c>
      <c r="S93" s="59" t="str">
        <f>IF($A93="","",IF(AND(VALUE(S$7)&gt;$F93,VALUE(S$7)&lt;=$G93),IF($D93="","◇","■"),""))</f>
        <v/>
      </c>
      <c r="T93" s="59" t="str">
        <f>IF($A93="","",IF(AND(VALUE(T$7)&gt;$F93,VALUE(T$7)&lt;=$G93),IF($D93="","◇","■"),""))</f>
        <v/>
      </c>
      <c r="U93" s="59" t="str">
        <f>IF($A93="","",IF(AND(VALUE(U$7)&gt;$F93,VALUE(U$7)&lt;=$G93),IF($D93="","◇","■"),""))</f>
        <v/>
      </c>
      <c r="V93" s="59" t="str">
        <f>IF($A93="","",IF(AND(VALUE(V$7)&gt;$F93,VALUE(V$7)&lt;=$G93),IF($D93="","◇","■"),""))</f>
        <v/>
      </c>
      <c r="W93" s="59" t="str">
        <f>IF($A93="","",IF(AND(VALUE(W$7)&gt;$F93,VALUE(W$7)&lt;=$G93),IF($D93="","◇","■"),""))</f>
        <v/>
      </c>
      <c r="X93" s="59" t="str">
        <f>IF($A93="","",IF(AND(VALUE(X$7)&gt;$F93,VALUE(X$7)&lt;=$G93),IF($D93="","◇","■"),""))</f>
        <v/>
      </c>
      <c r="Y93" s="59" t="str">
        <f>IF($A93="","",IF(AND(VALUE(Y$7)&gt;$F93,VALUE(Y$7)&lt;=$G93),IF($D93="","◇","■"),""))</f>
        <v/>
      </c>
      <c r="Z93" s="59" t="str">
        <f>IF($A93="","",IF(AND(VALUE(Z$7)&gt;$F93,VALUE(Z$7)&lt;=$G93),IF($D93="","◇","■"),""))</f>
        <v/>
      </c>
      <c r="AA93" s="59" t="str">
        <f>IF($A93="","",IF(AND(VALUE(AA$7)&gt;$F93,VALUE(AA$7)&lt;=$G93),IF($D93="","◇","■"),""))</f>
        <v/>
      </c>
      <c r="AB93" s="59" t="str">
        <f>IF($A93="","",IF(AND(VALUE(AB$7)&gt;$F93,VALUE(AB$7)&lt;=$G93),IF($D93="","◇","■"),""))</f>
        <v/>
      </c>
      <c r="AC93" s="59" t="str">
        <f>IF($A93="","",IF(AND(VALUE(AC$7)&gt;$F93,VALUE(AC$7)&lt;=$G93),IF($D93="","◇","■"),""))</f>
        <v/>
      </c>
      <c r="AD93" s="59" t="str">
        <f>IF($A93="","",IF(AND(VALUE(AD$7)&gt;$F93,VALUE(AD$7)&lt;=$G93),IF($D93="","◇","■"),""))</f>
        <v/>
      </c>
      <c r="AE93" s="59" t="str">
        <f>IF($A93="","",IF(AND(VALUE(AE$7)&gt;$F93,VALUE(AE$7)&lt;=$G93),IF($D93="","◇","■"),""))</f>
        <v/>
      </c>
      <c r="AF93" s="59" t="str">
        <f>IF($A93="","",IF(AND(VALUE(AF$7)&gt;$F93,VALUE(AF$7)&lt;=$G93),IF($D93="","◇","■"),""))</f>
        <v/>
      </c>
      <c r="AG93" s="59" t="str">
        <f>IF($A93="","",IF(AND(VALUE(AG$7)&gt;$F93,VALUE(AG$7)&lt;=$G93),IF($D93="","◇","■"),""))</f>
        <v/>
      </c>
      <c r="AH93" s="59" t="str">
        <f>IF($A93="","",IF(AND(VALUE(AH$7)&gt;$F93,VALUE(AH$7)&lt;=$G93),IF($D93="","◇","■"),""))</f>
        <v/>
      </c>
      <c r="AI93" s="59" t="str">
        <f>IF($A93="","",IF(AND(VALUE(AI$7)&gt;$F93,VALUE(AI$7)&lt;=$G93),IF($D93="","◇","■"),""))</f>
        <v/>
      </c>
      <c r="AJ93" s="59" t="str">
        <f>IF($A93="","",IF(AND(VALUE(AJ$7)&gt;$F93,VALUE(AJ$7)&lt;=$G93),IF($D93="","◇","■"),""))</f>
        <v/>
      </c>
      <c r="AK93" s="59" t="str">
        <f>IF($A93="","",IF(AND(VALUE(AK$7)&gt;$F93,VALUE(AK$7)&lt;=$G93),IF($D93="","◇","■"),""))</f>
        <v/>
      </c>
      <c r="AL93" s="59" t="str">
        <f>IF($A93="","",IF(AND(VALUE(AL$7)&gt;$F93,VALUE(AL$7)&lt;=$G93),IF($D93="","◇","■"),""))</f>
        <v/>
      </c>
      <c r="AM93" s="59" t="str">
        <f>IF($A93="","",IF(AND(VALUE(AM$7)&gt;$F93,VALUE(AM$7)&lt;=$G93),IF($D93="","◇","■"),""))</f>
        <v/>
      </c>
    </row>
    <row r="94" spans="1:39" ht="18" customHeight="1" x14ac:dyDescent="0.35">
      <c r="A94" s="55" t="str" cm="1">
        <f t="array" ref="A94">IFERROR(INDEX(_xlfn._xlws.FILTER(tblProjectTasks[TaskGroup],(tblProjectTasks[IsWorkPackage]="Yes")*(tblProjectTasks[CaptureStatus]&lt;&gt;"Removed")),ROWS($A$8:A94)),"")</f>
        <v/>
      </c>
      <c r="B94" s="56" t="str" cm="1">
        <f t="array" ref="B94">IFERROR(INDEX(_xlfn._xlws.FILTER(tblProjectTasks[WBSCode],(tblProjectTasks[IsWorkPackage]="Yes")*(tblProjectTasks[CaptureStatus]&lt;&gt;"Removed")),ROWS($B$8:B94)),"")</f>
        <v/>
      </c>
      <c r="C94" s="57" t="str" cm="1">
        <f t="array" ref="C94">IFERROR(INDEX(_xlfn._xlws.FILTER(tblProjectTasks[TaskName],(tblProjectTasks[IsWorkPackage]="Yes")*(tblProjectTasks[CaptureStatus]&lt;&gt;"Removed")),ROWS($C$8:C94)),"")</f>
        <v/>
      </c>
      <c r="D94" s="58" t="str" cm="1">
        <f t="array" ref="D94">_xlfn.LET(_xlpm.x,IFERROR(INDEX(_xlfn._xlws.FILTER(tblProjectTasks[Elapsed Time in Weeks],(tblProjectTasks[IsWorkPackage]="Yes")*(tblProjectTasks[CaptureStatus]&lt;&gt;"Removed")),ROWS($D$8:D94)),""),IF(_xlpm.x=0,"",_xlpm.x))</f>
        <v/>
      </c>
      <c r="E94" s="58" t="str">
        <f>IF($A94="","",IF($D94="",1,$D94))</f>
        <v/>
      </c>
      <c r="F94" s="58" t="str">
        <f>IF($A94="","",IF(ROW()=8,0,$F93+$E93))</f>
        <v/>
      </c>
      <c r="G94" s="58" t="str">
        <f>IF($A94="","",$F94+$E94)</f>
        <v/>
      </c>
      <c r="H94" s="59" t="str">
        <f>IF($A94="","",IF(AND(VALUE(H$7)&gt;$F94,VALUE(H$7)&lt;=$G94),IF($D94="","◇","■"),""))</f>
        <v/>
      </c>
      <c r="I94" s="59" t="str">
        <f>IF($A94="","",IF(AND(VALUE(I$7)&gt;$F94,VALUE(I$7)&lt;=$G94),IF($D94="","◇","■"),""))</f>
        <v/>
      </c>
      <c r="J94" s="59" t="str">
        <f>IF($A94="","",IF(AND(VALUE(J$7)&gt;$F94,VALUE(J$7)&lt;=$G94),IF($D94="","◇","■"),""))</f>
        <v/>
      </c>
      <c r="K94" s="59" t="str">
        <f>IF($A94="","",IF(AND(VALUE(K$7)&gt;$F94,VALUE(K$7)&lt;=$G94),IF($D94="","◇","■"),""))</f>
        <v/>
      </c>
      <c r="L94" s="59" t="str">
        <f>IF($A94="","",IF(AND(VALUE(L$7)&gt;$F94,VALUE(L$7)&lt;=$G94),IF($D94="","◇","■"),""))</f>
        <v/>
      </c>
      <c r="M94" s="59" t="str">
        <f>IF($A94="","",IF(AND(VALUE(M$7)&gt;$F94,VALUE(M$7)&lt;=$G94),IF($D94="","◇","■"),""))</f>
        <v/>
      </c>
      <c r="N94" s="59" t="str">
        <f>IF($A94="","",IF(AND(VALUE(N$7)&gt;$F94,VALUE(N$7)&lt;=$G94),IF($D94="","◇","■"),""))</f>
        <v/>
      </c>
      <c r="O94" s="59" t="str">
        <f>IF($A94="","",IF(AND(VALUE(O$7)&gt;$F94,VALUE(O$7)&lt;=$G94),IF($D94="","◇","■"),""))</f>
        <v/>
      </c>
      <c r="P94" s="59" t="str">
        <f>IF($A94="","",IF(AND(VALUE(P$7)&gt;$F94,VALUE(P$7)&lt;=$G94),IF($D94="","◇","■"),""))</f>
        <v/>
      </c>
      <c r="Q94" s="59" t="str">
        <f>IF($A94="","",IF(AND(VALUE(Q$7)&gt;$F94,VALUE(Q$7)&lt;=$G94),IF($D94="","◇","■"),""))</f>
        <v/>
      </c>
      <c r="R94" s="59" t="str">
        <f>IF($A94="","",IF(AND(VALUE(R$7)&gt;$F94,VALUE(R$7)&lt;=$G94),IF($D94="","◇","■"),""))</f>
        <v/>
      </c>
      <c r="S94" s="59" t="str">
        <f>IF($A94="","",IF(AND(VALUE(S$7)&gt;$F94,VALUE(S$7)&lt;=$G94),IF($D94="","◇","■"),""))</f>
        <v/>
      </c>
      <c r="T94" s="59" t="str">
        <f>IF($A94="","",IF(AND(VALUE(T$7)&gt;$F94,VALUE(T$7)&lt;=$G94),IF($D94="","◇","■"),""))</f>
        <v/>
      </c>
      <c r="U94" s="59" t="str">
        <f>IF($A94="","",IF(AND(VALUE(U$7)&gt;$F94,VALUE(U$7)&lt;=$G94),IF($D94="","◇","■"),""))</f>
        <v/>
      </c>
      <c r="V94" s="59" t="str">
        <f>IF($A94="","",IF(AND(VALUE(V$7)&gt;$F94,VALUE(V$7)&lt;=$G94),IF($D94="","◇","■"),""))</f>
        <v/>
      </c>
      <c r="W94" s="59" t="str">
        <f>IF($A94="","",IF(AND(VALUE(W$7)&gt;$F94,VALUE(W$7)&lt;=$G94),IF($D94="","◇","■"),""))</f>
        <v/>
      </c>
      <c r="X94" s="59" t="str">
        <f>IF($A94="","",IF(AND(VALUE(X$7)&gt;$F94,VALUE(X$7)&lt;=$G94),IF($D94="","◇","■"),""))</f>
        <v/>
      </c>
      <c r="Y94" s="59" t="str">
        <f>IF($A94="","",IF(AND(VALUE(Y$7)&gt;$F94,VALUE(Y$7)&lt;=$G94),IF($D94="","◇","■"),""))</f>
        <v/>
      </c>
      <c r="Z94" s="59" t="str">
        <f>IF($A94="","",IF(AND(VALUE(Z$7)&gt;$F94,VALUE(Z$7)&lt;=$G94),IF($D94="","◇","■"),""))</f>
        <v/>
      </c>
      <c r="AA94" s="59" t="str">
        <f>IF($A94="","",IF(AND(VALUE(AA$7)&gt;$F94,VALUE(AA$7)&lt;=$G94),IF($D94="","◇","■"),""))</f>
        <v/>
      </c>
      <c r="AB94" s="59" t="str">
        <f>IF($A94="","",IF(AND(VALUE(AB$7)&gt;$F94,VALUE(AB$7)&lt;=$G94),IF($D94="","◇","■"),""))</f>
        <v/>
      </c>
      <c r="AC94" s="59" t="str">
        <f>IF($A94="","",IF(AND(VALUE(AC$7)&gt;$F94,VALUE(AC$7)&lt;=$G94),IF($D94="","◇","■"),""))</f>
        <v/>
      </c>
      <c r="AD94" s="59" t="str">
        <f>IF($A94="","",IF(AND(VALUE(AD$7)&gt;$F94,VALUE(AD$7)&lt;=$G94),IF($D94="","◇","■"),""))</f>
        <v/>
      </c>
      <c r="AE94" s="59" t="str">
        <f>IF($A94="","",IF(AND(VALUE(AE$7)&gt;$F94,VALUE(AE$7)&lt;=$G94),IF($D94="","◇","■"),""))</f>
        <v/>
      </c>
      <c r="AF94" s="59" t="str">
        <f>IF($A94="","",IF(AND(VALUE(AF$7)&gt;$F94,VALUE(AF$7)&lt;=$G94),IF($D94="","◇","■"),""))</f>
        <v/>
      </c>
      <c r="AG94" s="59" t="str">
        <f>IF($A94="","",IF(AND(VALUE(AG$7)&gt;$F94,VALUE(AG$7)&lt;=$G94),IF($D94="","◇","■"),""))</f>
        <v/>
      </c>
      <c r="AH94" s="59" t="str">
        <f>IF($A94="","",IF(AND(VALUE(AH$7)&gt;$F94,VALUE(AH$7)&lt;=$G94),IF($D94="","◇","■"),""))</f>
        <v/>
      </c>
      <c r="AI94" s="59" t="str">
        <f>IF($A94="","",IF(AND(VALUE(AI$7)&gt;$F94,VALUE(AI$7)&lt;=$G94),IF($D94="","◇","■"),""))</f>
        <v/>
      </c>
      <c r="AJ94" s="59" t="str">
        <f>IF($A94="","",IF(AND(VALUE(AJ$7)&gt;$F94,VALUE(AJ$7)&lt;=$G94),IF($D94="","◇","■"),""))</f>
        <v/>
      </c>
      <c r="AK94" s="59" t="str">
        <f>IF($A94="","",IF(AND(VALUE(AK$7)&gt;$F94,VALUE(AK$7)&lt;=$G94),IF($D94="","◇","■"),""))</f>
        <v/>
      </c>
      <c r="AL94" s="59" t="str">
        <f>IF($A94="","",IF(AND(VALUE(AL$7)&gt;$F94,VALUE(AL$7)&lt;=$G94),IF($D94="","◇","■"),""))</f>
        <v/>
      </c>
      <c r="AM94" s="59" t="str">
        <f>IF($A94="","",IF(AND(VALUE(AM$7)&gt;$F94,VALUE(AM$7)&lt;=$G94),IF($D94="","◇","■"),""))</f>
        <v/>
      </c>
    </row>
    <row r="95" spans="1:39" ht="18" customHeight="1" x14ac:dyDescent="0.35">
      <c r="A95" s="55" t="str" cm="1">
        <f t="array" ref="A95">IFERROR(INDEX(_xlfn._xlws.FILTER(tblProjectTasks[TaskGroup],(tblProjectTasks[IsWorkPackage]="Yes")*(tblProjectTasks[CaptureStatus]&lt;&gt;"Removed")),ROWS($A$8:A95)),"")</f>
        <v/>
      </c>
      <c r="B95" s="56" t="str" cm="1">
        <f t="array" ref="B95">IFERROR(INDEX(_xlfn._xlws.FILTER(tblProjectTasks[WBSCode],(tblProjectTasks[IsWorkPackage]="Yes")*(tblProjectTasks[CaptureStatus]&lt;&gt;"Removed")),ROWS($B$8:B95)),"")</f>
        <v/>
      </c>
      <c r="C95" s="57" t="str" cm="1">
        <f t="array" ref="C95">IFERROR(INDEX(_xlfn._xlws.FILTER(tblProjectTasks[TaskName],(tblProjectTasks[IsWorkPackage]="Yes")*(tblProjectTasks[CaptureStatus]&lt;&gt;"Removed")),ROWS($C$8:C95)),"")</f>
        <v/>
      </c>
      <c r="D95" s="58" t="str" cm="1">
        <f t="array" ref="D95">_xlfn.LET(_xlpm.x,IFERROR(INDEX(_xlfn._xlws.FILTER(tblProjectTasks[Elapsed Time in Weeks],(tblProjectTasks[IsWorkPackage]="Yes")*(tblProjectTasks[CaptureStatus]&lt;&gt;"Removed")),ROWS($D$8:D95)),""),IF(_xlpm.x=0,"",_xlpm.x))</f>
        <v/>
      </c>
      <c r="E95" s="58" t="str">
        <f>IF($A95="","",IF($D95="",1,$D95))</f>
        <v/>
      </c>
      <c r="F95" s="58" t="str">
        <f>IF($A95="","",IF(ROW()=8,0,$F94+$E94))</f>
        <v/>
      </c>
      <c r="G95" s="58" t="str">
        <f>IF($A95="","",$F95+$E95)</f>
        <v/>
      </c>
      <c r="H95" s="59" t="str">
        <f>IF($A95="","",IF(AND(VALUE(H$7)&gt;$F95,VALUE(H$7)&lt;=$G95),IF($D95="","◇","■"),""))</f>
        <v/>
      </c>
      <c r="I95" s="59" t="str">
        <f>IF($A95="","",IF(AND(VALUE(I$7)&gt;$F95,VALUE(I$7)&lt;=$G95),IF($D95="","◇","■"),""))</f>
        <v/>
      </c>
      <c r="J95" s="59" t="str">
        <f>IF($A95="","",IF(AND(VALUE(J$7)&gt;$F95,VALUE(J$7)&lt;=$G95),IF($D95="","◇","■"),""))</f>
        <v/>
      </c>
      <c r="K95" s="59" t="str">
        <f>IF($A95="","",IF(AND(VALUE(K$7)&gt;$F95,VALUE(K$7)&lt;=$G95),IF($D95="","◇","■"),""))</f>
        <v/>
      </c>
      <c r="L95" s="59" t="str">
        <f>IF($A95="","",IF(AND(VALUE(L$7)&gt;$F95,VALUE(L$7)&lt;=$G95),IF($D95="","◇","■"),""))</f>
        <v/>
      </c>
      <c r="M95" s="59" t="str">
        <f>IF($A95="","",IF(AND(VALUE(M$7)&gt;$F95,VALUE(M$7)&lt;=$G95),IF($D95="","◇","■"),""))</f>
        <v/>
      </c>
      <c r="N95" s="59" t="str">
        <f>IF($A95="","",IF(AND(VALUE(N$7)&gt;$F95,VALUE(N$7)&lt;=$G95),IF($D95="","◇","■"),""))</f>
        <v/>
      </c>
      <c r="O95" s="59" t="str">
        <f>IF($A95="","",IF(AND(VALUE(O$7)&gt;$F95,VALUE(O$7)&lt;=$G95),IF($D95="","◇","■"),""))</f>
        <v/>
      </c>
      <c r="P95" s="59" t="str">
        <f>IF($A95="","",IF(AND(VALUE(P$7)&gt;$F95,VALUE(P$7)&lt;=$G95),IF($D95="","◇","■"),""))</f>
        <v/>
      </c>
      <c r="Q95" s="59" t="str">
        <f>IF($A95="","",IF(AND(VALUE(Q$7)&gt;$F95,VALUE(Q$7)&lt;=$G95),IF($D95="","◇","■"),""))</f>
        <v/>
      </c>
      <c r="R95" s="59" t="str">
        <f>IF($A95="","",IF(AND(VALUE(R$7)&gt;$F95,VALUE(R$7)&lt;=$G95),IF($D95="","◇","■"),""))</f>
        <v/>
      </c>
      <c r="S95" s="59" t="str">
        <f>IF($A95="","",IF(AND(VALUE(S$7)&gt;$F95,VALUE(S$7)&lt;=$G95),IF($D95="","◇","■"),""))</f>
        <v/>
      </c>
      <c r="T95" s="59" t="str">
        <f>IF($A95="","",IF(AND(VALUE(T$7)&gt;$F95,VALUE(T$7)&lt;=$G95),IF($D95="","◇","■"),""))</f>
        <v/>
      </c>
      <c r="U95" s="59" t="str">
        <f>IF($A95="","",IF(AND(VALUE(U$7)&gt;$F95,VALUE(U$7)&lt;=$G95),IF($D95="","◇","■"),""))</f>
        <v/>
      </c>
      <c r="V95" s="59" t="str">
        <f>IF($A95="","",IF(AND(VALUE(V$7)&gt;$F95,VALUE(V$7)&lt;=$G95),IF($D95="","◇","■"),""))</f>
        <v/>
      </c>
      <c r="W95" s="59" t="str">
        <f>IF($A95="","",IF(AND(VALUE(W$7)&gt;$F95,VALUE(W$7)&lt;=$G95),IF($D95="","◇","■"),""))</f>
        <v/>
      </c>
      <c r="X95" s="59" t="str">
        <f>IF($A95="","",IF(AND(VALUE(X$7)&gt;$F95,VALUE(X$7)&lt;=$G95),IF($D95="","◇","■"),""))</f>
        <v/>
      </c>
      <c r="Y95" s="59" t="str">
        <f>IF($A95="","",IF(AND(VALUE(Y$7)&gt;$F95,VALUE(Y$7)&lt;=$G95),IF($D95="","◇","■"),""))</f>
        <v/>
      </c>
      <c r="Z95" s="59" t="str">
        <f>IF($A95="","",IF(AND(VALUE(Z$7)&gt;$F95,VALUE(Z$7)&lt;=$G95),IF($D95="","◇","■"),""))</f>
        <v/>
      </c>
      <c r="AA95" s="59" t="str">
        <f>IF($A95="","",IF(AND(VALUE(AA$7)&gt;$F95,VALUE(AA$7)&lt;=$G95),IF($D95="","◇","■"),""))</f>
        <v/>
      </c>
      <c r="AB95" s="59" t="str">
        <f>IF($A95="","",IF(AND(VALUE(AB$7)&gt;$F95,VALUE(AB$7)&lt;=$G95),IF($D95="","◇","■"),""))</f>
        <v/>
      </c>
      <c r="AC95" s="59" t="str">
        <f>IF($A95="","",IF(AND(VALUE(AC$7)&gt;$F95,VALUE(AC$7)&lt;=$G95),IF($D95="","◇","■"),""))</f>
        <v/>
      </c>
      <c r="AD95" s="59" t="str">
        <f>IF($A95="","",IF(AND(VALUE(AD$7)&gt;$F95,VALUE(AD$7)&lt;=$G95),IF($D95="","◇","■"),""))</f>
        <v/>
      </c>
      <c r="AE95" s="59" t="str">
        <f>IF($A95="","",IF(AND(VALUE(AE$7)&gt;$F95,VALUE(AE$7)&lt;=$G95),IF($D95="","◇","■"),""))</f>
        <v/>
      </c>
      <c r="AF95" s="59" t="str">
        <f>IF($A95="","",IF(AND(VALUE(AF$7)&gt;$F95,VALUE(AF$7)&lt;=$G95),IF($D95="","◇","■"),""))</f>
        <v/>
      </c>
      <c r="AG95" s="59" t="str">
        <f>IF($A95="","",IF(AND(VALUE(AG$7)&gt;$F95,VALUE(AG$7)&lt;=$G95),IF($D95="","◇","■"),""))</f>
        <v/>
      </c>
      <c r="AH95" s="59" t="str">
        <f>IF($A95="","",IF(AND(VALUE(AH$7)&gt;$F95,VALUE(AH$7)&lt;=$G95),IF($D95="","◇","■"),""))</f>
        <v/>
      </c>
      <c r="AI95" s="59" t="str">
        <f>IF($A95="","",IF(AND(VALUE(AI$7)&gt;$F95,VALUE(AI$7)&lt;=$G95),IF($D95="","◇","■"),""))</f>
        <v/>
      </c>
      <c r="AJ95" s="59" t="str">
        <f>IF($A95="","",IF(AND(VALUE(AJ$7)&gt;$F95,VALUE(AJ$7)&lt;=$G95),IF($D95="","◇","■"),""))</f>
        <v/>
      </c>
      <c r="AK95" s="59" t="str">
        <f>IF($A95="","",IF(AND(VALUE(AK$7)&gt;$F95,VALUE(AK$7)&lt;=$G95),IF($D95="","◇","■"),""))</f>
        <v/>
      </c>
      <c r="AL95" s="59" t="str">
        <f>IF($A95="","",IF(AND(VALUE(AL$7)&gt;$F95,VALUE(AL$7)&lt;=$G95),IF($D95="","◇","■"),""))</f>
        <v/>
      </c>
      <c r="AM95" s="59" t="str">
        <f>IF($A95="","",IF(AND(VALUE(AM$7)&gt;$F95,VALUE(AM$7)&lt;=$G95),IF($D95="","◇","■"),""))</f>
        <v/>
      </c>
    </row>
    <row r="96" spans="1:39" ht="18" customHeight="1" x14ac:dyDescent="0.35">
      <c r="A96" s="55" t="str" cm="1">
        <f t="array" ref="A96">IFERROR(INDEX(_xlfn._xlws.FILTER(tblProjectTasks[TaskGroup],(tblProjectTasks[IsWorkPackage]="Yes")*(tblProjectTasks[CaptureStatus]&lt;&gt;"Removed")),ROWS($A$8:A96)),"")</f>
        <v/>
      </c>
      <c r="B96" s="56" t="str" cm="1">
        <f t="array" ref="B96">IFERROR(INDEX(_xlfn._xlws.FILTER(tblProjectTasks[WBSCode],(tblProjectTasks[IsWorkPackage]="Yes")*(tblProjectTasks[CaptureStatus]&lt;&gt;"Removed")),ROWS($B$8:B96)),"")</f>
        <v/>
      </c>
      <c r="C96" s="57" t="str" cm="1">
        <f t="array" ref="C96">IFERROR(INDEX(_xlfn._xlws.FILTER(tblProjectTasks[TaskName],(tblProjectTasks[IsWorkPackage]="Yes")*(tblProjectTasks[CaptureStatus]&lt;&gt;"Removed")),ROWS($C$8:C96)),"")</f>
        <v/>
      </c>
      <c r="D96" s="58" t="str" cm="1">
        <f t="array" ref="D96">_xlfn.LET(_xlpm.x,IFERROR(INDEX(_xlfn._xlws.FILTER(tblProjectTasks[Elapsed Time in Weeks],(tblProjectTasks[IsWorkPackage]="Yes")*(tblProjectTasks[CaptureStatus]&lt;&gt;"Removed")),ROWS($D$8:D96)),""),IF(_xlpm.x=0,"",_xlpm.x))</f>
        <v/>
      </c>
      <c r="E96" s="58" t="str">
        <f>IF($A96="","",IF($D96="",1,$D96))</f>
        <v/>
      </c>
      <c r="F96" s="58" t="str">
        <f>IF($A96="","",IF(ROW()=8,0,$F95+$E95))</f>
        <v/>
      </c>
      <c r="G96" s="58" t="str">
        <f>IF($A96="","",$F96+$E96)</f>
        <v/>
      </c>
      <c r="H96" s="59" t="str">
        <f>IF($A96="","",IF(AND(VALUE(H$7)&gt;$F96,VALUE(H$7)&lt;=$G96),IF($D96="","◇","■"),""))</f>
        <v/>
      </c>
      <c r="I96" s="59" t="str">
        <f>IF($A96="","",IF(AND(VALUE(I$7)&gt;$F96,VALUE(I$7)&lt;=$G96),IF($D96="","◇","■"),""))</f>
        <v/>
      </c>
      <c r="J96" s="59" t="str">
        <f>IF($A96="","",IF(AND(VALUE(J$7)&gt;$F96,VALUE(J$7)&lt;=$G96),IF($D96="","◇","■"),""))</f>
        <v/>
      </c>
      <c r="K96" s="59" t="str">
        <f>IF($A96="","",IF(AND(VALUE(K$7)&gt;$F96,VALUE(K$7)&lt;=$G96),IF($D96="","◇","■"),""))</f>
        <v/>
      </c>
      <c r="L96" s="59" t="str">
        <f>IF($A96="","",IF(AND(VALUE(L$7)&gt;$F96,VALUE(L$7)&lt;=$G96),IF($D96="","◇","■"),""))</f>
        <v/>
      </c>
      <c r="M96" s="59" t="str">
        <f>IF($A96="","",IF(AND(VALUE(M$7)&gt;$F96,VALUE(M$7)&lt;=$G96),IF($D96="","◇","■"),""))</f>
        <v/>
      </c>
      <c r="N96" s="59" t="str">
        <f>IF($A96="","",IF(AND(VALUE(N$7)&gt;$F96,VALUE(N$7)&lt;=$G96),IF($D96="","◇","■"),""))</f>
        <v/>
      </c>
      <c r="O96" s="59" t="str">
        <f>IF($A96="","",IF(AND(VALUE(O$7)&gt;$F96,VALUE(O$7)&lt;=$G96),IF($D96="","◇","■"),""))</f>
        <v/>
      </c>
      <c r="P96" s="59" t="str">
        <f>IF($A96="","",IF(AND(VALUE(P$7)&gt;$F96,VALUE(P$7)&lt;=$G96),IF($D96="","◇","■"),""))</f>
        <v/>
      </c>
      <c r="Q96" s="59" t="str">
        <f>IF($A96="","",IF(AND(VALUE(Q$7)&gt;$F96,VALUE(Q$7)&lt;=$G96),IF($D96="","◇","■"),""))</f>
        <v/>
      </c>
      <c r="R96" s="59" t="str">
        <f>IF($A96="","",IF(AND(VALUE(R$7)&gt;$F96,VALUE(R$7)&lt;=$G96),IF($D96="","◇","■"),""))</f>
        <v/>
      </c>
      <c r="S96" s="59" t="str">
        <f>IF($A96="","",IF(AND(VALUE(S$7)&gt;$F96,VALUE(S$7)&lt;=$G96),IF($D96="","◇","■"),""))</f>
        <v/>
      </c>
      <c r="T96" s="59" t="str">
        <f>IF($A96="","",IF(AND(VALUE(T$7)&gt;$F96,VALUE(T$7)&lt;=$G96),IF($D96="","◇","■"),""))</f>
        <v/>
      </c>
      <c r="U96" s="59" t="str">
        <f>IF($A96="","",IF(AND(VALUE(U$7)&gt;$F96,VALUE(U$7)&lt;=$G96),IF($D96="","◇","■"),""))</f>
        <v/>
      </c>
      <c r="V96" s="59" t="str">
        <f>IF($A96="","",IF(AND(VALUE(V$7)&gt;$F96,VALUE(V$7)&lt;=$G96),IF($D96="","◇","■"),""))</f>
        <v/>
      </c>
      <c r="W96" s="59" t="str">
        <f>IF($A96="","",IF(AND(VALUE(W$7)&gt;$F96,VALUE(W$7)&lt;=$G96),IF($D96="","◇","■"),""))</f>
        <v/>
      </c>
      <c r="X96" s="59" t="str">
        <f>IF($A96="","",IF(AND(VALUE(X$7)&gt;$F96,VALUE(X$7)&lt;=$G96),IF($D96="","◇","■"),""))</f>
        <v/>
      </c>
      <c r="Y96" s="59" t="str">
        <f>IF($A96="","",IF(AND(VALUE(Y$7)&gt;$F96,VALUE(Y$7)&lt;=$G96),IF($D96="","◇","■"),""))</f>
        <v/>
      </c>
      <c r="Z96" s="59" t="str">
        <f>IF($A96="","",IF(AND(VALUE(Z$7)&gt;$F96,VALUE(Z$7)&lt;=$G96),IF($D96="","◇","■"),""))</f>
        <v/>
      </c>
      <c r="AA96" s="59" t="str">
        <f>IF($A96="","",IF(AND(VALUE(AA$7)&gt;$F96,VALUE(AA$7)&lt;=$G96),IF($D96="","◇","■"),""))</f>
        <v/>
      </c>
      <c r="AB96" s="59" t="str">
        <f>IF($A96="","",IF(AND(VALUE(AB$7)&gt;$F96,VALUE(AB$7)&lt;=$G96),IF($D96="","◇","■"),""))</f>
        <v/>
      </c>
      <c r="AC96" s="59" t="str">
        <f>IF($A96="","",IF(AND(VALUE(AC$7)&gt;$F96,VALUE(AC$7)&lt;=$G96),IF($D96="","◇","■"),""))</f>
        <v/>
      </c>
      <c r="AD96" s="59" t="str">
        <f>IF($A96="","",IF(AND(VALUE(AD$7)&gt;$F96,VALUE(AD$7)&lt;=$G96),IF($D96="","◇","■"),""))</f>
        <v/>
      </c>
      <c r="AE96" s="59" t="str">
        <f>IF($A96="","",IF(AND(VALUE(AE$7)&gt;$F96,VALUE(AE$7)&lt;=$G96),IF($D96="","◇","■"),""))</f>
        <v/>
      </c>
      <c r="AF96" s="59" t="str">
        <f>IF($A96="","",IF(AND(VALUE(AF$7)&gt;$F96,VALUE(AF$7)&lt;=$G96),IF($D96="","◇","■"),""))</f>
        <v/>
      </c>
      <c r="AG96" s="59" t="str">
        <f>IF($A96="","",IF(AND(VALUE(AG$7)&gt;$F96,VALUE(AG$7)&lt;=$G96),IF($D96="","◇","■"),""))</f>
        <v/>
      </c>
      <c r="AH96" s="59" t="str">
        <f>IF($A96="","",IF(AND(VALUE(AH$7)&gt;$F96,VALUE(AH$7)&lt;=$G96),IF($D96="","◇","■"),""))</f>
        <v/>
      </c>
      <c r="AI96" s="59" t="str">
        <f>IF($A96="","",IF(AND(VALUE(AI$7)&gt;$F96,VALUE(AI$7)&lt;=$G96),IF($D96="","◇","■"),""))</f>
        <v/>
      </c>
      <c r="AJ96" s="59" t="str">
        <f>IF($A96="","",IF(AND(VALUE(AJ$7)&gt;$F96,VALUE(AJ$7)&lt;=$G96),IF($D96="","◇","■"),""))</f>
        <v/>
      </c>
      <c r="AK96" s="59" t="str">
        <f>IF($A96="","",IF(AND(VALUE(AK$7)&gt;$F96,VALUE(AK$7)&lt;=$G96),IF($D96="","◇","■"),""))</f>
        <v/>
      </c>
      <c r="AL96" s="59" t="str">
        <f>IF($A96="","",IF(AND(VALUE(AL$7)&gt;$F96,VALUE(AL$7)&lt;=$G96),IF($D96="","◇","■"),""))</f>
        <v/>
      </c>
      <c r="AM96" s="59" t="str">
        <f>IF($A96="","",IF(AND(VALUE(AM$7)&gt;$F96,VALUE(AM$7)&lt;=$G96),IF($D96="","◇","■"),""))</f>
        <v/>
      </c>
    </row>
    <row r="97" spans="1:39" ht="18" customHeight="1" x14ac:dyDescent="0.35">
      <c r="A97" s="55" t="str" cm="1">
        <f t="array" ref="A97">IFERROR(INDEX(_xlfn._xlws.FILTER(tblProjectTasks[TaskGroup],(tblProjectTasks[IsWorkPackage]="Yes")*(tblProjectTasks[CaptureStatus]&lt;&gt;"Removed")),ROWS($A$8:A97)),"")</f>
        <v/>
      </c>
      <c r="B97" s="56" t="str" cm="1">
        <f t="array" ref="B97">IFERROR(INDEX(_xlfn._xlws.FILTER(tblProjectTasks[WBSCode],(tblProjectTasks[IsWorkPackage]="Yes")*(tblProjectTasks[CaptureStatus]&lt;&gt;"Removed")),ROWS($B$8:B97)),"")</f>
        <v/>
      </c>
      <c r="C97" s="57" t="str" cm="1">
        <f t="array" ref="C97">IFERROR(INDEX(_xlfn._xlws.FILTER(tblProjectTasks[TaskName],(tblProjectTasks[IsWorkPackage]="Yes")*(tblProjectTasks[CaptureStatus]&lt;&gt;"Removed")),ROWS($C$8:C97)),"")</f>
        <v/>
      </c>
      <c r="D97" s="58" t="str" cm="1">
        <f t="array" ref="D97">_xlfn.LET(_xlpm.x,IFERROR(INDEX(_xlfn._xlws.FILTER(tblProjectTasks[Elapsed Time in Weeks],(tblProjectTasks[IsWorkPackage]="Yes")*(tblProjectTasks[CaptureStatus]&lt;&gt;"Removed")),ROWS($D$8:D97)),""),IF(_xlpm.x=0,"",_xlpm.x))</f>
        <v/>
      </c>
      <c r="E97" s="58" t="str">
        <f>IF($A97="","",IF($D97="",1,$D97))</f>
        <v/>
      </c>
      <c r="F97" s="58" t="str">
        <f>IF($A97="","",IF(ROW()=8,0,$F96+$E96))</f>
        <v/>
      </c>
      <c r="G97" s="58" t="str">
        <f>IF($A97="","",$F97+$E97)</f>
        <v/>
      </c>
      <c r="H97" s="59" t="str">
        <f>IF($A97="","",IF(AND(VALUE(H$7)&gt;$F97,VALUE(H$7)&lt;=$G97),IF($D97="","◇","■"),""))</f>
        <v/>
      </c>
      <c r="I97" s="59" t="str">
        <f>IF($A97="","",IF(AND(VALUE(I$7)&gt;$F97,VALUE(I$7)&lt;=$G97),IF($D97="","◇","■"),""))</f>
        <v/>
      </c>
      <c r="J97" s="59" t="str">
        <f>IF($A97="","",IF(AND(VALUE(J$7)&gt;$F97,VALUE(J$7)&lt;=$G97),IF($D97="","◇","■"),""))</f>
        <v/>
      </c>
      <c r="K97" s="59" t="str">
        <f>IF($A97="","",IF(AND(VALUE(K$7)&gt;$F97,VALUE(K$7)&lt;=$G97),IF($D97="","◇","■"),""))</f>
        <v/>
      </c>
      <c r="L97" s="59" t="str">
        <f>IF($A97="","",IF(AND(VALUE(L$7)&gt;$F97,VALUE(L$7)&lt;=$G97),IF($D97="","◇","■"),""))</f>
        <v/>
      </c>
      <c r="M97" s="59" t="str">
        <f>IF($A97="","",IF(AND(VALUE(M$7)&gt;$F97,VALUE(M$7)&lt;=$G97),IF($D97="","◇","■"),""))</f>
        <v/>
      </c>
      <c r="N97" s="59" t="str">
        <f>IF($A97="","",IF(AND(VALUE(N$7)&gt;$F97,VALUE(N$7)&lt;=$G97),IF($D97="","◇","■"),""))</f>
        <v/>
      </c>
      <c r="O97" s="59" t="str">
        <f>IF($A97="","",IF(AND(VALUE(O$7)&gt;$F97,VALUE(O$7)&lt;=$G97),IF($D97="","◇","■"),""))</f>
        <v/>
      </c>
      <c r="P97" s="59" t="str">
        <f>IF($A97="","",IF(AND(VALUE(P$7)&gt;$F97,VALUE(P$7)&lt;=$G97),IF($D97="","◇","■"),""))</f>
        <v/>
      </c>
      <c r="Q97" s="59" t="str">
        <f>IF($A97="","",IF(AND(VALUE(Q$7)&gt;$F97,VALUE(Q$7)&lt;=$G97),IF($D97="","◇","■"),""))</f>
        <v/>
      </c>
      <c r="R97" s="59" t="str">
        <f>IF($A97="","",IF(AND(VALUE(R$7)&gt;$F97,VALUE(R$7)&lt;=$G97),IF($D97="","◇","■"),""))</f>
        <v/>
      </c>
      <c r="S97" s="59" t="str">
        <f>IF($A97="","",IF(AND(VALUE(S$7)&gt;$F97,VALUE(S$7)&lt;=$G97),IF($D97="","◇","■"),""))</f>
        <v/>
      </c>
      <c r="T97" s="59" t="str">
        <f>IF($A97="","",IF(AND(VALUE(T$7)&gt;$F97,VALUE(T$7)&lt;=$G97),IF($D97="","◇","■"),""))</f>
        <v/>
      </c>
      <c r="U97" s="59" t="str">
        <f>IF($A97="","",IF(AND(VALUE(U$7)&gt;$F97,VALUE(U$7)&lt;=$G97),IF($D97="","◇","■"),""))</f>
        <v/>
      </c>
      <c r="V97" s="59" t="str">
        <f>IF($A97="","",IF(AND(VALUE(V$7)&gt;$F97,VALUE(V$7)&lt;=$G97),IF($D97="","◇","■"),""))</f>
        <v/>
      </c>
      <c r="W97" s="59" t="str">
        <f>IF($A97="","",IF(AND(VALUE(W$7)&gt;$F97,VALUE(W$7)&lt;=$G97),IF($D97="","◇","■"),""))</f>
        <v/>
      </c>
      <c r="X97" s="59" t="str">
        <f>IF($A97="","",IF(AND(VALUE(X$7)&gt;$F97,VALUE(X$7)&lt;=$G97),IF($D97="","◇","■"),""))</f>
        <v/>
      </c>
      <c r="Y97" s="59" t="str">
        <f>IF($A97="","",IF(AND(VALUE(Y$7)&gt;$F97,VALUE(Y$7)&lt;=$G97),IF($D97="","◇","■"),""))</f>
        <v/>
      </c>
      <c r="Z97" s="59" t="str">
        <f>IF($A97="","",IF(AND(VALUE(Z$7)&gt;$F97,VALUE(Z$7)&lt;=$G97),IF($D97="","◇","■"),""))</f>
        <v/>
      </c>
      <c r="AA97" s="59" t="str">
        <f>IF($A97="","",IF(AND(VALUE(AA$7)&gt;$F97,VALUE(AA$7)&lt;=$G97),IF($D97="","◇","■"),""))</f>
        <v/>
      </c>
      <c r="AB97" s="59" t="str">
        <f>IF($A97="","",IF(AND(VALUE(AB$7)&gt;$F97,VALUE(AB$7)&lt;=$G97),IF($D97="","◇","■"),""))</f>
        <v/>
      </c>
      <c r="AC97" s="59" t="str">
        <f>IF($A97="","",IF(AND(VALUE(AC$7)&gt;$F97,VALUE(AC$7)&lt;=$G97),IF($D97="","◇","■"),""))</f>
        <v/>
      </c>
      <c r="AD97" s="59" t="str">
        <f>IF($A97="","",IF(AND(VALUE(AD$7)&gt;$F97,VALUE(AD$7)&lt;=$G97),IF($D97="","◇","■"),""))</f>
        <v/>
      </c>
      <c r="AE97" s="59" t="str">
        <f>IF($A97="","",IF(AND(VALUE(AE$7)&gt;$F97,VALUE(AE$7)&lt;=$G97),IF($D97="","◇","■"),""))</f>
        <v/>
      </c>
      <c r="AF97" s="59" t="str">
        <f>IF($A97="","",IF(AND(VALUE(AF$7)&gt;$F97,VALUE(AF$7)&lt;=$G97),IF($D97="","◇","■"),""))</f>
        <v/>
      </c>
      <c r="AG97" s="59" t="str">
        <f>IF($A97="","",IF(AND(VALUE(AG$7)&gt;$F97,VALUE(AG$7)&lt;=$G97),IF($D97="","◇","■"),""))</f>
        <v/>
      </c>
      <c r="AH97" s="59" t="str">
        <f>IF($A97="","",IF(AND(VALUE(AH$7)&gt;$F97,VALUE(AH$7)&lt;=$G97),IF($D97="","◇","■"),""))</f>
        <v/>
      </c>
      <c r="AI97" s="59" t="str">
        <f>IF($A97="","",IF(AND(VALUE(AI$7)&gt;$F97,VALUE(AI$7)&lt;=$G97),IF($D97="","◇","■"),""))</f>
        <v/>
      </c>
      <c r="AJ97" s="59" t="str">
        <f>IF($A97="","",IF(AND(VALUE(AJ$7)&gt;$F97,VALUE(AJ$7)&lt;=$G97),IF($D97="","◇","■"),""))</f>
        <v/>
      </c>
      <c r="AK97" s="59" t="str">
        <f>IF($A97="","",IF(AND(VALUE(AK$7)&gt;$F97,VALUE(AK$7)&lt;=$G97),IF($D97="","◇","■"),""))</f>
        <v/>
      </c>
      <c r="AL97" s="59" t="str">
        <f>IF($A97="","",IF(AND(VALUE(AL$7)&gt;$F97,VALUE(AL$7)&lt;=$G97),IF($D97="","◇","■"),""))</f>
        <v/>
      </c>
      <c r="AM97" s="59" t="str">
        <f>IF($A97="","",IF(AND(VALUE(AM$7)&gt;$F97,VALUE(AM$7)&lt;=$G97),IF($D97="","◇","■"),""))</f>
        <v/>
      </c>
    </row>
    <row r="98" spans="1:39" ht="18" customHeight="1" x14ac:dyDescent="0.35">
      <c r="A98" s="55" t="str" cm="1">
        <f t="array" ref="A98">IFERROR(INDEX(_xlfn._xlws.FILTER(tblProjectTasks[TaskGroup],(tblProjectTasks[IsWorkPackage]="Yes")*(tblProjectTasks[CaptureStatus]&lt;&gt;"Removed")),ROWS($A$8:A98)),"")</f>
        <v/>
      </c>
      <c r="B98" s="56" t="str" cm="1">
        <f t="array" ref="B98">IFERROR(INDEX(_xlfn._xlws.FILTER(tblProjectTasks[WBSCode],(tblProjectTasks[IsWorkPackage]="Yes")*(tblProjectTasks[CaptureStatus]&lt;&gt;"Removed")),ROWS($B$8:B98)),"")</f>
        <v/>
      </c>
      <c r="C98" s="57" t="str" cm="1">
        <f t="array" ref="C98">IFERROR(INDEX(_xlfn._xlws.FILTER(tblProjectTasks[TaskName],(tblProjectTasks[IsWorkPackage]="Yes")*(tblProjectTasks[CaptureStatus]&lt;&gt;"Removed")),ROWS($C$8:C98)),"")</f>
        <v/>
      </c>
      <c r="D98" s="58" t="str" cm="1">
        <f t="array" ref="D98">_xlfn.LET(_xlpm.x,IFERROR(INDEX(_xlfn._xlws.FILTER(tblProjectTasks[Elapsed Time in Weeks],(tblProjectTasks[IsWorkPackage]="Yes")*(tblProjectTasks[CaptureStatus]&lt;&gt;"Removed")),ROWS($D$8:D98)),""),IF(_xlpm.x=0,"",_xlpm.x))</f>
        <v/>
      </c>
      <c r="E98" s="58" t="str">
        <f>IF($A98="","",IF($D98="",1,$D98))</f>
        <v/>
      </c>
      <c r="F98" s="58" t="str">
        <f>IF($A98="","",IF(ROW()=8,0,$F97+$E97))</f>
        <v/>
      </c>
      <c r="G98" s="58" t="str">
        <f>IF($A98="","",$F98+$E98)</f>
        <v/>
      </c>
      <c r="H98" s="59" t="str">
        <f>IF($A98="","",IF(AND(VALUE(H$7)&gt;$F98,VALUE(H$7)&lt;=$G98),IF($D98="","◇","■"),""))</f>
        <v/>
      </c>
      <c r="I98" s="59" t="str">
        <f>IF($A98="","",IF(AND(VALUE(I$7)&gt;$F98,VALUE(I$7)&lt;=$G98),IF($D98="","◇","■"),""))</f>
        <v/>
      </c>
      <c r="J98" s="59" t="str">
        <f>IF($A98="","",IF(AND(VALUE(J$7)&gt;$F98,VALUE(J$7)&lt;=$G98),IF($D98="","◇","■"),""))</f>
        <v/>
      </c>
      <c r="K98" s="59" t="str">
        <f>IF($A98="","",IF(AND(VALUE(K$7)&gt;$F98,VALUE(K$7)&lt;=$G98),IF($D98="","◇","■"),""))</f>
        <v/>
      </c>
      <c r="L98" s="59" t="str">
        <f>IF($A98="","",IF(AND(VALUE(L$7)&gt;$F98,VALUE(L$7)&lt;=$G98),IF($D98="","◇","■"),""))</f>
        <v/>
      </c>
      <c r="M98" s="59" t="str">
        <f>IF($A98="","",IF(AND(VALUE(M$7)&gt;$F98,VALUE(M$7)&lt;=$G98),IF($D98="","◇","■"),""))</f>
        <v/>
      </c>
      <c r="N98" s="59" t="str">
        <f>IF($A98="","",IF(AND(VALUE(N$7)&gt;$F98,VALUE(N$7)&lt;=$G98),IF($D98="","◇","■"),""))</f>
        <v/>
      </c>
      <c r="O98" s="59" t="str">
        <f>IF($A98="","",IF(AND(VALUE(O$7)&gt;$F98,VALUE(O$7)&lt;=$G98),IF($D98="","◇","■"),""))</f>
        <v/>
      </c>
      <c r="P98" s="59" t="str">
        <f>IF($A98="","",IF(AND(VALUE(P$7)&gt;$F98,VALUE(P$7)&lt;=$G98),IF($D98="","◇","■"),""))</f>
        <v/>
      </c>
      <c r="Q98" s="59" t="str">
        <f>IF($A98="","",IF(AND(VALUE(Q$7)&gt;$F98,VALUE(Q$7)&lt;=$G98),IF($D98="","◇","■"),""))</f>
        <v/>
      </c>
      <c r="R98" s="59" t="str">
        <f>IF($A98="","",IF(AND(VALUE(R$7)&gt;$F98,VALUE(R$7)&lt;=$G98),IF($D98="","◇","■"),""))</f>
        <v/>
      </c>
      <c r="S98" s="59" t="str">
        <f>IF($A98="","",IF(AND(VALUE(S$7)&gt;$F98,VALUE(S$7)&lt;=$G98),IF($D98="","◇","■"),""))</f>
        <v/>
      </c>
      <c r="T98" s="59" t="str">
        <f>IF($A98="","",IF(AND(VALUE(T$7)&gt;$F98,VALUE(T$7)&lt;=$G98),IF($D98="","◇","■"),""))</f>
        <v/>
      </c>
      <c r="U98" s="59" t="str">
        <f>IF($A98="","",IF(AND(VALUE(U$7)&gt;$F98,VALUE(U$7)&lt;=$G98),IF($D98="","◇","■"),""))</f>
        <v/>
      </c>
      <c r="V98" s="59" t="str">
        <f>IF($A98="","",IF(AND(VALUE(V$7)&gt;$F98,VALUE(V$7)&lt;=$G98),IF($D98="","◇","■"),""))</f>
        <v/>
      </c>
      <c r="W98" s="59" t="str">
        <f>IF($A98="","",IF(AND(VALUE(W$7)&gt;$F98,VALUE(W$7)&lt;=$G98),IF($D98="","◇","■"),""))</f>
        <v/>
      </c>
      <c r="X98" s="59" t="str">
        <f>IF($A98="","",IF(AND(VALUE(X$7)&gt;$F98,VALUE(X$7)&lt;=$G98),IF($D98="","◇","■"),""))</f>
        <v/>
      </c>
      <c r="Y98" s="59" t="str">
        <f>IF($A98="","",IF(AND(VALUE(Y$7)&gt;$F98,VALUE(Y$7)&lt;=$G98),IF($D98="","◇","■"),""))</f>
        <v/>
      </c>
      <c r="Z98" s="59" t="str">
        <f>IF($A98="","",IF(AND(VALUE(Z$7)&gt;$F98,VALUE(Z$7)&lt;=$G98),IF($D98="","◇","■"),""))</f>
        <v/>
      </c>
      <c r="AA98" s="59" t="str">
        <f>IF($A98="","",IF(AND(VALUE(AA$7)&gt;$F98,VALUE(AA$7)&lt;=$G98),IF($D98="","◇","■"),""))</f>
        <v/>
      </c>
      <c r="AB98" s="59" t="str">
        <f>IF($A98="","",IF(AND(VALUE(AB$7)&gt;$F98,VALUE(AB$7)&lt;=$G98),IF($D98="","◇","■"),""))</f>
        <v/>
      </c>
      <c r="AC98" s="59" t="str">
        <f>IF($A98="","",IF(AND(VALUE(AC$7)&gt;$F98,VALUE(AC$7)&lt;=$G98),IF($D98="","◇","■"),""))</f>
        <v/>
      </c>
      <c r="AD98" s="59" t="str">
        <f>IF($A98="","",IF(AND(VALUE(AD$7)&gt;$F98,VALUE(AD$7)&lt;=$G98),IF($D98="","◇","■"),""))</f>
        <v/>
      </c>
      <c r="AE98" s="59" t="str">
        <f>IF($A98="","",IF(AND(VALUE(AE$7)&gt;$F98,VALUE(AE$7)&lt;=$G98),IF($D98="","◇","■"),""))</f>
        <v/>
      </c>
      <c r="AF98" s="59" t="str">
        <f>IF($A98="","",IF(AND(VALUE(AF$7)&gt;$F98,VALUE(AF$7)&lt;=$G98),IF($D98="","◇","■"),""))</f>
        <v/>
      </c>
      <c r="AG98" s="59" t="str">
        <f>IF($A98="","",IF(AND(VALUE(AG$7)&gt;$F98,VALUE(AG$7)&lt;=$G98),IF($D98="","◇","■"),""))</f>
        <v/>
      </c>
      <c r="AH98" s="59" t="str">
        <f>IF($A98="","",IF(AND(VALUE(AH$7)&gt;$F98,VALUE(AH$7)&lt;=$G98),IF($D98="","◇","■"),""))</f>
        <v/>
      </c>
      <c r="AI98" s="59" t="str">
        <f>IF($A98="","",IF(AND(VALUE(AI$7)&gt;$F98,VALUE(AI$7)&lt;=$G98),IF($D98="","◇","■"),""))</f>
        <v/>
      </c>
      <c r="AJ98" s="59" t="str">
        <f>IF($A98="","",IF(AND(VALUE(AJ$7)&gt;$F98,VALUE(AJ$7)&lt;=$G98),IF($D98="","◇","■"),""))</f>
        <v/>
      </c>
      <c r="AK98" s="59" t="str">
        <f>IF($A98="","",IF(AND(VALUE(AK$7)&gt;$F98,VALUE(AK$7)&lt;=$G98),IF($D98="","◇","■"),""))</f>
        <v/>
      </c>
      <c r="AL98" s="59" t="str">
        <f>IF($A98="","",IF(AND(VALUE(AL$7)&gt;$F98,VALUE(AL$7)&lt;=$G98),IF($D98="","◇","■"),""))</f>
        <v/>
      </c>
      <c r="AM98" s="59" t="str">
        <f>IF($A98="","",IF(AND(VALUE(AM$7)&gt;$F98,VALUE(AM$7)&lt;=$G98),IF($D98="","◇","■"),""))</f>
        <v/>
      </c>
    </row>
    <row r="99" spans="1:39" ht="18" customHeight="1" x14ac:dyDescent="0.35">
      <c r="A99" s="55" t="str" cm="1">
        <f t="array" ref="A99">IFERROR(INDEX(_xlfn._xlws.FILTER(tblProjectTasks[TaskGroup],(tblProjectTasks[IsWorkPackage]="Yes")*(tblProjectTasks[CaptureStatus]&lt;&gt;"Removed")),ROWS($A$8:A99)),"")</f>
        <v/>
      </c>
      <c r="B99" s="56" t="str" cm="1">
        <f t="array" ref="B99">IFERROR(INDEX(_xlfn._xlws.FILTER(tblProjectTasks[WBSCode],(tblProjectTasks[IsWorkPackage]="Yes")*(tblProjectTasks[CaptureStatus]&lt;&gt;"Removed")),ROWS($B$8:B99)),"")</f>
        <v/>
      </c>
      <c r="C99" s="57" t="str" cm="1">
        <f t="array" ref="C99">IFERROR(INDEX(_xlfn._xlws.FILTER(tblProjectTasks[TaskName],(tblProjectTasks[IsWorkPackage]="Yes")*(tblProjectTasks[CaptureStatus]&lt;&gt;"Removed")),ROWS($C$8:C99)),"")</f>
        <v/>
      </c>
      <c r="D99" s="58" t="str" cm="1">
        <f t="array" ref="D99">_xlfn.LET(_xlpm.x,IFERROR(INDEX(_xlfn._xlws.FILTER(tblProjectTasks[Elapsed Time in Weeks],(tblProjectTasks[IsWorkPackage]="Yes")*(tblProjectTasks[CaptureStatus]&lt;&gt;"Removed")),ROWS($D$8:D99)),""),IF(_xlpm.x=0,"",_xlpm.x))</f>
        <v/>
      </c>
      <c r="E99" s="58" t="str">
        <f>IF($A99="","",IF($D99="",1,$D99))</f>
        <v/>
      </c>
      <c r="F99" s="58" t="str">
        <f>IF($A99="","",IF(ROW()=8,0,$F98+$E98))</f>
        <v/>
      </c>
      <c r="G99" s="58" t="str">
        <f>IF($A99="","",$F99+$E99)</f>
        <v/>
      </c>
      <c r="H99" s="59" t="str">
        <f>IF($A99="","",IF(AND(VALUE(H$7)&gt;$F99,VALUE(H$7)&lt;=$G99),IF($D99="","◇","■"),""))</f>
        <v/>
      </c>
      <c r="I99" s="59" t="str">
        <f>IF($A99="","",IF(AND(VALUE(I$7)&gt;$F99,VALUE(I$7)&lt;=$G99),IF($D99="","◇","■"),""))</f>
        <v/>
      </c>
      <c r="J99" s="59" t="str">
        <f>IF($A99="","",IF(AND(VALUE(J$7)&gt;$F99,VALUE(J$7)&lt;=$G99),IF($D99="","◇","■"),""))</f>
        <v/>
      </c>
      <c r="K99" s="59" t="str">
        <f>IF($A99="","",IF(AND(VALUE(K$7)&gt;$F99,VALUE(K$7)&lt;=$G99),IF($D99="","◇","■"),""))</f>
        <v/>
      </c>
      <c r="L99" s="59" t="str">
        <f>IF($A99="","",IF(AND(VALUE(L$7)&gt;$F99,VALUE(L$7)&lt;=$G99),IF($D99="","◇","■"),""))</f>
        <v/>
      </c>
      <c r="M99" s="59" t="str">
        <f>IF($A99="","",IF(AND(VALUE(M$7)&gt;$F99,VALUE(M$7)&lt;=$G99),IF($D99="","◇","■"),""))</f>
        <v/>
      </c>
      <c r="N99" s="59" t="str">
        <f>IF($A99="","",IF(AND(VALUE(N$7)&gt;$F99,VALUE(N$7)&lt;=$G99),IF($D99="","◇","■"),""))</f>
        <v/>
      </c>
      <c r="O99" s="59" t="str">
        <f>IF($A99="","",IF(AND(VALUE(O$7)&gt;$F99,VALUE(O$7)&lt;=$G99),IF($D99="","◇","■"),""))</f>
        <v/>
      </c>
      <c r="P99" s="59" t="str">
        <f>IF($A99="","",IF(AND(VALUE(P$7)&gt;$F99,VALUE(P$7)&lt;=$G99),IF($D99="","◇","■"),""))</f>
        <v/>
      </c>
      <c r="Q99" s="59" t="str">
        <f>IF($A99="","",IF(AND(VALUE(Q$7)&gt;$F99,VALUE(Q$7)&lt;=$G99),IF($D99="","◇","■"),""))</f>
        <v/>
      </c>
      <c r="R99" s="59" t="str">
        <f>IF($A99="","",IF(AND(VALUE(R$7)&gt;$F99,VALUE(R$7)&lt;=$G99),IF($D99="","◇","■"),""))</f>
        <v/>
      </c>
      <c r="S99" s="59" t="str">
        <f>IF($A99="","",IF(AND(VALUE(S$7)&gt;$F99,VALUE(S$7)&lt;=$G99),IF($D99="","◇","■"),""))</f>
        <v/>
      </c>
      <c r="T99" s="59" t="str">
        <f>IF($A99="","",IF(AND(VALUE(T$7)&gt;$F99,VALUE(T$7)&lt;=$G99),IF($D99="","◇","■"),""))</f>
        <v/>
      </c>
      <c r="U99" s="59" t="str">
        <f>IF($A99="","",IF(AND(VALUE(U$7)&gt;$F99,VALUE(U$7)&lt;=$G99),IF($D99="","◇","■"),""))</f>
        <v/>
      </c>
      <c r="V99" s="59" t="str">
        <f>IF($A99="","",IF(AND(VALUE(V$7)&gt;$F99,VALUE(V$7)&lt;=$G99),IF($D99="","◇","■"),""))</f>
        <v/>
      </c>
      <c r="W99" s="59" t="str">
        <f>IF($A99="","",IF(AND(VALUE(W$7)&gt;$F99,VALUE(W$7)&lt;=$G99),IF($D99="","◇","■"),""))</f>
        <v/>
      </c>
      <c r="X99" s="59" t="str">
        <f>IF($A99="","",IF(AND(VALUE(X$7)&gt;$F99,VALUE(X$7)&lt;=$G99),IF($D99="","◇","■"),""))</f>
        <v/>
      </c>
      <c r="Y99" s="59" t="str">
        <f>IF($A99="","",IF(AND(VALUE(Y$7)&gt;$F99,VALUE(Y$7)&lt;=$G99),IF($D99="","◇","■"),""))</f>
        <v/>
      </c>
      <c r="Z99" s="59" t="str">
        <f>IF($A99="","",IF(AND(VALUE(Z$7)&gt;$F99,VALUE(Z$7)&lt;=$G99),IF($D99="","◇","■"),""))</f>
        <v/>
      </c>
      <c r="AA99" s="59" t="str">
        <f>IF($A99="","",IF(AND(VALUE(AA$7)&gt;$F99,VALUE(AA$7)&lt;=$G99),IF($D99="","◇","■"),""))</f>
        <v/>
      </c>
      <c r="AB99" s="59" t="str">
        <f>IF($A99="","",IF(AND(VALUE(AB$7)&gt;$F99,VALUE(AB$7)&lt;=$G99),IF($D99="","◇","■"),""))</f>
        <v/>
      </c>
      <c r="AC99" s="59" t="str">
        <f>IF($A99="","",IF(AND(VALUE(AC$7)&gt;$F99,VALUE(AC$7)&lt;=$G99),IF($D99="","◇","■"),""))</f>
        <v/>
      </c>
      <c r="AD99" s="59" t="str">
        <f>IF($A99="","",IF(AND(VALUE(AD$7)&gt;$F99,VALUE(AD$7)&lt;=$G99),IF($D99="","◇","■"),""))</f>
        <v/>
      </c>
      <c r="AE99" s="59" t="str">
        <f>IF($A99="","",IF(AND(VALUE(AE$7)&gt;$F99,VALUE(AE$7)&lt;=$G99),IF($D99="","◇","■"),""))</f>
        <v/>
      </c>
      <c r="AF99" s="59" t="str">
        <f>IF($A99="","",IF(AND(VALUE(AF$7)&gt;$F99,VALUE(AF$7)&lt;=$G99),IF($D99="","◇","■"),""))</f>
        <v/>
      </c>
      <c r="AG99" s="59" t="str">
        <f>IF($A99="","",IF(AND(VALUE(AG$7)&gt;$F99,VALUE(AG$7)&lt;=$G99),IF($D99="","◇","■"),""))</f>
        <v/>
      </c>
      <c r="AH99" s="59" t="str">
        <f>IF($A99="","",IF(AND(VALUE(AH$7)&gt;$F99,VALUE(AH$7)&lt;=$G99),IF($D99="","◇","■"),""))</f>
        <v/>
      </c>
      <c r="AI99" s="59" t="str">
        <f>IF($A99="","",IF(AND(VALUE(AI$7)&gt;$F99,VALUE(AI$7)&lt;=$G99),IF($D99="","◇","■"),""))</f>
        <v/>
      </c>
      <c r="AJ99" s="59" t="str">
        <f>IF($A99="","",IF(AND(VALUE(AJ$7)&gt;$F99,VALUE(AJ$7)&lt;=$G99),IF($D99="","◇","■"),""))</f>
        <v/>
      </c>
      <c r="AK99" s="59" t="str">
        <f>IF($A99="","",IF(AND(VALUE(AK$7)&gt;$F99,VALUE(AK$7)&lt;=$G99),IF($D99="","◇","■"),""))</f>
        <v/>
      </c>
      <c r="AL99" s="59" t="str">
        <f>IF($A99="","",IF(AND(VALUE(AL$7)&gt;$F99,VALUE(AL$7)&lt;=$G99),IF($D99="","◇","■"),""))</f>
        <v/>
      </c>
      <c r="AM99" s="59" t="str">
        <f>IF($A99="","",IF(AND(VALUE(AM$7)&gt;$F99,VALUE(AM$7)&lt;=$G99),IF($D99="","◇","■"),""))</f>
        <v/>
      </c>
    </row>
    <row r="100" spans="1:39" ht="18" customHeight="1" x14ac:dyDescent="0.35">
      <c r="A100" s="55" t="str" cm="1">
        <f t="array" ref="A100">IFERROR(INDEX(_xlfn._xlws.FILTER(tblProjectTasks[TaskGroup],(tblProjectTasks[IsWorkPackage]="Yes")*(tblProjectTasks[CaptureStatus]&lt;&gt;"Removed")),ROWS($A$8:A100)),"")</f>
        <v/>
      </c>
      <c r="B100" s="56" t="str" cm="1">
        <f t="array" ref="B100">IFERROR(INDEX(_xlfn._xlws.FILTER(tblProjectTasks[WBSCode],(tblProjectTasks[IsWorkPackage]="Yes")*(tblProjectTasks[CaptureStatus]&lt;&gt;"Removed")),ROWS($B$8:B100)),"")</f>
        <v/>
      </c>
      <c r="C100" s="57" t="str" cm="1">
        <f t="array" ref="C100">IFERROR(INDEX(_xlfn._xlws.FILTER(tblProjectTasks[TaskName],(tblProjectTasks[IsWorkPackage]="Yes")*(tblProjectTasks[CaptureStatus]&lt;&gt;"Removed")),ROWS($C$8:C100)),"")</f>
        <v/>
      </c>
      <c r="D100" s="58" t="str" cm="1">
        <f t="array" ref="D100">_xlfn.LET(_xlpm.x,IFERROR(INDEX(_xlfn._xlws.FILTER(tblProjectTasks[Elapsed Time in Weeks],(tblProjectTasks[IsWorkPackage]="Yes")*(tblProjectTasks[CaptureStatus]&lt;&gt;"Removed")),ROWS($D$8:D100)),""),IF(_xlpm.x=0,"",_xlpm.x))</f>
        <v/>
      </c>
      <c r="E100" s="58" t="str">
        <f>IF($A100="","",IF($D100="",1,$D100))</f>
        <v/>
      </c>
      <c r="F100" s="58" t="str">
        <f>IF($A100="","",IF(ROW()=8,0,$F99+$E99))</f>
        <v/>
      </c>
      <c r="G100" s="58" t="str">
        <f>IF($A100="","",$F100+$E100)</f>
        <v/>
      </c>
      <c r="H100" s="59" t="str">
        <f>IF($A100="","",IF(AND(VALUE(H$7)&gt;$F100,VALUE(H$7)&lt;=$G100),IF($D100="","◇","■"),""))</f>
        <v/>
      </c>
      <c r="I100" s="59" t="str">
        <f>IF($A100="","",IF(AND(VALUE(I$7)&gt;$F100,VALUE(I$7)&lt;=$G100),IF($D100="","◇","■"),""))</f>
        <v/>
      </c>
      <c r="J100" s="59" t="str">
        <f>IF($A100="","",IF(AND(VALUE(J$7)&gt;$F100,VALUE(J$7)&lt;=$G100),IF($D100="","◇","■"),""))</f>
        <v/>
      </c>
      <c r="K100" s="59" t="str">
        <f>IF($A100="","",IF(AND(VALUE(K$7)&gt;$F100,VALUE(K$7)&lt;=$G100),IF($D100="","◇","■"),""))</f>
        <v/>
      </c>
      <c r="L100" s="59" t="str">
        <f>IF($A100="","",IF(AND(VALUE(L$7)&gt;$F100,VALUE(L$7)&lt;=$G100),IF($D100="","◇","■"),""))</f>
        <v/>
      </c>
      <c r="M100" s="59" t="str">
        <f>IF($A100="","",IF(AND(VALUE(M$7)&gt;$F100,VALUE(M$7)&lt;=$G100),IF($D100="","◇","■"),""))</f>
        <v/>
      </c>
      <c r="N100" s="59" t="str">
        <f>IF($A100="","",IF(AND(VALUE(N$7)&gt;$F100,VALUE(N$7)&lt;=$G100),IF($D100="","◇","■"),""))</f>
        <v/>
      </c>
      <c r="O100" s="59" t="str">
        <f>IF($A100="","",IF(AND(VALUE(O$7)&gt;$F100,VALUE(O$7)&lt;=$G100),IF($D100="","◇","■"),""))</f>
        <v/>
      </c>
      <c r="P100" s="59" t="str">
        <f>IF($A100="","",IF(AND(VALUE(P$7)&gt;$F100,VALUE(P$7)&lt;=$G100),IF($D100="","◇","■"),""))</f>
        <v/>
      </c>
      <c r="Q100" s="59" t="str">
        <f>IF($A100="","",IF(AND(VALUE(Q$7)&gt;$F100,VALUE(Q$7)&lt;=$G100),IF($D100="","◇","■"),""))</f>
        <v/>
      </c>
      <c r="R100" s="59" t="str">
        <f>IF($A100="","",IF(AND(VALUE(R$7)&gt;$F100,VALUE(R$7)&lt;=$G100),IF($D100="","◇","■"),""))</f>
        <v/>
      </c>
      <c r="S100" s="59" t="str">
        <f>IF($A100="","",IF(AND(VALUE(S$7)&gt;$F100,VALUE(S$7)&lt;=$G100),IF($D100="","◇","■"),""))</f>
        <v/>
      </c>
      <c r="T100" s="59" t="str">
        <f>IF($A100="","",IF(AND(VALUE(T$7)&gt;$F100,VALUE(T$7)&lt;=$G100),IF($D100="","◇","■"),""))</f>
        <v/>
      </c>
      <c r="U100" s="59" t="str">
        <f>IF($A100="","",IF(AND(VALUE(U$7)&gt;$F100,VALUE(U$7)&lt;=$G100),IF($D100="","◇","■"),""))</f>
        <v/>
      </c>
      <c r="V100" s="59" t="str">
        <f>IF($A100="","",IF(AND(VALUE(V$7)&gt;$F100,VALUE(V$7)&lt;=$G100),IF($D100="","◇","■"),""))</f>
        <v/>
      </c>
      <c r="W100" s="59" t="str">
        <f>IF($A100="","",IF(AND(VALUE(W$7)&gt;$F100,VALUE(W$7)&lt;=$G100),IF($D100="","◇","■"),""))</f>
        <v/>
      </c>
      <c r="X100" s="59" t="str">
        <f>IF($A100="","",IF(AND(VALUE(X$7)&gt;$F100,VALUE(X$7)&lt;=$G100),IF($D100="","◇","■"),""))</f>
        <v/>
      </c>
      <c r="Y100" s="59" t="str">
        <f>IF($A100="","",IF(AND(VALUE(Y$7)&gt;$F100,VALUE(Y$7)&lt;=$G100),IF($D100="","◇","■"),""))</f>
        <v/>
      </c>
      <c r="Z100" s="59" t="str">
        <f>IF($A100="","",IF(AND(VALUE(Z$7)&gt;$F100,VALUE(Z$7)&lt;=$G100),IF($D100="","◇","■"),""))</f>
        <v/>
      </c>
      <c r="AA100" s="59" t="str">
        <f>IF($A100="","",IF(AND(VALUE(AA$7)&gt;$F100,VALUE(AA$7)&lt;=$G100),IF($D100="","◇","■"),""))</f>
        <v/>
      </c>
      <c r="AB100" s="59" t="str">
        <f>IF($A100="","",IF(AND(VALUE(AB$7)&gt;$F100,VALUE(AB$7)&lt;=$G100),IF($D100="","◇","■"),""))</f>
        <v/>
      </c>
      <c r="AC100" s="59" t="str">
        <f>IF($A100="","",IF(AND(VALUE(AC$7)&gt;$F100,VALUE(AC$7)&lt;=$G100),IF($D100="","◇","■"),""))</f>
        <v/>
      </c>
      <c r="AD100" s="59" t="str">
        <f>IF($A100="","",IF(AND(VALUE(AD$7)&gt;$F100,VALUE(AD$7)&lt;=$G100),IF($D100="","◇","■"),""))</f>
        <v/>
      </c>
      <c r="AE100" s="59" t="str">
        <f>IF($A100="","",IF(AND(VALUE(AE$7)&gt;$F100,VALUE(AE$7)&lt;=$G100),IF($D100="","◇","■"),""))</f>
        <v/>
      </c>
      <c r="AF100" s="59" t="str">
        <f>IF($A100="","",IF(AND(VALUE(AF$7)&gt;$F100,VALUE(AF$7)&lt;=$G100),IF($D100="","◇","■"),""))</f>
        <v/>
      </c>
      <c r="AG100" s="59" t="str">
        <f>IF($A100="","",IF(AND(VALUE(AG$7)&gt;$F100,VALUE(AG$7)&lt;=$G100),IF($D100="","◇","■"),""))</f>
        <v/>
      </c>
      <c r="AH100" s="59" t="str">
        <f>IF($A100="","",IF(AND(VALUE(AH$7)&gt;$F100,VALUE(AH$7)&lt;=$G100),IF($D100="","◇","■"),""))</f>
        <v/>
      </c>
      <c r="AI100" s="59" t="str">
        <f>IF($A100="","",IF(AND(VALUE(AI$7)&gt;$F100,VALUE(AI$7)&lt;=$G100),IF($D100="","◇","■"),""))</f>
        <v/>
      </c>
      <c r="AJ100" s="59" t="str">
        <f>IF($A100="","",IF(AND(VALUE(AJ$7)&gt;$F100,VALUE(AJ$7)&lt;=$G100),IF($D100="","◇","■"),""))</f>
        <v/>
      </c>
      <c r="AK100" s="59" t="str">
        <f>IF($A100="","",IF(AND(VALUE(AK$7)&gt;$F100,VALUE(AK$7)&lt;=$G100),IF($D100="","◇","■"),""))</f>
        <v/>
      </c>
      <c r="AL100" s="59" t="str">
        <f>IF($A100="","",IF(AND(VALUE(AL$7)&gt;$F100,VALUE(AL$7)&lt;=$G100),IF($D100="","◇","■"),""))</f>
        <v/>
      </c>
      <c r="AM100" s="59" t="str">
        <f>IF($A100="","",IF(AND(VALUE(AM$7)&gt;$F100,VALUE(AM$7)&lt;=$G100),IF($D100="","◇","■"),""))</f>
        <v/>
      </c>
    </row>
    <row r="101" spans="1:39" ht="18" customHeight="1" x14ac:dyDescent="0.35">
      <c r="A101" s="55" t="str" cm="1">
        <f t="array" ref="A101">IFERROR(INDEX(_xlfn._xlws.FILTER(tblProjectTasks[TaskGroup],(tblProjectTasks[IsWorkPackage]="Yes")*(tblProjectTasks[CaptureStatus]&lt;&gt;"Removed")),ROWS($A$8:A101)),"")</f>
        <v/>
      </c>
      <c r="B101" s="56" t="str" cm="1">
        <f t="array" ref="B101">IFERROR(INDEX(_xlfn._xlws.FILTER(tblProjectTasks[WBSCode],(tblProjectTasks[IsWorkPackage]="Yes")*(tblProjectTasks[CaptureStatus]&lt;&gt;"Removed")),ROWS($B$8:B101)),"")</f>
        <v/>
      </c>
      <c r="C101" s="57" t="str" cm="1">
        <f t="array" ref="C101">IFERROR(INDEX(_xlfn._xlws.FILTER(tblProjectTasks[TaskName],(tblProjectTasks[IsWorkPackage]="Yes")*(tblProjectTasks[CaptureStatus]&lt;&gt;"Removed")),ROWS($C$8:C101)),"")</f>
        <v/>
      </c>
      <c r="D101" s="58" t="str" cm="1">
        <f t="array" ref="D101">_xlfn.LET(_xlpm.x,IFERROR(INDEX(_xlfn._xlws.FILTER(tblProjectTasks[Elapsed Time in Weeks],(tblProjectTasks[IsWorkPackage]="Yes")*(tblProjectTasks[CaptureStatus]&lt;&gt;"Removed")),ROWS($D$8:D101)),""),IF(_xlpm.x=0,"",_xlpm.x))</f>
        <v/>
      </c>
      <c r="E101" s="58" t="str">
        <f>IF($A101="","",IF($D101="",1,$D101))</f>
        <v/>
      </c>
      <c r="F101" s="58" t="str">
        <f>IF($A101="","",IF(ROW()=8,0,$F100+$E100))</f>
        <v/>
      </c>
      <c r="G101" s="58" t="str">
        <f>IF($A101="","",$F101+$E101)</f>
        <v/>
      </c>
      <c r="H101" s="59" t="str">
        <f>IF($A101="","",IF(AND(VALUE(H$7)&gt;$F101,VALUE(H$7)&lt;=$G101),IF($D101="","◇","■"),""))</f>
        <v/>
      </c>
      <c r="I101" s="59" t="str">
        <f>IF($A101="","",IF(AND(VALUE(I$7)&gt;$F101,VALUE(I$7)&lt;=$G101),IF($D101="","◇","■"),""))</f>
        <v/>
      </c>
      <c r="J101" s="59" t="str">
        <f>IF($A101="","",IF(AND(VALUE(J$7)&gt;$F101,VALUE(J$7)&lt;=$G101),IF($D101="","◇","■"),""))</f>
        <v/>
      </c>
      <c r="K101" s="59" t="str">
        <f>IF($A101="","",IF(AND(VALUE(K$7)&gt;$F101,VALUE(K$7)&lt;=$G101),IF($D101="","◇","■"),""))</f>
        <v/>
      </c>
      <c r="L101" s="59" t="str">
        <f>IF($A101="","",IF(AND(VALUE(L$7)&gt;$F101,VALUE(L$7)&lt;=$G101),IF($D101="","◇","■"),""))</f>
        <v/>
      </c>
      <c r="M101" s="59" t="str">
        <f>IF($A101="","",IF(AND(VALUE(M$7)&gt;$F101,VALUE(M$7)&lt;=$G101),IF($D101="","◇","■"),""))</f>
        <v/>
      </c>
      <c r="N101" s="59" t="str">
        <f>IF($A101="","",IF(AND(VALUE(N$7)&gt;$F101,VALUE(N$7)&lt;=$G101),IF($D101="","◇","■"),""))</f>
        <v/>
      </c>
      <c r="O101" s="59" t="str">
        <f>IF($A101="","",IF(AND(VALUE(O$7)&gt;$F101,VALUE(O$7)&lt;=$G101),IF($D101="","◇","■"),""))</f>
        <v/>
      </c>
      <c r="P101" s="59" t="str">
        <f>IF($A101="","",IF(AND(VALUE(P$7)&gt;$F101,VALUE(P$7)&lt;=$G101),IF($D101="","◇","■"),""))</f>
        <v/>
      </c>
      <c r="Q101" s="59" t="str">
        <f>IF($A101="","",IF(AND(VALUE(Q$7)&gt;$F101,VALUE(Q$7)&lt;=$G101),IF($D101="","◇","■"),""))</f>
        <v/>
      </c>
      <c r="R101" s="59" t="str">
        <f>IF($A101="","",IF(AND(VALUE(R$7)&gt;$F101,VALUE(R$7)&lt;=$G101),IF($D101="","◇","■"),""))</f>
        <v/>
      </c>
      <c r="S101" s="59" t="str">
        <f>IF($A101="","",IF(AND(VALUE(S$7)&gt;$F101,VALUE(S$7)&lt;=$G101),IF($D101="","◇","■"),""))</f>
        <v/>
      </c>
      <c r="T101" s="59" t="str">
        <f>IF($A101="","",IF(AND(VALUE(T$7)&gt;$F101,VALUE(T$7)&lt;=$G101),IF($D101="","◇","■"),""))</f>
        <v/>
      </c>
      <c r="U101" s="59" t="str">
        <f>IF($A101="","",IF(AND(VALUE(U$7)&gt;$F101,VALUE(U$7)&lt;=$G101),IF($D101="","◇","■"),""))</f>
        <v/>
      </c>
      <c r="V101" s="59" t="str">
        <f>IF($A101="","",IF(AND(VALUE(V$7)&gt;$F101,VALUE(V$7)&lt;=$G101),IF($D101="","◇","■"),""))</f>
        <v/>
      </c>
      <c r="W101" s="59" t="str">
        <f>IF($A101="","",IF(AND(VALUE(W$7)&gt;$F101,VALUE(W$7)&lt;=$G101),IF($D101="","◇","■"),""))</f>
        <v/>
      </c>
      <c r="X101" s="59" t="str">
        <f>IF($A101="","",IF(AND(VALUE(X$7)&gt;$F101,VALUE(X$7)&lt;=$G101),IF($D101="","◇","■"),""))</f>
        <v/>
      </c>
      <c r="Y101" s="59" t="str">
        <f>IF($A101="","",IF(AND(VALUE(Y$7)&gt;$F101,VALUE(Y$7)&lt;=$G101),IF($D101="","◇","■"),""))</f>
        <v/>
      </c>
      <c r="Z101" s="59" t="str">
        <f>IF($A101="","",IF(AND(VALUE(Z$7)&gt;$F101,VALUE(Z$7)&lt;=$G101),IF($D101="","◇","■"),""))</f>
        <v/>
      </c>
      <c r="AA101" s="59" t="str">
        <f>IF($A101="","",IF(AND(VALUE(AA$7)&gt;$F101,VALUE(AA$7)&lt;=$G101),IF($D101="","◇","■"),""))</f>
        <v/>
      </c>
      <c r="AB101" s="59" t="str">
        <f>IF($A101="","",IF(AND(VALUE(AB$7)&gt;$F101,VALUE(AB$7)&lt;=$G101),IF($D101="","◇","■"),""))</f>
        <v/>
      </c>
      <c r="AC101" s="59" t="str">
        <f>IF($A101="","",IF(AND(VALUE(AC$7)&gt;$F101,VALUE(AC$7)&lt;=$G101),IF($D101="","◇","■"),""))</f>
        <v/>
      </c>
      <c r="AD101" s="59" t="str">
        <f>IF($A101="","",IF(AND(VALUE(AD$7)&gt;$F101,VALUE(AD$7)&lt;=$G101),IF($D101="","◇","■"),""))</f>
        <v/>
      </c>
      <c r="AE101" s="59" t="str">
        <f>IF($A101="","",IF(AND(VALUE(AE$7)&gt;$F101,VALUE(AE$7)&lt;=$G101),IF($D101="","◇","■"),""))</f>
        <v/>
      </c>
      <c r="AF101" s="59" t="str">
        <f>IF($A101="","",IF(AND(VALUE(AF$7)&gt;$F101,VALUE(AF$7)&lt;=$G101),IF($D101="","◇","■"),""))</f>
        <v/>
      </c>
      <c r="AG101" s="59" t="str">
        <f>IF($A101="","",IF(AND(VALUE(AG$7)&gt;$F101,VALUE(AG$7)&lt;=$G101),IF($D101="","◇","■"),""))</f>
        <v/>
      </c>
      <c r="AH101" s="59" t="str">
        <f>IF($A101="","",IF(AND(VALUE(AH$7)&gt;$F101,VALUE(AH$7)&lt;=$G101),IF($D101="","◇","■"),""))</f>
        <v/>
      </c>
      <c r="AI101" s="59" t="str">
        <f>IF($A101="","",IF(AND(VALUE(AI$7)&gt;$F101,VALUE(AI$7)&lt;=$G101),IF($D101="","◇","■"),""))</f>
        <v/>
      </c>
      <c r="AJ101" s="59" t="str">
        <f>IF($A101="","",IF(AND(VALUE(AJ$7)&gt;$F101,VALUE(AJ$7)&lt;=$G101),IF($D101="","◇","■"),""))</f>
        <v/>
      </c>
      <c r="AK101" s="59" t="str">
        <f>IF($A101="","",IF(AND(VALUE(AK$7)&gt;$F101,VALUE(AK$7)&lt;=$G101),IF($D101="","◇","■"),""))</f>
        <v/>
      </c>
      <c r="AL101" s="59" t="str">
        <f>IF($A101="","",IF(AND(VALUE(AL$7)&gt;$F101,VALUE(AL$7)&lt;=$G101),IF($D101="","◇","■"),""))</f>
        <v/>
      </c>
      <c r="AM101" s="59" t="str">
        <f>IF($A101="","",IF(AND(VALUE(AM$7)&gt;$F101,VALUE(AM$7)&lt;=$G101),IF($D101="","◇","■"),""))</f>
        <v/>
      </c>
    </row>
    <row r="102" spans="1:39" ht="18" customHeight="1" x14ac:dyDescent="0.35">
      <c r="A102" s="55" t="str" cm="1">
        <f t="array" ref="A102">IFERROR(INDEX(_xlfn._xlws.FILTER(tblProjectTasks[TaskGroup],(tblProjectTasks[IsWorkPackage]="Yes")*(tblProjectTasks[CaptureStatus]&lt;&gt;"Removed")),ROWS($A$8:A102)),"")</f>
        <v/>
      </c>
      <c r="B102" s="56" t="str" cm="1">
        <f t="array" ref="B102">IFERROR(INDEX(_xlfn._xlws.FILTER(tblProjectTasks[WBSCode],(tblProjectTasks[IsWorkPackage]="Yes")*(tblProjectTasks[CaptureStatus]&lt;&gt;"Removed")),ROWS($B$8:B102)),"")</f>
        <v/>
      </c>
      <c r="C102" s="57" t="str" cm="1">
        <f t="array" ref="C102">IFERROR(INDEX(_xlfn._xlws.FILTER(tblProjectTasks[TaskName],(tblProjectTasks[IsWorkPackage]="Yes")*(tblProjectTasks[CaptureStatus]&lt;&gt;"Removed")),ROWS($C$8:C102)),"")</f>
        <v/>
      </c>
      <c r="D102" s="58" t="str" cm="1">
        <f t="array" ref="D102">_xlfn.LET(_xlpm.x,IFERROR(INDEX(_xlfn._xlws.FILTER(tblProjectTasks[Elapsed Time in Weeks],(tblProjectTasks[IsWorkPackage]="Yes")*(tblProjectTasks[CaptureStatus]&lt;&gt;"Removed")),ROWS($D$8:D102)),""),IF(_xlpm.x=0,"",_xlpm.x))</f>
        <v/>
      </c>
      <c r="E102" s="58" t="str">
        <f>IF($A102="","",IF($D102="",1,$D102))</f>
        <v/>
      </c>
      <c r="F102" s="58" t="str">
        <f>IF($A102="","",IF(ROW()=8,0,$F101+$E101))</f>
        <v/>
      </c>
      <c r="G102" s="58" t="str">
        <f>IF($A102="","",$F102+$E102)</f>
        <v/>
      </c>
      <c r="H102" s="59" t="str">
        <f>IF($A102="","",IF(AND(VALUE(H$7)&gt;$F102,VALUE(H$7)&lt;=$G102),IF($D102="","◇","■"),""))</f>
        <v/>
      </c>
      <c r="I102" s="59" t="str">
        <f>IF($A102="","",IF(AND(VALUE(I$7)&gt;$F102,VALUE(I$7)&lt;=$G102),IF($D102="","◇","■"),""))</f>
        <v/>
      </c>
      <c r="J102" s="59" t="str">
        <f>IF($A102="","",IF(AND(VALUE(J$7)&gt;$F102,VALUE(J$7)&lt;=$G102),IF($D102="","◇","■"),""))</f>
        <v/>
      </c>
      <c r="K102" s="59" t="str">
        <f>IF($A102="","",IF(AND(VALUE(K$7)&gt;$F102,VALUE(K$7)&lt;=$G102),IF($D102="","◇","■"),""))</f>
        <v/>
      </c>
      <c r="L102" s="59" t="str">
        <f>IF($A102="","",IF(AND(VALUE(L$7)&gt;$F102,VALUE(L$7)&lt;=$G102),IF($D102="","◇","■"),""))</f>
        <v/>
      </c>
      <c r="M102" s="59" t="str">
        <f>IF($A102="","",IF(AND(VALUE(M$7)&gt;$F102,VALUE(M$7)&lt;=$G102),IF($D102="","◇","■"),""))</f>
        <v/>
      </c>
      <c r="N102" s="59" t="str">
        <f>IF($A102="","",IF(AND(VALUE(N$7)&gt;$F102,VALUE(N$7)&lt;=$G102),IF($D102="","◇","■"),""))</f>
        <v/>
      </c>
      <c r="O102" s="59" t="str">
        <f>IF($A102="","",IF(AND(VALUE(O$7)&gt;$F102,VALUE(O$7)&lt;=$G102),IF($D102="","◇","■"),""))</f>
        <v/>
      </c>
      <c r="P102" s="59" t="str">
        <f>IF($A102="","",IF(AND(VALUE(P$7)&gt;$F102,VALUE(P$7)&lt;=$G102),IF($D102="","◇","■"),""))</f>
        <v/>
      </c>
      <c r="Q102" s="59" t="str">
        <f>IF($A102="","",IF(AND(VALUE(Q$7)&gt;$F102,VALUE(Q$7)&lt;=$G102),IF($D102="","◇","■"),""))</f>
        <v/>
      </c>
      <c r="R102" s="59" t="str">
        <f>IF($A102="","",IF(AND(VALUE(R$7)&gt;$F102,VALUE(R$7)&lt;=$G102),IF($D102="","◇","■"),""))</f>
        <v/>
      </c>
      <c r="S102" s="59" t="str">
        <f>IF($A102="","",IF(AND(VALUE(S$7)&gt;$F102,VALUE(S$7)&lt;=$G102),IF($D102="","◇","■"),""))</f>
        <v/>
      </c>
      <c r="T102" s="59" t="str">
        <f>IF($A102="","",IF(AND(VALUE(T$7)&gt;$F102,VALUE(T$7)&lt;=$G102),IF($D102="","◇","■"),""))</f>
        <v/>
      </c>
      <c r="U102" s="59" t="str">
        <f>IF($A102="","",IF(AND(VALUE(U$7)&gt;$F102,VALUE(U$7)&lt;=$G102),IF($D102="","◇","■"),""))</f>
        <v/>
      </c>
      <c r="V102" s="59" t="str">
        <f>IF($A102="","",IF(AND(VALUE(V$7)&gt;$F102,VALUE(V$7)&lt;=$G102),IF($D102="","◇","■"),""))</f>
        <v/>
      </c>
      <c r="W102" s="59" t="str">
        <f>IF($A102="","",IF(AND(VALUE(W$7)&gt;$F102,VALUE(W$7)&lt;=$G102),IF($D102="","◇","■"),""))</f>
        <v/>
      </c>
      <c r="X102" s="59" t="str">
        <f>IF($A102="","",IF(AND(VALUE(X$7)&gt;$F102,VALUE(X$7)&lt;=$G102),IF($D102="","◇","■"),""))</f>
        <v/>
      </c>
      <c r="Y102" s="59" t="str">
        <f>IF($A102="","",IF(AND(VALUE(Y$7)&gt;$F102,VALUE(Y$7)&lt;=$G102),IF($D102="","◇","■"),""))</f>
        <v/>
      </c>
      <c r="Z102" s="59" t="str">
        <f>IF($A102="","",IF(AND(VALUE(Z$7)&gt;$F102,VALUE(Z$7)&lt;=$G102),IF($D102="","◇","■"),""))</f>
        <v/>
      </c>
      <c r="AA102" s="59" t="str">
        <f>IF($A102="","",IF(AND(VALUE(AA$7)&gt;$F102,VALUE(AA$7)&lt;=$G102),IF($D102="","◇","■"),""))</f>
        <v/>
      </c>
      <c r="AB102" s="59" t="str">
        <f>IF($A102="","",IF(AND(VALUE(AB$7)&gt;$F102,VALUE(AB$7)&lt;=$G102),IF($D102="","◇","■"),""))</f>
        <v/>
      </c>
      <c r="AC102" s="59" t="str">
        <f>IF($A102="","",IF(AND(VALUE(AC$7)&gt;$F102,VALUE(AC$7)&lt;=$G102),IF($D102="","◇","■"),""))</f>
        <v/>
      </c>
      <c r="AD102" s="59" t="str">
        <f>IF($A102="","",IF(AND(VALUE(AD$7)&gt;$F102,VALUE(AD$7)&lt;=$G102),IF($D102="","◇","■"),""))</f>
        <v/>
      </c>
      <c r="AE102" s="59" t="str">
        <f>IF($A102="","",IF(AND(VALUE(AE$7)&gt;$F102,VALUE(AE$7)&lt;=$G102),IF($D102="","◇","■"),""))</f>
        <v/>
      </c>
      <c r="AF102" s="59" t="str">
        <f>IF($A102="","",IF(AND(VALUE(AF$7)&gt;$F102,VALUE(AF$7)&lt;=$G102),IF($D102="","◇","■"),""))</f>
        <v/>
      </c>
      <c r="AG102" s="59" t="str">
        <f>IF($A102="","",IF(AND(VALUE(AG$7)&gt;$F102,VALUE(AG$7)&lt;=$G102),IF($D102="","◇","■"),""))</f>
        <v/>
      </c>
      <c r="AH102" s="59" t="str">
        <f>IF($A102="","",IF(AND(VALUE(AH$7)&gt;$F102,VALUE(AH$7)&lt;=$G102),IF($D102="","◇","■"),""))</f>
        <v/>
      </c>
      <c r="AI102" s="59" t="str">
        <f>IF($A102="","",IF(AND(VALUE(AI$7)&gt;$F102,VALUE(AI$7)&lt;=$G102),IF($D102="","◇","■"),""))</f>
        <v/>
      </c>
      <c r="AJ102" s="59" t="str">
        <f>IF($A102="","",IF(AND(VALUE(AJ$7)&gt;$F102,VALUE(AJ$7)&lt;=$G102),IF($D102="","◇","■"),""))</f>
        <v/>
      </c>
      <c r="AK102" s="59" t="str">
        <f>IF($A102="","",IF(AND(VALUE(AK$7)&gt;$F102,VALUE(AK$7)&lt;=$G102),IF($D102="","◇","■"),""))</f>
        <v/>
      </c>
      <c r="AL102" s="59" t="str">
        <f>IF($A102="","",IF(AND(VALUE(AL$7)&gt;$F102,VALUE(AL$7)&lt;=$G102),IF($D102="","◇","■"),""))</f>
        <v/>
      </c>
      <c r="AM102" s="59" t="str">
        <f>IF($A102="","",IF(AND(VALUE(AM$7)&gt;$F102,VALUE(AM$7)&lt;=$G102),IF($D102="","◇","■"),""))</f>
        <v/>
      </c>
    </row>
    <row r="103" spans="1:39" ht="18" customHeight="1" x14ac:dyDescent="0.35">
      <c r="A103" s="55" t="str" cm="1">
        <f t="array" ref="A103">IFERROR(INDEX(_xlfn._xlws.FILTER(tblProjectTasks[TaskGroup],(tblProjectTasks[IsWorkPackage]="Yes")*(tblProjectTasks[CaptureStatus]&lt;&gt;"Removed")),ROWS($A$8:A103)),"")</f>
        <v/>
      </c>
      <c r="B103" s="56" t="str" cm="1">
        <f t="array" ref="B103">IFERROR(INDEX(_xlfn._xlws.FILTER(tblProjectTasks[WBSCode],(tblProjectTasks[IsWorkPackage]="Yes")*(tblProjectTasks[CaptureStatus]&lt;&gt;"Removed")),ROWS($B$8:B103)),"")</f>
        <v/>
      </c>
      <c r="C103" s="57" t="str" cm="1">
        <f t="array" ref="C103">IFERROR(INDEX(_xlfn._xlws.FILTER(tblProjectTasks[TaskName],(tblProjectTasks[IsWorkPackage]="Yes")*(tblProjectTasks[CaptureStatus]&lt;&gt;"Removed")),ROWS($C$8:C103)),"")</f>
        <v/>
      </c>
      <c r="D103" s="58" t="str" cm="1">
        <f t="array" ref="D103">_xlfn.LET(_xlpm.x,IFERROR(INDEX(_xlfn._xlws.FILTER(tblProjectTasks[Elapsed Time in Weeks],(tblProjectTasks[IsWorkPackage]="Yes")*(tblProjectTasks[CaptureStatus]&lt;&gt;"Removed")),ROWS($D$8:D103)),""),IF(_xlpm.x=0,"",_xlpm.x))</f>
        <v/>
      </c>
      <c r="E103" s="58" t="str">
        <f>IF($A103="","",IF($D103="",1,$D103))</f>
        <v/>
      </c>
      <c r="F103" s="58" t="str">
        <f>IF($A103="","",IF(ROW()=8,0,$F102+$E102))</f>
        <v/>
      </c>
      <c r="G103" s="58" t="str">
        <f>IF($A103="","",$F103+$E103)</f>
        <v/>
      </c>
      <c r="H103" s="59" t="str">
        <f>IF($A103="","",IF(AND(VALUE(H$7)&gt;$F103,VALUE(H$7)&lt;=$G103),IF($D103="","◇","■"),""))</f>
        <v/>
      </c>
      <c r="I103" s="59" t="str">
        <f>IF($A103="","",IF(AND(VALUE(I$7)&gt;$F103,VALUE(I$7)&lt;=$G103),IF($D103="","◇","■"),""))</f>
        <v/>
      </c>
      <c r="J103" s="59" t="str">
        <f>IF($A103="","",IF(AND(VALUE(J$7)&gt;$F103,VALUE(J$7)&lt;=$G103),IF($D103="","◇","■"),""))</f>
        <v/>
      </c>
      <c r="K103" s="59" t="str">
        <f>IF($A103="","",IF(AND(VALUE(K$7)&gt;$F103,VALUE(K$7)&lt;=$G103),IF($D103="","◇","■"),""))</f>
        <v/>
      </c>
      <c r="L103" s="59" t="str">
        <f>IF($A103="","",IF(AND(VALUE(L$7)&gt;$F103,VALUE(L$7)&lt;=$G103),IF($D103="","◇","■"),""))</f>
        <v/>
      </c>
      <c r="M103" s="59" t="str">
        <f>IF($A103="","",IF(AND(VALUE(M$7)&gt;$F103,VALUE(M$7)&lt;=$G103),IF($D103="","◇","■"),""))</f>
        <v/>
      </c>
      <c r="N103" s="59" t="str">
        <f>IF($A103="","",IF(AND(VALUE(N$7)&gt;$F103,VALUE(N$7)&lt;=$G103),IF($D103="","◇","■"),""))</f>
        <v/>
      </c>
      <c r="O103" s="59" t="str">
        <f>IF($A103="","",IF(AND(VALUE(O$7)&gt;$F103,VALUE(O$7)&lt;=$G103),IF($D103="","◇","■"),""))</f>
        <v/>
      </c>
      <c r="P103" s="59" t="str">
        <f>IF($A103="","",IF(AND(VALUE(P$7)&gt;$F103,VALUE(P$7)&lt;=$G103),IF($D103="","◇","■"),""))</f>
        <v/>
      </c>
      <c r="Q103" s="59" t="str">
        <f>IF($A103="","",IF(AND(VALUE(Q$7)&gt;$F103,VALUE(Q$7)&lt;=$G103),IF($D103="","◇","■"),""))</f>
        <v/>
      </c>
      <c r="R103" s="59" t="str">
        <f>IF($A103="","",IF(AND(VALUE(R$7)&gt;$F103,VALUE(R$7)&lt;=$G103),IF($D103="","◇","■"),""))</f>
        <v/>
      </c>
      <c r="S103" s="59" t="str">
        <f>IF($A103="","",IF(AND(VALUE(S$7)&gt;$F103,VALUE(S$7)&lt;=$G103),IF($D103="","◇","■"),""))</f>
        <v/>
      </c>
      <c r="T103" s="59" t="str">
        <f>IF($A103="","",IF(AND(VALUE(T$7)&gt;$F103,VALUE(T$7)&lt;=$G103),IF($D103="","◇","■"),""))</f>
        <v/>
      </c>
      <c r="U103" s="59" t="str">
        <f>IF($A103="","",IF(AND(VALUE(U$7)&gt;$F103,VALUE(U$7)&lt;=$G103),IF($D103="","◇","■"),""))</f>
        <v/>
      </c>
      <c r="V103" s="59" t="str">
        <f>IF($A103="","",IF(AND(VALUE(V$7)&gt;$F103,VALUE(V$7)&lt;=$G103),IF($D103="","◇","■"),""))</f>
        <v/>
      </c>
      <c r="W103" s="59" t="str">
        <f>IF($A103="","",IF(AND(VALUE(W$7)&gt;$F103,VALUE(W$7)&lt;=$G103),IF($D103="","◇","■"),""))</f>
        <v/>
      </c>
      <c r="X103" s="59" t="str">
        <f>IF($A103="","",IF(AND(VALUE(X$7)&gt;$F103,VALUE(X$7)&lt;=$G103),IF($D103="","◇","■"),""))</f>
        <v/>
      </c>
      <c r="Y103" s="59" t="str">
        <f>IF($A103="","",IF(AND(VALUE(Y$7)&gt;$F103,VALUE(Y$7)&lt;=$G103),IF($D103="","◇","■"),""))</f>
        <v/>
      </c>
      <c r="Z103" s="59" t="str">
        <f>IF($A103="","",IF(AND(VALUE(Z$7)&gt;$F103,VALUE(Z$7)&lt;=$G103),IF($D103="","◇","■"),""))</f>
        <v/>
      </c>
      <c r="AA103" s="59" t="str">
        <f>IF($A103="","",IF(AND(VALUE(AA$7)&gt;$F103,VALUE(AA$7)&lt;=$G103),IF($D103="","◇","■"),""))</f>
        <v/>
      </c>
      <c r="AB103" s="59" t="str">
        <f>IF($A103="","",IF(AND(VALUE(AB$7)&gt;$F103,VALUE(AB$7)&lt;=$G103),IF($D103="","◇","■"),""))</f>
        <v/>
      </c>
      <c r="AC103" s="59" t="str">
        <f>IF($A103="","",IF(AND(VALUE(AC$7)&gt;$F103,VALUE(AC$7)&lt;=$G103),IF($D103="","◇","■"),""))</f>
        <v/>
      </c>
      <c r="AD103" s="59" t="str">
        <f>IF($A103="","",IF(AND(VALUE(AD$7)&gt;$F103,VALUE(AD$7)&lt;=$G103),IF($D103="","◇","■"),""))</f>
        <v/>
      </c>
      <c r="AE103" s="59" t="str">
        <f>IF($A103="","",IF(AND(VALUE(AE$7)&gt;$F103,VALUE(AE$7)&lt;=$G103),IF($D103="","◇","■"),""))</f>
        <v/>
      </c>
      <c r="AF103" s="59" t="str">
        <f>IF($A103="","",IF(AND(VALUE(AF$7)&gt;$F103,VALUE(AF$7)&lt;=$G103),IF($D103="","◇","■"),""))</f>
        <v/>
      </c>
      <c r="AG103" s="59" t="str">
        <f>IF($A103="","",IF(AND(VALUE(AG$7)&gt;$F103,VALUE(AG$7)&lt;=$G103),IF($D103="","◇","■"),""))</f>
        <v/>
      </c>
      <c r="AH103" s="59" t="str">
        <f>IF($A103="","",IF(AND(VALUE(AH$7)&gt;$F103,VALUE(AH$7)&lt;=$G103),IF($D103="","◇","■"),""))</f>
        <v/>
      </c>
      <c r="AI103" s="59" t="str">
        <f>IF($A103="","",IF(AND(VALUE(AI$7)&gt;$F103,VALUE(AI$7)&lt;=$G103),IF($D103="","◇","■"),""))</f>
        <v/>
      </c>
      <c r="AJ103" s="59" t="str">
        <f>IF($A103="","",IF(AND(VALUE(AJ$7)&gt;$F103,VALUE(AJ$7)&lt;=$G103),IF($D103="","◇","■"),""))</f>
        <v/>
      </c>
      <c r="AK103" s="59" t="str">
        <f>IF($A103="","",IF(AND(VALUE(AK$7)&gt;$F103,VALUE(AK$7)&lt;=$G103),IF($D103="","◇","■"),""))</f>
        <v/>
      </c>
      <c r="AL103" s="59" t="str">
        <f>IF($A103="","",IF(AND(VALUE(AL$7)&gt;$F103,VALUE(AL$7)&lt;=$G103),IF($D103="","◇","■"),""))</f>
        <v/>
      </c>
      <c r="AM103" s="59" t="str">
        <f>IF($A103="","",IF(AND(VALUE(AM$7)&gt;$F103,VALUE(AM$7)&lt;=$G103),IF($D103="","◇","■"),""))</f>
        <v/>
      </c>
    </row>
    <row r="104" spans="1:39" ht="18" customHeight="1" x14ac:dyDescent="0.35">
      <c r="A104" s="55" t="str" cm="1">
        <f t="array" ref="A104">IFERROR(INDEX(_xlfn._xlws.FILTER(tblProjectTasks[TaskGroup],(tblProjectTasks[IsWorkPackage]="Yes")*(tblProjectTasks[CaptureStatus]&lt;&gt;"Removed")),ROWS($A$8:A104)),"")</f>
        <v/>
      </c>
      <c r="B104" s="56" t="str" cm="1">
        <f t="array" ref="B104">IFERROR(INDEX(_xlfn._xlws.FILTER(tblProjectTasks[WBSCode],(tblProjectTasks[IsWorkPackage]="Yes")*(tblProjectTasks[CaptureStatus]&lt;&gt;"Removed")),ROWS($B$8:B104)),"")</f>
        <v/>
      </c>
      <c r="C104" s="57" t="str" cm="1">
        <f t="array" ref="C104">IFERROR(INDEX(_xlfn._xlws.FILTER(tblProjectTasks[TaskName],(tblProjectTasks[IsWorkPackage]="Yes")*(tblProjectTasks[CaptureStatus]&lt;&gt;"Removed")),ROWS($C$8:C104)),"")</f>
        <v/>
      </c>
      <c r="D104" s="58" t="str" cm="1">
        <f t="array" ref="D104">_xlfn.LET(_xlpm.x,IFERROR(INDEX(_xlfn._xlws.FILTER(tblProjectTasks[Elapsed Time in Weeks],(tblProjectTasks[IsWorkPackage]="Yes")*(tblProjectTasks[CaptureStatus]&lt;&gt;"Removed")),ROWS($D$8:D104)),""),IF(_xlpm.x=0,"",_xlpm.x))</f>
        <v/>
      </c>
      <c r="E104" s="58" t="str">
        <f>IF($A104="","",IF($D104="",1,$D104))</f>
        <v/>
      </c>
      <c r="F104" s="58" t="str">
        <f>IF($A104="","",IF(ROW()=8,0,$F103+$E103))</f>
        <v/>
      </c>
      <c r="G104" s="58" t="str">
        <f>IF($A104="","",$F104+$E104)</f>
        <v/>
      </c>
      <c r="H104" s="59" t="str">
        <f>IF($A104="","",IF(AND(VALUE(H$7)&gt;$F104,VALUE(H$7)&lt;=$G104),IF($D104="","◇","■"),""))</f>
        <v/>
      </c>
      <c r="I104" s="59" t="str">
        <f>IF($A104="","",IF(AND(VALUE(I$7)&gt;$F104,VALUE(I$7)&lt;=$G104),IF($D104="","◇","■"),""))</f>
        <v/>
      </c>
      <c r="J104" s="59" t="str">
        <f>IF($A104="","",IF(AND(VALUE(J$7)&gt;$F104,VALUE(J$7)&lt;=$G104),IF($D104="","◇","■"),""))</f>
        <v/>
      </c>
      <c r="K104" s="59" t="str">
        <f>IF($A104="","",IF(AND(VALUE(K$7)&gt;$F104,VALUE(K$7)&lt;=$G104),IF($D104="","◇","■"),""))</f>
        <v/>
      </c>
      <c r="L104" s="59" t="str">
        <f>IF($A104="","",IF(AND(VALUE(L$7)&gt;$F104,VALUE(L$7)&lt;=$G104),IF($D104="","◇","■"),""))</f>
        <v/>
      </c>
      <c r="M104" s="59" t="str">
        <f>IF($A104="","",IF(AND(VALUE(M$7)&gt;$F104,VALUE(M$7)&lt;=$G104),IF($D104="","◇","■"),""))</f>
        <v/>
      </c>
      <c r="N104" s="59" t="str">
        <f>IF($A104="","",IF(AND(VALUE(N$7)&gt;$F104,VALUE(N$7)&lt;=$G104),IF($D104="","◇","■"),""))</f>
        <v/>
      </c>
      <c r="O104" s="59" t="str">
        <f>IF($A104="","",IF(AND(VALUE(O$7)&gt;$F104,VALUE(O$7)&lt;=$G104),IF($D104="","◇","■"),""))</f>
        <v/>
      </c>
      <c r="P104" s="59" t="str">
        <f>IF($A104="","",IF(AND(VALUE(P$7)&gt;$F104,VALUE(P$7)&lt;=$G104),IF($D104="","◇","■"),""))</f>
        <v/>
      </c>
      <c r="Q104" s="59" t="str">
        <f>IF($A104="","",IF(AND(VALUE(Q$7)&gt;$F104,VALUE(Q$7)&lt;=$G104),IF($D104="","◇","■"),""))</f>
        <v/>
      </c>
      <c r="R104" s="59" t="str">
        <f>IF($A104="","",IF(AND(VALUE(R$7)&gt;$F104,VALUE(R$7)&lt;=$G104),IF($D104="","◇","■"),""))</f>
        <v/>
      </c>
      <c r="S104" s="59" t="str">
        <f>IF($A104="","",IF(AND(VALUE(S$7)&gt;$F104,VALUE(S$7)&lt;=$G104),IF($D104="","◇","■"),""))</f>
        <v/>
      </c>
      <c r="T104" s="59" t="str">
        <f>IF($A104="","",IF(AND(VALUE(T$7)&gt;$F104,VALUE(T$7)&lt;=$G104),IF($D104="","◇","■"),""))</f>
        <v/>
      </c>
      <c r="U104" s="59" t="str">
        <f>IF($A104="","",IF(AND(VALUE(U$7)&gt;$F104,VALUE(U$7)&lt;=$G104),IF($D104="","◇","■"),""))</f>
        <v/>
      </c>
      <c r="V104" s="59" t="str">
        <f>IF($A104="","",IF(AND(VALUE(V$7)&gt;$F104,VALUE(V$7)&lt;=$G104),IF($D104="","◇","■"),""))</f>
        <v/>
      </c>
      <c r="W104" s="59" t="str">
        <f>IF($A104="","",IF(AND(VALUE(W$7)&gt;$F104,VALUE(W$7)&lt;=$G104),IF($D104="","◇","■"),""))</f>
        <v/>
      </c>
      <c r="X104" s="59" t="str">
        <f>IF($A104="","",IF(AND(VALUE(X$7)&gt;$F104,VALUE(X$7)&lt;=$G104),IF($D104="","◇","■"),""))</f>
        <v/>
      </c>
      <c r="Y104" s="59" t="str">
        <f>IF($A104="","",IF(AND(VALUE(Y$7)&gt;$F104,VALUE(Y$7)&lt;=$G104),IF($D104="","◇","■"),""))</f>
        <v/>
      </c>
      <c r="Z104" s="59" t="str">
        <f>IF($A104="","",IF(AND(VALUE(Z$7)&gt;$F104,VALUE(Z$7)&lt;=$G104),IF($D104="","◇","■"),""))</f>
        <v/>
      </c>
      <c r="AA104" s="59" t="str">
        <f>IF($A104="","",IF(AND(VALUE(AA$7)&gt;$F104,VALUE(AA$7)&lt;=$G104),IF($D104="","◇","■"),""))</f>
        <v/>
      </c>
      <c r="AB104" s="59" t="str">
        <f>IF($A104="","",IF(AND(VALUE(AB$7)&gt;$F104,VALUE(AB$7)&lt;=$G104),IF($D104="","◇","■"),""))</f>
        <v/>
      </c>
      <c r="AC104" s="59" t="str">
        <f>IF($A104="","",IF(AND(VALUE(AC$7)&gt;$F104,VALUE(AC$7)&lt;=$G104),IF($D104="","◇","■"),""))</f>
        <v/>
      </c>
      <c r="AD104" s="59" t="str">
        <f>IF($A104="","",IF(AND(VALUE(AD$7)&gt;$F104,VALUE(AD$7)&lt;=$G104),IF($D104="","◇","■"),""))</f>
        <v/>
      </c>
      <c r="AE104" s="59" t="str">
        <f>IF($A104="","",IF(AND(VALUE(AE$7)&gt;$F104,VALUE(AE$7)&lt;=$G104),IF($D104="","◇","■"),""))</f>
        <v/>
      </c>
      <c r="AF104" s="59" t="str">
        <f>IF($A104="","",IF(AND(VALUE(AF$7)&gt;$F104,VALUE(AF$7)&lt;=$G104),IF($D104="","◇","■"),""))</f>
        <v/>
      </c>
      <c r="AG104" s="59" t="str">
        <f>IF($A104="","",IF(AND(VALUE(AG$7)&gt;$F104,VALUE(AG$7)&lt;=$G104),IF($D104="","◇","■"),""))</f>
        <v/>
      </c>
      <c r="AH104" s="59" t="str">
        <f>IF($A104="","",IF(AND(VALUE(AH$7)&gt;$F104,VALUE(AH$7)&lt;=$G104),IF($D104="","◇","■"),""))</f>
        <v/>
      </c>
      <c r="AI104" s="59" t="str">
        <f>IF($A104="","",IF(AND(VALUE(AI$7)&gt;$F104,VALUE(AI$7)&lt;=$G104),IF($D104="","◇","■"),""))</f>
        <v/>
      </c>
      <c r="AJ104" s="59" t="str">
        <f>IF($A104="","",IF(AND(VALUE(AJ$7)&gt;$F104,VALUE(AJ$7)&lt;=$G104),IF($D104="","◇","■"),""))</f>
        <v/>
      </c>
      <c r="AK104" s="59" t="str">
        <f>IF($A104="","",IF(AND(VALUE(AK$7)&gt;$F104,VALUE(AK$7)&lt;=$G104),IF($D104="","◇","■"),""))</f>
        <v/>
      </c>
      <c r="AL104" s="59" t="str">
        <f>IF($A104="","",IF(AND(VALUE(AL$7)&gt;$F104,VALUE(AL$7)&lt;=$G104),IF($D104="","◇","■"),""))</f>
        <v/>
      </c>
      <c r="AM104" s="59" t="str">
        <f>IF($A104="","",IF(AND(VALUE(AM$7)&gt;$F104,VALUE(AM$7)&lt;=$G104),IF($D104="","◇","■"),""))</f>
        <v/>
      </c>
    </row>
    <row r="105" spans="1:39" ht="18" customHeight="1" x14ac:dyDescent="0.35">
      <c r="A105" s="55" t="str" cm="1">
        <f t="array" ref="A105">IFERROR(INDEX(_xlfn._xlws.FILTER(tblProjectTasks[TaskGroup],(tblProjectTasks[IsWorkPackage]="Yes")*(tblProjectTasks[CaptureStatus]&lt;&gt;"Removed")),ROWS($A$8:A105)),"")</f>
        <v/>
      </c>
      <c r="B105" s="56" t="str" cm="1">
        <f t="array" ref="B105">IFERROR(INDEX(_xlfn._xlws.FILTER(tblProjectTasks[WBSCode],(tblProjectTasks[IsWorkPackage]="Yes")*(tblProjectTasks[CaptureStatus]&lt;&gt;"Removed")),ROWS($B$8:B105)),"")</f>
        <v/>
      </c>
      <c r="C105" s="57" t="str" cm="1">
        <f t="array" ref="C105">IFERROR(INDEX(_xlfn._xlws.FILTER(tblProjectTasks[TaskName],(tblProjectTasks[IsWorkPackage]="Yes")*(tblProjectTasks[CaptureStatus]&lt;&gt;"Removed")),ROWS($C$8:C105)),"")</f>
        <v/>
      </c>
      <c r="D105" s="58" t="str" cm="1">
        <f t="array" ref="D105">_xlfn.LET(_xlpm.x,IFERROR(INDEX(_xlfn._xlws.FILTER(tblProjectTasks[Elapsed Time in Weeks],(tblProjectTasks[IsWorkPackage]="Yes")*(tblProjectTasks[CaptureStatus]&lt;&gt;"Removed")),ROWS($D$8:D105)),""),IF(_xlpm.x=0,"",_xlpm.x))</f>
        <v/>
      </c>
      <c r="E105" s="58" t="str">
        <f>IF($A105="","",IF($D105="",1,$D105))</f>
        <v/>
      </c>
      <c r="F105" s="58" t="str">
        <f>IF($A105="","",IF(ROW()=8,0,$F104+$E104))</f>
        <v/>
      </c>
      <c r="G105" s="58" t="str">
        <f>IF($A105="","",$F105+$E105)</f>
        <v/>
      </c>
      <c r="H105" s="59" t="str">
        <f>IF($A105="","",IF(AND(VALUE(H$7)&gt;$F105,VALUE(H$7)&lt;=$G105),IF($D105="","◇","■"),""))</f>
        <v/>
      </c>
      <c r="I105" s="59" t="str">
        <f>IF($A105="","",IF(AND(VALUE(I$7)&gt;$F105,VALUE(I$7)&lt;=$G105),IF($D105="","◇","■"),""))</f>
        <v/>
      </c>
      <c r="J105" s="59" t="str">
        <f>IF($A105="","",IF(AND(VALUE(J$7)&gt;$F105,VALUE(J$7)&lt;=$G105),IF($D105="","◇","■"),""))</f>
        <v/>
      </c>
      <c r="K105" s="59" t="str">
        <f>IF($A105="","",IF(AND(VALUE(K$7)&gt;$F105,VALUE(K$7)&lt;=$G105),IF($D105="","◇","■"),""))</f>
        <v/>
      </c>
      <c r="L105" s="59" t="str">
        <f>IF($A105="","",IF(AND(VALUE(L$7)&gt;$F105,VALUE(L$7)&lt;=$G105),IF($D105="","◇","■"),""))</f>
        <v/>
      </c>
      <c r="M105" s="59" t="str">
        <f>IF($A105="","",IF(AND(VALUE(M$7)&gt;$F105,VALUE(M$7)&lt;=$G105),IF($D105="","◇","■"),""))</f>
        <v/>
      </c>
      <c r="N105" s="59" t="str">
        <f>IF($A105="","",IF(AND(VALUE(N$7)&gt;$F105,VALUE(N$7)&lt;=$G105),IF($D105="","◇","■"),""))</f>
        <v/>
      </c>
      <c r="O105" s="59" t="str">
        <f>IF($A105="","",IF(AND(VALUE(O$7)&gt;$F105,VALUE(O$7)&lt;=$G105),IF($D105="","◇","■"),""))</f>
        <v/>
      </c>
      <c r="P105" s="59" t="str">
        <f>IF($A105="","",IF(AND(VALUE(P$7)&gt;$F105,VALUE(P$7)&lt;=$G105),IF($D105="","◇","■"),""))</f>
        <v/>
      </c>
      <c r="Q105" s="59" t="str">
        <f>IF($A105="","",IF(AND(VALUE(Q$7)&gt;$F105,VALUE(Q$7)&lt;=$G105),IF($D105="","◇","■"),""))</f>
        <v/>
      </c>
      <c r="R105" s="59" t="str">
        <f>IF($A105="","",IF(AND(VALUE(R$7)&gt;$F105,VALUE(R$7)&lt;=$G105),IF($D105="","◇","■"),""))</f>
        <v/>
      </c>
      <c r="S105" s="59" t="str">
        <f>IF($A105="","",IF(AND(VALUE(S$7)&gt;$F105,VALUE(S$7)&lt;=$G105),IF($D105="","◇","■"),""))</f>
        <v/>
      </c>
      <c r="T105" s="59" t="str">
        <f>IF($A105="","",IF(AND(VALUE(T$7)&gt;$F105,VALUE(T$7)&lt;=$G105),IF($D105="","◇","■"),""))</f>
        <v/>
      </c>
      <c r="U105" s="59" t="str">
        <f>IF($A105="","",IF(AND(VALUE(U$7)&gt;$F105,VALUE(U$7)&lt;=$G105),IF($D105="","◇","■"),""))</f>
        <v/>
      </c>
      <c r="V105" s="59" t="str">
        <f>IF($A105="","",IF(AND(VALUE(V$7)&gt;$F105,VALUE(V$7)&lt;=$G105),IF($D105="","◇","■"),""))</f>
        <v/>
      </c>
      <c r="W105" s="59" t="str">
        <f>IF($A105="","",IF(AND(VALUE(W$7)&gt;$F105,VALUE(W$7)&lt;=$G105),IF($D105="","◇","■"),""))</f>
        <v/>
      </c>
      <c r="X105" s="59" t="str">
        <f>IF($A105="","",IF(AND(VALUE(X$7)&gt;$F105,VALUE(X$7)&lt;=$G105),IF($D105="","◇","■"),""))</f>
        <v/>
      </c>
      <c r="Y105" s="59" t="str">
        <f>IF($A105="","",IF(AND(VALUE(Y$7)&gt;$F105,VALUE(Y$7)&lt;=$G105),IF($D105="","◇","■"),""))</f>
        <v/>
      </c>
      <c r="Z105" s="59" t="str">
        <f>IF($A105="","",IF(AND(VALUE(Z$7)&gt;$F105,VALUE(Z$7)&lt;=$G105),IF($D105="","◇","■"),""))</f>
        <v/>
      </c>
      <c r="AA105" s="59" t="str">
        <f>IF($A105="","",IF(AND(VALUE(AA$7)&gt;$F105,VALUE(AA$7)&lt;=$G105),IF($D105="","◇","■"),""))</f>
        <v/>
      </c>
      <c r="AB105" s="59" t="str">
        <f>IF($A105="","",IF(AND(VALUE(AB$7)&gt;$F105,VALUE(AB$7)&lt;=$G105),IF($D105="","◇","■"),""))</f>
        <v/>
      </c>
      <c r="AC105" s="59" t="str">
        <f>IF($A105="","",IF(AND(VALUE(AC$7)&gt;$F105,VALUE(AC$7)&lt;=$G105),IF($D105="","◇","■"),""))</f>
        <v/>
      </c>
      <c r="AD105" s="59" t="str">
        <f>IF($A105="","",IF(AND(VALUE(AD$7)&gt;$F105,VALUE(AD$7)&lt;=$G105),IF($D105="","◇","■"),""))</f>
        <v/>
      </c>
      <c r="AE105" s="59" t="str">
        <f>IF($A105="","",IF(AND(VALUE(AE$7)&gt;$F105,VALUE(AE$7)&lt;=$G105),IF($D105="","◇","■"),""))</f>
        <v/>
      </c>
      <c r="AF105" s="59" t="str">
        <f>IF($A105="","",IF(AND(VALUE(AF$7)&gt;$F105,VALUE(AF$7)&lt;=$G105),IF($D105="","◇","■"),""))</f>
        <v/>
      </c>
      <c r="AG105" s="59" t="str">
        <f>IF($A105="","",IF(AND(VALUE(AG$7)&gt;$F105,VALUE(AG$7)&lt;=$G105),IF($D105="","◇","■"),""))</f>
        <v/>
      </c>
      <c r="AH105" s="59" t="str">
        <f>IF($A105="","",IF(AND(VALUE(AH$7)&gt;$F105,VALUE(AH$7)&lt;=$G105),IF($D105="","◇","■"),""))</f>
        <v/>
      </c>
      <c r="AI105" s="59" t="str">
        <f>IF($A105="","",IF(AND(VALUE(AI$7)&gt;$F105,VALUE(AI$7)&lt;=$G105),IF($D105="","◇","■"),""))</f>
        <v/>
      </c>
      <c r="AJ105" s="59" t="str">
        <f>IF($A105="","",IF(AND(VALUE(AJ$7)&gt;$F105,VALUE(AJ$7)&lt;=$G105),IF($D105="","◇","■"),""))</f>
        <v/>
      </c>
      <c r="AK105" s="59" t="str">
        <f>IF($A105="","",IF(AND(VALUE(AK$7)&gt;$F105,VALUE(AK$7)&lt;=$G105),IF($D105="","◇","■"),""))</f>
        <v/>
      </c>
      <c r="AL105" s="59" t="str">
        <f>IF($A105="","",IF(AND(VALUE(AL$7)&gt;$F105,VALUE(AL$7)&lt;=$G105),IF($D105="","◇","■"),""))</f>
        <v/>
      </c>
      <c r="AM105" s="59" t="str">
        <f>IF($A105="","",IF(AND(VALUE(AM$7)&gt;$F105,VALUE(AM$7)&lt;=$G105),IF($D105="","◇","■"),""))</f>
        <v/>
      </c>
    </row>
    <row r="106" spans="1:39" ht="18" customHeight="1" x14ac:dyDescent="0.35">
      <c r="A106" s="55" t="str" cm="1">
        <f t="array" ref="A106">IFERROR(INDEX(_xlfn._xlws.FILTER(tblProjectTasks[TaskGroup],(tblProjectTasks[IsWorkPackage]="Yes")*(tblProjectTasks[CaptureStatus]&lt;&gt;"Removed")),ROWS($A$8:A106)),"")</f>
        <v/>
      </c>
      <c r="B106" s="56" t="str" cm="1">
        <f t="array" ref="B106">IFERROR(INDEX(_xlfn._xlws.FILTER(tblProjectTasks[WBSCode],(tblProjectTasks[IsWorkPackage]="Yes")*(tblProjectTasks[CaptureStatus]&lt;&gt;"Removed")),ROWS($B$8:B106)),"")</f>
        <v/>
      </c>
      <c r="C106" s="57" t="str" cm="1">
        <f t="array" ref="C106">IFERROR(INDEX(_xlfn._xlws.FILTER(tblProjectTasks[TaskName],(tblProjectTasks[IsWorkPackage]="Yes")*(tblProjectTasks[CaptureStatus]&lt;&gt;"Removed")),ROWS($C$8:C106)),"")</f>
        <v/>
      </c>
      <c r="D106" s="58" t="str" cm="1">
        <f t="array" ref="D106">_xlfn.LET(_xlpm.x,IFERROR(INDEX(_xlfn._xlws.FILTER(tblProjectTasks[Elapsed Time in Weeks],(tblProjectTasks[IsWorkPackage]="Yes")*(tblProjectTasks[CaptureStatus]&lt;&gt;"Removed")),ROWS($D$8:D106)),""),IF(_xlpm.x=0,"",_xlpm.x))</f>
        <v/>
      </c>
      <c r="E106" s="58" t="str">
        <f>IF($A106="","",IF($D106="",1,$D106))</f>
        <v/>
      </c>
      <c r="F106" s="58" t="str">
        <f>IF($A106="","",IF(ROW()=8,0,$F105+$E105))</f>
        <v/>
      </c>
      <c r="G106" s="58" t="str">
        <f>IF($A106="","",$F106+$E106)</f>
        <v/>
      </c>
      <c r="H106" s="59" t="str">
        <f>IF($A106="","",IF(AND(VALUE(H$7)&gt;$F106,VALUE(H$7)&lt;=$G106),IF($D106="","◇","■"),""))</f>
        <v/>
      </c>
      <c r="I106" s="59" t="str">
        <f>IF($A106="","",IF(AND(VALUE(I$7)&gt;$F106,VALUE(I$7)&lt;=$G106),IF($D106="","◇","■"),""))</f>
        <v/>
      </c>
      <c r="J106" s="59" t="str">
        <f>IF($A106="","",IF(AND(VALUE(J$7)&gt;$F106,VALUE(J$7)&lt;=$G106),IF($D106="","◇","■"),""))</f>
        <v/>
      </c>
      <c r="K106" s="59" t="str">
        <f>IF($A106="","",IF(AND(VALUE(K$7)&gt;$F106,VALUE(K$7)&lt;=$G106),IF($D106="","◇","■"),""))</f>
        <v/>
      </c>
      <c r="L106" s="59" t="str">
        <f>IF($A106="","",IF(AND(VALUE(L$7)&gt;$F106,VALUE(L$7)&lt;=$G106),IF($D106="","◇","■"),""))</f>
        <v/>
      </c>
      <c r="M106" s="59" t="str">
        <f>IF($A106="","",IF(AND(VALUE(M$7)&gt;$F106,VALUE(M$7)&lt;=$G106),IF($D106="","◇","■"),""))</f>
        <v/>
      </c>
      <c r="N106" s="59" t="str">
        <f>IF($A106="","",IF(AND(VALUE(N$7)&gt;$F106,VALUE(N$7)&lt;=$G106),IF($D106="","◇","■"),""))</f>
        <v/>
      </c>
      <c r="O106" s="59" t="str">
        <f>IF($A106="","",IF(AND(VALUE(O$7)&gt;$F106,VALUE(O$7)&lt;=$G106),IF($D106="","◇","■"),""))</f>
        <v/>
      </c>
      <c r="P106" s="59" t="str">
        <f>IF($A106="","",IF(AND(VALUE(P$7)&gt;$F106,VALUE(P$7)&lt;=$G106),IF($D106="","◇","■"),""))</f>
        <v/>
      </c>
      <c r="Q106" s="59" t="str">
        <f>IF($A106="","",IF(AND(VALUE(Q$7)&gt;$F106,VALUE(Q$7)&lt;=$G106),IF($D106="","◇","■"),""))</f>
        <v/>
      </c>
      <c r="R106" s="59" t="str">
        <f>IF($A106="","",IF(AND(VALUE(R$7)&gt;$F106,VALUE(R$7)&lt;=$G106),IF($D106="","◇","■"),""))</f>
        <v/>
      </c>
      <c r="S106" s="59" t="str">
        <f>IF($A106="","",IF(AND(VALUE(S$7)&gt;$F106,VALUE(S$7)&lt;=$G106),IF($D106="","◇","■"),""))</f>
        <v/>
      </c>
      <c r="T106" s="59" t="str">
        <f>IF($A106="","",IF(AND(VALUE(T$7)&gt;$F106,VALUE(T$7)&lt;=$G106),IF($D106="","◇","■"),""))</f>
        <v/>
      </c>
      <c r="U106" s="59" t="str">
        <f>IF($A106="","",IF(AND(VALUE(U$7)&gt;$F106,VALUE(U$7)&lt;=$G106),IF($D106="","◇","■"),""))</f>
        <v/>
      </c>
      <c r="V106" s="59" t="str">
        <f>IF($A106="","",IF(AND(VALUE(V$7)&gt;$F106,VALUE(V$7)&lt;=$G106),IF($D106="","◇","■"),""))</f>
        <v/>
      </c>
      <c r="W106" s="59" t="str">
        <f>IF($A106="","",IF(AND(VALUE(W$7)&gt;$F106,VALUE(W$7)&lt;=$G106),IF($D106="","◇","■"),""))</f>
        <v/>
      </c>
      <c r="X106" s="59" t="str">
        <f>IF($A106="","",IF(AND(VALUE(X$7)&gt;$F106,VALUE(X$7)&lt;=$G106),IF($D106="","◇","■"),""))</f>
        <v/>
      </c>
      <c r="Y106" s="59" t="str">
        <f>IF($A106="","",IF(AND(VALUE(Y$7)&gt;$F106,VALUE(Y$7)&lt;=$G106),IF($D106="","◇","■"),""))</f>
        <v/>
      </c>
      <c r="Z106" s="59" t="str">
        <f>IF($A106="","",IF(AND(VALUE(Z$7)&gt;$F106,VALUE(Z$7)&lt;=$G106),IF($D106="","◇","■"),""))</f>
        <v/>
      </c>
      <c r="AA106" s="59" t="str">
        <f>IF($A106="","",IF(AND(VALUE(AA$7)&gt;$F106,VALUE(AA$7)&lt;=$G106),IF($D106="","◇","■"),""))</f>
        <v/>
      </c>
      <c r="AB106" s="59" t="str">
        <f>IF($A106="","",IF(AND(VALUE(AB$7)&gt;$F106,VALUE(AB$7)&lt;=$G106),IF($D106="","◇","■"),""))</f>
        <v/>
      </c>
      <c r="AC106" s="59" t="str">
        <f>IF($A106="","",IF(AND(VALUE(AC$7)&gt;$F106,VALUE(AC$7)&lt;=$G106),IF($D106="","◇","■"),""))</f>
        <v/>
      </c>
      <c r="AD106" s="59" t="str">
        <f>IF($A106="","",IF(AND(VALUE(AD$7)&gt;$F106,VALUE(AD$7)&lt;=$G106),IF($D106="","◇","■"),""))</f>
        <v/>
      </c>
      <c r="AE106" s="59" t="str">
        <f>IF($A106="","",IF(AND(VALUE(AE$7)&gt;$F106,VALUE(AE$7)&lt;=$G106),IF($D106="","◇","■"),""))</f>
        <v/>
      </c>
      <c r="AF106" s="59" t="str">
        <f>IF($A106="","",IF(AND(VALUE(AF$7)&gt;$F106,VALUE(AF$7)&lt;=$G106),IF($D106="","◇","■"),""))</f>
        <v/>
      </c>
      <c r="AG106" s="59" t="str">
        <f>IF($A106="","",IF(AND(VALUE(AG$7)&gt;$F106,VALUE(AG$7)&lt;=$G106),IF($D106="","◇","■"),""))</f>
        <v/>
      </c>
      <c r="AH106" s="59" t="str">
        <f>IF($A106="","",IF(AND(VALUE(AH$7)&gt;$F106,VALUE(AH$7)&lt;=$G106),IF($D106="","◇","■"),""))</f>
        <v/>
      </c>
      <c r="AI106" s="59" t="str">
        <f>IF($A106="","",IF(AND(VALUE(AI$7)&gt;$F106,VALUE(AI$7)&lt;=$G106),IF($D106="","◇","■"),""))</f>
        <v/>
      </c>
      <c r="AJ106" s="59" t="str">
        <f>IF($A106="","",IF(AND(VALUE(AJ$7)&gt;$F106,VALUE(AJ$7)&lt;=$G106),IF($D106="","◇","■"),""))</f>
        <v/>
      </c>
      <c r="AK106" s="59" t="str">
        <f>IF($A106="","",IF(AND(VALUE(AK$7)&gt;$F106,VALUE(AK$7)&lt;=$G106),IF($D106="","◇","■"),""))</f>
        <v/>
      </c>
      <c r="AL106" s="59" t="str">
        <f>IF($A106="","",IF(AND(VALUE(AL$7)&gt;$F106,VALUE(AL$7)&lt;=$G106),IF($D106="","◇","■"),""))</f>
        <v/>
      </c>
      <c r="AM106" s="59" t="str">
        <f>IF($A106="","",IF(AND(VALUE(AM$7)&gt;$F106,VALUE(AM$7)&lt;=$G106),IF($D106="","◇","■"),""))</f>
        <v/>
      </c>
    </row>
    <row r="107" spans="1:39" ht="18" customHeight="1" x14ac:dyDescent="0.35">
      <c r="A107" s="60" t="str" cm="1">
        <f t="array" ref="A107">IFERROR(INDEX(_xlfn._xlws.FILTER(tblProjectTasks[TaskGroup],(tblProjectTasks[IsWorkPackage]="Yes")*(tblProjectTasks[CaptureStatus]&lt;&gt;"Removed")),ROWS($A$8:A107)),"")</f>
        <v/>
      </c>
      <c r="B107" s="61" t="str" cm="1">
        <f t="array" ref="B107">IFERROR(INDEX(_xlfn._xlws.FILTER(tblProjectTasks[WBSCode],(tblProjectTasks[IsWorkPackage]="Yes")*(tblProjectTasks[CaptureStatus]&lt;&gt;"Removed")),ROWS($B$8:B107)),"")</f>
        <v/>
      </c>
      <c r="C107" s="62" t="str" cm="1">
        <f t="array" ref="C107">IFERROR(INDEX(_xlfn._xlws.FILTER(tblProjectTasks[TaskName],(tblProjectTasks[IsWorkPackage]="Yes")*(tblProjectTasks[CaptureStatus]&lt;&gt;"Removed")),ROWS($C$8:C107)),"")</f>
        <v/>
      </c>
      <c r="D107" s="63" t="str" cm="1">
        <f t="array" ref="D107">_xlfn.LET(_xlpm.x,IFERROR(INDEX(_xlfn._xlws.FILTER(tblProjectTasks[Elapsed Time in Weeks],(tblProjectTasks[IsWorkPackage]="Yes")*(tblProjectTasks[CaptureStatus]&lt;&gt;"Removed")),ROWS($D$8:D107)),""),IF(_xlpm.x=0,"",_xlpm.x))</f>
        <v/>
      </c>
      <c r="E107" s="63" t="str">
        <f>IF($A107="","",IF($D107="",1,$D107))</f>
        <v/>
      </c>
      <c r="F107" s="63" t="str">
        <f>IF($A107="","",IF(ROW()=8,0,$F106+$E106))</f>
        <v/>
      </c>
      <c r="G107" s="63" t="str">
        <f>IF($A107="","",$F107+$E107)</f>
        <v/>
      </c>
      <c r="H107" s="64" t="str">
        <f>IF($A107="","",IF(AND(VALUE(H$7)&gt;$F107,VALUE(H$7)&lt;=$G107),IF($D107="","◇","■"),""))</f>
        <v/>
      </c>
      <c r="I107" s="64" t="str">
        <f>IF($A107="","",IF(AND(VALUE(I$7)&gt;$F107,VALUE(I$7)&lt;=$G107),IF($D107="","◇","■"),""))</f>
        <v/>
      </c>
      <c r="J107" s="64" t="str">
        <f>IF($A107="","",IF(AND(VALUE(J$7)&gt;$F107,VALUE(J$7)&lt;=$G107),IF($D107="","◇","■"),""))</f>
        <v/>
      </c>
      <c r="K107" s="64" t="str">
        <f>IF($A107="","",IF(AND(VALUE(K$7)&gt;$F107,VALUE(K$7)&lt;=$G107),IF($D107="","◇","■"),""))</f>
        <v/>
      </c>
      <c r="L107" s="64" t="str">
        <f>IF($A107="","",IF(AND(VALUE(L$7)&gt;$F107,VALUE(L$7)&lt;=$G107),IF($D107="","◇","■"),""))</f>
        <v/>
      </c>
      <c r="M107" s="64" t="str">
        <f>IF($A107="","",IF(AND(VALUE(M$7)&gt;$F107,VALUE(M$7)&lt;=$G107),IF($D107="","◇","■"),""))</f>
        <v/>
      </c>
      <c r="N107" s="64" t="str">
        <f>IF($A107="","",IF(AND(VALUE(N$7)&gt;$F107,VALUE(N$7)&lt;=$G107),IF($D107="","◇","■"),""))</f>
        <v/>
      </c>
      <c r="O107" s="64" t="str">
        <f>IF($A107="","",IF(AND(VALUE(O$7)&gt;$F107,VALUE(O$7)&lt;=$G107),IF($D107="","◇","■"),""))</f>
        <v/>
      </c>
      <c r="P107" s="64" t="str">
        <f>IF($A107="","",IF(AND(VALUE(P$7)&gt;$F107,VALUE(P$7)&lt;=$G107),IF($D107="","◇","■"),""))</f>
        <v/>
      </c>
      <c r="Q107" s="64" t="str">
        <f>IF($A107="","",IF(AND(VALUE(Q$7)&gt;$F107,VALUE(Q$7)&lt;=$G107),IF($D107="","◇","■"),""))</f>
        <v/>
      </c>
      <c r="R107" s="64" t="str">
        <f>IF($A107="","",IF(AND(VALUE(R$7)&gt;$F107,VALUE(R$7)&lt;=$G107),IF($D107="","◇","■"),""))</f>
        <v/>
      </c>
      <c r="S107" s="64" t="str">
        <f>IF($A107="","",IF(AND(VALUE(S$7)&gt;$F107,VALUE(S$7)&lt;=$G107),IF($D107="","◇","■"),""))</f>
        <v/>
      </c>
      <c r="T107" s="64" t="str">
        <f>IF($A107="","",IF(AND(VALUE(T$7)&gt;$F107,VALUE(T$7)&lt;=$G107),IF($D107="","◇","■"),""))</f>
        <v/>
      </c>
      <c r="U107" s="64" t="str">
        <f>IF($A107="","",IF(AND(VALUE(U$7)&gt;$F107,VALUE(U$7)&lt;=$G107),IF($D107="","◇","■"),""))</f>
        <v/>
      </c>
      <c r="V107" s="64" t="str">
        <f>IF($A107="","",IF(AND(VALUE(V$7)&gt;$F107,VALUE(V$7)&lt;=$G107),IF($D107="","◇","■"),""))</f>
        <v/>
      </c>
      <c r="W107" s="64" t="str">
        <f>IF($A107="","",IF(AND(VALUE(W$7)&gt;$F107,VALUE(W$7)&lt;=$G107),IF($D107="","◇","■"),""))</f>
        <v/>
      </c>
      <c r="X107" s="64" t="str">
        <f>IF($A107="","",IF(AND(VALUE(X$7)&gt;$F107,VALUE(X$7)&lt;=$G107),IF($D107="","◇","■"),""))</f>
        <v/>
      </c>
      <c r="Y107" s="64" t="str">
        <f>IF($A107="","",IF(AND(VALUE(Y$7)&gt;$F107,VALUE(Y$7)&lt;=$G107),IF($D107="","◇","■"),""))</f>
        <v/>
      </c>
      <c r="Z107" s="64" t="str">
        <f>IF($A107="","",IF(AND(VALUE(Z$7)&gt;$F107,VALUE(Z$7)&lt;=$G107),IF($D107="","◇","■"),""))</f>
        <v/>
      </c>
      <c r="AA107" s="64" t="str">
        <f>IF($A107="","",IF(AND(VALUE(AA$7)&gt;$F107,VALUE(AA$7)&lt;=$G107),IF($D107="","◇","■"),""))</f>
        <v/>
      </c>
      <c r="AB107" s="64" t="str">
        <f>IF($A107="","",IF(AND(VALUE(AB$7)&gt;$F107,VALUE(AB$7)&lt;=$G107),IF($D107="","◇","■"),""))</f>
        <v/>
      </c>
      <c r="AC107" s="64" t="str">
        <f>IF($A107="","",IF(AND(VALUE(AC$7)&gt;$F107,VALUE(AC$7)&lt;=$G107),IF($D107="","◇","■"),""))</f>
        <v/>
      </c>
      <c r="AD107" s="64" t="str">
        <f>IF($A107="","",IF(AND(VALUE(AD$7)&gt;$F107,VALUE(AD$7)&lt;=$G107),IF($D107="","◇","■"),""))</f>
        <v/>
      </c>
      <c r="AE107" s="64" t="str">
        <f>IF($A107="","",IF(AND(VALUE(AE$7)&gt;$F107,VALUE(AE$7)&lt;=$G107),IF($D107="","◇","■"),""))</f>
        <v/>
      </c>
      <c r="AF107" s="64" t="str">
        <f>IF($A107="","",IF(AND(VALUE(AF$7)&gt;$F107,VALUE(AF$7)&lt;=$G107),IF($D107="","◇","■"),""))</f>
        <v/>
      </c>
      <c r="AG107" s="64" t="str">
        <f>IF($A107="","",IF(AND(VALUE(AG$7)&gt;$F107,VALUE(AG$7)&lt;=$G107),IF($D107="","◇","■"),""))</f>
        <v/>
      </c>
      <c r="AH107" s="64" t="str">
        <f>IF($A107="","",IF(AND(VALUE(AH$7)&gt;$F107,VALUE(AH$7)&lt;=$G107),IF($D107="","◇","■"),""))</f>
        <v/>
      </c>
      <c r="AI107" s="64" t="str">
        <f>IF($A107="","",IF(AND(VALUE(AI$7)&gt;$F107,VALUE(AI$7)&lt;=$G107),IF($D107="","◇","■"),""))</f>
        <v/>
      </c>
      <c r="AJ107" s="64" t="str">
        <f>IF($A107="","",IF(AND(VALUE(AJ$7)&gt;$F107,VALUE(AJ$7)&lt;=$G107),IF($D107="","◇","■"),""))</f>
        <v/>
      </c>
      <c r="AK107" s="64" t="str">
        <f>IF($A107="","",IF(AND(VALUE(AK$7)&gt;$F107,VALUE(AK$7)&lt;=$G107),IF($D107="","◇","■"),""))</f>
        <v/>
      </c>
      <c r="AL107" s="64" t="str">
        <f>IF($A107="","",IF(AND(VALUE(AL$7)&gt;$F107,VALUE(AL$7)&lt;=$G107),IF($D107="","◇","■"),""))</f>
        <v/>
      </c>
      <c r="AM107" s="64" t="str">
        <f>IF($A107="","",IF(AND(VALUE(AM$7)&gt;$F107,VALUE(AM$7)&lt;=$G107),IF($D107="","◇","■"),""))</f>
        <v/>
      </c>
    </row>
  </sheetData>
  <mergeCells count="2">
    <mergeCell ref="A1:AM1"/>
    <mergeCell ref="A2:AM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2F6CE-567B-4728-B712-DB46CF074E4A}">
  <dimension ref="A1:M83"/>
  <sheetViews>
    <sheetView workbookViewId="0">
      <selection activeCell="A12" sqref="A12:K37"/>
    </sheetView>
  </sheetViews>
  <sheetFormatPr defaultRowHeight="14.5" x14ac:dyDescent="0.35"/>
  <cols>
    <col min="1" max="1" width="18.1796875" style="170" customWidth="1"/>
    <col min="2" max="2" width="16.36328125" style="170" customWidth="1"/>
    <col min="3" max="3" width="20.90625" style="170" customWidth="1"/>
    <col min="4" max="4" width="16.36328125" style="170" customWidth="1"/>
    <col min="5" max="5" width="14.54296875" style="170" customWidth="1"/>
    <col min="6" max="6" width="20.90625" style="170" customWidth="1"/>
    <col min="7" max="8" width="17.26953125" style="170" customWidth="1"/>
    <col min="9" max="10" width="12.7265625" style="170" customWidth="1"/>
    <col min="11" max="11" width="13.6328125" style="170" customWidth="1"/>
    <col min="12" max="12" width="20.90625" style="170" customWidth="1"/>
    <col min="13" max="13" width="16.36328125" style="170" customWidth="1"/>
  </cols>
  <sheetData>
    <row r="1" spans="1:11" ht="32" customHeight="1" x14ac:dyDescent="0.55000000000000004">
      <c r="A1" s="169" t="s">
        <v>227</v>
      </c>
      <c r="B1" s="169"/>
      <c r="C1" s="169"/>
      <c r="D1" s="169"/>
      <c r="E1" s="169"/>
      <c r="F1" s="169"/>
      <c r="G1" s="169"/>
      <c r="H1" s="169"/>
      <c r="I1" s="169"/>
      <c r="J1" s="169"/>
      <c r="K1" s="169"/>
    </row>
    <row r="2" spans="1:11" ht="34" customHeight="1" x14ac:dyDescent="0.35">
      <c r="A2" s="171" t="s">
        <v>228</v>
      </c>
      <c r="B2" s="171"/>
      <c r="C2" s="171"/>
      <c r="D2" s="171"/>
      <c r="E2" s="171"/>
      <c r="F2" s="171"/>
      <c r="G2" s="171"/>
      <c r="H2" s="171"/>
      <c r="I2" s="171"/>
      <c r="J2" s="171"/>
      <c r="K2" s="171"/>
    </row>
    <row r="4" spans="1:11" ht="16" x14ac:dyDescent="0.4">
      <c r="A4" s="172" t="s">
        <v>229</v>
      </c>
      <c r="B4" s="172"/>
      <c r="C4" s="172"/>
      <c r="D4" s="172"/>
      <c r="E4" s="172"/>
      <c r="F4" s="172"/>
      <c r="G4" s="172"/>
      <c r="H4" s="172"/>
      <c r="I4" s="172"/>
      <c r="J4" s="172"/>
      <c r="K4" s="172"/>
    </row>
    <row r="6" spans="1:11" ht="42" customHeight="1" x14ac:dyDescent="0.35">
      <c r="A6" s="173" t="s">
        <v>230</v>
      </c>
      <c r="B6" s="174"/>
      <c r="C6" s="173" t="s">
        <v>231</v>
      </c>
      <c r="D6" s="174"/>
      <c r="E6" s="173" t="s">
        <v>232</v>
      </c>
      <c r="F6" s="174"/>
      <c r="G6" s="173" t="s">
        <v>233</v>
      </c>
      <c r="H6" s="175"/>
    </row>
    <row r="7" spans="1:11" ht="42" customHeight="1" x14ac:dyDescent="0.35">
      <c r="A7" s="176"/>
      <c r="B7" s="177"/>
      <c r="C7" s="176"/>
      <c r="D7" s="177"/>
      <c r="E7" s="176"/>
      <c r="F7" s="177"/>
      <c r="G7" s="176"/>
      <c r="H7" s="178"/>
    </row>
    <row r="8" spans="1:11" ht="42" customHeight="1" x14ac:dyDescent="0.35">
      <c r="A8" s="176"/>
      <c r="B8" s="177"/>
      <c r="C8" s="176"/>
      <c r="D8" s="177"/>
      <c r="E8" s="176"/>
      <c r="F8" s="177"/>
      <c r="G8" s="176"/>
      <c r="H8" s="178"/>
    </row>
    <row r="9" spans="1:11" ht="42" customHeight="1" x14ac:dyDescent="0.35">
      <c r="A9" s="173" t="s">
        <v>234</v>
      </c>
      <c r="B9" s="174"/>
      <c r="C9" s="173" t="s">
        <v>235</v>
      </c>
      <c r="D9" s="174"/>
      <c r="E9" s="173" t="s">
        <v>236</v>
      </c>
      <c r="F9" s="174"/>
      <c r="G9" s="173" t="s">
        <v>237</v>
      </c>
      <c r="H9" s="175"/>
    </row>
    <row r="10" spans="1:11" ht="42" customHeight="1" x14ac:dyDescent="0.35">
      <c r="A10" s="176"/>
      <c r="B10" s="177"/>
      <c r="C10" s="176"/>
      <c r="D10" s="177"/>
      <c r="E10" s="176"/>
      <c r="F10" s="177"/>
      <c r="G10" s="176"/>
      <c r="H10" s="178"/>
    </row>
    <row r="11" spans="1:11" ht="42" customHeight="1" x14ac:dyDescent="0.35">
      <c r="A11" s="176"/>
      <c r="B11" s="177"/>
      <c r="C11" s="176"/>
      <c r="D11" s="177"/>
      <c r="E11" s="176"/>
      <c r="F11" s="177"/>
      <c r="G11" s="176"/>
      <c r="H11" s="178"/>
    </row>
    <row r="12" spans="1:11" ht="42" customHeight="1" x14ac:dyDescent="0.35">
      <c r="A12" s="173" t="s">
        <v>238</v>
      </c>
      <c r="B12" s="174"/>
      <c r="C12" s="173" t="s">
        <v>239</v>
      </c>
      <c r="D12" s="174"/>
      <c r="E12" s="173" t="s">
        <v>240</v>
      </c>
      <c r="F12" s="174"/>
      <c r="G12" s="173" t="s">
        <v>241</v>
      </c>
      <c r="H12" s="175"/>
    </row>
    <row r="13" spans="1:11" ht="42" customHeight="1" x14ac:dyDescent="0.35">
      <c r="A13" s="176"/>
      <c r="B13" s="177"/>
      <c r="C13" s="176"/>
      <c r="D13" s="177"/>
      <c r="E13" s="176"/>
      <c r="F13" s="177"/>
      <c r="G13" s="176"/>
      <c r="H13" s="178"/>
    </row>
    <row r="14" spans="1:11" ht="42" customHeight="1" x14ac:dyDescent="0.35">
      <c r="A14" s="176"/>
      <c r="B14" s="177"/>
      <c r="C14" s="176"/>
      <c r="D14" s="177"/>
      <c r="E14" s="176"/>
      <c r="F14" s="177"/>
      <c r="G14" s="176"/>
      <c r="H14" s="178"/>
    </row>
    <row r="15" spans="1:11" ht="42" customHeight="1" x14ac:dyDescent="0.35">
      <c r="A15" s="173" t="s">
        <v>242</v>
      </c>
      <c r="B15" s="174"/>
      <c r="C15" s="173" t="s">
        <v>243</v>
      </c>
      <c r="D15" s="174"/>
      <c r="E15" s="173" t="s">
        <v>244</v>
      </c>
      <c r="F15" s="174"/>
      <c r="G15" s="173" t="s">
        <v>245</v>
      </c>
      <c r="H15" s="175"/>
    </row>
    <row r="16" spans="1:11" ht="42" customHeight="1" x14ac:dyDescent="0.35">
      <c r="A16" s="176"/>
      <c r="B16" s="177"/>
      <c r="C16" s="176"/>
      <c r="D16" s="177"/>
      <c r="E16" s="176"/>
      <c r="F16" s="177"/>
      <c r="G16" s="176"/>
      <c r="H16" s="178"/>
    </row>
    <row r="17" spans="1:11" ht="42" customHeight="1" x14ac:dyDescent="0.35">
      <c r="A17" s="176"/>
      <c r="B17" s="177"/>
      <c r="C17" s="176"/>
      <c r="D17" s="177"/>
      <c r="E17" s="176"/>
      <c r="F17" s="177"/>
      <c r="G17" s="176"/>
      <c r="H17" s="178"/>
    </row>
    <row r="18" spans="1:11" ht="42" customHeight="1" x14ac:dyDescent="0.35">
      <c r="A18" s="173" t="s">
        <v>246</v>
      </c>
      <c r="B18" s="174"/>
      <c r="C18" s="173" t="s">
        <v>247</v>
      </c>
      <c r="D18" s="174"/>
      <c r="E18" s="173" t="s">
        <v>248</v>
      </c>
      <c r="F18" s="174"/>
      <c r="G18" s="173" t="s">
        <v>249</v>
      </c>
      <c r="H18" s="175"/>
    </row>
    <row r="19" spans="1:11" ht="42" customHeight="1" x14ac:dyDescent="0.35">
      <c r="A19" s="176"/>
      <c r="B19" s="177"/>
      <c r="C19" s="176"/>
      <c r="D19" s="177"/>
      <c r="E19" s="176"/>
      <c r="F19" s="177"/>
      <c r="G19" s="176"/>
      <c r="H19" s="178"/>
    </row>
    <row r="20" spans="1:11" ht="42" customHeight="1" x14ac:dyDescent="0.35">
      <c r="A20" s="176"/>
      <c r="B20" s="177"/>
      <c r="C20" s="176"/>
      <c r="D20" s="177"/>
      <c r="E20" s="176"/>
      <c r="F20" s="177"/>
      <c r="G20" s="176"/>
      <c r="H20" s="178"/>
    </row>
    <row r="21" spans="1:11" ht="42" customHeight="1" x14ac:dyDescent="0.35">
      <c r="A21" s="173" t="s">
        <v>250</v>
      </c>
      <c r="B21" s="174"/>
      <c r="C21" s="173" t="s">
        <v>251</v>
      </c>
      <c r="D21" s="174"/>
      <c r="E21" s="173" t="s">
        <v>252</v>
      </c>
      <c r="F21" s="174"/>
      <c r="G21" s="173" t="s">
        <v>253</v>
      </c>
      <c r="H21" s="175"/>
    </row>
    <row r="22" spans="1:11" ht="42" customHeight="1" x14ac:dyDescent="0.35">
      <c r="A22" s="176"/>
      <c r="B22" s="177"/>
      <c r="C22" s="176"/>
      <c r="D22" s="177"/>
      <c r="E22" s="176"/>
      <c r="F22" s="177"/>
      <c r="G22" s="176"/>
      <c r="H22" s="178"/>
    </row>
    <row r="23" spans="1:11" ht="42" customHeight="1" x14ac:dyDescent="0.35">
      <c r="A23" s="176"/>
      <c r="B23" s="177"/>
      <c r="C23" s="176"/>
      <c r="D23" s="177"/>
      <c r="E23" s="179"/>
      <c r="F23" s="180"/>
      <c r="G23" s="179"/>
      <c r="H23" s="181"/>
    </row>
    <row r="24" spans="1:11" ht="42" customHeight="1" x14ac:dyDescent="0.35">
      <c r="A24" s="173" t="s">
        <v>254</v>
      </c>
      <c r="B24" s="174"/>
      <c r="C24" s="173" t="s">
        <v>255</v>
      </c>
      <c r="D24" s="175"/>
    </row>
    <row r="25" spans="1:11" ht="42" customHeight="1" x14ac:dyDescent="0.35">
      <c r="A25" s="176"/>
      <c r="B25" s="177"/>
      <c r="C25" s="176"/>
      <c r="D25" s="178"/>
    </row>
    <row r="26" spans="1:11" ht="42" customHeight="1" x14ac:dyDescent="0.35">
      <c r="A26" s="179"/>
      <c r="B26" s="180"/>
      <c r="C26" s="179"/>
      <c r="D26" s="181"/>
    </row>
    <row r="28" spans="1:11" ht="16" x14ac:dyDescent="0.4">
      <c r="A28" s="172" t="s">
        <v>256</v>
      </c>
      <c r="B28" s="172"/>
      <c r="C28" s="172"/>
      <c r="D28" s="172"/>
      <c r="E28" s="172"/>
      <c r="F28" s="172"/>
      <c r="G28" s="172"/>
      <c r="H28" s="172"/>
      <c r="I28" s="172"/>
      <c r="J28" s="172"/>
      <c r="K28" s="172"/>
    </row>
    <row r="30" spans="1:11" x14ac:dyDescent="0.35">
      <c r="A30" s="182" t="s">
        <v>257</v>
      </c>
      <c r="B30" s="182" t="s">
        <v>258</v>
      </c>
      <c r="C30" s="182" t="s">
        <v>259</v>
      </c>
      <c r="D30" s="182" t="s">
        <v>260</v>
      </c>
      <c r="E30" s="182" t="s">
        <v>261</v>
      </c>
      <c r="F30" s="182" t="s">
        <v>262</v>
      </c>
      <c r="G30" s="182" t="s">
        <v>263</v>
      </c>
    </row>
    <row r="31" spans="1:11" ht="78" customHeight="1" x14ac:dyDescent="0.35">
      <c r="A31" s="183" t="s">
        <v>264</v>
      </c>
      <c r="B31" s="184" t="str" cm="1">
        <f t="array" ref="B31">_xlfn.TEXTJOIN(CHAR(10)&amp;"————"&amp;CHAR(10),TRUE,_xlfn._xlws.FILTER(tblPostItTasks[PostItText],(tblPostItTasks[Lane]=$A31)*(tblPostItTasks[DependencyLevel]=0),""))</f>
        <v>1.1
Check can I get planning?
Dur: 6w</v>
      </c>
      <c r="C31" s="184" t="str" cm="1">
        <f t="array" ref="C31">_xlfn.TEXTJOIN(CHAR(10)&amp;"————"&amp;CHAR(10),TRUE,_xlfn._xlws.FILTER(tblPostItTasks[PostItText],(tblPostItTasks[Lane]=$A31)*(tblPostItTasks[DependencyLevel]=1),""))</f>
        <v>1.2
Apply for and get planning permission
Dur: 10w</v>
      </c>
      <c r="D31" s="184" t="str" cm="1">
        <f t="array" ref="D31">_xlfn.TEXTJOIN(CHAR(10)&amp;"————"&amp;CHAR(10),TRUE,_xlfn._xlws.FILTER(tblPostItTasks[PostItText],(tblPostItTasks[Lane]=$A31)*(tblPostItTasks[DependencyLevel]=2),""))</f>
        <v/>
      </c>
      <c r="E31" s="184" t="str" cm="1">
        <f t="array" ref="E31">_xlfn.TEXTJOIN(CHAR(10)&amp;"————"&amp;CHAR(10),TRUE,_xlfn._xlws.FILTER(tblPostItTasks[PostItText],(tblPostItTasks[Lane]=$A31)*(tblPostItTasks[DependencyLevel]=3),""))</f>
        <v/>
      </c>
      <c r="F31" s="184" t="str" cm="1">
        <f t="array" ref="F31">_xlfn.TEXTJOIN(CHAR(10)&amp;"————"&amp;CHAR(10),TRUE,_xlfn._xlws.FILTER(tblPostItTasks[PostItText],(tblPostItTasks[Lane]=$A31)*(tblPostItTasks[DependencyLevel]=4),""))</f>
        <v/>
      </c>
      <c r="G31" s="184" t="str" cm="1">
        <f t="array" ref="G31">_xlfn.TEXTJOIN(CHAR(10)&amp;"————"&amp;CHAR(10),TRUE,_xlfn._xlws.FILTER(tblPostItTasks[PostItText],(tblPostItTasks[Lane]=$A31)*(tblPostItTasks[DependencyLevel]&gt;=5),""))</f>
        <v/>
      </c>
    </row>
    <row r="32" spans="1:11" ht="78" customHeight="1" x14ac:dyDescent="0.35">
      <c r="A32" s="183" t="s">
        <v>265</v>
      </c>
      <c r="B32" s="184" t="str" cm="1">
        <f t="array" ref="B32">_xlfn.TEXTJOIN(CHAR(10)&amp;"————"&amp;CHAR(10),TRUE,_xlfn._xlws.FILTER(tblPostItTasks[PostItText],(tblPostItTasks[Lane]=$A32)*(tblPostItTasks[DependencyLevel]=0),""))</f>
        <v>2.1
Demolish old shed
Dur: 1w
————
2.2
Cut back all the foliage
Dur: 2w
————
2.3
Tree surgeon to trim branches above area
Dur: ?w
————
2.4
Put a power wire down the garden
Dur: ?w</v>
      </c>
      <c r="C32" s="184" t="str" cm="1">
        <f t="array" ref="C32">_xlfn.TEXTJOIN(CHAR(10)&amp;"————"&amp;CHAR(10),TRUE,_xlfn._xlws.FILTER(tblPostItTasks[PostItText],(tblPostItTasks[Lane]=$A32)*(tblPostItTasks[DependencyLevel]=1),""))</f>
        <v>2.5
Connect power
Dur: ?w</v>
      </c>
      <c r="D32" s="184" t="str" cm="1">
        <f t="array" ref="D32">_xlfn.TEXTJOIN(CHAR(10)&amp;"————"&amp;CHAR(10),TRUE,_xlfn._xlws.FILTER(tblPostItTasks[PostItText],(tblPostItTasks[Lane]=$A32)*(tblPostItTasks[DependencyLevel]=2),""))</f>
        <v/>
      </c>
      <c r="E32" s="184" t="str" cm="1">
        <f t="array" ref="E32">_xlfn.TEXTJOIN(CHAR(10)&amp;"————"&amp;CHAR(10),TRUE,_xlfn._xlws.FILTER(tblPostItTasks[PostItText],(tblPostItTasks[Lane]=$A32)*(tblPostItTasks[DependencyLevel]=3),""))</f>
        <v/>
      </c>
      <c r="F32" s="184" t="str" cm="1">
        <f t="array" ref="F32">_xlfn.TEXTJOIN(CHAR(10)&amp;"————"&amp;CHAR(10),TRUE,_xlfn._xlws.FILTER(tblPostItTasks[PostItText],(tblPostItTasks[Lane]=$A32)*(tblPostItTasks[DependencyLevel]=4),""))</f>
        <v/>
      </c>
      <c r="G32" s="184" t="str" cm="1">
        <f t="array" ref="G32">_xlfn.TEXTJOIN(CHAR(10)&amp;"————"&amp;CHAR(10),TRUE,_xlfn._xlws.FILTER(tblPostItTasks[PostItText],(tblPostItTasks[Lane]=$A32)*(tblPostItTasks[DependencyLevel]&gt;=5),""))</f>
        <v/>
      </c>
    </row>
    <row r="33" spans="1:13" ht="78" customHeight="1" x14ac:dyDescent="0.35">
      <c r="A33" s="183" t="s">
        <v>266</v>
      </c>
      <c r="B33" s="184" t="str" cm="1">
        <f t="array" ref="B33">_xlfn.TEXTJOIN(CHAR(10)&amp;"————"&amp;CHAR(10),TRUE,_xlfn._xlws.FILTER(tblPostItTasks[PostItText],(tblPostItTasks[Lane]=$A33)*(tblPostItTasks[DependencyLevel]=0),""))</f>
        <v>3.1
Check funds
Dur: 1w
————
3.2.1
Research - talk to friends
Dur: 3w
————
3.2.2
Find shed suppliers
Dur: 1w
————
3.2.3
Get quotes
Dur: 3w
————
3.2.4
See a finished one
Dur: 1w</v>
      </c>
      <c r="C33" s="184" t="str" cm="1">
        <f t="array" ref="C33">_xlfn.TEXTJOIN(CHAR(10)&amp;"————"&amp;CHAR(10),TRUE,_xlfn._xlws.FILTER(tblPostItTasks[PostItText],(tblPostItTasks[Lane]=$A33)*(tblPostItTasks[DependencyLevel]=1),""))</f>
        <v>3.2.5
Choose - place the order
Dur: ?w</v>
      </c>
      <c r="D33" s="184" t="str" cm="1">
        <f t="array" ref="D33">_xlfn.TEXTJOIN(CHAR(10)&amp;"————"&amp;CHAR(10),TRUE,_xlfn._xlws.FILTER(tblPostItTasks[PostItText],(tblPostItTasks[Lane]=$A33)*(tblPostItTasks[DependencyLevel]=2),""))</f>
        <v>3.2.6
Wait for delivery
Dur: 6w</v>
      </c>
      <c r="E33" s="184" t="str" cm="1">
        <f t="array" ref="E33">_xlfn.TEXTJOIN(CHAR(10)&amp;"————"&amp;CHAR(10),TRUE,_xlfn._xlws.FILTER(tblPostItTasks[PostItText],(tblPostItTasks[Lane]=$A33)*(tblPostItTasks[DependencyLevel]=3),""))</f>
        <v/>
      </c>
      <c r="F33" s="184" t="str" cm="1">
        <f t="array" ref="F33">_xlfn.TEXTJOIN(CHAR(10)&amp;"————"&amp;CHAR(10),TRUE,_xlfn._xlws.FILTER(tblPostItTasks[PostItText],(tblPostItTasks[Lane]=$A33)*(tblPostItTasks[DependencyLevel]=4),""))</f>
        <v/>
      </c>
      <c r="G33" s="184" t="str" cm="1">
        <f t="array" ref="G33">_xlfn.TEXTJOIN(CHAR(10)&amp;"————"&amp;CHAR(10),TRUE,_xlfn._xlws.FILTER(tblPostItTasks[PostItText],(tblPostItTasks[Lane]=$A33)*(tblPostItTasks[DependencyLevel]&gt;=5),""))</f>
        <v/>
      </c>
    </row>
    <row r="34" spans="1:13" ht="78" customHeight="1" x14ac:dyDescent="0.35">
      <c r="A34" s="183" t="s">
        <v>267</v>
      </c>
      <c r="B34" s="184" t="str" cm="1">
        <f t="array" ref="B34">_xlfn.TEXTJOIN(CHAR(10)&amp;"————"&amp;CHAR(10),TRUE,_xlfn._xlws.FILTER(tblPostItTasks[PostItText],(tblPostItTasks[Lane]=$A34)*(tblPostItTasks[DependencyLevel]=0),""))</f>
        <v>4.1
Hire Digger
Dur: 2w</v>
      </c>
      <c r="C34" s="184" t="str" cm="1">
        <f t="array" ref="C34">_xlfn.TEXTJOIN(CHAR(10)&amp;"————"&amp;CHAR(10),TRUE,_xlfn._xlws.FILTER(tblPostItTasks[PostItText],(tblPostItTasks[Lane]=$A34)*(tblPostItTasks[DependencyLevel]=1),""))</f>
        <v>4.2
Dig foundation trenches
Dur: 1w</v>
      </c>
      <c r="D34" s="184" t="str" cm="1">
        <f t="array" ref="D34">_xlfn.TEXTJOIN(CHAR(10)&amp;"————"&amp;CHAR(10),TRUE,_xlfn._xlws.FILTER(tblPostItTasks[PostItText],(tblPostItTasks[Lane]=$A34)*(tblPostItTasks[DependencyLevel]=2),""))</f>
        <v>4.3
Fill with concrete
Dur: 2w</v>
      </c>
      <c r="E34" s="184" t="str" cm="1">
        <f t="array" ref="E34">_xlfn.TEXTJOIN(CHAR(10)&amp;"————"&amp;CHAR(10),TRUE,_xlfn._xlws.FILTER(tblPostItTasks[PostItText],(tblPostItTasks[Lane]=$A34)*(tblPostItTasks[DependencyLevel]=3),""))</f>
        <v>4.4
Level the base
Dur: 1w</v>
      </c>
      <c r="F34" s="184" t="str" cm="1">
        <f t="array" ref="F34">_xlfn.TEXTJOIN(CHAR(10)&amp;"————"&amp;CHAR(10),TRUE,_xlfn._xlws.FILTER(tblPostItTasks[PostItText],(tblPostItTasks[Lane]=$A34)*(tblPostItTasks[DependencyLevel]=4),""))</f>
        <v/>
      </c>
      <c r="G34" s="184" t="str" cm="1">
        <f t="array" ref="G34">_xlfn.TEXTJOIN(CHAR(10)&amp;"————"&amp;CHAR(10),TRUE,_xlfn._xlws.FILTER(tblPostItTasks[PostItText],(tblPostItTasks[Lane]=$A34)*(tblPostItTasks[DependencyLevel]&gt;=5),""))</f>
        <v/>
      </c>
    </row>
    <row r="35" spans="1:13" ht="78" customHeight="1" x14ac:dyDescent="0.35">
      <c r="A35" s="183" t="s">
        <v>268</v>
      </c>
      <c r="B35" s="184" t="str" cm="1">
        <f t="array" ref="B35">_xlfn.TEXTJOIN(CHAR(10)&amp;"————"&amp;CHAR(10),TRUE,_xlfn._xlws.FILTER(tblPostItTasks[PostItText],(tblPostItTasks[Lane]=$A35)*(tblPostItTasks[DependencyLevel]=0),""))</f>
        <v>5.3.1
Inside
Dur: 1w
————
5.3.2
External
Dur: 2w</v>
      </c>
      <c r="C35" s="184" t="str" cm="1">
        <f t="array" ref="C35">_xlfn.TEXTJOIN(CHAR(10)&amp;"————"&amp;CHAR(10),TRUE,_xlfn._xlws.FILTER(tblPostItTasks[PostItText],(tblPostItTasks[Lane]=$A35)*(tblPostItTasks[DependencyLevel]=1),""))</f>
        <v/>
      </c>
      <c r="D35" s="184" t="str" cm="1">
        <f t="array" ref="D35">_xlfn.TEXTJOIN(CHAR(10)&amp;"————"&amp;CHAR(10),TRUE,_xlfn._xlws.FILTER(tblPostItTasks[PostItText],(tblPostItTasks[Lane]=$A35)*(tblPostItTasks[DependencyLevel]=2),""))</f>
        <v/>
      </c>
      <c r="E35" s="184" t="str" cm="1">
        <f t="array" ref="E35">_xlfn.TEXTJOIN(CHAR(10)&amp;"————"&amp;CHAR(10),TRUE,_xlfn._xlws.FILTER(tblPostItTasks[PostItText],(tblPostItTasks[Lane]=$A35)*(tblPostItTasks[DependencyLevel]=3),""))</f>
        <v/>
      </c>
      <c r="F35" s="184" t="str" cm="1">
        <f t="array" ref="F35">_xlfn.TEXTJOIN(CHAR(10)&amp;"————"&amp;CHAR(10),TRUE,_xlfn._xlws.FILTER(tblPostItTasks[PostItText],(tblPostItTasks[Lane]=$A35)*(tblPostItTasks[DependencyLevel]=4),""))</f>
        <v>5.1
Delivery
Dur: 6w</v>
      </c>
      <c r="G35" s="184" t="str" cm="1">
        <f t="array" ref="G35">_xlfn.TEXTJOIN(CHAR(10)&amp;"————"&amp;CHAR(10),TRUE,_xlfn._xlws.FILTER(tblPostItTasks[PostItText],(tblPostItTasks[Lane]=$A35)*(tblPostItTasks[DependencyLevel]&gt;=5),""))</f>
        <v>5.2
Assembly
Dur: 1w</v>
      </c>
    </row>
    <row r="36" spans="1:13" ht="78" customHeight="1" x14ac:dyDescent="0.35">
      <c r="A36" s="183" t="s">
        <v>269</v>
      </c>
      <c r="B36" s="184" t="str" cm="1">
        <f t="array" ref="B36">_xlfn.TEXTJOIN(CHAR(10)&amp;"————"&amp;CHAR(10),TRUE,_xlfn._xlws.FILTER(tblPostItTasks[PostItText],(tblPostItTasks[Lane]=$A36)*(tblPostItTasks[DependencyLevel]=0),""))</f>
        <v/>
      </c>
      <c r="C36" s="184" t="str" cm="1">
        <f t="array" ref="C36">_xlfn.TEXTJOIN(CHAR(10)&amp;"————"&amp;CHAR(10),TRUE,_xlfn._xlws.FILTER(tblPostItTasks[PostItText],(tblPostItTasks[Lane]=$A36)*(tblPostItTasks[DependencyLevel]=1),""))</f>
        <v/>
      </c>
      <c r="D36" s="184" t="str" cm="1">
        <f t="array" ref="D36">_xlfn.TEXTJOIN(CHAR(10)&amp;"————"&amp;CHAR(10),TRUE,_xlfn._xlws.FILTER(tblPostItTasks[PostItText],(tblPostItTasks[Lane]=$A36)*(tblPostItTasks[DependencyLevel]=2),""))</f>
        <v/>
      </c>
      <c r="E36" s="184" t="str" cm="1">
        <f t="array" ref="E36">_xlfn.TEXTJOIN(CHAR(10)&amp;"————"&amp;CHAR(10),TRUE,_xlfn._xlws.FILTER(tblPostItTasks[PostItText],(tblPostItTasks[Lane]=$A36)*(tblPostItTasks[DependencyLevel]=3),""))</f>
        <v/>
      </c>
      <c r="F36" s="184" t="str" cm="1">
        <f t="array" ref="F36">_xlfn.TEXTJOIN(CHAR(10)&amp;"————"&amp;CHAR(10),TRUE,_xlfn._xlws.FILTER(tblPostItTasks[PostItText],(tblPostItTasks[Lane]=$A36)*(tblPostItTasks[DependencyLevel]=4),""))</f>
        <v/>
      </c>
      <c r="G36" s="184" t="str" cm="1">
        <f t="array" ref="G36">_xlfn.TEXTJOIN(CHAR(10)&amp;"————"&amp;CHAR(10),TRUE,_xlfn._xlws.FILTER(tblPostItTasks[PostItText],(tblPostItTasks[Lane]=$A36)*(tblPostItTasks[DependencyLevel]&gt;=5),""))</f>
        <v>6.1
Install Furniture
Dur: 1w
————
6.2
Set up computers
Dur: 1w
————
6.3
Set up music system
Dur: 1w</v>
      </c>
    </row>
    <row r="39" spans="1:13" ht="16" x14ac:dyDescent="0.4">
      <c r="A39" s="172" t="s">
        <v>270</v>
      </c>
      <c r="B39" s="172"/>
      <c r="C39" s="172"/>
      <c r="D39" s="172"/>
      <c r="E39" s="172"/>
      <c r="F39" s="172"/>
      <c r="G39" s="172"/>
      <c r="H39" s="172"/>
      <c r="I39" s="172"/>
      <c r="J39" s="172"/>
      <c r="K39" s="172"/>
    </row>
    <row r="41" spans="1:13" x14ac:dyDescent="0.35">
      <c r="A41" s="185" t="s">
        <v>27</v>
      </c>
      <c r="B41" s="186" t="s">
        <v>89</v>
      </c>
      <c r="C41" s="186" t="s">
        <v>76</v>
      </c>
      <c r="D41" s="186" t="s">
        <v>75</v>
      </c>
      <c r="E41" s="186" t="s">
        <v>271</v>
      </c>
      <c r="F41" s="186" t="s">
        <v>257</v>
      </c>
      <c r="G41" s="186" t="s">
        <v>272</v>
      </c>
      <c r="H41" s="186" t="s">
        <v>273</v>
      </c>
      <c r="I41" s="186" t="s">
        <v>274</v>
      </c>
      <c r="J41" s="186" t="s">
        <v>275</v>
      </c>
      <c r="K41" s="186" t="s">
        <v>276</v>
      </c>
      <c r="L41" s="186" t="s">
        <v>277</v>
      </c>
      <c r="M41" s="187" t="s">
        <v>278</v>
      </c>
    </row>
    <row r="42" spans="1:13" ht="34" customHeight="1" x14ac:dyDescent="0.35">
      <c r="A42" s="188" t="s">
        <v>33</v>
      </c>
      <c r="B42" s="189">
        <v>1.1000000000000001</v>
      </c>
      <c r="C42" s="196" t="s">
        <v>94</v>
      </c>
      <c r="D42" s="189" t="s">
        <v>78</v>
      </c>
      <c r="E42" s="190">
        <v>17</v>
      </c>
      <c r="F42" s="196" t="s">
        <v>264</v>
      </c>
      <c r="G42" s="190">
        <v>6</v>
      </c>
      <c r="H42" s="196"/>
      <c r="I42" s="190">
        <f>IF(tblPostItTasks[[#This Row],[SuggestedPredecessorWBS]]="",0,MIN(5,_xlfn.XLOOKUP(tblPostItTasks[[#This Row],[SuggestedPredecessorWBS]],tblPostItTasks[WBSCode],tblPostItTasks[DependencyLevel],0)+1))</f>
        <v>0</v>
      </c>
      <c r="J42" s="190">
        <f>IF(tblPostItTasks[[#This Row],[SuggestedPredecessorWBS]]="",0,_xlfn.XLOOKUP(tblPostItTasks[[#This Row],[SuggestedPredecessorWBS]],tblPostItTasks[WBSCode],tblPostItTasks[EarliestFinish],0))</f>
        <v>0</v>
      </c>
      <c r="K42" s="190">
        <f>tblPostItTasks[[#This Row],[EarliestStart]]+IF(tblPostItTasks[[#This Row],[DurationWeeks]]="",1,tblPostItTasks[[#This Row],[DurationWeeks]])</f>
        <v>6</v>
      </c>
      <c r="L42" s="196" t="str">
        <f>tblPostItTasks[[#This Row],[WBSCode]]&amp;CHAR(10)&amp;tblPostItTasks[[#This Row],[TaskName]]&amp;CHAR(10)&amp;"Dur: "&amp;IF(tblPostItTasks[[#This Row],[DurationWeeks]]="","?",tblPostItTasks[[#This Row],[DurationWeeks]])&amp;"w"</f>
        <v>1.1
Check can I get planning?
Dur: 6w</v>
      </c>
      <c r="M42" s="191" t="str">
        <f>IF(tblPostItTasks[[#This Row],[DurationWeeks]]="","Add duration",IF(tblPostItTasks[[#This Row],[SuggestedPredecessorWBS]]="","Start candidate","Ready"))</f>
        <v>Start candidate</v>
      </c>
    </row>
    <row r="43" spans="1:13" ht="34" customHeight="1" x14ac:dyDescent="0.35">
      <c r="A43" s="188" t="s">
        <v>33</v>
      </c>
      <c r="B43" s="189">
        <v>1.2</v>
      </c>
      <c r="C43" s="196" t="s">
        <v>95</v>
      </c>
      <c r="D43" s="189" t="s">
        <v>78</v>
      </c>
      <c r="E43" s="190">
        <v>4</v>
      </c>
      <c r="F43" s="196" t="s">
        <v>264</v>
      </c>
      <c r="G43" s="190">
        <v>10</v>
      </c>
      <c r="H43" s="196">
        <v>1.1000000000000001</v>
      </c>
      <c r="I43" s="190">
        <f>IF(tblPostItTasks[[#This Row],[SuggestedPredecessorWBS]]="",0,MIN(5,_xlfn.XLOOKUP(tblPostItTasks[[#This Row],[SuggestedPredecessorWBS]],tblPostItTasks[WBSCode],tblPostItTasks[DependencyLevel],0)+1))</f>
        <v>1</v>
      </c>
      <c r="J43" s="190">
        <f>IF(tblPostItTasks[[#This Row],[SuggestedPredecessorWBS]]="",0,_xlfn.XLOOKUP(tblPostItTasks[[#This Row],[SuggestedPredecessorWBS]],tblPostItTasks[WBSCode],tblPostItTasks[EarliestFinish],0))</f>
        <v>6</v>
      </c>
      <c r="K43" s="190">
        <f>tblPostItTasks[[#This Row],[EarliestStart]]+IF(tblPostItTasks[[#This Row],[DurationWeeks]]="",1,tblPostItTasks[[#This Row],[DurationWeeks]])</f>
        <v>16</v>
      </c>
      <c r="L43" s="196" t="str">
        <f>tblPostItTasks[[#This Row],[WBSCode]]&amp;CHAR(10)&amp;tblPostItTasks[[#This Row],[TaskName]]&amp;CHAR(10)&amp;"Dur: "&amp;IF(tblPostItTasks[[#This Row],[DurationWeeks]]="","?",tblPostItTasks[[#This Row],[DurationWeeks]])&amp;"w"</f>
        <v>1.2
Apply for and get planning permission
Dur: 10w</v>
      </c>
      <c r="M43" s="191" t="str">
        <f>IF(tblPostItTasks[[#This Row],[DurationWeeks]]="","Add duration",IF(tblPostItTasks[[#This Row],[SuggestedPredecessorWBS]]="","Start candidate","Ready"))</f>
        <v>Ready</v>
      </c>
    </row>
    <row r="44" spans="1:13" ht="34" customHeight="1" x14ac:dyDescent="0.35">
      <c r="A44" s="188" t="s">
        <v>33</v>
      </c>
      <c r="B44" s="189">
        <v>2.1</v>
      </c>
      <c r="C44" s="196" t="s">
        <v>97</v>
      </c>
      <c r="D44" s="189" t="s">
        <v>96</v>
      </c>
      <c r="E44" s="190">
        <v>23</v>
      </c>
      <c r="F44" s="196" t="s">
        <v>265</v>
      </c>
      <c r="G44" s="190">
        <v>1</v>
      </c>
      <c r="H44" s="196"/>
      <c r="I44" s="190">
        <f>IF(tblPostItTasks[[#This Row],[SuggestedPredecessorWBS]]="",0,MIN(5,_xlfn.XLOOKUP(tblPostItTasks[[#This Row],[SuggestedPredecessorWBS]],tblPostItTasks[WBSCode],tblPostItTasks[DependencyLevel],0)+1))</f>
        <v>0</v>
      </c>
      <c r="J44" s="190">
        <f>IF(tblPostItTasks[[#This Row],[SuggestedPredecessorWBS]]="",0,_xlfn.XLOOKUP(tblPostItTasks[[#This Row],[SuggestedPredecessorWBS]],tblPostItTasks[WBSCode],tblPostItTasks[EarliestFinish],0))</f>
        <v>0</v>
      </c>
      <c r="K44" s="190">
        <f>tblPostItTasks[[#This Row],[EarliestStart]]+IF(tblPostItTasks[[#This Row],[DurationWeeks]]="",1,tblPostItTasks[[#This Row],[DurationWeeks]])</f>
        <v>1</v>
      </c>
      <c r="L44" s="196" t="str">
        <f>tblPostItTasks[[#This Row],[WBSCode]]&amp;CHAR(10)&amp;tblPostItTasks[[#This Row],[TaskName]]&amp;CHAR(10)&amp;"Dur: "&amp;IF(tblPostItTasks[[#This Row],[DurationWeeks]]="","?",tblPostItTasks[[#This Row],[DurationWeeks]])&amp;"w"</f>
        <v>2.1
Demolish old shed
Dur: 1w</v>
      </c>
      <c r="M44" s="191" t="str">
        <f>IF(tblPostItTasks[[#This Row],[DurationWeeks]]="","Add duration",IF(tblPostItTasks[[#This Row],[SuggestedPredecessorWBS]]="","Start candidate","Ready"))</f>
        <v>Start candidate</v>
      </c>
    </row>
    <row r="45" spans="1:13" ht="34" customHeight="1" x14ac:dyDescent="0.35">
      <c r="A45" s="188" t="s">
        <v>33</v>
      </c>
      <c r="B45" s="189">
        <v>2.2000000000000002</v>
      </c>
      <c r="C45" s="196" t="s">
        <v>98</v>
      </c>
      <c r="D45" s="189" t="s">
        <v>96</v>
      </c>
      <c r="E45" s="190">
        <v>1</v>
      </c>
      <c r="F45" s="196" t="s">
        <v>265</v>
      </c>
      <c r="G45" s="190">
        <v>2</v>
      </c>
      <c r="H45" s="196"/>
      <c r="I45" s="190">
        <f>IF(tblPostItTasks[[#This Row],[SuggestedPredecessorWBS]]="",0,MIN(5,_xlfn.XLOOKUP(tblPostItTasks[[#This Row],[SuggestedPredecessorWBS]],tblPostItTasks[WBSCode],tblPostItTasks[DependencyLevel],0)+1))</f>
        <v>0</v>
      </c>
      <c r="J45" s="190">
        <f>IF(tblPostItTasks[[#This Row],[SuggestedPredecessorWBS]]="",0,_xlfn.XLOOKUP(tblPostItTasks[[#This Row],[SuggestedPredecessorWBS]],tblPostItTasks[WBSCode],tblPostItTasks[EarliestFinish],0))</f>
        <v>0</v>
      </c>
      <c r="K45" s="190">
        <f>tblPostItTasks[[#This Row],[EarliestStart]]+IF(tblPostItTasks[[#This Row],[DurationWeeks]]="",1,tblPostItTasks[[#This Row],[DurationWeeks]])</f>
        <v>2</v>
      </c>
      <c r="L45" s="196" t="str">
        <f>tblPostItTasks[[#This Row],[WBSCode]]&amp;CHAR(10)&amp;tblPostItTasks[[#This Row],[TaskName]]&amp;CHAR(10)&amp;"Dur: "&amp;IF(tblPostItTasks[[#This Row],[DurationWeeks]]="","?",tblPostItTasks[[#This Row],[DurationWeeks]])&amp;"w"</f>
        <v>2.2
Cut back all the foliage
Dur: 2w</v>
      </c>
      <c r="M45" s="191" t="str">
        <f>IF(tblPostItTasks[[#This Row],[DurationWeeks]]="","Add duration",IF(tblPostItTasks[[#This Row],[SuggestedPredecessorWBS]]="","Start candidate","Ready"))</f>
        <v>Start candidate</v>
      </c>
    </row>
    <row r="46" spans="1:13" ht="34" customHeight="1" x14ac:dyDescent="0.35">
      <c r="A46" s="188" t="s">
        <v>33</v>
      </c>
      <c r="B46" s="189">
        <v>2.2999999999999998</v>
      </c>
      <c r="C46" s="196" t="s">
        <v>99</v>
      </c>
      <c r="D46" s="189" t="s">
        <v>96</v>
      </c>
      <c r="E46" s="190">
        <v>12</v>
      </c>
      <c r="F46" s="196" t="s">
        <v>265</v>
      </c>
      <c r="G46" s="190"/>
      <c r="H46" s="196"/>
      <c r="I46" s="190">
        <f>IF(tblPostItTasks[[#This Row],[SuggestedPredecessorWBS]]="",0,MIN(5,_xlfn.XLOOKUP(tblPostItTasks[[#This Row],[SuggestedPredecessorWBS]],tblPostItTasks[WBSCode],tblPostItTasks[DependencyLevel],0)+1))</f>
        <v>0</v>
      </c>
      <c r="J46" s="190">
        <f>IF(tblPostItTasks[[#This Row],[SuggestedPredecessorWBS]]="",0,_xlfn.XLOOKUP(tblPostItTasks[[#This Row],[SuggestedPredecessorWBS]],tblPostItTasks[WBSCode],tblPostItTasks[EarliestFinish],0))</f>
        <v>0</v>
      </c>
      <c r="K46" s="190">
        <f>tblPostItTasks[[#This Row],[EarliestStart]]+IF(tblPostItTasks[[#This Row],[DurationWeeks]]="",1,tblPostItTasks[[#This Row],[DurationWeeks]])</f>
        <v>1</v>
      </c>
      <c r="L46" s="196" t="str">
        <f>tblPostItTasks[[#This Row],[WBSCode]]&amp;CHAR(10)&amp;tblPostItTasks[[#This Row],[TaskName]]&amp;CHAR(10)&amp;"Dur: "&amp;IF(tblPostItTasks[[#This Row],[DurationWeeks]]="","?",tblPostItTasks[[#This Row],[DurationWeeks]])&amp;"w"</f>
        <v>2.3
Tree surgeon to trim branches above area
Dur: ?w</v>
      </c>
      <c r="M46" s="191" t="str">
        <f>IF(tblPostItTasks[[#This Row],[DurationWeeks]]="","Add duration",IF(tblPostItTasks[[#This Row],[SuggestedPredecessorWBS]]="","Start candidate","Ready"))</f>
        <v>Add duration</v>
      </c>
    </row>
    <row r="47" spans="1:13" ht="34" customHeight="1" x14ac:dyDescent="0.35">
      <c r="A47" s="188" t="s">
        <v>33</v>
      </c>
      <c r="B47" s="189">
        <v>2.4</v>
      </c>
      <c r="C47" s="196" t="s">
        <v>100</v>
      </c>
      <c r="D47" s="189" t="s">
        <v>96</v>
      </c>
      <c r="E47" s="190">
        <v>8</v>
      </c>
      <c r="F47" s="196" t="s">
        <v>265</v>
      </c>
      <c r="G47" s="190"/>
      <c r="H47" s="196"/>
      <c r="I47" s="190">
        <f>IF(tblPostItTasks[[#This Row],[SuggestedPredecessorWBS]]="",0,MIN(5,_xlfn.XLOOKUP(tblPostItTasks[[#This Row],[SuggestedPredecessorWBS]],tblPostItTasks[WBSCode],tblPostItTasks[DependencyLevel],0)+1))</f>
        <v>0</v>
      </c>
      <c r="J47" s="190">
        <f>IF(tblPostItTasks[[#This Row],[SuggestedPredecessorWBS]]="",0,_xlfn.XLOOKUP(tblPostItTasks[[#This Row],[SuggestedPredecessorWBS]],tblPostItTasks[WBSCode],tblPostItTasks[EarliestFinish],0))</f>
        <v>0</v>
      </c>
      <c r="K47" s="190">
        <f>tblPostItTasks[[#This Row],[EarliestStart]]+IF(tblPostItTasks[[#This Row],[DurationWeeks]]="",1,tblPostItTasks[[#This Row],[DurationWeeks]])</f>
        <v>1</v>
      </c>
      <c r="L47" s="196" t="str">
        <f>tblPostItTasks[[#This Row],[WBSCode]]&amp;CHAR(10)&amp;tblPostItTasks[[#This Row],[TaskName]]&amp;CHAR(10)&amp;"Dur: "&amp;IF(tblPostItTasks[[#This Row],[DurationWeeks]]="","?",tblPostItTasks[[#This Row],[DurationWeeks]])&amp;"w"</f>
        <v>2.4
Put a power wire down the garden
Dur: ?w</v>
      </c>
      <c r="M47" s="191" t="str">
        <f>IF(tblPostItTasks[[#This Row],[DurationWeeks]]="","Add duration",IF(tblPostItTasks[[#This Row],[SuggestedPredecessorWBS]]="","Start candidate","Ready"))</f>
        <v>Add duration</v>
      </c>
    </row>
    <row r="48" spans="1:13" ht="34" customHeight="1" x14ac:dyDescent="0.35">
      <c r="A48" s="188" t="s">
        <v>33</v>
      </c>
      <c r="B48" s="189">
        <v>2.5</v>
      </c>
      <c r="C48" s="196" t="s">
        <v>101</v>
      </c>
      <c r="D48" s="189" t="s">
        <v>96</v>
      </c>
      <c r="E48" s="190">
        <v>25</v>
      </c>
      <c r="F48" s="196" t="s">
        <v>265</v>
      </c>
      <c r="G48" s="190"/>
      <c r="H48" s="196">
        <v>2.4</v>
      </c>
      <c r="I48" s="190">
        <f>IF(tblPostItTasks[[#This Row],[SuggestedPredecessorWBS]]="",0,MIN(5,_xlfn.XLOOKUP(tblPostItTasks[[#This Row],[SuggestedPredecessorWBS]],tblPostItTasks[WBSCode],tblPostItTasks[DependencyLevel],0)+1))</f>
        <v>1</v>
      </c>
      <c r="J48" s="190">
        <f>IF(tblPostItTasks[[#This Row],[SuggestedPredecessorWBS]]="",0,_xlfn.XLOOKUP(tblPostItTasks[[#This Row],[SuggestedPredecessorWBS]],tblPostItTasks[WBSCode],tblPostItTasks[EarliestFinish],0))</f>
        <v>1</v>
      </c>
      <c r="K48" s="190">
        <f>tblPostItTasks[[#This Row],[EarliestStart]]+IF(tblPostItTasks[[#This Row],[DurationWeeks]]="",1,tblPostItTasks[[#This Row],[DurationWeeks]])</f>
        <v>2</v>
      </c>
      <c r="L48" s="196" t="str">
        <f>tblPostItTasks[[#This Row],[WBSCode]]&amp;CHAR(10)&amp;tblPostItTasks[[#This Row],[TaskName]]&amp;CHAR(10)&amp;"Dur: "&amp;IF(tblPostItTasks[[#This Row],[DurationWeeks]]="","?",tblPostItTasks[[#This Row],[DurationWeeks]])&amp;"w"</f>
        <v>2.5
Connect power
Dur: ?w</v>
      </c>
      <c r="M48" s="191" t="str">
        <f>IF(tblPostItTasks[[#This Row],[DurationWeeks]]="","Add duration",IF(tblPostItTasks[[#This Row],[SuggestedPredecessorWBS]]="","Start candidate","Ready"))</f>
        <v>Add duration</v>
      </c>
    </row>
    <row r="49" spans="1:13" ht="34" customHeight="1" x14ac:dyDescent="0.35">
      <c r="A49" s="188" t="s">
        <v>33</v>
      </c>
      <c r="B49" s="189">
        <v>3.1</v>
      </c>
      <c r="C49" s="196" t="s">
        <v>103</v>
      </c>
      <c r="D49" s="189" t="s">
        <v>102</v>
      </c>
      <c r="E49" s="190">
        <v>2</v>
      </c>
      <c r="F49" s="196" t="s">
        <v>266</v>
      </c>
      <c r="G49" s="190">
        <v>1</v>
      </c>
      <c r="H49" s="196"/>
      <c r="I49" s="190">
        <f>IF(tblPostItTasks[[#This Row],[SuggestedPredecessorWBS]]="",0,MIN(5,_xlfn.XLOOKUP(tblPostItTasks[[#This Row],[SuggestedPredecessorWBS]],tblPostItTasks[WBSCode],tblPostItTasks[DependencyLevel],0)+1))</f>
        <v>0</v>
      </c>
      <c r="J49" s="190">
        <f>IF(tblPostItTasks[[#This Row],[SuggestedPredecessorWBS]]="",0,_xlfn.XLOOKUP(tblPostItTasks[[#This Row],[SuggestedPredecessorWBS]],tblPostItTasks[WBSCode],tblPostItTasks[EarliestFinish],0))</f>
        <v>0</v>
      </c>
      <c r="K49" s="190">
        <f>tblPostItTasks[[#This Row],[EarliestStart]]+IF(tblPostItTasks[[#This Row],[DurationWeeks]]="",1,tblPostItTasks[[#This Row],[DurationWeeks]])</f>
        <v>1</v>
      </c>
      <c r="L49" s="196" t="str">
        <f>tblPostItTasks[[#This Row],[WBSCode]]&amp;CHAR(10)&amp;tblPostItTasks[[#This Row],[TaskName]]&amp;CHAR(10)&amp;"Dur: "&amp;IF(tblPostItTasks[[#This Row],[DurationWeeks]]="","?",tblPostItTasks[[#This Row],[DurationWeeks]])&amp;"w"</f>
        <v>3.1
Check funds
Dur: 1w</v>
      </c>
      <c r="M49" s="191" t="str">
        <f>IF(tblPostItTasks[[#This Row],[DurationWeeks]]="","Add duration",IF(tblPostItTasks[[#This Row],[SuggestedPredecessorWBS]]="","Start candidate","Ready"))</f>
        <v>Start candidate</v>
      </c>
    </row>
    <row r="50" spans="1:13" ht="34" customHeight="1" x14ac:dyDescent="0.35">
      <c r="A50" s="188" t="s">
        <v>33</v>
      </c>
      <c r="B50" s="189" t="s">
        <v>105</v>
      </c>
      <c r="C50" s="196" t="s">
        <v>106</v>
      </c>
      <c r="D50" s="189" t="s">
        <v>104</v>
      </c>
      <c r="E50" s="190">
        <v>14</v>
      </c>
      <c r="F50" s="196" t="s">
        <v>266</v>
      </c>
      <c r="G50" s="190">
        <v>3</v>
      </c>
      <c r="H50" s="196"/>
      <c r="I50" s="190">
        <f>IF(tblPostItTasks[[#This Row],[SuggestedPredecessorWBS]]="",0,MIN(5,_xlfn.XLOOKUP(tblPostItTasks[[#This Row],[SuggestedPredecessorWBS]],tblPostItTasks[WBSCode],tblPostItTasks[DependencyLevel],0)+1))</f>
        <v>0</v>
      </c>
      <c r="J50" s="190">
        <f>IF(tblPostItTasks[[#This Row],[SuggestedPredecessorWBS]]="",0,_xlfn.XLOOKUP(tblPostItTasks[[#This Row],[SuggestedPredecessorWBS]],tblPostItTasks[WBSCode],tblPostItTasks[EarliestFinish],0))</f>
        <v>0</v>
      </c>
      <c r="K50" s="190">
        <f>tblPostItTasks[[#This Row],[EarliestStart]]+IF(tblPostItTasks[[#This Row],[DurationWeeks]]="",1,tblPostItTasks[[#This Row],[DurationWeeks]])</f>
        <v>3</v>
      </c>
      <c r="L50" s="196" t="str">
        <f>tblPostItTasks[[#This Row],[WBSCode]]&amp;CHAR(10)&amp;tblPostItTasks[[#This Row],[TaskName]]&amp;CHAR(10)&amp;"Dur: "&amp;IF(tblPostItTasks[[#This Row],[DurationWeeks]]="","?",tblPostItTasks[[#This Row],[DurationWeeks]])&amp;"w"</f>
        <v>3.2.1
Research - talk to friends
Dur: 3w</v>
      </c>
      <c r="M50" s="191" t="str">
        <f>IF(tblPostItTasks[[#This Row],[DurationWeeks]]="","Add duration",IF(tblPostItTasks[[#This Row],[SuggestedPredecessorWBS]]="","Start candidate","Ready"))</f>
        <v>Start candidate</v>
      </c>
    </row>
    <row r="51" spans="1:13" ht="34" customHeight="1" x14ac:dyDescent="0.35">
      <c r="A51" s="188" t="s">
        <v>33</v>
      </c>
      <c r="B51" s="189" t="s">
        <v>107</v>
      </c>
      <c r="C51" s="196" t="s">
        <v>108</v>
      </c>
      <c r="D51" s="189" t="s">
        <v>104</v>
      </c>
      <c r="E51" s="190">
        <v>21</v>
      </c>
      <c r="F51" s="196" t="s">
        <v>266</v>
      </c>
      <c r="G51" s="190">
        <v>1</v>
      </c>
      <c r="H51" s="196"/>
      <c r="I51" s="190">
        <f>IF(tblPostItTasks[[#This Row],[SuggestedPredecessorWBS]]="",0,MIN(5,_xlfn.XLOOKUP(tblPostItTasks[[#This Row],[SuggestedPredecessorWBS]],tblPostItTasks[WBSCode],tblPostItTasks[DependencyLevel],0)+1))</f>
        <v>0</v>
      </c>
      <c r="J51" s="190">
        <f>IF(tblPostItTasks[[#This Row],[SuggestedPredecessorWBS]]="",0,_xlfn.XLOOKUP(tblPostItTasks[[#This Row],[SuggestedPredecessorWBS]],tblPostItTasks[WBSCode],tblPostItTasks[EarliestFinish],0))</f>
        <v>0</v>
      </c>
      <c r="K51" s="190">
        <f>tblPostItTasks[[#This Row],[EarliestStart]]+IF(tblPostItTasks[[#This Row],[DurationWeeks]]="",1,tblPostItTasks[[#This Row],[DurationWeeks]])</f>
        <v>1</v>
      </c>
      <c r="L51" s="196" t="str">
        <f>tblPostItTasks[[#This Row],[WBSCode]]&amp;CHAR(10)&amp;tblPostItTasks[[#This Row],[TaskName]]&amp;CHAR(10)&amp;"Dur: "&amp;IF(tblPostItTasks[[#This Row],[DurationWeeks]]="","?",tblPostItTasks[[#This Row],[DurationWeeks]])&amp;"w"</f>
        <v>3.2.2
Find shed suppliers
Dur: 1w</v>
      </c>
      <c r="M51" s="191" t="str">
        <f>IF(tblPostItTasks[[#This Row],[DurationWeeks]]="","Add duration",IF(tblPostItTasks[[#This Row],[SuggestedPredecessorWBS]]="","Start candidate","Ready"))</f>
        <v>Start candidate</v>
      </c>
    </row>
    <row r="52" spans="1:13" ht="34" customHeight="1" x14ac:dyDescent="0.35">
      <c r="A52" s="188" t="s">
        <v>33</v>
      </c>
      <c r="B52" s="189" t="s">
        <v>109</v>
      </c>
      <c r="C52" s="196" t="s">
        <v>110</v>
      </c>
      <c r="D52" s="189" t="s">
        <v>104</v>
      </c>
      <c r="E52" s="190">
        <v>6</v>
      </c>
      <c r="F52" s="196" t="s">
        <v>266</v>
      </c>
      <c r="G52" s="190">
        <v>3</v>
      </c>
      <c r="H52" s="196"/>
      <c r="I52" s="190">
        <f>IF(tblPostItTasks[[#This Row],[SuggestedPredecessorWBS]]="",0,MIN(5,_xlfn.XLOOKUP(tblPostItTasks[[#This Row],[SuggestedPredecessorWBS]],tblPostItTasks[WBSCode],tblPostItTasks[DependencyLevel],0)+1))</f>
        <v>0</v>
      </c>
      <c r="J52" s="190">
        <f>IF(tblPostItTasks[[#This Row],[SuggestedPredecessorWBS]]="",0,_xlfn.XLOOKUP(tblPostItTasks[[#This Row],[SuggestedPredecessorWBS]],tblPostItTasks[WBSCode],tblPostItTasks[EarliestFinish],0))</f>
        <v>0</v>
      </c>
      <c r="K52" s="190">
        <f>tblPostItTasks[[#This Row],[EarliestStart]]+IF(tblPostItTasks[[#This Row],[DurationWeeks]]="",1,tblPostItTasks[[#This Row],[DurationWeeks]])</f>
        <v>3</v>
      </c>
      <c r="L52" s="196" t="str">
        <f>tblPostItTasks[[#This Row],[WBSCode]]&amp;CHAR(10)&amp;tblPostItTasks[[#This Row],[TaskName]]&amp;CHAR(10)&amp;"Dur: "&amp;IF(tblPostItTasks[[#This Row],[DurationWeeks]]="","?",tblPostItTasks[[#This Row],[DurationWeeks]])&amp;"w"</f>
        <v>3.2.3
Get quotes
Dur: 3w</v>
      </c>
      <c r="M52" s="191" t="str">
        <f>IF(tblPostItTasks[[#This Row],[DurationWeeks]]="","Add duration",IF(tblPostItTasks[[#This Row],[SuggestedPredecessorWBS]]="","Start candidate","Ready"))</f>
        <v>Start candidate</v>
      </c>
    </row>
    <row r="53" spans="1:13" ht="34" customHeight="1" x14ac:dyDescent="0.35">
      <c r="A53" s="188" t="s">
        <v>33</v>
      </c>
      <c r="B53" s="189" t="s">
        <v>111</v>
      </c>
      <c r="C53" s="196" t="s">
        <v>112</v>
      </c>
      <c r="D53" s="189" t="s">
        <v>104</v>
      </c>
      <c r="E53" s="190">
        <v>19</v>
      </c>
      <c r="F53" s="196" t="s">
        <v>266</v>
      </c>
      <c r="G53" s="190">
        <v>1</v>
      </c>
      <c r="H53" s="196"/>
      <c r="I53" s="190">
        <f>IF(tblPostItTasks[[#This Row],[SuggestedPredecessorWBS]]="",0,MIN(5,_xlfn.XLOOKUP(tblPostItTasks[[#This Row],[SuggestedPredecessorWBS]],tblPostItTasks[WBSCode],tblPostItTasks[DependencyLevel],0)+1))</f>
        <v>0</v>
      </c>
      <c r="J53" s="190">
        <f>IF(tblPostItTasks[[#This Row],[SuggestedPredecessorWBS]]="",0,_xlfn.XLOOKUP(tblPostItTasks[[#This Row],[SuggestedPredecessorWBS]],tblPostItTasks[WBSCode],tblPostItTasks[EarliestFinish],0))</f>
        <v>0</v>
      </c>
      <c r="K53" s="190">
        <f>tblPostItTasks[[#This Row],[EarliestStart]]+IF(tblPostItTasks[[#This Row],[DurationWeeks]]="",1,tblPostItTasks[[#This Row],[DurationWeeks]])</f>
        <v>1</v>
      </c>
      <c r="L53" s="196" t="str">
        <f>tblPostItTasks[[#This Row],[WBSCode]]&amp;CHAR(10)&amp;tblPostItTasks[[#This Row],[TaskName]]&amp;CHAR(10)&amp;"Dur: "&amp;IF(tblPostItTasks[[#This Row],[DurationWeeks]]="","?",tblPostItTasks[[#This Row],[DurationWeeks]])&amp;"w"</f>
        <v>3.2.4
See a finished one
Dur: 1w</v>
      </c>
      <c r="M53" s="191" t="str">
        <f>IF(tblPostItTasks[[#This Row],[DurationWeeks]]="","Add duration",IF(tblPostItTasks[[#This Row],[SuggestedPredecessorWBS]]="","Start candidate","Ready"))</f>
        <v>Start candidate</v>
      </c>
    </row>
    <row r="54" spans="1:13" ht="34" customHeight="1" x14ac:dyDescent="0.35">
      <c r="A54" s="188" t="s">
        <v>33</v>
      </c>
      <c r="B54" s="189" t="s">
        <v>113</v>
      </c>
      <c r="C54" s="196" t="s">
        <v>114</v>
      </c>
      <c r="D54" s="189" t="s">
        <v>104</v>
      </c>
      <c r="E54" s="190">
        <v>10</v>
      </c>
      <c r="F54" s="196" t="s">
        <v>266</v>
      </c>
      <c r="G54" s="190"/>
      <c r="H54" s="196" t="s">
        <v>107</v>
      </c>
      <c r="I54" s="190">
        <f>IF(tblPostItTasks[[#This Row],[SuggestedPredecessorWBS]]="",0,MIN(5,_xlfn.XLOOKUP(tblPostItTasks[[#This Row],[SuggestedPredecessorWBS]],tblPostItTasks[WBSCode],tblPostItTasks[DependencyLevel],0)+1))</f>
        <v>1</v>
      </c>
      <c r="J54" s="190">
        <f>IF(tblPostItTasks[[#This Row],[SuggestedPredecessorWBS]]="",0,_xlfn.XLOOKUP(tblPostItTasks[[#This Row],[SuggestedPredecessorWBS]],tblPostItTasks[WBSCode],tblPostItTasks[EarliestFinish],0))</f>
        <v>1</v>
      </c>
      <c r="K54" s="190">
        <f>tblPostItTasks[[#This Row],[EarliestStart]]+IF(tblPostItTasks[[#This Row],[DurationWeeks]]="",1,tblPostItTasks[[#This Row],[DurationWeeks]])</f>
        <v>2</v>
      </c>
      <c r="L54" s="196" t="str">
        <f>tblPostItTasks[[#This Row],[WBSCode]]&amp;CHAR(10)&amp;tblPostItTasks[[#This Row],[TaskName]]&amp;CHAR(10)&amp;"Dur: "&amp;IF(tblPostItTasks[[#This Row],[DurationWeeks]]="","?",tblPostItTasks[[#This Row],[DurationWeeks]])&amp;"w"</f>
        <v>3.2.5
Choose - place the order
Dur: ?w</v>
      </c>
      <c r="M54" s="191" t="str">
        <f>IF(tblPostItTasks[[#This Row],[DurationWeeks]]="","Add duration",IF(tblPostItTasks[[#This Row],[SuggestedPredecessorWBS]]="","Start candidate","Ready"))</f>
        <v>Add duration</v>
      </c>
    </row>
    <row r="55" spans="1:13" ht="34" customHeight="1" x14ac:dyDescent="0.35">
      <c r="A55" s="188" t="s">
        <v>33</v>
      </c>
      <c r="B55" s="189" t="s">
        <v>115</v>
      </c>
      <c r="C55" s="196" t="s">
        <v>116</v>
      </c>
      <c r="D55" s="189" t="s">
        <v>104</v>
      </c>
      <c r="E55" s="190">
        <v>26</v>
      </c>
      <c r="F55" s="196" t="s">
        <v>266</v>
      </c>
      <c r="G55" s="190">
        <v>6</v>
      </c>
      <c r="H55" s="196" t="s">
        <v>113</v>
      </c>
      <c r="I55" s="190">
        <f>IF(tblPostItTasks[[#This Row],[SuggestedPredecessorWBS]]="",0,MIN(5,_xlfn.XLOOKUP(tblPostItTasks[[#This Row],[SuggestedPredecessorWBS]],tblPostItTasks[WBSCode],tblPostItTasks[DependencyLevel],0)+1))</f>
        <v>2</v>
      </c>
      <c r="J55" s="190">
        <f>IF(tblPostItTasks[[#This Row],[SuggestedPredecessorWBS]]="",0,_xlfn.XLOOKUP(tblPostItTasks[[#This Row],[SuggestedPredecessorWBS]],tblPostItTasks[WBSCode],tblPostItTasks[EarliestFinish],0))</f>
        <v>2</v>
      </c>
      <c r="K55" s="190">
        <f>tblPostItTasks[[#This Row],[EarliestStart]]+IF(tblPostItTasks[[#This Row],[DurationWeeks]]="",1,tblPostItTasks[[#This Row],[DurationWeeks]])</f>
        <v>8</v>
      </c>
      <c r="L55" s="196" t="str">
        <f>tblPostItTasks[[#This Row],[WBSCode]]&amp;CHAR(10)&amp;tblPostItTasks[[#This Row],[TaskName]]&amp;CHAR(10)&amp;"Dur: "&amp;IF(tblPostItTasks[[#This Row],[DurationWeeks]]="","?",tblPostItTasks[[#This Row],[DurationWeeks]])&amp;"w"</f>
        <v>3.2.6
Wait for delivery
Dur: 6w</v>
      </c>
      <c r="M55" s="191" t="str">
        <f>IF(tblPostItTasks[[#This Row],[DurationWeeks]]="","Add duration",IF(tblPostItTasks[[#This Row],[SuggestedPredecessorWBS]]="","Start candidate","Ready"))</f>
        <v>Ready</v>
      </c>
    </row>
    <row r="56" spans="1:13" ht="34" customHeight="1" x14ac:dyDescent="0.35">
      <c r="A56" s="188" t="s">
        <v>33</v>
      </c>
      <c r="B56" s="189" t="s">
        <v>118</v>
      </c>
      <c r="C56" s="196" t="s">
        <v>119</v>
      </c>
      <c r="D56" s="189" t="s">
        <v>117</v>
      </c>
      <c r="E56" s="190">
        <v>3</v>
      </c>
      <c r="F56" s="196" t="s">
        <v>279</v>
      </c>
      <c r="G56" s="190">
        <v>2</v>
      </c>
      <c r="H56" s="196"/>
      <c r="I56" s="190">
        <f>IF(tblPostItTasks[[#This Row],[SuggestedPredecessorWBS]]="",0,MIN(5,_xlfn.XLOOKUP(tblPostItTasks[[#This Row],[SuggestedPredecessorWBS]],tblPostItTasks[WBSCode],tblPostItTasks[DependencyLevel],0)+1))</f>
        <v>0</v>
      </c>
      <c r="J56" s="190">
        <f>IF(tblPostItTasks[[#This Row],[SuggestedPredecessorWBS]]="",0,_xlfn.XLOOKUP(tblPostItTasks[[#This Row],[SuggestedPredecessorWBS]],tblPostItTasks[WBSCode],tblPostItTasks[EarliestFinish],0))</f>
        <v>0</v>
      </c>
      <c r="K56" s="190">
        <f>tblPostItTasks[[#This Row],[EarliestStart]]+IF(tblPostItTasks[[#This Row],[DurationWeeks]]="",1,tblPostItTasks[[#This Row],[DurationWeeks]])</f>
        <v>2</v>
      </c>
      <c r="L56" s="196" t="str">
        <f>tblPostItTasks[[#This Row],[WBSCode]]&amp;CHAR(10)&amp;tblPostItTasks[[#This Row],[TaskName]]&amp;CHAR(10)&amp;"Dur: "&amp;IF(tblPostItTasks[[#This Row],[DurationWeeks]]="","?",tblPostItTasks[[#This Row],[DurationWeeks]])&amp;"w"</f>
        <v>3.3.1
Buy furniture
Dur: 2w</v>
      </c>
      <c r="M56" s="191" t="str">
        <f>IF(tblPostItTasks[[#This Row],[DurationWeeks]]="","Add duration",IF(tblPostItTasks[[#This Row],[SuggestedPredecessorWBS]]="","Start candidate","Ready"))</f>
        <v>Start candidate</v>
      </c>
    </row>
    <row r="57" spans="1:13" ht="34" customHeight="1" x14ac:dyDescent="0.35">
      <c r="A57" s="188" t="s">
        <v>33</v>
      </c>
      <c r="B57" s="189">
        <v>4.0999999999999996</v>
      </c>
      <c r="C57" s="196" t="s">
        <v>121</v>
      </c>
      <c r="D57" s="189" t="s">
        <v>120</v>
      </c>
      <c r="E57" s="190">
        <v>16</v>
      </c>
      <c r="F57" s="196" t="s">
        <v>267</v>
      </c>
      <c r="G57" s="190">
        <v>2</v>
      </c>
      <c r="H57" s="196"/>
      <c r="I57" s="190">
        <f>IF(tblPostItTasks[[#This Row],[SuggestedPredecessorWBS]]="",0,MIN(5,_xlfn.XLOOKUP(tblPostItTasks[[#This Row],[SuggestedPredecessorWBS]],tblPostItTasks[WBSCode],tblPostItTasks[DependencyLevel],0)+1))</f>
        <v>0</v>
      </c>
      <c r="J57" s="190">
        <f>IF(tblPostItTasks[[#This Row],[SuggestedPredecessorWBS]]="",0,_xlfn.XLOOKUP(tblPostItTasks[[#This Row],[SuggestedPredecessorWBS]],tblPostItTasks[WBSCode],tblPostItTasks[EarliestFinish],0))</f>
        <v>0</v>
      </c>
      <c r="K57" s="190">
        <f>tblPostItTasks[[#This Row],[EarliestStart]]+IF(tblPostItTasks[[#This Row],[DurationWeeks]]="",1,tblPostItTasks[[#This Row],[DurationWeeks]])</f>
        <v>2</v>
      </c>
      <c r="L57" s="196" t="str">
        <f>tblPostItTasks[[#This Row],[WBSCode]]&amp;CHAR(10)&amp;tblPostItTasks[[#This Row],[TaskName]]&amp;CHAR(10)&amp;"Dur: "&amp;IF(tblPostItTasks[[#This Row],[DurationWeeks]]="","?",tblPostItTasks[[#This Row],[DurationWeeks]])&amp;"w"</f>
        <v>4.1
Hire Digger
Dur: 2w</v>
      </c>
      <c r="M57" s="191" t="str">
        <f>IF(tblPostItTasks[[#This Row],[DurationWeeks]]="","Add duration",IF(tblPostItTasks[[#This Row],[SuggestedPredecessorWBS]]="","Start candidate","Ready"))</f>
        <v>Start candidate</v>
      </c>
    </row>
    <row r="58" spans="1:13" ht="34" customHeight="1" x14ac:dyDescent="0.35">
      <c r="A58" s="188" t="s">
        <v>33</v>
      </c>
      <c r="B58" s="189">
        <v>4.2</v>
      </c>
      <c r="C58" s="196" t="s">
        <v>122</v>
      </c>
      <c r="D58" s="189" t="s">
        <v>120</v>
      </c>
      <c r="E58" s="190">
        <v>7</v>
      </c>
      <c r="F58" s="196" t="s">
        <v>267</v>
      </c>
      <c r="G58" s="190">
        <v>1</v>
      </c>
      <c r="H58" s="196">
        <v>4.0999999999999996</v>
      </c>
      <c r="I58" s="190">
        <f>IF(tblPostItTasks[[#This Row],[SuggestedPredecessorWBS]]="",0,MIN(5,_xlfn.XLOOKUP(tblPostItTasks[[#This Row],[SuggestedPredecessorWBS]],tblPostItTasks[WBSCode],tblPostItTasks[DependencyLevel],0)+1))</f>
        <v>1</v>
      </c>
      <c r="J58" s="190">
        <f>IF(tblPostItTasks[[#This Row],[SuggestedPredecessorWBS]]="",0,_xlfn.XLOOKUP(tblPostItTasks[[#This Row],[SuggestedPredecessorWBS]],tblPostItTasks[WBSCode],tblPostItTasks[EarliestFinish],0))</f>
        <v>2</v>
      </c>
      <c r="K58" s="190">
        <f>tblPostItTasks[[#This Row],[EarliestStart]]+IF(tblPostItTasks[[#This Row],[DurationWeeks]]="",1,tblPostItTasks[[#This Row],[DurationWeeks]])</f>
        <v>3</v>
      </c>
      <c r="L58" s="196" t="str">
        <f>tblPostItTasks[[#This Row],[WBSCode]]&amp;CHAR(10)&amp;tblPostItTasks[[#This Row],[TaskName]]&amp;CHAR(10)&amp;"Dur: "&amp;IF(tblPostItTasks[[#This Row],[DurationWeeks]]="","?",tblPostItTasks[[#This Row],[DurationWeeks]])&amp;"w"</f>
        <v>4.2
Dig foundation trenches
Dur: 1w</v>
      </c>
      <c r="M58" s="191" t="str">
        <f>IF(tblPostItTasks[[#This Row],[DurationWeeks]]="","Add duration",IF(tblPostItTasks[[#This Row],[SuggestedPredecessorWBS]]="","Start candidate","Ready"))</f>
        <v>Ready</v>
      </c>
    </row>
    <row r="59" spans="1:13" ht="34" customHeight="1" x14ac:dyDescent="0.35">
      <c r="A59" s="188" t="s">
        <v>33</v>
      </c>
      <c r="B59" s="189">
        <v>4.3</v>
      </c>
      <c r="C59" s="196" t="s">
        <v>123</v>
      </c>
      <c r="D59" s="189" t="s">
        <v>120</v>
      </c>
      <c r="E59" s="190">
        <v>22</v>
      </c>
      <c r="F59" s="196" t="s">
        <v>267</v>
      </c>
      <c r="G59" s="190">
        <v>2</v>
      </c>
      <c r="H59" s="196">
        <v>4.2</v>
      </c>
      <c r="I59" s="190">
        <f>IF(tblPostItTasks[[#This Row],[SuggestedPredecessorWBS]]="",0,MIN(5,_xlfn.XLOOKUP(tblPostItTasks[[#This Row],[SuggestedPredecessorWBS]],tblPostItTasks[WBSCode],tblPostItTasks[DependencyLevel],0)+1))</f>
        <v>2</v>
      </c>
      <c r="J59" s="190">
        <f>IF(tblPostItTasks[[#This Row],[SuggestedPredecessorWBS]]="",0,_xlfn.XLOOKUP(tblPostItTasks[[#This Row],[SuggestedPredecessorWBS]],tblPostItTasks[WBSCode],tblPostItTasks[EarliestFinish],0))</f>
        <v>3</v>
      </c>
      <c r="K59" s="190">
        <f>tblPostItTasks[[#This Row],[EarliestStart]]+IF(tblPostItTasks[[#This Row],[DurationWeeks]]="",1,tblPostItTasks[[#This Row],[DurationWeeks]])</f>
        <v>5</v>
      </c>
      <c r="L59" s="196" t="str">
        <f>tblPostItTasks[[#This Row],[WBSCode]]&amp;CHAR(10)&amp;tblPostItTasks[[#This Row],[TaskName]]&amp;CHAR(10)&amp;"Dur: "&amp;IF(tblPostItTasks[[#This Row],[DurationWeeks]]="","?",tblPostItTasks[[#This Row],[DurationWeeks]])&amp;"w"</f>
        <v>4.3
Fill with concrete
Dur: 2w</v>
      </c>
      <c r="M59" s="191" t="str">
        <f>IF(tblPostItTasks[[#This Row],[DurationWeeks]]="","Add duration",IF(tblPostItTasks[[#This Row],[SuggestedPredecessorWBS]]="","Start candidate","Ready"))</f>
        <v>Ready</v>
      </c>
    </row>
    <row r="60" spans="1:13" ht="34" customHeight="1" x14ac:dyDescent="0.35">
      <c r="A60" s="188" t="s">
        <v>33</v>
      </c>
      <c r="B60" s="189">
        <v>4.4000000000000004</v>
      </c>
      <c r="C60" s="196" t="s">
        <v>124</v>
      </c>
      <c r="D60" s="189" t="s">
        <v>120</v>
      </c>
      <c r="E60" s="190">
        <v>5</v>
      </c>
      <c r="F60" s="196" t="s">
        <v>267</v>
      </c>
      <c r="G60" s="190">
        <v>1</v>
      </c>
      <c r="H60" s="196">
        <v>4.3</v>
      </c>
      <c r="I60" s="190">
        <f>IF(tblPostItTasks[[#This Row],[SuggestedPredecessorWBS]]="",0,MIN(5,_xlfn.XLOOKUP(tblPostItTasks[[#This Row],[SuggestedPredecessorWBS]],tblPostItTasks[WBSCode],tblPostItTasks[DependencyLevel],0)+1))</f>
        <v>3</v>
      </c>
      <c r="J60" s="190">
        <f>IF(tblPostItTasks[[#This Row],[SuggestedPredecessorWBS]]="",0,_xlfn.XLOOKUP(tblPostItTasks[[#This Row],[SuggestedPredecessorWBS]],tblPostItTasks[WBSCode],tblPostItTasks[EarliestFinish],0))</f>
        <v>5</v>
      </c>
      <c r="K60" s="190">
        <f>tblPostItTasks[[#This Row],[EarliestStart]]+IF(tblPostItTasks[[#This Row],[DurationWeeks]]="",1,tblPostItTasks[[#This Row],[DurationWeeks]])</f>
        <v>6</v>
      </c>
      <c r="L60" s="196" t="str">
        <f>tblPostItTasks[[#This Row],[WBSCode]]&amp;CHAR(10)&amp;tblPostItTasks[[#This Row],[TaskName]]&amp;CHAR(10)&amp;"Dur: "&amp;IF(tblPostItTasks[[#This Row],[DurationWeeks]]="","?",tblPostItTasks[[#This Row],[DurationWeeks]])&amp;"w"</f>
        <v>4.4
Level the base
Dur: 1w</v>
      </c>
      <c r="M60" s="191" t="str">
        <f>IF(tblPostItTasks[[#This Row],[DurationWeeks]]="","Add duration",IF(tblPostItTasks[[#This Row],[SuggestedPredecessorWBS]]="","Start candidate","Ready"))</f>
        <v>Ready</v>
      </c>
    </row>
    <row r="61" spans="1:13" ht="34" customHeight="1" x14ac:dyDescent="0.35">
      <c r="A61" s="188" t="s">
        <v>33</v>
      </c>
      <c r="B61" s="189">
        <v>5.0999999999999996</v>
      </c>
      <c r="C61" s="196" t="s">
        <v>126</v>
      </c>
      <c r="D61" s="189" t="s">
        <v>125</v>
      </c>
      <c r="E61" s="190">
        <v>11</v>
      </c>
      <c r="F61" s="196" t="s">
        <v>268</v>
      </c>
      <c r="G61" s="190">
        <v>6</v>
      </c>
      <c r="H61" s="196">
        <v>4.4000000000000004</v>
      </c>
      <c r="I61" s="190">
        <f>IF(tblPostItTasks[[#This Row],[SuggestedPredecessorWBS]]="",0,MIN(5,_xlfn.XLOOKUP(tblPostItTasks[[#This Row],[SuggestedPredecessorWBS]],tblPostItTasks[WBSCode],tblPostItTasks[DependencyLevel],0)+1))</f>
        <v>4</v>
      </c>
      <c r="J61" s="190">
        <f>IF(tblPostItTasks[[#This Row],[SuggestedPredecessorWBS]]="",0,_xlfn.XLOOKUP(tblPostItTasks[[#This Row],[SuggestedPredecessorWBS]],tblPostItTasks[WBSCode],tblPostItTasks[EarliestFinish],0))</f>
        <v>6</v>
      </c>
      <c r="K61" s="190">
        <f>tblPostItTasks[[#This Row],[EarliestStart]]+IF(tblPostItTasks[[#This Row],[DurationWeeks]]="",1,tblPostItTasks[[#This Row],[DurationWeeks]])</f>
        <v>12</v>
      </c>
      <c r="L61" s="196" t="str">
        <f>tblPostItTasks[[#This Row],[WBSCode]]&amp;CHAR(10)&amp;tblPostItTasks[[#This Row],[TaskName]]&amp;CHAR(10)&amp;"Dur: "&amp;IF(tblPostItTasks[[#This Row],[DurationWeeks]]="","?",tblPostItTasks[[#This Row],[DurationWeeks]])&amp;"w"</f>
        <v>5.1
Delivery
Dur: 6w</v>
      </c>
      <c r="M61" s="191" t="str">
        <f>IF(tblPostItTasks[[#This Row],[DurationWeeks]]="","Add duration",IF(tblPostItTasks[[#This Row],[SuggestedPredecessorWBS]]="","Start candidate","Ready"))</f>
        <v>Ready</v>
      </c>
    </row>
    <row r="62" spans="1:13" ht="34" customHeight="1" x14ac:dyDescent="0.35">
      <c r="A62" s="188" t="s">
        <v>33</v>
      </c>
      <c r="B62" s="189">
        <v>5.2</v>
      </c>
      <c r="C62" s="196" t="s">
        <v>127</v>
      </c>
      <c r="D62" s="189" t="s">
        <v>125</v>
      </c>
      <c r="E62" s="190">
        <v>24</v>
      </c>
      <c r="F62" s="196" t="s">
        <v>268</v>
      </c>
      <c r="G62" s="190">
        <v>1</v>
      </c>
      <c r="H62" s="196">
        <v>5.0999999999999996</v>
      </c>
      <c r="I62" s="190">
        <f>IF(tblPostItTasks[[#This Row],[SuggestedPredecessorWBS]]="",0,MIN(5,_xlfn.XLOOKUP(tblPostItTasks[[#This Row],[SuggestedPredecessorWBS]],tblPostItTasks[WBSCode],tblPostItTasks[DependencyLevel],0)+1))</f>
        <v>5</v>
      </c>
      <c r="J62" s="190">
        <f>IF(tblPostItTasks[[#This Row],[SuggestedPredecessorWBS]]="",0,_xlfn.XLOOKUP(tblPostItTasks[[#This Row],[SuggestedPredecessorWBS]],tblPostItTasks[WBSCode],tblPostItTasks[EarliestFinish],0))</f>
        <v>12</v>
      </c>
      <c r="K62" s="190">
        <f>tblPostItTasks[[#This Row],[EarliestStart]]+IF(tblPostItTasks[[#This Row],[DurationWeeks]]="",1,tblPostItTasks[[#This Row],[DurationWeeks]])</f>
        <v>13</v>
      </c>
      <c r="L62" s="196" t="str">
        <f>tblPostItTasks[[#This Row],[WBSCode]]&amp;CHAR(10)&amp;tblPostItTasks[[#This Row],[TaskName]]&amp;CHAR(10)&amp;"Dur: "&amp;IF(tblPostItTasks[[#This Row],[DurationWeeks]]="","?",tblPostItTasks[[#This Row],[DurationWeeks]])&amp;"w"</f>
        <v>5.2
Assembly
Dur: 1w</v>
      </c>
      <c r="M62" s="191" t="str">
        <f>IF(tblPostItTasks[[#This Row],[DurationWeeks]]="","Add duration",IF(tblPostItTasks[[#This Row],[SuggestedPredecessorWBS]]="","Start candidate","Ready"))</f>
        <v>Ready</v>
      </c>
    </row>
    <row r="63" spans="1:13" ht="34" customHeight="1" x14ac:dyDescent="0.35">
      <c r="A63" s="188" t="s">
        <v>33</v>
      </c>
      <c r="B63" s="189" t="s">
        <v>129</v>
      </c>
      <c r="C63" s="196" t="s">
        <v>130</v>
      </c>
      <c r="D63" s="189" t="s">
        <v>128</v>
      </c>
      <c r="E63" s="190">
        <v>9</v>
      </c>
      <c r="F63" s="196" t="s">
        <v>268</v>
      </c>
      <c r="G63" s="190">
        <v>1</v>
      </c>
      <c r="H63" s="196"/>
      <c r="I63" s="190">
        <f>IF(tblPostItTasks[[#This Row],[SuggestedPredecessorWBS]]="",0,MIN(5,_xlfn.XLOOKUP(tblPostItTasks[[#This Row],[SuggestedPredecessorWBS]],tblPostItTasks[WBSCode],tblPostItTasks[DependencyLevel],0)+1))</f>
        <v>0</v>
      </c>
      <c r="J63" s="190">
        <f>IF(tblPostItTasks[[#This Row],[SuggestedPredecessorWBS]]="",0,_xlfn.XLOOKUP(tblPostItTasks[[#This Row],[SuggestedPredecessorWBS]],tblPostItTasks[WBSCode],tblPostItTasks[EarliestFinish],0))</f>
        <v>0</v>
      </c>
      <c r="K63" s="190">
        <f>tblPostItTasks[[#This Row],[EarliestStart]]+IF(tblPostItTasks[[#This Row],[DurationWeeks]]="",1,tblPostItTasks[[#This Row],[DurationWeeks]])</f>
        <v>1</v>
      </c>
      <c r="L63" s="196" t="str">
        <f>tblPostItTasks[[#This Row],[WBSCode]]&amp;CHAR(10)&amp;tblPostItTasks[[#This Row],[TaskName]]&amp;CHAR(10)&amp;"Dur: "&amp;IF(tblPostItTasks[[#This Row],[DurationWeeks]]="","?",tblPostItTasks[[#This Row],[DurationWeeks]])&amp;"w"</f>
        <v>5.3.1
Inside
Dur: 1w</v>
      </c>
      <c r="M63" s="191" t="str">
        <f>IF(tblPostItTasks[[#This Row],[DurationWeeks]]="","Add duration",IF(tblPostItTasks[[#This Row],[SuggestedPredecessorWBS]]="","Start candidate","Ready"))</f>
        <v>Start candidate</v>
      </c>
    </row>
    <row r="64" spans="1:13" ht="34" customHeight="1" x14ac:dyDescent="0.35">
      <c r="A64" s="188" t="s">
        <v>33</v>
      </c>
      <c r="B64" s="189" t="s">
        <v>131</v>
      </c>
      <c r="C64" s="196" t="s">
        <v>132</v>
      </c>
      <c r="D64" s="189" t="s">
        <v>128</v>
      </c>
      <c r="E64" s="190">
        <v>18</v>
      </c>
      <c r="F64" s="196" t="s">
        <v>268</v>
      </c>
      <c r="G64" s="190">
        <v>2</v>
      </c>
      <c r="H64" s="196"/>
      <c r="I64" s="190">
        <f>IF(tblPostItTasks[[#This Row],[SuggestedPredecessorWBS]]="",0,MIN(5,_xlfn.XLOOKUP(tblPostItTasks[[#This Row],[SuggestedPredecessorWBS]],tblPostItTasks[WBSCode],tblPostItTasks[DependencyLevel],0)+1))</f>
        <v>0</v>
      </c>
      <c r="J64" s="190">
        <f>IF(tblPostItTasks[[#This Row],[SuggestedPredecessorWBS]]="",0,_xlfn.XLOOKUP(tblPostItTasks[[#This Row],[SuggestedPredecessorWBS]],tblPostItTasks[WBSCode],tblPostItTasks[EarliestFinish],0))</f>
        <v>0</v>
      </c>
      <c r="K64" s="190">
        <f>tblPostItTasks[[#This Row],[EarliestStart]]+IF(tblPostItTasks[[#This Row],[DurationWeeks]]="",1,tblPostItTasks[[#This Row],[DurationWeeks]])</f>
        <v>2</v>
      </c>
      <c r="L64" s="196" t="str">
        <f>tblPostItTasks[[#This Row],[WBSCode]]&amp;CHAR(10)&amp;tblPostItTasks[[#This Row],[TaskName]]&amp;CHAR(10)&amp;"Dur: "&amp;IF(tblPostItTasks[[#This Row],[DurationWeeks]]="","?",tblPostItTasks[[#This Row],[DurationWeeks]])&amp;"w"</f>
        <v>5.3.2
External
Dur: 2w</v>
      </c>
      <c r="M64" s="191" t="str">
        <f>IF(tblPostItTasks[[#This Row],[DurationWeeks]]="","Add duration",IF(tblPostItTasks[[#This Row],[SuggestedPredecessorWBS]]="","Start candidate","Ready"))</f>
        <v>Start candidate</v>
      </c>
    </row>
    <row r="65" spans="1:13" ht="34" customHeight="1" x14ac:dyDescent="0.35">
      <c r="A65" s="188" t="s">
        <v>33</v>
      </c>
      <c r="B65" s="189">
        <v>6.1</v>
      </c>
      <c r="C65" s="196" t="s">
        <v>134</v>
      </c>
      <c r="D65" s="189" t="s">
        <v>133</v>
      </c>
      <c r="E65" s="190">
        <v>13</v>
      </c>
      <c r="F65" s="196" t="s">
        <v>269</v>
      </c>
      <c r="G65" s="190">
        <v>1</v>
      </c>
      <c r="H65" s="196">
        <v>5.2</v>
      </c>
      <c r="I65" s="190">
        <f>IF(tblPostItTasks[[#This Row],[SuggestedPredecessorWBS]]="",0,MIN(5,_xlfn.XLOOKUP(tblPostItTasks[[#This Row],[SuggestedPredecessorWBS]],tblPostItTasks[WBSCode],tblPostItTasks[DependencyLevel],0)+1))</f>
        <v>5</v>
      </c>
      <c r="J65" s="190">
        <f>IF(tblPostItTasks[[#This Row],[SuggestedPredecessorWBS]]="",0,_xlfn.XLOOKUP(tblPostItTasks[[#This Row],[SuggestedPredecessorWBS]],tblPostItTasks[WBSCode],tblPostItTasks[EarliestFinish],0))</f>
        <v>13</v>
      </c>
      <c r="K65" s="190">
        <f>tblPostItTasks[[#This Row],[EarliestStart]]+IF(tblPostItTasks[[#This Row],[DurationWeeks]]="",1,tblPostItTasks[[#This Row],[DurationWeeks]])</f>
        <v>14</v>
      </c>
      <c r="L65" s="196" t="str">
        <f>tblPostItTasks[[#This Row],[WBSCode]]&amp;CHAR(10)&amp;tblPostItTasks[[#This Row],[TaskName]]&amp;CHAR(10)&amp;"Dur: "&amp;IF(tblPostItTasks[[#This Row],[DurationWeeks]]="","?",tblPostItTasks[[#This Row],[DurationWeeks]])&amp;"w"</f>
        <v>6.1
Install Furniture
Dur: 1w</v>
      </c>
      <c r="M65" s="191" t="str">
        <f>IF(tblPostItTasks[[#This Row],[DurationWeeks]]="","Add duration",IF(tblPostItTasks[[#This Row],[SuggestedPredecessorWBS]]="","Start candidate","Ready"))</f>
        <v>Ready</v>
      </c>
    </row>
    <row r="66" spans="1:13" ht="34" customHeight="1" x14ac:dyDescent="0.35">
      <c r="A66" s="188" t="s">
        <v>33</v>
      </c>
      <c r="B66" s="189">
        <v>6.2</v>
      </c>
      <c r="C66" s="196" t="s">
        <v>135</v>
      </c>
      <c r="D66" s="189" t="s">
        <v>133</v>
      </c>
      <c r="E66" s="190">
        <v>20</v>
      </c>
      <c r="F66" s="196" t="s">
        <v>269</v>
      </c>
      <c r="G66" s="190">
        <v>1</v>
      </c>
      <c r="H66" s="196">
        <v>6.1</v>
      </c>
      <c r="I66" s="190">
        <f>IF(tblPostItTasks[[#This Row],[SuggestedPredecessorWBS]]="",0,MIN(5,_xlfn.XLOOKUP(tblPostItTasks[[#This Row],[SuggestedPredecessorWBS]],tblPostItTasks[WBSCode],tblPostItTasks[DependencyLevel],0)+1))</f>
        <v>5</v>
      </c>
      <c r="J66" s="190">
        <f>IF(tblPostItTasks[[#This Row],[SuggestedPredecessorWBS]]="",0,_xlfn.XLOOKUP(tblPostItTasks[[#This Row],[SuggestedPredecessorWBS]],tblPostItTasks[WBSCode],tblPostItTasks[EarliestFinish],0))</f>
        <v>14</v>
      </c>
      <c r="K66" s="190">
        <f>tblPostItTasks[[#This Row],[EarliestStart]]+IF(tblPostItTasks[[#This Row],[DurationWeeks]]="",1,tblPostItTasks[[#This Row],[DurationWeeks]])</f>
        <v>15</v>
      </c>
      <c r="L66" s="196" t="str">
        <f>tblPostItTasks[[#This Row],[WBSCode]]&amp;CHAR(10)&amp;tblPostItTasks[[#This Row],[TaskName]]&amp;CHAR(10)&amp;"Dur: "&amp;IF(tblPostItTasks[[#This Row],[DurationWeeks]]="","?",tblPostItTasks[[#This Row],[DurationWeeks]])&amp;"w"</f>
        <v>6.2
Set up computers
Dur: 1w</v>
      </c>
      <c r="M66" s="191" t="str">
        <f>IF(tblPostItTasks[[#This Row],[DurationWeeks]]="","Add duration",IF(tblPostItTasks[[#This Row],[SuggestedPredecessorWBS]]="","Start candidate","Ready"))</f>
        <v>Ready</v>
      </c>
    </row>
    <row r="67" spans="1:13" ht="34" customHeight="1" x14ac:dyDescent="0.35">
      <c r="A67" s="192" t="s">
        <v>33</v>
      </c>
      <c r="B67" s="193">
        <v>6.3</v>
      </c>
      <c r="C67" s="197" t="s">
        <v>136</v>
      </c>
      <c r="D67" s="193" t="s">
        <v>133</v>
      </c>
      <c r="E67" s="194">
        <v>15</v>
      </c>
      <c r="F67" s="197" t="s">
        <v>269</v>
      </c>
      <c r="G67" s="194">
        <v>1</v>
      </c>
      <c r="H67" s="197">
        <v>6.2</v>
      </c>
      <c r="I67" s="194">
        <f>IF(tblPostItTasks[[#This Row],[SuggestedPredecessorWBS]]="",0,MIN(5,_xlfn.XLOOKUP(tblPostItTasks[[#This Row],[SuggestedPredecessorWBS]],tblPostItTasks[WBSCode],tblPostItTasks[DependencyLevel],0)+1))</f>
        <v>5</v>
      </c>
      <c r="J67" s="194">
        <f>IF(tblPostItTasks[[#This Row],[SuggestedPredecessorWBS]]="",0,_xlfn.XLOOKUP(tblPostItTasks[[#This Row],[SuggestedPredecessorWBS]],tblPostItTasks[WBSCode],tblPostItTasks[EarliestFinish],0))</f>
        <v>15</v>
      </c>
      <c r="K67" s="194">
        <f>tblPostItTasks[[#This Row],[EarliestStart]]+IF(tblPostItTasks[[#This Row],[DurationWeeks]]="",1,tblPostItTasks[[#This Row],[DurationWeeks]])</f>
        <v>16</v>
      </c>
      <c r="L67" s="197" t="str">
        <f>tblPostItTasks[[#This Row],[WBSCode]]&amp;CHAR(10)&amp;tblPostItTasks[[#This Row],[TaskName]]&amp;CHAR(10)&amp;"Dur: "&amp;IF(tblPostItTasks[[#This Row],[DurationWeeks]]="","?",tblPostItTasks[[#This Row],[DurationWeeks]])&amp;"w"</f>
        <v>6.3
Set up music system
Dur: 1w</v>
      </c>
      <c r="M67" s="195" t="str">
        <f>IF(tblPostItTasks[[#This Row],[DurationWeeks]]="","Add duration",IF(tblPostItTasks[[#This Row],[SuggestedPredecessorWBS]]="","Start candidate","Ready"))</f>
        <v>Ready</v>
      </c>
    </row>
    <row r="70" spans="1:13" ht="16" x14ac:dyDescent="0.4">
      <c r="A70" s="172" t="s">
        <v>280</v>
      </c>
      <c r="B70" s="172"/>
      <c r="C70" s="172"/>
      <c r="D70" s="172"/>
      <c r="E70" s="172"/>
      <c r="F70" s="172"/>
      <c r="G70" s="172"/>
      <c r="H70" s="172"/>
      <c r="I70" s="172"/>
      <c r="J70" s="172"/>
      <c r="K70" s="172"/>
    </row>
    <row r="72" spans="1:13" x14ac:dyDescent="0.35">
      <c r="A72" s="185" t="s">
        <v>27</v>
      </c>
      <c r="B72" s="186" t="s">
        <v>281</v>
      </c>
      <c r="C72" s="186" t="s">
        <v>282</v>
      </c>
      <c r="D72" s="186" t="s">
        <v>283</v>
      </c>
      <c r="E72" s="186" t="s">
        <v>284</v>
      </c>
      <c r="F72" s="187" t="s">
        <v>285</v>
      </c>
    </row>
    <row r="73" spans="1:13" ht="30" customHeight="1" x14ac:dyDescent="0.35">
      <c r="A73" s="188" t="s">
        <v>33</v>
      </c>
      <c r="B73" s="189">
        <v>1.1000000000000001</v>
      </c>
      <c r="C73" s="189">
        <v>1.2</v>
      </c>
      <c r="D73" s="189" t="s">
        <v>286</v>
      </c>
      <c r="E73" s="190">
        <v>0</v>
      </c>
      <c r="F73" s="198" t="s">
        <v>287</v>
      </c>
    </row>
    <row r="74" spans="1:13" ht="30" customHeight="1" x14ac:dyDescent="0.35">
      <c r="A74" s="188" t="s">
        <v>33</v>
      </c>
      <c r="B74" s="189">
        <v>2.4</v>
      </c>
      <c r="C74" s="189">
        <v>2.5</v>
      </c>
      <c r="D74" s="189" t="s">
        <v>286</v>
      </c>
      <c r="E74" s="190">
        <v>0</v>
      </c>
      <c r="F74" s="198" t="s">
        <v>288</v>
      </c>
    </row>
    <row r="75" spans="1:13" ht="30" customHeight="1" x14ac:dyDescent="0.35">
      <c r="A75" s="188" t="s">
        <v>33</v>
      </c>
      <c r="B75" s="189" t="s">
        <v>107</v>
      </c>
      <c r="C75" s="189" t="s">
        <v>113</v>
      </c>
      <c r="D75" s="189" t="s">
        <v>286</v>
      </c>
      <c r="E75" s="190">
        <v>0</v>
      </c>
      <c r="F75" s="198" t="s">
        <v>289</v>
      </c>
    </row>
    <row r="76" spans="1:13" ht="30" customHeight="1" x14ac:dyDescent="0.35">
      <c r="A76" s="188" t="s">
        <v>33</v>
      </c>
      <c r="B76" s="189" t="s">
        <v>113</v>
      </c>
      <c r="C76" s="189" t="s">
        <v>115</v>
      </c>
      <c r="D76" s="189" t="s">
        <v>286</v>
      </c>
      <c r="E76" s="190">
        <v>0</v>
      </c>
      <c r="F76" s="198" t="s">
        <v>290</v>
      </c>
    </row>
    <row r="77" spans="1:13" ht="30" customHeight="1" x14ac:dyDescent="0.35">
      <c r="A77" s="188" t="s">
        <v>33</v>
      </c>
      <c r="B77" s="189">
        <v>4.0999999999999996</v>
      </c>
      <c r="C77" s="189">
        <v>4.2</v>
      </c>
      <c r="D77" s="189" t="s">
        <v>286</v>
      </c>
      <c r="E77" s="190">
        <v>0</v>
      </c>
      <c r="F77" s="198" t="s">
        <v>291</v>
      </c>
    </row>
    <row r="78" spans="1:13" ht="30" customHeight="1" x14ac:dyDescent="0.35">
      <c r="A78" s="188" t="s">
        <v>33</v>
      </c>
      <c r="B78" s="189">
        <v>4.2</v>
      </c>
      <c r="C78" s="189">
        <v>4.3</v>
      </c>
      <c r="D78" s="189" t="s">
        <v>286</v>
      </c>
      <c r="E78" s="190">
        <v>0</v>
      </c>
      <c r="F78" s="198" t="s">
        <v>292</v>
      </c>
    </row>
    <row r="79" spans="1:13" ht="30" customHeight="1" x14ac:dyDescent="0.35">
      <c r="A79" s="188" t="s">
        <v>33</v>
      </c>
      <c r="B79" s="189">
        <v>4.3</v>
      </c>
      <c r="C79" s="189">
        <v>4.4000000000000004</v>
      </c>
      <c r="D79" s="189" t="s">
        <v>286</v>
      </c>
      <c r="E79" s="190">
        <v>0</v>
      </c>
      <c r="F79" s="198" t="s">
        <v>293</v>
      </c>
    </row>
    <row r="80" spans="1:13" ht="30" customHeight="1" x14ac:dyDescent="0.35">
      <c r="A80" s="188" t="s">
        <v>33</v>
      </c>
      <c r="B80" s="189">
        <v>4.4000000000000004</v>
      </c>
      <c r="C80" s="189">
        <v>5.0999999999999996</v>
      </c>
      <c r="D80" s="189" t="s">
        <v>286</v>
      </c>
      <c r="E80" s="190">
        <v>0</v>
      </c>
      <c r="F80" s="198" t="s">
        <v>294</v>
      </c>
    </row>
    <row r="81" spans="1:6" ht="30" customHeight="1" x14ac:dyDescent="0.35">
      <c r="A81" s="188" t="s">
        <v>33</v>
      </c>
      <c r="B81" s="189">
        <v>5.0999999999999996</v>
      </c>
      <c r="C81" s="189">
        <v>5.2</v>
      </c>
      <c r="D81" s="189" t="s">
        <v>286</v>
      </c>
      <c r="E81" s="190">
        <v>0</v>
      </c>
      <c r="F81" s="198" t="s">
        <v>295</v>
      </c>
    </row>
    <row r="82" spans="1:6" ht="30" customHeight="1" x14ac:dyDescent="0.35">
      <c r="A82" s="188" t="s">
        <v>33</v>
      </c>
      <c r="B82" s="189">
        <v>5.2</v>
      </c>
      <c r="C82" s="189">
        <v>6.1</v>
      </c>
      <c r="D82" s="189" t="s">
        <v>286</v>
      </c>
      <c r="E82" s="190">
        <v>0</v>
      </c>
      <c r="F82" s="198" t="s">
        <v>296</v>
      </c>
    </row>
    <row r="83" spans="1:6" ht="30" customHeight="1" x14ac:dyDescent="0.35">
      <c r="A83" s="192" t="s">
        <v>33</v>
      </c>
      <c r="B83" s="193">
        <v>2.5</v>
      </c>
      <c r="C83" s="193">
        <v>6.1</v>
      </c>
      <c r="D83" s="193" t="s">
        <v>286</v>
      </c>
      <c r="E83" s="194">
        <v>0</v>
      </c>
      <c r="F83" s="199" t="s">
        <v>297</v>
      </c>
    </row>
  </sheetData>
  <mergeCells count="32">
    <mergeCell ref="A28:K28"/>
    <mergeCell ref="A39:K39"/>
    <mergeCell ref="A70:K70"/>
    <mergeCell ref="A21:B23"/>
    <mergeCell ref="C21:D23"/>
    <mergeCell ref="E21:F23"/>
    <mergeCell ref="G21:H23"/>
    <mergeCell ref="A24:B26"/>
    <mergeCell ref="C24:D26"/>
    <mergeCell ref="A15:B17"/>
    <mergeCell ref="C15:D17"/>
    <mergeCell ref="E15:F17"/>
    <mergeCell ref="G15:H17"/>
    <mergeCell ref="A18:B20"/>
    <mergeCell ref="C18:D20"/>
    <mergeCell ref="E18:F20"/>
    <mergeCell ref="G18:H20"/>
    <mergeCell ref="A9:B11"/>
    <mergeCell ref="C9:D11"/>
    <mergeCell ref="E9:F11"/>
    <mergeCell ref="G9:H11"/>
    <mergeCell ref="A12:B14"/>
    <mergeCell ref="C12:D14"/>
    <mergeCell ref="E12:F14"/>
    <mergeCell ref="G12:H14"/>
    <mergeCell ref="A1:K1"/>
    <mergeCell ref="A2:K2"/>
    <mergeCell ref="A4:K4"/>
    <mergeCell ref="A6:B8"/>
    <mergeCell ref="C6:D8"/>
    <mergeCell ref="E6:F8"/>
    <mergeCell ref="G6:H8"/>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6BBB-13FD-455D-98C6-38ACD9A9F246}">
  <dimension ref="A1"/>
  <sheetViews>
    <sheetView workbookViewId="0"/>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E5D7-0493-454D-9861-EA160F0F156E}">
  <dimension ref="A1"/>
  <sheetViews>
    <sheetView workbookViewId="0"/>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0AFD9-A369-4D77-85BC-FDC025550E6A}">
  <dimension ref="A1"/>
  <sheetViews>
    <sheetView workbookViewId="0"/>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54BEA-D030-43D1-963E-134354FAE947}">
  <dimension ref="A1"/>
  <sheetViews>
    <sheetView workbookViewId="0"/>
  </sheetViews>
  <sheetFormatPr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F1E81-D27D-44CB-8E55-13740D74A288}">
  <dimension ref="A1"/>
  <sheetViews>
    <sheetView workbookViewId="0"/>
  </sheetViews>
  <sheetFormatPr defaultRowHeight="14.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321FE-FBEC-4675-9E05-E871C9AB9BC3}">
  <dimension ref="A1"/>
  <sheetViews>
    <sheetView workbookViewId="0"/>
  </sheetViews>
  <sheetFormatPr defaultRowHeig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381D-D22F-4EF9-9630-D2385762914B}">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Overview</vt:lpstr>
      <vt:lpstr>1. Define Project</vt:lpstr>
      <vt:lpstr>2. List Tasks</vt:lpstr>
      <vt:lpstr>Swimlane</vt:lpstr>
      <vt:lpstr>3. Dependencies</vt:lpstr>
      <vt:lpstr>Sheet7</vt:lpstr>
      <vt:lpstr>Sheet8</vt:lpstr>
      <vt:lpstr>Sheet9</vt:lpstr>
      <vt:lpstr>Sheet10</vt:lpstr>
      <vt:lpstr>Sheet11</vt:lpstr>
      <vt:lpstr>Sheet12</vt:lpstr>
      <vt:lpstr>Sheet13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Ellingsen</dc:creator>
  <cp:lastModifiedBy>Frank Ellingsen</cp:lastModifiedBy>
  <dcterms:created xsi:type="dcterms:W3CDTF">2026-08-05T08:23:09Z</dcterms:created>
  <dcterms:modified xsi:type="dcterms:W3CDTF">2026-08-05T15:10:28Z</dcterms:modified>
</cp:coreProperties>
</file>